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lld\OneDrive\Área de Trabalho\RELATORIOS HUBMAIS\RELATÓRIO DE TMA\"/>
    </mc:Choice>
  </mc:AlternateContent>
  <xr:revisionPtr revIDLastSave="0" documentId="8_{6077770B-F51E-44D7-ADF5-F2D4FC7587C9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Painel" sheetId="1" r:id="rId1"/>
    <sheet name="Análise por Fila" sheetId="11" r:id="rId2"/>
    <sheet name="Atendimento Fila" sheetId="10" r:id="rId3"/>
    <sheet name="Visão Diária" sheetId="7" r:id="rId4"/>
    <sheet name="Faltas do Dia" sheetId="9" state="hidden" r:id="rId5"/>
    <sheet name="Comparativo Sup." sheetId="8" r:id="rId6"/>
    <sheet name="Consolidado" sheetId="2" r:id="rId7"/>
    <sheet name="Diário" sheetId="3" r:id="rId8"/>
    <sheet name="Resumo Supervisor" sheetId="4" r:id="rId9"/>
    <sheet name="Mapeamento" sheetId="5" r:id="rId10"/>
    <sheet name="Notas Técnicas" sheetId="6" r:id="rId11"/>
    <sheet name="Variável SAC" sheetId="12" state="hidden" r:id="rId12"/>
  </sheets>
  <definedNames>
    <definedName name="_xlnm._FilterDatabase" localSheetId="4" hidden="1">Diário!$A$2:$W$303</definedName>
    <definedName name="_xlnm._FilterDatabase" localSheetId="3" hidden="1">Consolidado!$A$2:$Y$114</definedName>
    <definedName name="SegmentaçãodeDados_Área">#N/A</definedName>
    <definedName name="SegmentaçãodeDados_Coordenador">#N/A</definedName>
    <definedName name="SegmentaçãodeDados_Data">#N/A</definedName>
    <definedName name="SegmentaçãodeDados_Data1">#N/A</definedName>
    <definedName name="SegmentaçãodeDados_Data2">#N/A</definedName>
    <definedName name="SegmentaçãodeDados_Fila_de_Atendimento">#N/A</definedName>
    <definedName name="SegmentaçãodeDados_Fila_de_Atendimento1">#N/A</definedName>
    <definedName name="SegmentaçãodeDados_Nome">#N/A</definedName>
    <definedName name="SegmentaçãodeDados_Nome_Completo">#N/A</definedName>
    <definedName name="SegmentaçãodeDados_Nome_Completo1">#N/A</definedName>
    <definedName name="SegmentaçãodeDados_Supervisor">#N/A</definedName>
    <definedName name="SegmentaçãodeDados_Supervisor1">#N/A</definedName>
    <definedName name="SegmentaçãodeDados_Supervisor2">#N/A</definedName>
    <definedName name="SegmentaçãodeDados_Turn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0" i="12" l="1"/>
  <c r="K60" i="12"/>
  <c r="N59" i="12"/>
  <c r="M59" i="12"/>
  <c r="K59" i="12"/>
  <c r="J59" i="12"/>
  <c r="I59" i="12"/>
  <c r="H59" i="12"/>
  <c r="G59" i="12"/>
  <c r="F59" i="12"/>
  <c r="E59" i="12"/>
  <c r="D59" i="12"/>
  <c r="B59" i="12"/>
  <c r="N58" i="12"/>
  <c r="M58" i="12"/>
  <c r="K58" i="12"/>
  <c r="J58" i="12"/>
  <c r="I58" i="12"/>
  <c r="H58" i="12"/>
  <c r="G58" i="12"/>
  <c r="F58" i="12"/>
  <c r="E58" i="12"/>
  <c r="D58" i="12"/>
  <c r="B58" i="12"/>
  <c r="N57" i="12"/>
  <c r="M57" i="12"/>
  <c r="K57" i="12"/>
  <c r="J57" i="12"/>
  <c r="I57" i="12"/>
  <c r="H57" i="12"/>
  <c r="G57" i="12"/>
  <c r="F57" i="12"/>
  <c r="E57" i="12"/>
  <c r="D57" i="12"/>
  <c r="B57" i="12"/>
  <c r="N56" i="12"/>
  <c r="M56" i="12"/>
  <c r="K56" i="12"/>
  <c r="J56" i="12"/>
  <c r="I56" i="12"/>
  <c r="H56" i="12"/>
  <c r="G56" i="12"/>
  <c r="F56" i="12"/>
  <c r="E56" i="12"/>
  <c r="D56" i="12"/>
  <c r="B56" i="12"/>
  <c r="N55" i="12"/>
  <c r="M55" i="12"/>
  <c r="K55" i="12"/>
  <c r="J55" i="12"/>
  <c r="I55" i="12"/>
  <c r="H55" i="12"/>
  <c r="G55" i="12"/>
  <c r="F55" i="12"/>
  <c r="E55" i="12"/>
  <c r="D55" i="12"/>
  <c r="B55" i="12"/>
  <c r="N54" i="12"/>
  <c r="M54" i="12"/>
  <c r="K54" i="12"/>
  <c r="J54" i="12"/>
  <c r="I54" i="12"/>
  <c r="H54" i="12"/>
  <c r="G54" i="12"/>
  <c r="F54" i="12"/>
  <c r="E54" i="12"/>
  <c r="D54" i="12"/>
  <c r="B54" i="12"/>
  <c r="N53" i="12"/>
  <c r="M53" i="12"/>
  <c r="K53" i="12"/>
  <c r="J53" i="12"/>
  <c r="I53" i="12"/>
  <c r="H53" i="12"/>
  <c r="G53" i="12"/>
  <c r="F53" i="12"/>
  <c r="E53" i="12"/>
  <c r="D53" i="12"/>
  <c r="B53" i="12"/>
  <c r="N52" i="12"/>
  <c r="M52" i="12"/>
  <c r="K52" i="12"/>
  <c r="J52" i="12"/>
  <c r="I52" i="12"/>
  <c r="H52" i="12"/>
  <c r="G52" i="12"/>
  <c r="F52" i="12"/>
  <c r="E52" i="12"/>
  <c r="D52" i="12"/>
  <c r="B52" i="12"/>
  <c r="N51" i="12"/>
  <c r="M51" i="12"/>
  <c r="K51" i="12"/>
  <c r="J51" i="12"/>
  <c r="I51" i="12"/>
  <c r="H51" i="12"/>
  <c r="G51" i="12"/>
  <c r="F51" i="12"/>
  <c r="E51" i="12"/>
  <c r="D51" i="12"/>
  <c r="B51" i="12"/>
  <c r="N50" i="12"/>
  <c r="M50" i="12"/>
  <c r="K50" i="12"/>
  <c r="J50" i="12"/>
  <c r="I50" i="12"/>
  <c r="H50" i="12"/>
  <c r="G50" i="12"/>
  <c r="F50" i="12"/>
  <c r="E50" i="12"/>
  <c r="D50" i="12"/>
  <c r="B50" i="12"/>
  <c r="N49" i="12"/>
  <c r="M49" i="12"/>
  <c r="K49" i="12"/>
  <c r="J49" i="12"/>
  <c r="I49" i="12"/>
  <c r="H49" i="12"/>
  <c r="G49" i="12"/>
  <c r="F49" i="12"/>
  <c r="E49" i="12"/>
  <c r="D49" i="12"/>
  <c r="B49" i="12"/>
  <c r="N48" i="12"/>
  <c r="M48" i="12"/>
  <c r="K48" i="12"/>
  <c r="J48" i="12"/>
  <c r="I48" i="12"/>
  <c r="H48" i="12"/>
  <c r="G48" i="12"/>
  <c r="F48" i="12"/>
  <c r="E48" i="12"/>
  <c r="D48" i="12"/>
  <c r="B48" i="12"/>
  <c r="N47" i="12"/>
  <c r="M47" i="12"/>
  <c r="K47" i="12"/>
  <c r="J47" i="12"/>
  <c r="I47" i="12"/>
  <c r="H47" i="12"/>
  <c r="G47" i="12"/>
  <c r="F47" i="12"/>
  <c r="E47" i="12"/>
  <c r="D47" i="12"/>
  <c r="B47" i="12"/>
  <c r="N46" i="12"/>
  <c r="M46" i="12"/>
  <c r="K46" i="12"/>
  <c r="J46" i="12"/>
  <c r="I46" i="12"/>
  <c r="H46" i="12"/>
  <c r="G46" i="12"/>
  <c r="F46" i="12"/>
  <c r="E46" i="12"/>
  <c r="D46" i="12"/>
  <c r="B46" i="12"/>
  <c r="N45" i="12"/>
  <c r="M45" i="12"/>
  <c r="K45" i="12"/>
  <c r="J45" i="12"/>
  <c r="I45" i="12"/>
  <c r="H45" i="12"/>
  <c r="G45" i="12"/>
  <c r="F45" i="12"/>
  <c r="E45" i="12"/>
  <c r="D45" i="12"/>
  <c r="B45" i="12"/>
  <c r="N44" i="12"/>
  <c r="M44" i="12"/>
  <c r="K44" i="12"/>
  <c r="J44" i="12"/>
  <c r="I44" i="12"/>
  <c r="H44" i="12"/>
  <c r="G44" i="12"/>
  <c r="F44" i="12"/>
  <c r="E44" i="12"/>
  <c r="D44" i="12"/>
  <c r="B44" i="12"/>
  <c r="N43" i="12"/>
  <c r="M43" i="12"/>
  <c r="K43" i="12"/>
  <c r="J43" i="12"/>
  <c r="I43" i="12"/>
  <c r="H43" i="12"/>
  <c r="G43" i="12"/>
  <c r="F43" i="12"/>
  <c r="E43" i="12"/>
  <c r="D43" i="12"/>
  <c r="B43" i="12"/>
  <c r="N42" i="12"/>
  <c r="M42" i="12"/>
  <c r="K42" i="12"/>
  <c r="J42" i="12"/>
  <c r="I42" i="12"/>
  <c r="H42" i="12"/>
  <c r="G42" i="12"/>
  <c r="F42" i="12"/>
  <c r="E42" i="12"/>
  <c r="D42" i="12"/>
  <c r="B42" i="12"/>
  <c r="N41" i="12"/>
  <c r="M41" i="12"/>
  <c r="K41" i="12"/>
  <c r="J41" i="12"/>
  <c r="I41" i="12"/>
  <c r="H41" i="12"/>
  <c r="G41" i="12"/>
  <c r="F41" i="12"/>
  <c r="E41" i="12"/>
  <c r="D41" i="12"/>
  <c r="B41" i="12"/>
  <c r="N40" i="12"/>
  <c r="M40" i="12"/>
  <c r="K40" i="12"/>
  <c r="J40" i="12"/>
  <c r="I40" i="12"/>
  <c r="H40" i="12"/>
  <c r="G40" i="12"/>
  <c r="F40" i="12"/>
  <c r="E40" i="12"/>
  <c r="D40" i="12"/>
  <c r="B40" i="12"/>
  <c r="N39" i="12"/>
  <c r="M39" i="12"/>
  <c r="K39" i="12"/>
  <c r="J39" i="12"/>
  <c r="I39" i="12"/>
  <c r="H39" i="12"/>
  <c r="G39" i="12"/>
  <c r="F39" i="12"/>
  <c r="E39" i="12"/>
  <c r="D39" i="12"/>
  <c r="B39" i="12"/>
  <c r="N38" i="12"/>
  <c r="M38" i="12"/>
  <c r="K38" i="12"/>
  <c r="J38" i="12"/>
  <c r="I38" i="12"/>
  <c r="H38" i="12"/>
  <c r="G38" i="12"/>
  <c r="F38" i="12"/>
  <c r="E38" i="12"/>
  <c r="D38" i="12"/>
  <c r="B38" i="12"/>
  <c r="N37" i="12"/>
  <c r="M37" i="12"/>
  <c r="K37" i="12"/>
  <c r="J37" i="12"/>
  <c r="I37" i="12"/>
  <c r="H37" i="12"/>
  <c r="G37" i="12"/>
  <c r="F37" i="12"/>
  <c r="E37" i="12"/>
  <c r="D37" i="12"/>
  <c r="B37" i="12"/>
  <c r="N36" i="12"/>
  <c r="M36" i="12"/>
  <c r="K36" i="12"/>
  <c r="J36" i="12"/>
  <c r="I36" i="12"/>
  <c r="H36" i="12"/>
  <c r="G36" i="12"/>
  <c r="F36" i="12"/>
  <c r="E36" i="12"/>
  <c r="D36" i="12"/>
  <c r="B36" i="12"/>
  <c r="N35" i="12"/>
  <c r="M35" i="12"/>
  <c r="K35" i="12"/>
  <c r="J35" i="12"/>
  <c r="I35" i="12"/>
  <c r="H35" i="12"/>
  <c r="G35" i="12"/>
  <c r="F35" i="12"/>
  <c r="E35" i="12"/>
  <c r="D35" i="12"/>
  <c r="B35" i="12"/>
  <c r="N34" i="12"/>
  <c r="M34" i="12"/>
  <c r="K34" i="12"/>
  <c r="J34" i="12"/>
  <c r="I34" i="12"/>
  <c r="H34" i="12"/>
  <c r="G34" i="12"/>
  <c r="F34" i="12"/>
  <c r="E34" i="12"/>
  <c r="D34" i="12"/>
  <c r="B34" i="12"/>
  <c r="N33" i="12"/>
  <c r="M33" i="12"/>
  <c r="K33" i="12"/>
  <c r="J33" i="12"/>
  <c r="I33" i="12"/>
  <c r="H33" i="12"/>
  <c r="G33" i="12"/>
  <c r="F33" i="12"/>
  <c r="E33" i="12"/>
  <c r="D33" i="12"/>
  <c r="B33" i="12"/>
  <c r="N32" i="12"/>
  <c r="M32" i="12"/>
  <c r="K32" i="12"/>
  <c r="J32" i="12"/>
  <c r="I32" i="12"/>
  <c r="H32" i="12"/>
  <c r="G32" i="12"/>
  <c r="F32" i="12"/>
  <c r="E32" i="12"/>
  <c r="D32" i="12"/>
  <c r="B32" i="12"/>
  <c r="N31" i="12"/>
  <c r="M31" i="12"/>
  <c r="K31" i="12"/>
  <c r="J31" i="12"/>
  <c r="I31" i="12"/>
  <c r="H31" i="12"/>
  <c r="G31" i="12"/>
  <c r="F31" i="12"/>
  <c r="E31" i="12"/>
  <c r="D31" i="12"/>
  <c r="B31" i="12"/>
  <c r="N30" i="12"/>
  <c r="M30" i="12"/>
  <c r="K30" i="12"/>
  <c r="J30" i="12"/>
  <c r="I30" i="12"/>
  <c r="H30" i="12"/>
  <c r="G30" i="12"/>
  <c r="F30" i="12"/>
  <c r="E30" i="12"/>
  <c r="D30" i="12"/>
  <c r="B30" i="12"/>
  <c r="N29" i="12"/>
  <c r="M29" i="12"/>
  <c r="K29" i="12"/>
  <c r="J29" i="12"/>
  <c r="I29" i="12"/>
  <c r="H29" i="12"/>
  <c r="G29" i="12"/>
  <c r="F29" i="12"/>
  <c r="E29" i="12"/>
  <c r="D29" i="12"/>
  <c r="B29" i="12"/>
  <c r="N28" i="12"/>
  <c r="M28" i="12"/>
  <c r="K28" i="12"/>
  <c r="J28" i="12"/>
  <c r="I28" i="12"/>
  <c r="H28" i="12"/>
  <c r="G28" i="12"/>
  <c r="F28" i="12"/>
  <c r="E28" i="12"/>
  <c r="D28" i="12"/>
  <c r="B28" i="12"/>
  <c r="N27" i="12"/>
  <c r="M27" i="12"/>
  <c r="K27" i="12"/>
  <c r="J27" i="12"/>
  <c r="I27" i="12"/>
  <c r="H27" i="12"/>
  <c r="G27" i="12"/>
  <c r="F27" i="12"/>
  <c r="E27" i="12"/>
  <c r="D27" i="12"/>
  <c r="B27" i="12"/>
  <c r="N26" i="12"/>
  <c r="M26" i="12"/>
  <c r="K26" i="12"/>
  <c r="J26" i="12"/>
  <c r="I26" i="12"/>
  <c r="H26" i="12"/>
  <c r="G26" i="12"/>
  <c r="F26" i="12"/>
  <c r="E26" i="12"/>
  <c r="D26" i="12"/>
  <c r="B26" i="12"/>
  <c r="N25" i="12"/>
  <c r="M25" i="12"/>
  <c r="K25" i="12"/>
  <c r="J25" i="12"/>
  <c r="I25" i="12"/>
  <c r="H25" i="12"/>
  <c r="G25" i="12"/>
  <c r="F25" i="12"/>
  <c r="E25" i="12"/>
  <c r="D25" i="12"/>
  <c r="B25" i="12"/>
  <c r="N24" i="12"/>
  <c r="M24" i="12"/>
  <c r="K24" i="12"/>
  <c r="J24" i="12"/>
  <c r="I24" i="12"/>
  <c r="H24" i="12"/>
  <c r="G24" i="12"/>
  <c r="F24" i="12"/>
  <c r="E24" i="12"/>
  <c r="D24" i="12"/>
  <c r="B24" i="12"/>
  <c r="N23" i="12"/>
  <c r="M23" i="12"/>
  <c r="K23" i="12"/>
  <c r="J23" i="12"/>
  <c r="I23" i="12"/>
  <c r="H23" i="12"/>
  <c r="G23" i="12"/>
  <c r="F23" i="12"/>
  <c r="E23" i="12"/>
  <c r="D23" i="12"/>
  <c r="B23" i="12"/>
  <c r="N22" i="12"/>
  <c r="M22" i="12"/>
  <c r="K22" i="12"/>
  <c r="J22" i="12"/>
  <c r="I22" i="12"/>
  <c r="H22" i="12"/>
  <c r="G22" i="12"/>
  <c r="F22" i="12"/>
  <c r="E22" i="12"/>
  <c r="D22" i="12"/>
  <c r="B22" i="12"/>
  <c r="N21" i="12"/>
  <c r="M21" i="12"/>
  <c r="K21" i="12"/>
  <c r="J21" i="12"/>
  <c r="I21" i="12"/>
  <c r="H21" i="12"/>
  <c r="G21" i="12"/>
  <c r="F21" i="12"/>
  <c r="E21" i="12"/>
  <c r="D21" i="12"/>
  <c r="B21" i="12"/>
  <c r="N20" i="12"/>
  <c r="M20" i="12"/>
  <c r="K20" i="12"/>
  <c r="J20" i="12"/>
  <c r="I20" i="12"/>
  <c r="H20" i="12"/>
  <c r="G20" i="12"/>
  <c r="F20" i="12"/>
  <c r="E20" i="12"/>
  <c r="D20" i="12"/>
  <c r="B20" i="12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V10" i="4"/>
  <c r="U10" i="4"/>
  <c r="T10" i="4"/>
  <c r="I10" i="4"/>
  <c r="G10" i="4"/>
  <c r="V9" i="4"/>
  <c r="U9" i="4"/>
  <c r="T9" i="4"/>
  <c r="I9" i="4"/>
  <c r="G9" i="4"/>
  <c r="V8" i="4"/>
  <c r="U8" i="4"/>
  <c r="T8" i="4"/>
  <c r="I8" i="4"/>
  <c r="G8" i="4"/>
  <c r="V7" i="4"/>
  <c r="U7" i="4"/>
  <c r="T7" i="4"/>
  <c r="I7" i="4"/>
  <c r="G7" i="4"/>
  <c r="V6" i="4"/>
  <c r="U6" i="4"/>
  <c r="T6" i="4"/>
  <c r="I6" i="4"/>
  <c r="G6" i="4"/>
  <c r="V5" i="4"/>
  <c r="U5" i="4"/>
  <c r="T5" i="4"/>
  <c r="I5" i="4"/>
  <c r="G5" i="4"/>
  <c r="V4" i="4"/>
  <c r="U4" i="4"/>
  <c r="T4" i="4"/>
  <c r="I4" i="4"/>
  <c r="G4" i="4"/>
  <c r="V3" i="4"/>
  <c r="U3" i="4"/>
  <c r="T3" i="4"/>
  <c r="I3" i="4"/>
  <c r="G3" i="4"/>
  <c r="O116" i="2"/>
  <c r="M116" i="2"/>
  <c r="O115" i="2"/>
  <c r="M115" i="2"/>
  <c r="O114" i="2"/>
  <c r="M114" i="2"/>
  <c r="O113" i="2"/>
  <c r="M113" i="2"/>
  <c r="O112" i="2"/>
  <c r="M112" i="2"/>
  <c r="O111" i="2"/>
  <c r="M111" i="2"/>
  <c r="O110" i="2"/>
  <c r="M110" i="2"/>
  <c r="O109" i="2"/>
  <c r="M109" i="2"/>
  <c r="O108" i="2"/>
  <c r="M108" i="2"/>
  <c r="O107" i="2"/>
  <c r="M107" i="2"/>
  <c r="O106" i="2"/>
  <c r="M106" i="2"/>
  <c r="O105" i="2"/>
  <c r="M105" i="2"/>
  <c r="O104" i="2"/>
  <c r="M104" i="2"/>
  <c r="O103" i="2"/>
  <c r="M103" i="2"/>
  <c r="O102" i="2"/>
  <c r="M102" i="2"/>
  <c r="O101" i="2"/>
  <c r="M101" i="2"/>
  <c r="O100" i="2"/>
  <c r="M100" i="2"/>
  <c r="O99" i="2"/>
  <c r="M99" i="2"/>
  <c r="O98" i="2"/>
  <c r="M98" i="2"/>
  <c r="O97" i="2"/>
  <c r="M97" i="2"/>
  <c r="O96" i="2"/>
  <c r="M96" i="2"/>
  <c r="O95" i="2"/>
  <c r="M95" i="2"/>
  <c r="O94" i="2"/>
  <c r="M94" i="2"/>
  <c r="O93" i="2"/>
  <c r="M93" i="2"/>
  <c r="O92" i="2"/>
  <c r="M92" i="2"/>
  <c r="O91" i="2"/>
  <c r="M91" i="2"/>
  <c r="O90" i="2"/>
  <c r="M90" i="2"/>
  <c r="O89" i="2"/>
  <c r="M89" i="2"/>
  <c r="O88" i="2"/>
  <c r="M88" i="2"/>
  <c r="O87" i="2"/>
  <c r="M87" i="2"/>
  <c r="O86" i="2"/>
  <c r="M86" i="2"/>
  <c r="O85" i="2"/>
  <c r="M85" i="2"/>
  <c r="O84" i="2"/>
  <c r="M84" i="2"/>
  <c r="O83" i="2"/>
  <c r="M83" i="2"/>
  <c r="O82" i="2"/>
  <c r="M82" i="2"/>
  <c r="O81" i="2"/>
  <c r="M81" i="2"/>
  <c r="O80" i="2"/>
  <c r="M80" i="2"/>
  <c r="O79" i="2"/>
  <c r="M79" i="2"/>
  <c r="O78" i="2"/>
  <c r="M78" i="2"/>
  <c r="O77" i="2"/>
  <c r="M77" i="2"/>
  <c r="O76" i="2"/>
  <c r="M76" i="2"/>
  <c r="O75" i="2"/>
  <c r="M75" i="2"/>
  <c r="O74" i="2"/>
  <c r="M74" i="2"/>
  <c r="O73" i="2"/>
  <c r="M73" i="2"/>
  <c r="O72" i="2"/>
  <c r="M72" i="2"/>
  <c r="O71" i="2"/>
  <c r="M71" i="2"/>
  <c r="O70" i="2"/>
  <c r="M70" i="2"/>
  <c r="O69" i="2"/>
  <c r="M69" i="2"/>
  <c r="O68" i="2"/>
  <c r="M68" i="2"/>
  <c r="O67" i="2"/>
  <c r="M67" i="2"/>
  <c r="O66" i="2"/>
  <c r="M66" i="2"/>
  <c r="O65" i="2"/>
  <c r="M65" i="2"/>
  <c r="O64" i="2"/>
  <c r="M64" i="2"/>
  <c r="O63" i="2"/>
  <c r="M63" i="2"/>
  <c r="O62" i="2"/>
  <c r="M62" i="2"/>
  <c r="O61" i="2"/>
  <c r="M61" i="2"/>
  <c r="O60" i="2"/>
  <c r="M60" i="2"/>
  <c r="O59" i="2"/>
  <c r="M59" i="2"/>
  <c r="O58" i="2"/>
  <c r="M58" i="2"/>
  <c r="O57" i="2"/>
  <c r="M57" i="2"/>
  <c r="O56" i="2"/>
  <c r="M56" i="2"/>
  <c r="O55" i="2"/>
  <c r="M55" i="2"/>
  <c r="O54" i="2"/>
  <c r="M54" i="2"/>
  <c r="O53" i="2"/>
  <c r="M53" i="2"/>
  <c r="O52" i="2"/>
  <c r="M52" i="2"/>
  <c r="O51" i="2"/>
  <c r="M51" i="2"/>
  <c r="O50" i="2"/>
  <c r="M50" i="2"/>
  <c r="O49" i="2"/>
  <c r="M49" i="2"/>
  <c r="O48" i="2"/>
  <c r="M48" i="2"/>
  <c r="O47" i="2"/>
  <c r="M47" i="2"/>
  <c r="O46" i="2"/>
  <c r="M46" i="2"/>
  <c r="O45" i="2"/>
  <c r="M45" i="2"/>
  <c r="O44" i="2"/>
  <c r="M44" i="2"/>
  <c r="O43" i="2"/>
  <c r="M43" i="2"/>
  <c r="O42" i="2"/>
  <c r="M42" i="2"/>
  <c r="O41" i="2"/>
  <c r="M41" i="2"/>
  <c r="O40" i="2"/>
  <c r="M40" i="2"/>
  <c r="O39" i="2"/>
  <c r="M39" i="2"/>
  <c r="O38" i="2"/>
  <c r="M38" i="2"/>
  <c r="O37" i="2"/>
  <c r="M37" i="2"/>
  <c r="O36" i="2"/>
  <c r="M36" i="2"/>
  <c r="O35" i="2"/>
  <c r="M35" i="2"/>
  <c r="O34" i="2"/>
  <c r="M34" i="2"/>
  <c r="O33" i="2"/>
  <c r="M33" i="2"/>
  <c r="O32" i="2"/>
  <c r="M32" i="2"/>
  <c r="O31" i="2"/>
  <c r="M31" i="2"/>
  <c r="O30" i="2"/>
  <c r="M30" i="2"/>
  <c r="O29" i="2"/>
  <c r="M29" i="2"/>
  <c r="O28" i="2"/>
  <c r="M28" i="2"/>
  <c r="O27" i="2"/>
  <c r="M27" i="2"/>
  <c r="O26" i="2"/>
  <c r="M26" i="2"/>
  <c r="O25" i="2"/>
  <c r="M25" i="2"/>
  <c r="O24" i="2"/>
  <c r="M24" i="2"/>
  <c r="O23" i="2"/>
  <c r="M23" i="2"/>
  <c r="O22" i="2"/>
  <c r="M22" i="2"/>
  <c r="O21" i="2"/>
  <c r="M21" i="2"/>
  <c r="O20" i="2"/>
  <c r="M20" i="2"/>
  <c r="O19" i="2"/>
  <c r="M19" i="2"/>
  <c r="O18" i="2"/>
  <c r="M18" i="2"/>
  <c r="O17" i="2"/>
  <c r="M17" i="2"/>
  <c r="O16" i="2"/>
  <c r="M16" i="2"/>
  <c r="O15" i="2"/>
  <c r="M15" i="2"/>
  <c r="O14" i="2"/>
  <c r="M14" i="2"/>
  <c r="O13" i="2"/>
  <c r="M13" i="2"/>
  <c r="O12" i="2"/>
  <c r="M12" i="2"/>
  <c r="O11" i="2"/>
  <c r="M11" i="2"/>
  <c r="O10" i="2"/>
  <c r="M10" i="2"/>
  <c r="O9" i="2"/>
  <c r="M9" i="2"/>
  <c r="O8" i="2"/>
  <c r="M8" i="2"/>
  <c r="O7" i="2"/>
  <c r="M7" i="2"/>
  <c r="O6" i="2"/>
  <c r="M6" i="2"/>
  <c r="O5" i="2"/>
  <c r="M5" i="2"/>
  <c r="O4" i="2"/>
  <c r="M4" i="2"/>
  <c r="O3" i="2"/>
  <c r="M3" i="2"/>
  <c r="O12" i="8"/>
  <c r="N12" i="8"/>
  <c r="M12" i="8"/>
  <c r="L12" i="8"/>
  <c r="K12" i="8"/>
  <c r="J12" i="8"/>
  <c r="I12" i="8"/>
  <c r="H12" i="8"/>
  <c r="F12" i="8"/>
  <c r="E12" i="8"/>
  <c r="D12" i="8"/>
  <c r="C12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O9" i="8"/>
  <c r="N9" i="8"/>
  <c r="M9" i="8"/>
  <c r="L9" i="8"/>
  <c r="K9" i="8"/>
  <c r="J9" i="8"/>
  <c r="I9" i="8"/>
  <c r="H9" i="8"/>
  <c r="G9" i="8"/>
  <c r="F9" i="8"/>
  <c r="E9" i="8"/>
  <c r="D9" i="8"/>
  <c r="C9" i="8"/>
  <c r="O8" i="8"/>
  <c r="N8" i="8"/>
  <c r="M8" i="8"/>
  <c r="L8" i="8"/>
  <c r="K8" i="8"/>
  <c r="J8" i="8"/>
  <c r="I8" i="8"/>
  <c r="H8" i="8"/>
  <c r="G8" i="8"/>
  <c r="F8" i="8"/>
  <c r="E8" i="8"/>
  <c r="D8" i="8"/>
  <c r="C8" i="8"/>
  <c r="O7" i="8"/>
  <c r="N7" i="8"/>
  <c r="M7" i="8"/>
  <c r="L7" i="8"/>
  <c r="K7" i="8"/>
  <c r="J7" i="8"/>
  <c r="I7" i="8"/>
  <c r="H7" i="8"/>
  <c r="G7" i="8"/>
  <c r="F7" i="8"/>
  <c r="E7" i="8"/>
  <c r="D7" i="8"/>
  <c r="C7" i="8"/>
  <c r="O6" i="8"/>
  <c r="N6" i="8"/>
  <c r="M6" i="8"/>
  <c r="L6" i="8"/>
  <c r="K6" i="8"/>
  <c r="J6" i="8"/>
  <c r="I6" i="8"/>
  <c r="H6" i="8"/>
  <c r="G6" i="8"/>
  <c r="F6" i="8"/>
  <c r="E6" i="8"/>
  <c r="D6" i="8"/>
  <c r="C6" i="8"/>
  <c r="O5" i="8"/>
  <c r="N5" i="8"/>
  <c r="M5" i="8"/>
  <c r="L5" i="8"/>
  <c r="K5" i="8"/>
  <c r="J5" i="8"/>
  <c r="I5" i="8"/>
  <c r="H5" i="8"/>
  <c r="G5" i="8"/>
  <c r="F5" i="8"/>
  <c r="E5" i="8"/>
  <c r="D5" i="8"/>
  <c r="C5" i="8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C7" i="9"/>
  <c r="C6" i="9"/>
  <c r="C5" i="9"/>
  <c r="L21" i="7"/>
  <c r="K21" i="7"/>
  <c r="J21" i="7"/>
  <c r="I21" i="7"/>
  <c r="H21" i="7"/>
  <c r="G21" i="7"/>
  <c r="F21" i="7"/>
  <c r="E21" i="7"/>
  <c r="D21" i="7"/>
  <c r="C21" i="7"/>
  <c r="L20" i="7"/>
  <c r="K20" i="7"/>
  <c r="J20" i="7"/>
  <c r="I20" i="7"/>
  <c r="H20" i="7"/>
  <c r="G20" i="7"/>
  <c r="F20" i="7"/>
  <c r="E20" i="7"/>
  <c r="D20" i="7"/>
  <c r="C20" i="7"/>
  <c r="L19" i="7"/>
  <c r="K19" i="7"/>
  <c r="J19" i="7"/>
  <c r="I19" i="7"/>
  <c r="H19" i="7"/>
  <c r="G19" i="7"/>
  <c r="F19" i="7"/>
  <c r="E19" i="7"/>
  <c r="D19" i="7"/>
  <c r="C19" i="7"/>
  <c r="L18" i="7"/>
  <c r="K18" i="7"/>
  <c r="J18" i="7"/>
  <c r="I18" i="7"/>
  <c r="H18" i="7"/>
  <c r="G18" i="7"/>
  <c r="F18" i="7"/>
  <c r="E18" i="7"/>
  <c r="D18" i="7"/>
  <c r="C18" i="7"/>
  <c r="L17" i="7"/>
  <c r="K17" i="7"/>
  <c r="J17" i="7"/>
  <c r="I17" i="7"/>
  <c r="H17" i="7"/>
  <c r="G17" i="7"/>
  <c r="F17" i="7"/>
  <c r="E17" i="7"/>
  <c r="D17" i="7"/>
  <c r="C17" i="7"/>
  <c r="L16" i="7"/>
  <c r="K16" i="7"/>
  <c r="J16" i="7"/>
  <c r="I16" i="7"/>
  <c r="H16" i="7"/>
  <c r="G16" i="7"/>
  <c r="F16" i="7"/>
  <c r="E16" i="7"/>
  <c r="D16" i="7"/>
  <c r="C16" i="7"/>
  <c r="L15" i="7"/>
  <c r="K15" i="7"/>
  <c r="J15" i="7"/>
  <c r="I15" i="7"/>
  <c r="H15" i="7"/>
  <c r="G15" i="7"/>
  <c r="F15" i="7"/>
  <c r="E15" i="7"/>
  <c r="D15" i="7"/>
  <c r="C15" i="7"/>
  <c r="L14" i="7"/>
  <c r="K14" i="7"/>
  <c r="J14" i="7"/>
  <c r="I14" i="7"/>
  <c r="H14" i="7"/>
  <c r="G14" i="7"/>
  <c r="F14" i="7"/>
  <c r="E14" i="7"/>
  <c r="D14" i="7"/>
  <c r="C14" i="7"/>
  <c r="L13" i="7"/>
  <c r="K13" i="7"/>
  <c r="J13" i="7"/>
  <c r="I13" i="7"/>
  <c r="H13" i="7"/>
  <c r="G13" i="7"/>
  <c r="F13" i="7"/>
  <c r="E13" i="7"/>
  <c r="D13" i="7"/>
  <c r="C13" i="7"/>
  <c r="L12" i="7"/>
  <c r="K12" i="7"/>
  <c r="J12" i="7"/>
  <c r="I12" i="7"/>
  <c r="H12" i="7"/>
  <c r="G12" i="7"/>
  <c r="F12" i="7"/>
  <c r="E12" i="7"/>
  <c r="D12" i="7"/>
  <c r="C12" i="7"/>
  <c r="L11" i="7"/>
  <c r="K11" i="7"/>
  <c r="J11" i="7"/>
  <c r="I11" i="7"/>
  <c r="H11" i="7"/>
  <c r="G11" i="7"/>
  <c r="F11" i="7"/>
  <c r="E11" i="7"/>
  <c r="D11" i="7"/>
  <c r="C11" i="7"/>
  <c r="L10" i="7"/>
  <c r="K10" i="7"/>
  <c r="J10" i="7"/>
  <c r="I10" i="7"/>
  <c r="H10" i="7"/>
  <c r="G10" i="7"/>
  <c r="F10" i="7"/>
  <c r="E10" i="7"/>
  <c r="D10" i="7"/>
  <c r="C10" i="7"/>
  <c r="L9" i="7"/>
  <c r="K9" i="7"/>
  <c r="J9" i="7"/>
  <c r="I9" i="7"/>
  <c r="H9" i="7"/>
  <c r="G9" i="7"/>
  <c r="F9" i="7"/>
  <c r="E9" i="7"/>
  <c r="D9" i="7"/>
  <c r="C9" i="7"/>
  <c r="L8" i="7"/>
  <c r="K8" i="7"/>
  <c r="J8" i="7"/>
  <c r="I8" i="7"/>
  <c r="H8" i="7"/>
  <c r="G8" i="7"/>
  <c r="F8" i="7"/>
  <c r="E8" i="7"/>
  <c r="D8" i="7"/>
  <c r="C8" i="7"/>
  <c r="L7" i="7"/>
  <c r="K7" i="7"/>
  <c r="J7" i="7"/>
  <c r="I7" i="7"/>
  <c r="H7" i="7"/>
  <c r="G7" i="7"/>
  <c r="F7" i="7"/>
  <c r="E7" i="7"/>
  <c r="D7" i="7"/>
  <c r="C7" i="7"/>
  <c r="L6" i="7"/>
  <c r="K6" i="7"/>
  <c r="J6" i="7"/>
  <c r="I6" i="7"/>
  <c r="H6" i="7"/>
  <c r="G6" i="7"/>
  <c r="F6" i="7"/>
  <c r="E6" i="7"/>
  <c r="D6" i="7"/>
  <c r="C6" i="7"/>
  <c r="L5" i="7"/>
  <c r="K5" i="7"/>
  <c r="J5" i="7"/>
  <c r="I5" i="7"/>
  <c r="H5" i="7"/>
  <c r="G5" i="7"/>
  <c r="F5" i="7"/>
  <c r="E5" i="7"/>
  <c r="D5" i="7"/>
  <c r="C5" i="7"/>
  <c r="F16" i="10"/>
  <c r="D16" i="10"/>
  <c r="A16" i="10"/>
  <c r="I16" i="11"/>
  <c r="G16" i="11"/>
  <c r="E16" i="11"/>
  <c r="C16" i="11"/>
  <c r="A16" i="11"/>
  <c r="M1600" i="1"/>
  <c r="K1600" i="1"/>
  <c r="M1599" i="1"/>
  <c r="K1599" i="1"/>
  <c r="M1598" i="1"/>
  <c r="K1598" i="1"/>
  <c r="M1597" i="1"/>
  <c r="K1597" i="1"/>
  <c r="M1596" i="1"/>
  <c r="K1596" i="1"/>
  <c r="M1595" i="1"/>
  <c r="K1595" i="1"/>
  <c r="M1594" i="1"/>
  <c r="K1594" i="1"/>
  <c r="M1593" i="1"/>
  <c r="K1593" i="1"/>
  <c r="M1592" i="1"/>
  <c r="K1592" i="1"/>
  <c r="M1591" i="1"/>
  <c r="K1591" i="1"/>
  <c r="M1590" i="1"/>
  <c r="K1590" i="1"/>
  <c r="M1589" i="1"/>
  <c r="K1589" i="1"/>
  <c r="M1588" i="1"/>
  <c r="K1588" i="1"/>
  <c r="M1587" i="1"/>
  <c r="K1587" i="1"/>
  <c r="M1586" i="1"/>
  <c r="K1586" i="1"/>
  <c r="M1585" i="1"/>
  <c r="K1585" i="1"/>
  <c r="M1584" i="1"/>
  <c r="K1584" i="1"/>
  <c r="M1583" i="1"/>
  <c r="K1583" i="1"/>
  <c r="M1582" i="1"/>
  <c r="K1582" i="1"/>
  <c r="M1581" i="1"/>
  <c r="K1581" i="1"/>
  <c r="M1580" i="1"/>
  <c r="K1580" i="1"/>
  <c r="M1579" i="1"/>
  <c r="K1579" i="1"/>
  <c r="M1578" i="1"/>
  <c r="K1578" i="1"/>
  <c r="M1577" i="1"/>
  <c r="K1577" i="1"/>
  <c r="M1576" i="1"/>
  <c r="K1576" i="1"/>
  <c r="M1575" i="1"/>
  <c r="K1575" i="1"/>
  <c r="M1574" i="1"/>
  <c r="K1574" i="1"/>
  <c r="M1573" i="1"/>
  <c r="K1573" i="1"/>
  <c r="M1572" i="1"/>
  <c r="K1572" i="1"/>
  <c r="M1571" i="1"/>
  <c r="K1571" i="1"/>
  <c r="M1570" i="1"/>
  <c r="K1570" i="1"/>
  <c r="M1569" i="1"/>
  <c r="K1569" i="1"/>
  <c r="M1568" i="1"/>
  <c r="K1568" i="1"/>
  <c r="M1567" i="1"/>
  <c r="K1567" i="1"/>
  <c r="M1566" i="1"/>
  <c r="K1566" i="1"/>
  <c r="M1565" i="1"/>
  <c r="K1565" i="1"/>
  <c r="M1564" i="1"/>
  <c r="K1564" i="1"/>
  <c r="M1563" i="1"/>
  <c r="K1563" i="1"/>
  <c r="M1562" i="1"/>
  <c r="K1562" i="1"/>
  <c r="M1561" i="1"/>
  <c r="K1561" i="1"/>
  <c r="M1560" i="1"/>
  <c r="K1560" i="1"/>
  <c r="M1559" i="1"/>
  <c r="K1559" i="1"/>
  <c r="M1558" i="1"/>
  <c r="K1558" i="1"/>
  <c r="M1557" i="1"/>
  <c r="K1557" i="1"/>
  <c r="M1556" i="1"/>
  <c r="K1556" i="1"/>
  <c r="M1555" i="1"/>
  <c r="K1555" i="1"/>
  <c r="M1554" i="1"/>
  <c r="K1554" i="1"/>
  <c r="M1553" i="1"/>
  <c r="K1553" i="1"/>
  <c r="M1552" i="1"/>
  <c r="K1552" i="1"/>
  <c r="M1551" i="1"/>
  <c r="K1551" i="1"/>
  <c r="M1550" i="1"/>
  <c r="K1550" i="1"/>
  <c r="M1549" i="1"/>
  <c r="K1549" i="1"/>
  <c r="M1548" i="1"/>
  <c r="K1548" i="1"/>
  <c r="M1547" i="1"/>
  <c r="K1547" i="1"/>
  <c r="M1546" i="1"/>
  <c r="K1546" i="1"/>
  <c r="M1545" i="1"/>
  <c r="K1545" i="1"/>
  <c r="M1544" i="1"/>
  <c r="K1544" i="1"/>
  <c r="M1543" i="1"/>
  <c r="K1543" i="1"/>
  <c r="M1542" i="1"/>
  <c r="K1542" i="1"/>
  <c r="M1541" i="1"/>
  <c r="K1541" i="1"/>
  <c r="M1540" i="1"/>
  <c r="K1540" i="1"/>
  <c r="M1539" i="1"/>
  <c r="K1539" i="1"/>
  <c r="M1538" i="1"/>
  <c r="K1538" i="1"/>
  <c r="M1537" i="1"/>
  <c r="K1537" i="1"/>
  <c r="M1536" i="1"/>
  <c r="K1536" i="1"/>
  <c r="M1535" i="1"/>
  <c r="K1535" i="1"/>
  <c r="M1534" i="1"/>
  <c r="K1534" i="1"/>
  <c r="M1533" i="1"/>
  <c r="K1533" i="1"/>
  <c r="M1532" i="1"/>
  <c r="K1532" i="1"/>
  <c r="M1531" i="1"/>
  <c r="K1531" i="1"/>
  <c r="M1530" i="1"/>
  <c r="K1530" i="1"/>
  <c r="M1529" i="1"/>
  <c r="K1529" i="1"/>
  <c r="M1528" i="1"/>
  <c r="K1528" i="1"/>
  <c r="M1527" i="1"/>
  <c r="K1527" i="1"/>
  <c r="M1526" i="1"/>
  <c r="K1526" i="1"/>
  <c r="M1525" i="1"/>
  <c r="K1525" i="1"/>
  <c r="M1524" i="1"/>
  <c r="K1524" i="1"/>
  <c r="M1523" i="1"/>
  <c r="K1523" i="1"/>
  <c r="M1522" i="1"/>
  <c r="K1522" i="1"/>
  <c r="M1521" i="1"/>
  <c r="K1521" i="1"/>
  <c r="M1520" i="1"/>
  <c r="K1520" i="1"/>
  <c r="M1519" i="1"/>
  <c r="K1519" i="1"/>
  <c r="M1518" i="1"/>
  <c r="K1518" i="1"/>
  <c r="M1517" i="1"/>
  <c r="K1517" i="1"/>
  <c r="M1516" i="1"/>
  <c r="K1516" i="1"/>
  <c r="M1515" i="1"/>
  <c r="K1515" i="1"/>
  <c r="M1514" i="1"/>
  <c r="K1514" i="1"/>
  <c r="M1513" i="1"/>
  <c r="K1513" i="1"/>
  <c r="M1512" i="1"/>
  <c r="K1512" i="1"/>
  <c r="M1511" i="1"/>
  <c r="K1511" i="1"/>
  <c r="M1510" i="1"/>
  <c r="K1510" i="1"/>
  <c r="M1509" i="1"/>
  <c r="K1509" i="1"/>
  <c r="M1508" i="1"/>
  <c r="K1508" i="1"/>
  <c r="M1507" i="1"/>
  <c r="K1507" i="1"/>
  <c r="M1506" i="1"/>
  <c r="K1506" i="1"/>
  <c r="M1505" i="1"/>
  <c r="K1505" i="1"/>
  <c r="M1504" i="1"/>
  <c r="K1504" i="1"/>
  <c r="M1503" i="1"/>
  <c r="K1503" i="1"/>
  <c r="M1502" i="1"/>
  <c r="K1502" i="1"/>
  <c r="M1501" i="1"/>
  <c r="K1501" i="1"/>
  <c r="M1500" i="1"/>
  <c r="K1500" i="1"/>
  <c r="M1499" i="1"/>
  <c r="K1499" i="1"/>
  <c r="M1498" i="1"/>
  <c r="K1498" i="1"/>
  <c r="M1497" i="1"/>
  <c r="K1497" i="1"/>
  <c r="M1496" i="1"/>
  <c r="K1496" i="1"/>
  <c r="M1495" i="1"/>
  <c r="K1495" i="1"/>
  <c r="M1494" i="1"/>
  <c r="K1494" i="1"/>
  <c r="M1493" i="1"/>
  <c r="K1493" i="1"/>
  <c r="M1492" i="1"/>
  <c r="K1492" i="1"/>
  <c r="M1491" i="1"/>
  <c r="K1491" i="1"/>
  <c r="M1490" i="1"/>
  <c r="K1490" i="1"/>
  <c r="M1489" i="1"/>
  <c r="K1489" i="1"/>
  <c r="M1488" i="1"/>
  <c r="K1488" i="1"/>
  <c r="M1487" i="1"/>
  <c r="K1487" i="1"/>
  <c r="M1486" i="1"/>
  <c r="K1486" i="1"/>
  <c r="M1485" i="1"/>
  <c r="K1485" i="1"/>
  <c r="M1484" i="1"/>
  <c r="K1484" i="1"/>
  <c r="M1483" i="1"/>
  <c r="K1483" i="1"/>
  <c r="M1482" i="1"/>
  <c r="K1482" i="1"/>
  <c r="M1481" i="1"/>
  <c r="K1481" i="1"/>
  <c r="M1480" i="1"/>
  <c r="K1480" i="1"/>
  <c r="M1479" i="1"/>
  <c r="K1479" i="1"/>
  <c r="M1478" i="1"/>
  <c r="K1478" i="1"/>
  <c r="M1477" i="1"/>
  <c r="K1477" i="1"/>
  <c r="M1476" i="1"/>
  <c r="K1476" i="1"/>
  <c r="M1475" i="1"/>
  <c r="K1475" i="1"/>
  <c r="M1474" i="1"/>
  <c r="K1474" i="1"/>
  <c r="M1473" i="1"/>
  <c r="K1473" i="1"/>
  <c r="M1472" i="1"/>
  <c r="K1472" i="1"/>
  <c r="M1471" i="1"/>
  <c r="K1471" i="1"/>
  <c r="M1470" i="1"/>
  <c r="K1470" i="1"/>
  <c r="M1469" i="1"/>
  <c r="K1469" i="1"/>
  <c r="M1468" i="1"/>
  <c r="K1468" i="1"/>
  <c r="M1467" i="1"/>
  <c r="K1467" i="1"/>
  <c r="M1466" i="1"/>
  <c r="K1466" i="1"/>
  <c r="M1465" i="1"/>
  <c r="K1465" i="1"/>
  <c r="M1464" i="1"/>
  <c r="K1464" i="1"/>
  <c r="M1463" i="1"/>
  <c r="K1463" i="1"/>
  <c r="M1462" i="1"/>
  <c r="K1462" i="1"/>
  <c r="M1461" i="1"/>
  <c r="K1461" i="1"/>
  <c r="M1460" i="1"/>
  <c r="K1460" i="1"/>
  <c r="M1459" i="1"/>
  <c r="K1459" i="1"/>
  <c r="M1458" i="1"/>
  <c r="K1458" i="1"/>
  <c r="M1457" i="1"/>
  <c r="K1457" i="1"/>
  <c r="M1456" i="1"/>
  <c r="K1456" i="1"/>
  <c r="M1455" i="1"/>
  <c r="K1455" i="1"/>
  <c r="M1454" i="1"/>
  <c r="K1454" i="1"/>
  <c r="M1453" i="1"/>
  <c r="K1453" i="1"/>
  <c r="M1452" i="1"/>
  <c r="K1452" i="1"/>
  <c r="M1451" i="1"/>
  <c r="K1451" i="1"/>
  <c r="M1450" i="1"/>
  <c r="K1450" i="1"/>
  <c r="M1449" i="1"/>
  <c r="K1449" i="1"/>
  <c r="M1448" i="1"/>
  <c r="K1448" i="1"/>
  <c r="M1447" i="1"/>
  <c r="K1447" i="1"/>
  <c r="M1446" i="1"/>
  <c r="K1446" i="1"/>
  <c r="M1445" i="1"/>
  <c r="K1445" i="1"/>
  <c r="M1444" i="1"/>
  <c r="K1444" i="1"/>
  <c r="M1443" i="1"/>
  <c r="K1443" i="1"/>
  <c r="M1442" i="1"/>
  <c r="K1442" i="1"/>
  <c r="M1441" i="1"/>
  <c r="K1441" i="1"/>
  <c r="M1440" i="1"/>
  <c r="K1440" i="1"/>
  <c r="M1439" i="1"/>
  <c r="K1439" i="1"/>
  <c r="M1438" i="1"/>
  <c r="K1438" i="1"/>
  <c r="M1437" i="1"/>
  <c r="K1437" i="1"/>
  <c r="M1436" i="1"/>
  <c r="K1436" i="1"/>
  <c r="M1435" i="1"/>
  <c r="K1435" i="1"/>
  <c r="M1434" i="1"/>
  <c r="K1434" i="1"/>
  <c r="M1433" i="1"/>
  <c r="K1433" i="1"/>
  <c r="M1432" i="1"/>
  <c r="K1432" i="1"/>
  <c r="M1431" i="1"/>
  <c r="K1431" i="1"/>
  <c r="M1430" i="1"/>
  <c r="K1430" i="1"/>
  <c r="M1429" i="1"/>
  <c r="K1429" i="1"/>
  <c r="M1428" i="1"/>
  <c r="K1428" i="1"/>
  <c r="M1427" i="1"/>
  <c r="K1427" i="1"/>
  <c r="M1426" i="1"/>
  <c r="K1426" i="1"/>
  <c r="M1425" i="1"/>
  <c r="K1425" i="1"/>
  <c r="M1424" i="1"/>
  <c r="K1424" i="1"/>
  <c r="M1423" i="1"/>
  <c r="K1423" i="1"/>
  <c r="M1422" i="1"/>
  <c r="K1422" i="1"/>
  <c r="M1421" i="1"/>
  <c r="K1421" i="1"/>
  <c r="M1420" i="1"/>
  <c r="K1420" i="1"/>
  <c r="M1419" i="1"/>
  <c r="K1419" i="1"/>
  <c r="M1418" i="1"/>
  <c r="K1418" i="1"/>
  <c r="M1417" i="1"/>
  <c r="K1417" i="1"/>
  <c r="M1416" i="1"/>
  <c r="K1416" i="1"/>
  <c r="M1415" i="1"/>
  <c r="K1415" i="1"/>
  <c r="M1414" i="1"/>
  <c r="K1414" i="1"/>
  <c r="M1413" i="1"/>
  <c r="K1413" i="1"/>
  <c r="M1412" i="1"/>
  <c r="K1412" i="1"/>
  <c r="M1411" i="1"/>
  <c r="K1411" i="1"/>
  <c r="M1410" i="1"/>
  <c r="K1410" i="1"/>
  <c r="M1409" i="1"/>
  <c r="K1409" i="1"/>
  <c r="M1408" i="1"/>
  <c r="K1408" i="1"/>
  <c r="M1407" i="1"/>
  <c r="K1407" i="1"/>
  <c r="M1406" i="1"/>
  <c r="K1406" i="1"/>
  <c r="M1405" i="1"/>
  <c r="K1405" i="1"/>
  <c r="M1404" i="1"/>
  <c r="K1404" i="1"/>
  <c r="M1403" i="1"/>
  <c r="K1403" i="1"/>
  <c r="M1402" i="1"/>
  <c r="K1402" i="1"/>
  <c r="M1401" i="1"/>
  <c r="K1401" i="1"/>
  <c r="M1400" i="1"/>
  <c r="K1400" i="1"/>
  <c r="M1399" i="1"/>
  <c r="K1399" i="1"/>
  <c r="M1398" i="1"/>
  <c r="K1398" i="1"/>
  <c r="M1397" i="1"/>
  <c r="K1397" i="1"/>
  <c r="M1396" i="1"/>
  <c r="K1396" i="1"/>
  <c r="M1395" i="1"/>
  <c r="K1395" i="1"/>
  <c r="M1394" i="1"/>
  <c r="K1394" i="1"/>
  <c r="M1393" i="1"/>
  <c r="K1393" i="1"/>
  <c r="M1392" i="1"/>
  <c r="K1392" i="1"/>
  <c r="M1391" i="1"/>
  <c r="K1391" i="1"/>
  <c r="M1390" i="1"/>
  <c r="K1390" i="1"/>
  <c r="M1389" i="1"/>
  <c r="K1389" i="1"/>
  <c r="M1388" i="1"/>
  <c r="K1388" i="1"/>
  <c r="M1387" i="1"/>
  <c r="K1387" i="1"/>
  <c r="M1386" i="1"/>
  <c r="K1386" i="1"/>
  <c r="M1385" i="1"/>
  <c r="K1385" i="1"/>
  <c r="M1384" i="1"/>
  <c r="K1384" i="1"/>
  <c r="M1383" i="1"/>
  <c r="K1383" i="1"/>
  <c r="M1382" i="1"/>
  <c r="K1382" i="1"/>
  <c r="M1381" i="1"/>
  <c r="K1381" i="1"/>
  <c r="M1380" i="1"/>
  <c r="K1380" i="1"/>
  <c r="M1379" i="1"/>
  <c r="K1379" i="1"/>
  <c r="M1378" i="1"/>
  <c r="K1378" i="1"/>
  <c r="M1377" i="1"/>
  <c r="K1377" i="1"/>
  <c r="M1376" i="1"/>
  <c r="K1376" i="1"/>
  <c r="M1375" i="1"/>
  <c r="K1375" i="1"/>
  <c r="M1374" i="1"/>
  <c r="K1374" i="1"/>
  <c r="M1373" i="1"/>
  <c r="K1373" i="1"/>
  <c r="M1372" i="1"/>
  <c r="K1372" i="1"/>
  <c r="M1371" i="1"/>
  <c r="K1371" i="1"/>
  <c r="M1370" i="1"/>
  <c r="K1370" i="1"/>
  <c r="M1369" i="1"/>
  <c r="K1369" i="1"/>
  <c r="M1368" i="1"/>
  <c r="K1368" i="1"/>
  <c r="M1367" i="1"/>
  <c r="K1367" i="1"/>
  <c r="M1366" i="1"/>
  <c r="K1366" i="1"/>
  <c r="M1365" i="1"/>
  <c r="K1365" i="1"/>
  <c r="M1364" i="1"/>
  <c r="K1364" i="1"/>
  <c r="M1363" i="1"/>
  <c r="K1363" i="1"/>
  <c r="M1362" i="1"/>
  <c r="K1362" i="1"/>
  <c r="M1361" i="1"/>
  <c r="K1361" i="1"/>
  <c r="M1360" i="1"/>
  <c r="K1360" i="1"/>
  <c r="M1359" i="1"/>
  <c r="K1359" i="1"/>
  <c r="M1358" i="1"/>
  <c r="K1358" i="1"/>
  <c r="M1357" i="1"/>
  <c r="K1357" i="1"/>
  <c r="M1356" i="1"/>
  <c r="K1356" i="1"/>
  <c r="M1355" i="1"/>
  <c r="K1355" i="1"/>
  <c r="M1354" i="1"/>
  <c r="K1354" i="1"/>
  <c r="M1353" i="1"/>
  <c r="K1353" i="1"/>
  <c r="M1352" i="1"/>
  <c r="K1352" i="1"/>
  <c r="M1351" i="1"/>
  <c r="K1351" i="1"/>
  <c r="M1350" i="1"/>
  <c r="K1350" i="1"/>
  <c r="M1349" i="1"/>
  <c r="K1349" i="1"/>
  <c r="M1348" i="1"/>
  <c r="K1348" i="1"/>
  <c r="M1347" i="1"/>
  <c r="K1347" i="1"/>
  <c r="M1346" i="1"/>
  <c r="K1346" i="1"/>
  <c r="M1345" i="1"/>
  <c r="K1345" i="1"/>
  <c r="M1344" i="1"/>
  <c r="K1344" i="1"/>
  <c r="M1343" i="1"/>
  <c r="K1343" i="1"/>
  <c r="M1342" i="1"/>
  <c r="K1342" i="1"/>
  <c r="M1341" i="1"/>
  <c r="K1341" i="1"/>
  <c r="M1340" i="1"/>
  <c r="K1340" i="1"/>
  <c r="M1339" i="1"/>
  <c r="K1339" i="1"/>
  <c r="M1338" i="1"/>
  <c r="K1338" i="1"/>
  <c r="M1337" i="1"/>
  <c r="K1337" i="1"/>
  <c r="M1336" i="1"/>
  <c r="K1336" i="1"/>
  <c r="M1335" i="1"/>
  <c r="K1335" i="1"/>
  <c r="M1334" i="1"/>
  <c r="K1334" i="1"/>
  <c r="M1333" i="1"/>
  <c r="K1333" i="1"/>
  <c r="M1332" i="1"/>
  <c r="K1332" i="1"/>
  <c r="M1331" i="1"/>
  <c r="K1331" i="1"/>
  <c r="M1330" i="1"/>
  <c r="K1330" i="1"/>
  <c r="M1329" i="1"/>
  <c r="K1329" i="1"/>
  <c r="M1328" i="1"/>
  <c r="K1328" i="1"/>
  <c r="M1327" i="1"/>
  <c r="K1327" i="1"/>
  <c r="M1326" i="1"/>
  <c r="K1326" i="1"/>
  <c r="M1325" i="1"/>
  <c r="K1325" i="1"/>
  <c r="M1324" i="1"/>
  <c r="K1324" i="1"/>
  <c r="M1323" i="1"/>
  <c r="K1323" i="1"/>
  <c r="M1322" i="1"/>
  <c r="K1322" i="1"/>
  <c r="M1321" i="1"/>
  <c r="K1321" i="1"/>
  <c r="M1320" i="1"/>
  <c r="K1320" i="1"/>
  <c r="M1319" i="1"/>
  <c r="K1319" i="1"/>
  <c r="M1318" i="1"/>
  <c r="K1318" i="1"/>
  <c r="M1317" i="1"/>
  <c r="K1317" i="1"/>
  <c r="M1316" i="1"/>
  <c r="K1316" i="1"/>
  <c r="M1315" i="1"/>
  <c r="K1315" i="1"/>
  <c r="M1314" i="1"/>
  <c r="K1314" i="1"/>
  <c r="M1313" i="1"/>
  <c r="K1313" i="1"/>
  <c r="M1312" i="1"/>
  <c r="K1312" i="1"/>
  <c r="M1311" i="1"/>
  <c r="K1311" i="1"/>
  <c r="M1310" i="1"/>
  <c r="K1310" i="1"/>
  <c r="M1309" i="1"/>
  <c r="K1309" i="1"/>
  <c r="M1308" i="1"/>
  <c r="K1308" i="1"/>
  <c r="M1307" i="1"/>
  <c r="K1307" i="1"/>
  <c r="M1306" i="1"/>
  <c r="K1306" i="1"/>
  <c r="M1305" i="1"/>
  <c r="K1305" i="1"/>
  <c r="M1304" i="1"/>
  <c r="K1304" i="1"/>
  <c r="M1303" i="1"/>
  <c r="K1303" i="1"/>
  <c r="M1302" i="1"/>
  <c r="K1302" i="1"/>
  <c r="M1301" i="1"/>
  <c r="K1301" i="1"/>
  <c r="M1300" i="1"/>
  <c r="K1300" i="1"/>
  <c r="M1299" i="1"/>
  <c r="K1299" i="1"/>
  <c r="M1298" i="1"/>
  <c r="K1298" i="1"/>
  <c r="M1297" i="1"/>
  <c r="K1297" i="1"/>
  <c r="M1296" i="1"/>
  <c r="K1296" i="1"/>
  <c r="M1295" i="1"/>
  <c r="K1295" i="1"/>
  <c r="M1294" i="1"/>
  <c r="K1294" i="1"/>
  <c r="M1293" i="1"/>
  <c r="K1293" i="1"/>
  <c r="M1292" i="1"/>
  <c r="K1292" i="1"/>
  <c r="M1291" i="1"/>
  <c r="K1291" i="1"/>
  <c r="M1290" i="1"/>
  <c r="K1290" i="1"/>
  <c r="M1289" i="1"/>
  <c r="K1289" i="1"/>
  <c r="M1288" i="1"/>
  <c r="K1288" i="1"/>
  <c r="M1287" i="1"/>
  <c r="K1287" i="1"/>
  <c r="M1286" i="1"/>
  <c r="K1286" i="1"/>
  <c r="M1285" i="1"/>
  <c r="K1285" i="1"/>
  <c r="M1284" i="1"/>
  <c r="K1284" i="1"/>
  <c r="M1283" i="1"/>
  <c r="K1283" i="1"/>
  <c r="M1282" i="1"/>
  <c r="K1282" i="1"/>
  <c r="M1281" i="1"/>
  <c r="K1281" i="1"/>
  <c r="M1280" i="1"/>
  <c r="K1280" i="1"/>
  <c r="M1279" i="1"/>
  <c r="K1279" i="1"/>
  <c r="M1278" i="1"/>
  <c r="K1278" i="1"/>
  <c r="M1277" i="1"/>
  <c r="K1277" i="1"/>
  <c r="M1276" i="1"/>
  <c r="K1276" i="1"/>
  <c r="M1275" i="1"/>
  <c r="K1275" i="1"/>
  <c r="M1274" i="1"/>
  <c r="K1274" i="1"/>
  <c r="M1273" i="1"/>
  <c r="K1273" i="1"/>
  <c r="M1272" i="1"/>
  <c r="K1272" i="1"/>
  <c r="M1271" i="1"/>
  <c r="K1271" i="1"/>
  <c r="M1270" i="1"/>
  <c r="K1270" i="1"/>
  <c r="M1269" i="1"/>
  <c r="K1269" i="1"/>
  <c r="M1268" i="1"/>
  <c r="K1268" i="1"/>
  <c r="M1267" i="1"/>
  <c r="K1267" i="1"/>
  <c r="M1266" i="1"/>
  <c r="K1266" i="1"/>
  <c r="M1265" i="1"/>
  <c r="K1265" i="1"/>
  <c r="M1264" i="1"/>
  <c r="K1264" i="1"/>
  <c r="M1263" i="1"/>
  <c r="K1263" i="1"/>
  <c r="M1262" i="1"/>
  <c r="K1262" i="1"/>
  <c r="M1261" i="1"/>
  <c r="K1261" i="1"/>
  <c r="M1260" i="1"/>
  <c r="K1260" i="1"/>
  <c r="M1259" i="1"/>
  <c r="K1259" i="1"/>
  <c r="M1258" i="1"/>
  <c r="K1258" i="1"/>
  <c r="M1257" i="1"/>
  <c r="K1257" i="1"/>
  <c r="M1256" i="1"/>
  <c r="K1256" i="1"/>
  <c r="M1255" i="1"/>
  <c r="K1255" i="1"/>
  <c r="M1254" i="1"/>
  <c r="K1254" i="1"/>
  <c r="M1253" i="1"/>
  <c r="K1253" i="1"/>
  <c r="M1252" i="1"/>
  <c r="K1252" i="1"/>
  <c r="M1251" i="1"/>
  <c r="K1251" i="1"/>
  <c r="M1250" i="1"/>
  <c r="K1250" i="1"/>
  <c r="M1249" i="1"/>
  <c r="K1249" i="1"/>
  <c r="M1248" i="1"/>
  <c r="K1248" i="1"/>
  <c r="M1247" i="1"/>
  <c r="K1247" i="1"/>
  <c r="M1246" i="1"/>
  <c r="K1246" i="1"/>
  <c r="M1245" i="1"/>
  <c r="K1245" i="1"/>
  <c r="M1244" i="1"/>
  <c r="K1244" i="1"/>
  <c r="M1243" i="1"/>
  <c r="K1243" i="1"/>
  <c r="M1242" i="1"/>
  <c r="K1242" i="1"/>
  <c r="M1241" i="1"/>
  <c r="K1241" i="1"/>
  <c r="M1240" i="1"/>
  <c r="K1240" i="1"/>
  <c r="M1239" i="1"/>
  <c r="K1239" i="1"/>
  <c r="M1238" i="1"/>
  <c r="K1238" i="1"/>
  <c r="M1237" i="1"/>
  <c r="K1237" i="1"/>
  <c r="M1236" i="1"/>
  <c r="K1236" i="1"/>
  <c r="M1235" i="1"/>
  <c r="K1235" i="1"/>
  <c r="M1234" i="1"/>
  <c r="K1234" i="1"/>
  <c r="M1233" i="1"/>
  <c r="K1233" i="1"/>
  <c r="M1232" i="1"/>
  <c r="K1232" i="1"/>
  <c r="M1231" i="1"/>
  <c r="K1231" i="1"/>
  <c r="M1230" i="1"/>
  <c r="K1230" i="1"/>
  <c r="M1229" i="1"/>
  <c r="K1229" i="1"/>
  <c r="M1228" i="1"/>
  <c r="K1228" i="1"/>
  <c r="M1227" i="1"/>
  <c r="K1227" i="1"/>
  <c r="M1226" i="1"/>
  <c r="K1226" i="1"/>
  <c r="M1225" i="1"/>
  <c r="K1225" i="1"/>
  <c r="M1224" i="1"/>
  <c r="K1224" i="1"/>
  <c r="M1223" i="1"/>
  <c r="K1223" i="1"/>
  <c r="M1222" i="1"/>
  <c r="K1222" i="1"/>
  <c r="M1221" i="1"/>
  <c r="K1221" i="1"/>
  <c r="M1220" i="1"/>
  <c r="K1220" i="1"/>
  <c r="M1219" i="1"/>
  <c r="K1219" i="1"/>
  <c r="M1218" i="1"/>
  <c r="K1218" i="1"/>
  <c r="M1217" i="1"/>
  <c r="K1217" i="1"/>
  <c r="M1216" i="1"/>
  <c r="K1216" i="1"/>
  <c r="M1215" i="1"/>
  <c r="K1215" i="1"/>
  <c r="M1214" i="1"/>
  <c r="K1214" i="1"/>
  <c r="M1213" i="1"/>
  <c r="K1213" i="1"/>
  <c r="M1212" i="1"/>
  <c r="K1212" i="1"/>
  <c r="M1211" i="1"/>
  <c r="K1211" i="1"/>
  <c r="M1210" i="1"/>
  <c r="K1210" i="1"/>
  <c r="M1209" i="1"/>
  <c r="K1209" i="1"/>
  <c r="M1208" i="1"/>
  <c r="K1208" i="1"/>
  <c r="M1207" i="1"/>
  <c r="K1207" i="1"/>
  <c r="M1206" i="1"/>
  <c r="K1206" i="1"/>
  <c r="M1205" i="1"/>
  <c r="K1205" i="1"/>
  <c r="M1204" i="1"/>
  <c r="K1204" i="1"/>
  <c r="M1203" i="1"/>
  <c r="K1203" i="1"/>
  <c r="M1202" i="1"/>
  <c r="K1202" i="1"/>
  <c r="M1201" i="1"/>
  <c r="K1201" i="1"/>
  <c r="M1200" i="1"/>
  <c r="K1200" i="1"/>
  <c r="M1199" i="1"/>
  <c r="K1199" i="1"/>
  <c r="M1198" i="1"/>
  <c r="K1198" i="1"/>
  <c r="M1197" i="1"/>
  <c r="K1197" i="1"/>
  <c r="M1196" i="1"/>
  <c r="K1196" i="1"/>
  <c r="M1195" i="1"/>
  <c r="K1195" i="1"/>
  <c r="M1194" i="1"/>
  <c r="K1194" i="1"/>
  <c r="M1193" i="1"/>
  <c r="K1193" i="1"/>
  <c r="M1192" i="1"/>
  <c r="K1192" i="1"/>
  <c r="M1191" i="1"/>
  <c r="K1191" i="1"/>
  <c r="M1190" i="1"/>
  <c r="K1190" i="1"/>
  <c r="M1189" i="1"/>
  <c r="K1189" i="1"/>
  <c r="M1188" i="1"/>
  <c r="K1188" i="1"/>
  <c r="M1187" i="1"/>
  <c r="K1187" i="1"/>
  <c r="M1186" i="1"/>
  <c r="K1186" i="1"/>
  <c r="M1185" i="1"/>
  <c r="K1185" i="1"/>
  <c r="M1184" i="1"/>
  <c r="K1184" i="1"/>
  <c r="M1183" i="1"/>
  <c r="K1183" i="1"/>
  <c r="M1182" i="1"/>
  <c r="K1182" i="1"/>
  <c r="M1181" i="1"/>
  <c r="K1181" i="1"/>
  <c r="M1180" i="1"/>
  <c r="K1180" i="1"/>
  <c r="M1179" i="1"/>
  <c r="K1179" i="1"/>
  <c r="M1178" i="1"/>
  <c r="K1178" i="1"/>
  <c r="M1177" i="1"/>
  <c r="K1177" i="1"/>
  <c r="M1176" i="1"/>
  <c r="K1176" i="1"/>
  <c r="M1175" i="1"/>
  <c r="K1175" i="1"/>
  <c r="M1174" i="1"/>
  <c r="K1174" i="1"/>
  <c r="M1173" i="1"/>
  <c r="K1173" i="1"/>
  <c r="M1172" i="1"/>
  <c r="K1172" i="1"/>
  <c r="M1171" i="1"/>
  <c r="K1171" i="1"/>
  <c r="M1170" i="1"/>
  <c r="K1170" i="1"/>
  <c r="M1169" i="1"/>
  <c r="K1169" i="1"/>
  <c r="M1168" i="1"/>
  <c r="K1168" i="1"/>
  <c r="M1167" i="1"/>
  <c r="K1167" i="1"/>
  <c r="M1166" i="1"/>
  <c r="K1166" i="1"/>
  <c r="M1165" i="1"/>
  <c r="K1165" i="1"/>
  <c r="M1164" i="1"/>
  <c r="K1164" i="1"/>
  <c r="M1163" i="1"/>
  <c r="K1163" i="1"/>
  <c r="M1162" i="1"/>
  <c r="K1162" i="1"/>
  <c r="M1161" i="1"/>
  <c r="K1161" i="1"/>
  <c r="M1160" i="1"/>
  <c r="K1160" i="1"/>
  <c r="M1159" i="1"/>
  <c r="K1159" i="1"/>
  <c r="M1158" i="1"/>
  <c r="K1158" i="1"/>
  <c r="M1157" i="1"/>
  <c r="K1157" i="1"/>
  <c r="M1156" i="1"/>
  <c r="K1156" i="1"/>
  <c r="M1155" i="1"/>
  <c r="K1155" i="1"/>
  <c r="M1154" i="1"/>
  <c r="K1154" i="1"/>
  <c r="M1153" i="1"/>
  <c r="K1153" i="1"/>
  <c r="M1152" i="1"/>
  <c r="K1152" i="1"/>
  <c r="M1151" i="1"/>
  <c r="K1151" i="1"/>
  <c r="M1150" i="1"/>
  <c r="K1150" i="1"/>
  <c r="M1149" i="1"/>
  <c r="K1149" i="1"/>
  <c r="M1148" i="1"/>
  <c r="K1148" i="1"/>
  <c r="M1147" i="1"/>
  <c r="K1147" i="1"/>
  <c r="M1146" i="1"/>
  <c r="K1146" i="1"/>
  <c r="M1145" i="1"/>
  <c r="K1145" i="1"/>
  <c r="M1144" i="1"/>
  <c r="K1144" i="1"/>
  <c r="M1143" i="1"/>
  <c r="K1143" i="1"/>
  <c r="M1142" i="1"/>
  <c r="K1142" i="1"/>
  <c r="M1141" i="1"/>
  <c r="K1141" i="1"/>
  <c r="M1140" i="1"/>
  <c r="K1140" i="1"/>
  <c r="M1139" i="1"/>
  <c r="K1139" i="1"/>
  <c r="M1138" i="1"/>
  <c r="K1138" i="1"/>
  <c r="M1137" i="1"/>
  <c r="K1137" i="1"/>
  <c r="M1136" i="1"/>
  <c r="K1136" i="1"/>
  <c r="M1135" i="1"/>
  <c r="K1135" i="1"/>
  <c r="M1134" i="1"/>
  <c r="K1134" i="1"/>
  <c r="M1133" i="1"/>
  <c r="K1133" i="1"/>
  <c r="M1132" i="1"/>
  <c r="K1132" i="1"/>
  <c r="M1131" i="1"/>
  <c r="K1131" i="1"/>
  <c r="M1130" i="1"/>
  <c r="K1130" i="1"/>
  <c r="M1129" i="1"/>
  <c r="K1129" i="1"/>
  <c r="M1128" i="1"/>
  <c r="K1128" i="1"/>
  <c r="M1127" i="1"/>
  <c r="K1127" i="1"/>
  <c r="M1126" i="1"/>
  <c r="K1126" i="1"/>
  <c r="M1125" i="1"/>
  <c r="K1125" i="1"/>
  <c r="M1124" i="1"/>
  <c r="K1124" i="1"/>
  <c r="M1123" i="1"/>
  <c r="K1123" i="1"/>
  <c r="M1122" i="1"/>
  <c r="K1122" i="1"/>
  <c r="M1121" i="1"/>
  <c r="K1121" i="1"/>
  <c r="M1120" i="1"/>
  <c r="K1120" i="1"/>
  <c r="M1119" i="1"/>
  <c r="K1119" i="1"/>
  <c r="M1118" i="1"/>
  <c r="K1118" i="1"/>
  <c r="M1117" i="1"/>
  <c r="K1117" i="1"/>
  <c r="M1116" i="1"/>
  <c r="K1116" i="1"/>
  <c r="M1115" i="1"/>
  <c r="K1115" i="1"/>
  <c r="M1114" i="1"/>
  <c r="K1114" i="1"/>
  <c r="M1113" i="1"/>
  <c r="K1113" i="1"/>
  <c r="M1112" i="1"/>
  <c r="K1112" i="1"/>
  <c r="M1111" i="1"/>
  <c r="K1111" i="1"/>
  <c r="M1110" i="1"/>
  <c r="K1110" i="1"/>
  <c r="M1109" i="1"/>
  <c r="K1109" i="1"/>
  <c r="M1108" i="1"/>
  <c r="K1108" i="1"/>
  <c r="M1107" i="1"/>
  <c r="K1107" i="1"/>
  <c r="M1106" i="1"/>
  <c r="K1106" i="1"/>
  <c r="M1105" i="1"/>
  <c r="K1105" i="1"/>
  <c r="M1104" i="1"/>
  <c r="K1104" i="1"/>
  <c r="M1103" i="1"/>
  <c r="K1103" i="1"/>
  <c r="M1102" i="1"/>
  <c r="K1102" i="1"/>
  <c r="M1101" i="1"/>
  <c r="K1101" i="1"/>
  <c r="M1100" i="1"/>
  <c r="K1100" i="1"/>
  <c r="M1099" i="1"/>
  <c r="K1099" i="1"/>
  <c r="M1098" i="1"/>
  <c r="K1098" i="1"/>
  <c r="M1097" i="1"/>
  <c r="K1097" i="1"/>
  <c r="M1096" i="1"/>
  <c r="K1096" i="1"/>
  <c r="M1095" i="1"/>
  <c r="K1095" i="1"/>
  <c r="M1094" i="1"/>
  <c r="K1094" i="1"/>
  <c r="M1093" i="1"/>
  <c r="K1093" i="1"/>
  <c r="M1092" i="1"/>
  <c r="K1092" i="1"/>
  <c r="M1091" i="1"/>
  <c r="K1091" i="1"/>
  <c r="M1090" i="1"/>
  <c r="K1090" i="1"/>
  <c r="M1089" i="1"/>
  <c r="K1089" i="1"/>
  <c r="M1088" i="1"/>
  <c r="K1088" i="1"/>
  <c r="M1087" i="1"/>
  <c r="K1087" i="1"/>
  <c r="M1086" i="1"/>
  <c r="K1086" i="1"/>
  <c r="M1085" i="1"/>
  <c r="K1085" i="1"/>
  <c r="M1084" i="1"/>
  <c r="K1084" i="1"/>
  <c r="M1083" i="1"/>
  <c r="K1083" i="1"/>
  <c r="M1082" i="1"/>
  <c r="K1082" i="1"/>
  <c r="M1081" i="1"/>
  <c r="K1081" i="1"/>
  <c r="M1080" i="1"/>
  <c r="K1080" i="1"/>
  <c r="M1079" i="1"/>
  <c r="K1079" i="1"/>
  <c r="M1078" i="1"/>
  <c r="K1078" i="1"/>
  <c r="M1077" i="1"/>
  <c r="K1077" i="1"/>
  <c r="M1076" i="1"/>
  <c r="K1076" i="1"/>
  <c r="M1075" i="1"/>
  <c r="K1075" i="1"/>
  <c r="M1074" i="1"/>
  <c r="K1074" i="1"/>
  <c r="M1073" i="1"/>
  <c r="K1073" i="1"/>
  <c r="M1072" i="1"/>
  <c r="K1072" i="1"/>
  <c r="M1071" i="1"/>
  <c r="K1071" i="1"/>
  <c r="M1070" i="1"/>
  <c r="K1070" i="1"/>
  <c r="M1069" i="1"/>
  <c r="K1069" i="1"/>
  <c r="M1068" i="1"/>
  <c r="K1068" i="1"/>
  <c r="M1067" i="1"/>
  <c r="K1067" i="1"/>
  <c r="M1066" i="1"/>
  <c r="K1066" i="1"/>
  <c r="M1065" i="1"/>
  <c r="K1065" i="1"/>
  <c r="M1064" i="1"/>
  <c r="K1064" i="1"/>
  <c r="M1063" i="1"/>
  <c r="K1063" i="1"/>
  <c r="M1062" i="1"/>
  <c r="K1062" i="1"/>
  <c r="M1061" i="1"/>
  <c r="K1061" i="1"/>
  <c r="M1060" i="1"/>
  <c r="K1060" i="1"/>
  <c r="M1059" i="1"/>
  <c r="K1059" i="1"/>
  <c r="M1058" i="1"/>
  <c r="K1058" i="1"/>
  <c r="M1057" i="1"/>
  <c r="K1057" i="1"/>
  <c r="M1056" i="1"/>
  <c r="K1056" i="1"/>
  <c r="M1055" i="1"/>
  <c r="K1055" i="1"/>
  <c r="M1054" i="1"/>
  <c r="K1054" i="1"/>
  <c r="M1053" i="1"/>
  <c r="K1053" i="1"/>
  <c r="M1052" i="1"/>
  <c r="K1052" i="1"/>
  <c r="M1051" i="1"/>
  <c r="K1051" i="1"/>
  <c r="M1050" i="1"/>
  <c r="K1050" i="1"/>
  <c r="M1049" i="1"/>
  <c r="K1049" i="1"/>
  <c r="M1048" i="1"/>
  <c r="K1048" i="1"/>
  <c r="M1047" i="1"/>
  <c r="K1047" i="1"/>
  <c r="M1046" i="1"/>
  <c r="K1046" i="1"/>
  <c r="M1045" i="1"/>
  <c r="K1045" i="1"/>
  <c r="M1044" i="1"/>
  <c r="K1044" i="1"/>
  <c r="M1043" i="1"/>
  <c r="K1043" i="1"/>
  <c r="M1042" i="1"/>
  <c r="K1042" i="1"/>
  <c r="M1041" i="1"/>
  <c r="K1041" i="1"/>
  <c r="M1040" i="1"/>
  <c r="K1040" i="1"/>
  <c r="M1039" i="1"/>
  <c r="K1039" i="1"/>
  <c r="M1038" i="1"/>
  <c r="K1038" i="1"/>
  <c r="M1037" i="1"/>
  <c r="K1037" i="1"/>
  <c r="M1036" i="1"/>
  <c r="K1036" i="1"/>
  <c r="M1035" i="1"/>
  <c r="K1035" i="1"/>
  <c r="M1034" i="1"/>
  <c r="K1034" i="1"/>
  <c r="M1033" i="1"/>
  <c r="K1033" i="1"/>
  <c r="M1032" i="1"/>
  <c r="K1032" i="1"/>
  <c r="M1031" i="1"/>
  <c r="K1031" i="1"/>
  <c r="M1030" i="1"/>
  <c r="K1030" i="1"/>
  <c r="M1029" i="1"/>
  <c r="K1029" i="1"/>
  <c r="M1028" i="1"/>
  <c r="K1028" i="1"/>
  <c r="M1027" i="1"/>
  <c r="K1027" i="1"/>
  <c r="M1026" i="1"/>
  <c r="K1026" i="1"/>
  <c r="M1025" i="1"/>
  <c r="K1025" i="1"/>
  <c r="M1024" i="1"/>
  <c r="K1024" i="1"/>
  <c r="M1023" i="1"/>
  <c r="K1023" i="1"/>
  <c r="M1022" i="1"/>
  <c r="K1022" i="1"/>
  <c r="M1021" i="1"/>
  <c r="K1021" i="1"/>
  <c r="M1020" i="1"/>
  <c r="K1020" i="1"/>
  <c r="M1019" i="1"/>
  <c r="K1019" i="1"/>
  <c r="M1018" i="1"/>
  <c r="K1018" i="1"/>
  <c r="M1017" i="1"/>
  <c r="K1017" i="1"/>
  <c r="M1016" i="1"/>
  <c r="K1016" i="1"/>
  <c r="M1015" i="1"/>
  <c r="K1015" i="1"/>
  <c r="M1014" i="1"/>
  <c r="K1014" i="1"/>
  <c r="M1013" i="1"/>
  <c r="K1013" i="1"/>
  <c r="M1012" i="1"/>
  <c r="K1012" i="1"/>
  <c r="M1011" i="1"/>
  <c r="K1011" i="1"/>
  <c r="M1010" i="1"/>
  <c r="K1010" i="1"/>
  <c r="M1009" i="1"/>
  <c r="K1009" i="1"/>
  <c r="M1008" i="1"/>
  <c r="K1008" i="1"/>
  <c r="M1007" i="1"/>
  <c r="K1007" i="1"/>
  <c r="M1006" i="1"/>
  <c r="K1006" i="1"/>
  <c r="M1005" i="1"/>
  <c r="K1005" i="1"/>
  <c r="M1004" i="1"/>
  <c r="K1004" i="1"/>
  <c r="M1003" i="1"/>
  <c r="K1003" i="1"/>
  <c r="M1002" i="1"/>
  <c r="K1002" i="1"/>
  <c r="M1001" i="1"/>
  <c r="K1001" i="1"/>
  <c r="M1000" i="1"/>
  <c r="K1000" i="1"/>
  <c r="M999" i="1"/>
  <c r="K999" i="1"/>
  <c r="M998" i="1"/>
  <c r="K998" i="1"/>
  <c r="M997" i="1"/>
  <c r="K997" i="1"/>
  <c r="M996" i="1"/>
  <c r="K996" i="1"/>
  <c r="M995" i="1"/>
  <c r="K995" i="1"/>
  <c r="M994" i="1"/>
  <c r="K994" i="1"/>
  <c r="M993" i="1"/>
  <c r="K993" i="1"/>
  <c r="M992" i="1"/>
  <c r="K992" i="1"/>
  <c r="M991" i="1"/>
  <c r="K991" i="1"/>
  <c r="M990" i="1"/>
  <c r="K990" i="1"/>
  <c r="M989" i="1"/>
  <c r="K989" i="1"/>
  <c r="M988" i="1"/>
  <c r="K988" i="1"/>
  <c r="M987" i="1"/>
  <c r="K987" i="1"/>
  <c r="M986" i="1"/>
  <c r="K986" i="1"/>
  <c r="M985" i="1"/>
  <c r="K985" i="1"/>
  <c r="M984" i="1"/>
  <c r="K984" i="1"/>
  <c r="M983" i="1"/>
  <c r="K983" i="1"/>
  <c r="M982" i="1"/>
  <c r="K982" i="1"/>
  <c r="M981" i="1"/>
  <c r="K981" i="1"/>
  <c r="M980" i="1"/>
  <c r="K980" i="1"/>
  <c r="M979" i="1"/>
  <c r="K979" i="1"/>
  <c r="M978" i="1"/>
  <c r="K978" i="1"/>
  <c r="M977" i="1"/>
  <c r="K977" i="1"/>
  <c r="M976" i="1"/>
  <c r="K976" i="1"/>
  <c r="M975" i="1"/>
  <c r="K975" i="1"/>
  <c r="M974" i="1"/>
  <c r="K974" i="1"/>
  <c r="M973" i="1"/>
  <c r="K973" i="1"/>
  <c r="M972" i="1"/>
  <c r="K972" i="1"/>
  <c r="M971" i="1"/>
  <c r="K971" i="1"/>
  <c r="M970" i="1"/>
  <c r="K970" i="1"/>
  <c r="M969" i="1"/>
  <c r="K969" i="1"/>
  <c r="M968" i="1"/>
  <c r="K968" i="1"/>
  <c r="M967" i="1"/>
  <c r="K967" i="1"/>
  <c r="M966" i="1"/>
  <c r="K966" i="1"/>
  <c r="M965" i="1"/>
  <c r="K965" i="1"/>
  <c r="M964" i="1"/>
  <c r="K964" i="1"/>
  <c r="M963" i="1"/>
  <c r="K963" i="1"/>
  <c r="M962" i="1"/>
  <c r="K962" i="1"/>
  <c r="M961" i="1"/>
  <c r="K961" i="1"/>
  <c r="M960" i="1"/>
  <c r="K960" i="1"/>
  <c r="M959" i="1"/>
  <c r="K959" i="1"/>
  <c r="M958" i="1"/>
  <c r="K958" i="1"/>
  <c r="M957" i="1"/>
  <c r="K957" i="1"/>
  <c r="M956" i="1"/>
  <c r="K956" i="1"/>
  <c r="M955" i="1"/>
  <c r="K955" i="1"/>
  <c r="M954" i="1"/>
  <c r="K954" i="1"/>
  <c r="M953" i="1"/>
  <c r="K953" i="1"/>
  <c r="M952" i="1"/>
  <c r="K952" i="1"/>
  <c r="M951" i="1"/>
  <c r="K951" i="1"/>
  <c r="M950" i="1"/>
  <c r="K950" i="1"/>
  <c r="M949" i="1"/>
  <c r="K949" i="1"/>
  <c r="M948" i="1"/>
  <c r="K948" i="1"/>
  <c r="M947" i="1"/>
  <c r="K947" i="1"/>
  <c r="M946" i="1"/>
  <c r="K946" i="1"/>
  <c r="M945" i="1"/>
  <c r="K945" i="1"/>
  <c r="M944" i="1"/>
  <c r="K944" i="1"/>
  <c r="M943" i="1"/>
  <c r="K943" i="1"/>
  <c r="M942" i="1"/>
  <c r="K942" i="1"/>
  <c r="M941" i="1"/>
  <c r="K941" i="1"/>
  <c r="M940" i="1"/>
  <c r="K940" i="1"/>
  <c r="M939" i="1"/>
  <c r="K939" i="1"/>
  <c r="M938" i="1"/>
  <c r="K938" i="1"/>
  <c r="M937" i="1"/>
  <c r="K937" i="1"/>
  <c r="M936" i="1"/>
  <c r="K936" i="1"/>
  <c r="M935" i="1"/>
  <c r="K935" i="1"/>
  <c r="M934" i="1"/>
  <c r="K934" i="1"/>
  <c r="M933" i="1"/>
  <c r="K933" i="1"/>
  <c r="M932" i="1"/>
  <c r="K932" i="1"/>
  <c r="M931" i="1"/>
  <c r="K931" i="1"/>
  <c r="M930" i="1"/>
  <c r="K930" i="1"/>
  <c r="M929" i="1"/>
  <c r="K929" i="1"/>
  <c r="M928" i="1"/>
  <c r="K928" i="1"/>
  <c r="M927" i="1"/>
  <c r="K927" i="1"/>
  <c r="M926" i="1"/>
  <c r="K926" i="1"/>
  <c r="M925" i="1"/>
  <c r="K925" i="1"/>
  <c r="M924" i="1"/>
  <c r="K924" i="1"/>
  <c r="M923" i="1"/>
  <c r="K923" i="1"/>
  <c r="M922" i="1"/>
  <c r="K922" i="1"/>
  <c r="M921" i="1"/>
  <c r="K921" i="1"/>
  <c r="M920" i="1"/>
  <c r="K920" i="1"/>
  <c r="M919" i="1"/>
  <c r="K919" i="1"/>
  <c r="M918" i="1"/>
  <c r="K918" i="1"/>
  <c r="M917" i="1"/>
  <c r="K917" i="1"/>
  <c r="M916" i="1"/>
  <c r="K916" i="1"/>
  <c r="M915" i="1"/>
  <c r="K915" i="1"/>
  <c r="M914" i="1"/>
  <c r="K914" i="1"/>
  <c r="M913" i="1"/>
  <c r="K913" i="1"/>
  <c r="M912" i="1"/>
  <c r="K912" i="1"/>
  <c r="M911" i="1"/>
  <c r="K911" i="1"/>
  <c r="M910" i="1"/>
  <c r="K910" i="1"/>
  <c r="M909" i="1"/>
  <c r="K909" i="1"/>
  <c r="M908" i="1"/>
  <c r="K908" i="1"/>
  <c r="M907" i="1"/>
  <c r="K907" i="1"/>
  <c r="M906" i="1"/>
  <c r="K906" i="1"/>
  <c r="M905" i="1"/>
  <c r="K905" i="1"/>
  <c r="M904" i="1"/>
  <c r="K904" i="1"/>
  <c r="M903" i="1"/>
  <c r="K903" i="1"/>
  <c r="M902" i="1"/>
  <c r="K902" i="1"/>
  <c r="M901" i="1"/>
  <c r="K901" i="1"/>
  <c r="M900" i="1"/>
  <c r="K900" i="1"/>
  <c r="M899" i="1"/>
  <c r="K899" i="1"/>
  <c r="M898" i="1"/>
  <c r="K898" i="1"/>
  <c r="M897" i="1"/>
  <c r="K897" i="1"/>
  <c r="M896" i="1"/>
  <c r="K896" i="1"/>
  <c r="M895" i="1"/>
  <c r="K895" i="1"/>
  <c r="M894" i="1"/>
  <c r="K894" i="1"/>
  <c r="M893" i="1"/>
  <c r="K893" i="1"/>
  <c r="M892" i="1"/>
  <c r="K892" i="1"/>
  <c r="M891" i="1"/>
  <c r="K891" i="1"/>
  <c r="M890" i="1"/>
  <c r="K890" i="1"/>
  <c r="M889" i="1"/>
  <c r="K889" i="1"/>
  <c r="M888" i="1"/>
  <c r="K888" i="1"/>
  <c r="M887" i="1"/>
  <c r="K887" i="1"/>
  <c r="M886" i="1"/>
  <c r="K886" i="1"/>
  <c r="M885" i="1"/>
  <c r="K885" i="1"/>
  <c r="M884" i="1"/>
  <c r="K884" i="1"/>
  <c r="M883" i="1"/>
  <c r="K883" i="1"/>
  <c r="M882" i="1"/>
  <c r="K882" i="1"/>
  <c r="M881" i="1"/>
  <c r="K881" i="1"/>
  <c r="M880" i="1"/>
  <c r="K880" i="1"/>
  <c r="M879" i="1"/>
  <c r="K879" i="1"/>
  <c r="M878" i="1"/>
  <c r="K878" i="1"/>
  <c r="M877" i="1"/>
  <c r="K877" i="1"/>
  <c r="M876" i="1"/>
  <c r="K876" i="1"/>
  <c r="M875" i="1"/>
  <c r="K875" i="1"/>
  <c r="M874" i="1"/>
  <c r="K874" i="1"/>
  <c r="M873" i="1"/>
  <c r="K873" i="1"/>
  <c r="M872" i="1"/>
  <c r="K872" i="1"/>
  <c r="M871" i="1"/>
  <c r="K871" i="1"/>
  <c r="M870" i="1"/>
  <c r="K870" i="1"/>
  <c r="M869" i="1"/>
  <c r="K869" i="1"/>
  <c r="M868" i="1"/>
  <c r="K868" i="1"/>
  <c r="M867" i="1"/>
  <c r="K867" i="1"/>
  <c r="M866" i="1"/>
  <c r="K866" i="1"/>
  <c r="M865" i="1"/>
  <c r="K865" i="1"/>
  <c r="M864" i="1"/>
  <c r="K864" i="1"/>
  <c r="M863" i="1"/>
  <c r="K863" i="1"/>
  <c r="M862" i="1"/>
  <c r="K862" i="1"/>
  <c r="M861" i="1"/>
  <c r="K861" i="1"/>
  <c r="M860" i="1"/>
  <c r="K860" i="1"/>
  <c r="M859" i="1"/>
  <c r="K859" i="1"/>
  <c r="M858" i="1"/>
  <c r="K858" i="1"/>
  <c r="M857" i="1"/>
  <c r="K857" i="1"/>
  <c r="M856" i="1"/>
  <c r="K856" i="1"/>
  <c r="M855" i="1"/>
  <c r="K855" i="1"/>
  <c r="M854" i="1"/>
  <c r="K854" i="1"/>
  <c r="M853" i="1"/>
  <c r="K853" i="1"/>
  <c r="M852" i="1"/>
  <c r="K852" i="1"/>
  <c r="M851" i="1"/>
  <c r="K851" i="1"/>
  <c r="M850" i="1"/>
  <c r="K850" i="1"/>
  <c r="M849" i="1"/>
  <c r="K849" i="1"/>
  <c r="M848" i="1"/>
  <c r="K848" i="1"/>
  <c r="M847" i="1"/>
  <c r="K847" i="1"/>
  <c r="M846" i="1"/>
  <c r="K846" i="1"/>
  <c r="M845" i="1"/>
  <c r="K845" i="1"/>
  <c r="M844" i="1"/>
  <c r="K844" i="1"/>
  <c r="M843" i="1"/>
  <c r="K843" i="1"/>
  <c r="M842" i="1"/>
  <c r="K842" i="1"/>
  <c r="M841" i="1"/>
  <c r="K841" i="1"/>
  <c r="M840" i="1"/>
  <c r="K840" i="1"/>
  <c r="M839" i="1"/>
  <c r="K839" i="1"/>
  <c r="M838" i="1"/>
  <c r="K838" i="1"/>
  <c r="M837" i="1"/>
  <c r="K837" i="1"/>
  <c r="M836" i="1"/>
  <c r="K836" i="1"/>
  <c r="M835" i="1"/>
  <c r="K835" i="1"/>
  <c r="M834" i="1"/>
  <c r="K834" i="1"/>
  <c r="M833" i="1"/>
  <c r="K833" i="1"/>
  <c r="M832" i="1"/>
  <c r="K832" i="1"/>
  <c r="M831" i="1"/>
  <c r="K831" i="1"/>
  <c r="M830" i="1"/>
  <c r="K830" i="1"/>
  <c r="M829" i="1"/>
  <c r="K829" i="1"/>
  <c r="M828" i="1"/>
  <c r="K828" i="1"/>
  <c r="M827" i="1"/>
  <c r="K827" i="1"/>
  <c r="M826" i="1"/>
  <c r="K826" i="1"/>
  <c r="M825" i="1"/>
  <c r="K825" i="1"/>
  <c r="M824" i="1"/>
  <c r="K824" i="1"/>
  <c r="M823" i="1"/>
  <c r="K823" i="1"/>
  <c r="M822" i="1"/>
  <c r="K822" i="1"/>
  <c r="M821" i="1"/>
  <c r="K821" i="1"/>
  <c r="M820" i="1"/>
  <c r="K820" i="1"/>
  <c r="M819" i="1"/>
  <c r="K819" i="1"/>
  <c r="M818" i="1"/>
  <c r="K818" i="1"/>
  <c r="M817" i="1"/>
  <c r="K817" i="1"/>
  <c r="M816" i="1"/>
  <c r="K816" i="1"/>
  <c r="M815" i="1"/>
  <c r="K815" i="1"/>
  <c r="M814" i="1"/>
  <c r="K814" i="1"/>
  <c r="M813" i="1"/>
  <c r="K813" i="1"/>
  <c r="M812" i="1"/>
  <c r="K812" i="1"/>
  <c r="M811" i="1"/>
  <c r="K811" i="1"/>
  <c r="M810" i="1"/>
  <c r="K810" i="1"/>
  <c r="M809" i="1"/>
  <c r="K809" i="1"/>
  <c r="M808" i="1"/>
  <c r="K808" i="1"/>
  <c r="M807" i="1"/>
  <c r="K807" i="1"/>
  <c r="M806" i="1"/>
  <c r="K806" i="1"/>
  <c r="M805" i="1"/>
  <c r="K805" i="1"/>
  <c r="M804" i="1"/>
  <c r="K804" i="1"/>
  <c r="M803" i="1"/>
  <c r="K803" i="1"/>
  <c r="M802" i="1"/>
  <c r="K802" i="1"/>
  <c r="M801" i="1"/>
  <c r="K801" i="1"/>
  <c r="M800" i="1"/>
  <c r="K800" i="1"/>
  <c r="M799" i="1"/>
  <c r="K799" i="1"/>
  <c r="M798" i="1"/>
  <c r="K798" i="1"/>
  <c r="M797" i="1"/>
  <c r="K797" i="1"/>
  <c r="M796" i="1"/>
  <c r="K796" i="1"/>
  <c r="M795" i="1"/>
  <c r="K795" i="1"/>
  <c r="M794" i="1"/>
  <c r="K794" i="1"/>
  <c r="M793" i="1"/>
  <c r="K793" i="1"/>
  <c r="M792" i="1"/>
  <c r="K792" i="1"/>
  <c r="M791" i="1"/>
  <c r="K791" i="1"/>
  <c r="M790" i="1"/>
  <c r="K790" i="1"/>
  <c r="M789" i="1"/>
  <c r="K789" i="1"/>
  <c r="M788" i="1"/>
  <c r="K788" i="1"/>
  <c r="M787" i="1"/>
  <c r="K787" i="1"/>
  <c r="M786" i="1"/>
  <c r="K786" i="1"/>
  <c r="M785" i="1"/>
  <c r="K785" i="1"/>
  <c r="M784" i="1"/>
  <c r="K784" i="1"/>
  <c r="M783" i="1"/>
  <c r="K783" i="1"/>
  <c r="M782" i="1"/>
  <c r="K782" i="1"/>
  <c r="M781" i="1"/>
  <c r="K781" i="1"/>
  <c r="M780" i="1"/>
  <c r="K780" i="1"/>
  <c r="M779" i="1"/>
  <c r="K779" i="1"/>
  <c r="M778" i="1"/>
  <c r="K778" i="1"/>
  <c r="M777" i="1"/>
  <c r="K777" i="1"/>
  <c r="M776" i="1"/>
  <c r="K776" i="1"/>
  <c r="M775" i="1"/>
  <c r="K775" i="1"/>
  <c r="M774" i="1"/>
  <c r="K774" i="1"/>
  <c r="M773" i="1"/>
  <c r="K773" i="1"/>
  <c r="M772" i="1"/>
  <c r="K772" i="1"/>
  <c r="M771" i="1"/>
  <c r="K771" i="1"/>
  <c r="M770" i="1"/>
  <c r="K770" i="1"/>
  <c r="M769" i="1"/>
  <c r="K769" i="1"/>
  <c r="M768" i="1"/>
  <c r="K768" i="1"/>
  <c r="M767" i="1"/>
  <c r="K767" i="1"/>
  <c r="M766" i="1"/>
  <c r="K766" i="1"/>
  <c r="M765" i="1"/>
  <c r="K765" i="1"/>
  <c r="M764" i="1"/>
  <c r="K764" i="1"/>
  <c r="M763" i="1"/>
  <c r="K763" i="1"/>
  <c r="M762" i="1"/>
  <c r="K762" i="1"/>
  <c r="M761" i="1"/>
  <c r="K761" i="1"/>
  <c r="M760" i="1"/>
  <c r="K760" i="1"/>
  <c r="M759" i="1"/>
  <c r="K759" i="1"/>
  <c r="M758" i="1"/>
  <c r="K758" i="1"/>
  <c r="M757" i="1"/>
  <c r="K757" i="1"/>
  <c r="M756" i="1"/>
  <c r="K756" i="1"/>
  <c r="M755" i="1"/>
  <c r="K755" i="1"/>
  <c r="M754" i="1"/>
  <c r="K754" i="1"/>
  <c r="M753" i="1"/>
  <c r="K753" i="1"/>
  <c r="M752" i="1"/>
  <c r="K752" i="1"/>
  <c r="M751" i="1"/>
  <c r="K751" i="1"/>
  <c r="M750" i="1"/>
  <c r="K750" i="1"/>
  <c r="M749" i="1"/>
  <c r="K749" i="1"/>
  <c r="M748" i="1"/>
  <c r="K748" i="1"/>
  <c r="M747" i="1"/>
  <c r="K747" i="1"/>
  <c r="M746" i="1"/>
  <c r="K746" i="1"/>
  <c r="M745" i="1"/>
  <c r="K745" i="1"/>
  <c r="M744" i="1"/>
  <c r="K744" i="1"/>
  <c r="M743" i="1"/>
  <c r="K743" i="1"/>
  <c r="M742" i="1"/>
  <c r="K742" i="1"/>
  <c r="M741" i="1"/>
  <c r="K741" i="1"/>
  <c r="M740" i="1"/>
  <c r="K740" i="1"/>
  <c r="M739" i="1"/>
  <c r="K739" i="1"/>
  <c r="M738" i="1"/>
  <c r="K738" i="1"/>
  <c r="M737" i="1"/>
  <c r="K737" i="1"/>
  <c r="M736" i="1"/>
  <c r="K736" i="1"/>
  <c r="M735" i="1"/>
  <c r="K735" i="1"/>
  <c r="M734" i="1"/>
  <c r="K734" i="1"/>
  <c r="M733" i="1"/>
  <c r="K733" i="1"/>
  <c r="M732" i="1"/>
  <c r="K732" i="1"/>
  <c r="M731" i="1"/>
  <c r="K731" i="1"/>
  <c r="M730" i="1"/>
  <c r="K730" i="1"/>
  <c r="M729" i="1"/>
  <c r="K729" i="1"/>
  <c r="M728" i="1"/>
  <c r="K728" i="1"/>
  <c r="M727" i="1"/>
  <c r="K727" i="1"/>
  <c r="M726" i="1"/>
  <c r="K726" i="1"/>
  <c r="M725" i="1"/>
  <c r="K725" i="1"/>
  <c r="M724" i="1"/>
  <c r="K724" i="1"/>
  <c r="M723" i="1"/>
  <c r="K723" i="1"/>
  <c r="M722" i="1"/>
  <c r="K722" i="1"/>
  <c r="M721" i="1"/>
  <c r="K721" i="1"/>
  <c r="M720" i="1"/>
  <c r="K720" i="1"/>
  <c r="M719" i="1"/>
  <c r="K719" i="1"/>
  <c r="M718" i="1"/>
  <c r="K718" i="1"/>
  <c r="M717" i="1"/>
  <c r="K717" i="1"/>
  <c r="M716" i="1"/>
  <c r="K716" i="1"/>
  <c r="M715" i="1"/>
  <c r="K715" i="1"/>
  <c r="M714" i="1"/>
  <c r="K714" i="1"/>
  <c r="M713" i="1"/>
  <c r="K713" i="1"/>
  <c r="M712" i="1"/>
  <c r="K712" i="1"/>
  <c r="M711" i="1"/>
  <c r="K711" i="1"/>
  <c r="M710" i="1"/>
  <c r="K710" i="1"/>
  <c r="M709" i="1"/>
  <c r="K709" i="1"/>
  <c r="M708" i="1"/>
  <c r="K708" i="1"/>
  <c r="M707" i="1"/>
  <c r="K707" i="1"/>
  <c r="M706" i="1"/>
  <c r="K706" i="1"/>
  <c r="M705" i="1"/>
  <c r="K705" i="1"/>
  <c r="M704" i="1"/>
  <c r="K704" i="1"/>
  <c r="M703" i="1"/>
  <c r="K703" i="1"/>
  <c r="M702" i="1"/>
  <c r="K702" i="1"/>
  <c r="M701" i="1"/>
  <c r="K701" i="1"/>
  <c r="M700" i="1"/>
  <c r="K700" i="1"/>
  <c r="M699" i="1"/>
  <c r="K699" i="1"/>
  <c r="M698" i="1"/>
  <c r="K698" i="1"/>
  <c r="M697" i="1"/>
  <c r="K697" i="1"/>
  <c r="M696" i="1"/>
  <c r="K696" i="1"/>
  <c r="M695" i="1"/>
  <c r="K695" i="1"/>
  <c r="M694" i="1"/>
  <c r="K694" i="1"/>
  <c r="M693" i="1"/>
  <c r="K693" i="1"/>
  <c r="M692" i="1"/>
  <c r="K692" i="1"/>
  <c r="M691" i="1"/>
  <c r="K691" i="1"/>
  <c r="M690" i="1"/>
  <c r="K690" i="1"/>
  <c r="M689" i="1"/>
  <c r="K689" i="1"/>
  <c r="M688" i="1"/>
  <c r="K688" i="1"/>
  <c r="M687" i="1"/>
  <c r="K687" i="1"/>
  <c r="M686" i="1"/>
  <c r="K686" i="1"/>
  <c r="M685" i="1"/>
  <c r="K685" i="1"/>
  <c r="M684" i="1"/>
  <c r="K684" i="1"/>
  <c r="M683" i="1"/>
  <c r="K683" i="1"/>
  <c r="M682" i="1"/>
  <c r="K682" i="1"/>
  <c r="M681" i="1"/>
  <c r="K681" i="1"/>
  <c r="M680" i="1"/>
  <c r="K680" i="1"/>
  <c r="M679" i="1"/>
  <c r="K679" i="1"/>
  <c r="M678" i="1"/>
  <c r="K678" i="1"/>
  <c r="M677" i="1"/>
  <c r="K677" i="1"/>
  <c r="M676" i="1"/>
  <c r="K676" i="1"/>
  <c r="M675" i="1"/>
  <c r="K675" i="1"/>
  <c r="M674" i="1"/>
  <c r="K674" i="1"/>
  <c r="M673" i="1"/>
  <c r="K673" i="1"/>
  <c r="M672" i="1"/>
  <c r="K672" i="1"/>
  <c r="M671" i="1"/>
  <c r="K671" i="1"/>
  <c r="M670" i="1"/>
  <c r="K670" i="1"/>
  <c r="M669" i="1"/>
  <c r="K669" i="1"/>
  <c r="M668" i="1"/>
  <c r="K668" i="1"/>
  <c r="M667" i="1"/>
  <c r="K667" i="1"/>
  <c r="M666" i="1"/>
  <c r="K666" i="1"/>
  <c r="M665" i="1"/>
  <c r="K665" i="1"/>
  <c r="M664" i="1"/>
  <c r="K664" i="1"/>
  <c r="M663" i="1"/>
  <c r="K663" i="1"/>
  <c r="M662" i="1"/>
  <c r="K662" i="1"/>
  <c r="M661" i="1"/>
  <c r="K661" i="1"/>
  <c r="M660" i="1"/>
  <c r="K660" i="1"/>
  <c r="M659" i="1"/>
  <c r="K659" i="1"/>
  <c r="M658" i="1"/>
  <c r="K658" i="1"/>
  <c r="M657" i="1"/>
  <c r="K657" i="1"/>
  <c r="M656" i="1"/>
  <c r="K656" i="1"/>
  <c r="M655" i="1"/>
  <c r="K655" i="1"/>
  <c r="M654" i="1"/>
  <c r="K654" i="1"/>
  <c r="M653" i="1"/>
  <c r="K653" i="1"/>
  <c r="M652" i="1"/>
  <c r="K652" i="1"/>
  <c r="M651" i="1"/>
  <c r="K651" i="1"/>
  <c r="M650" i="1"/>
  <c r="K650" i="1"/>
  <c r="M649" i="1"/>
  <c r="K649" i="1"/>
  <c r="M648" i="1"/>
  <c r="K648" i="1"/>
  <c r="M647" i="1"/>
  <c r="K647" i="1"/>
  <c r="M646" i="1"/>
  <c r="K646" i="1"/>
  <c r="M645" i="1"/>
  <c r="K645" i="1"/>
  <c r="M644" i="1"/>
  <c r="K644" i="1"/>
  <c r="M643" i="1"/>
  <c r="K643" i="1"/>
  <c r="M642" i="1"/>
  <c r="K642" i="1"/>
  <c r="M641" i="1"/>
  <c r="K641" i="1"/>
  <c r="M640" i="1"/>
  <c r="K640" i="1"/>
  <c r="M639" i="1"/>
  <c r="K639" i="1"/>
  <c r="M638" i="1"/>
  <c r="K638" i="1"/>
  <c r="M637" i="1"/>
  <c r="K637" i="1"/>
  <c r="M636" i="1"/>
  <c r="K636" i="1"/>
  <c r="M635" i="1"/>
  <c r="K635" i="1"/>
  <c r="M634" i="1"/>
  <c r="K634" i="1"/>
  <c r="M633" i="1"/>
  <c r="K633" i="1"/>
  <c r="M632" i="1"/>
  <c r="K632" i="1"/>
  <c r="M631" i="1"/>
  <c r="K631" i="1"/>
  <c r="M630" i="1"/>
  <c r="K630" i="1"/>
  <c r="M629" i="1"/>
  <c r="K629" i="1"/>
  <c r="M628" i="1"/>
  <c r="K628" i="1"/>
  <c r="M627" i="1"/>
  <c r="K627" i="1"/>
  <c r="M626" i="1"/>
  <c r="K626" i="1"/>
  <c r="M625" i="1"/>
  <c r="K625" i="1"/>
  <c r="M624" i="1"/>
  <c r="K624" i="1"/>
  <c r="M623" i="1"/>
  <c r="K623" i="1"/>
  <c r="M622" i="1"/>
  <c r="K622" i="1"/>
  <c r="M621" i="1"/>
  <c r="K621" i="1"/>
  <c r="M620" i="1"/>
  <c r="K620" i="1"/>
  <c r="M619" i="1"/>
  <c r="K619" i="1"/>
  <c r="M618" i="1"/>
  <c r="K618" i="1"/>
  <c r="M617" i="1"/>
  <c r="K617" i="1"/>
  <c r="M616" i="1"/>
  <c r="K616" i="1"/>
  <c r="M615" i="1"/>
  <c r="K615" i="1"/>
  <c r="M614" i="1"/>
  <c r="K614" i="1"/>
  <c r="M613" i="1"/>
  <c r="K613" i="1"/>
  <c r="M612" i="1"/>
  <c r="K612" i="1"/>
  <c r="M611" i="1"/>
  <c r="K611" i="1"/>
  <c r="M610" i="1"/>
  <c r="K610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M550" i="1"/>
  <c r="K550" i="1"/>
  <c r="M549" i="1"/>
  <c r="K549" i="1"/>
  <c r="M548" i="1"/>
  <c r="K548" i="1"/>
  <c r="M547" i="1"/>
  <c r="K547" i="1"/>
  <c r="M546" i="1"/>
  <c r="K546" i="1"/>
  <c r="M545" i="1"/>
  <c r="K545" i="1"/>
  <c r="M544" i="1"/>
  <c r="K544" i="1"/>
  <c r="M543" i="1"/>
  <c r="K543" i="1"/>
  <c r="M542" i="1"/>
  <c r="K542" i="1"/>
  <c r="M541" i="1"/>
  <c r="K541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402" i="1"/>
  <c r="K402" i="1"/>
  <c r="M401" i="1"/>
  <c r="K401" i="1"/>
  <c r="M400" i="1"/>
  <c r="K400" i="1"/>
  <c r="M399" i="1"/>
  <c r="K399" i="1"/>
  <c r="M398" i="1"/>
  <c r="K398" i="1"/>
  <c r="M397" i="1"/>
  <c r="K397" i="1"/>
  <c r="M396" i="1"/>
  <c r="K396" i="1"/>
  <c r="M395" i="1"/>
  <c r="K395" i="1"/>
  <c r="M394" i="1"/>
  <c r="K394" i="1"/>
  <c r="M393" i="1"/>
  <c r="K393" i="1"/>
  <c r="M392" i="1"/>
  <c r="K392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M373" i="1"/>
  <c r="K373" i="1"/>
  <c r="M372" i="1"/>
  <c r="K372" i="1"/>
  <c r="M371" i="1"/>
  <c r="K371" i="1"/>
  <c r="M370" i="1"/>
  <c r="K370" i="1"/>
  <c r="M369" i="1"/>
  <c r="K369" i="1"/>
  <c r="M368" i="1"/>
  <c r="K368" i="1"/>
  <c r="M367" i="1"/>
  <c r="K367" i="1"/>
  <c r="M366" i="1"/>
  <c r="K366" i="1"/>
  <c r="M365" i="1"/>
  <c r="K365" i="1"/>
  <c r="M364" i="1"/>
  <c r="K364" i="1"/>
  <c r="M363" i="1"/>
  <c r="K363" i="1"/>
  <c r="M362" i="1"/>
  <c r="K362" i="1"/>
  <c r="M361" i="1"/>
  <c r="K361" i="1"/>
  <c r="M360" i="1"/>
  <c r="K360" i="1"/>
  <c r="M359" i="1"/>
  <c r="K359" i="1"/>
  <c r="M358" i="1"/>
  <c r="K358" i="1"/>
  <c r="M357" i="1"/>
  <c r="K357" i="1"/>
  <c r="M356" i="1"/>
  <c r="K356" i="1"/>
  <c r="M355" i="1"/>
  <c r="K355" i="1"/>
  <c r="M354" i="1"/>
  <c r="K354" i="1"/>
  <c r="M353" i="1"/>
  <c r="K353" i="1"/>
  <c r="M352" i="1"/>
  <c r="K352" i="1"/>
  <c r="M351" i="1"/>
  <c r="K351" i="1"/>
  <c r="M350" i="1"/>
  <c r="K350" i="1"/>
  <c r="M349" i="1"/>
  <c r="K349" i="1"/>
  <c r="M348" i="1"/>
  <c r="K348" i="1"/>
  <c r="M347" i="1"/>
  <c r="K347" i="1"/>
  <c r="M346" i="1"/>
  <c r="K346" i="1"/>
  <c r="M345" i="1"/>
  <c r="K345" i="1"/>
  <c r="M344" i="1"/>
  <c r="K344" i="1"/>
  <c r="M343" i="1"/>
  <c r="K343" i="1"/>
  <c r="M342" i="1"/>
  <c r="K342" i="1"/>
  <c r="M341" i="1"/>
  <c r="K341" i="1"/>
  <c r="M340" i="1"/>
  <c r="K340" i="1"/>
  <c r="M339" i="1"/>
  <c r="K339" i="1"/>
  <c r="M338" i="1"/>
  <c r="K338" i="1"/>
  <c r="M337" i="1"/>
  <c r="K337" i="1"/>
  <c r="M336" i="1"/>
  <c r="K336" i="1"/>
  <c r="M335" i="1"/>
  <c r="K335" i="1"/>
  <c r="M334" i="1"/>
  <c r="K334" i="1"/>
  <c r="M333" i="1"/>
  <c r="K333" i="1"/>
  <c r="M332" i="1"/>
  <c r="K332" i="1"/>
  <c r="M331" i="1"/>
  <c r="K331" i="1"/>
  <c r="M330" i="1"/>
  <c r="K330" i="1"/>
  <c r="M329" i="1"/>
  <c r="K329" i="1"/>
  <c r="M328" i="1"/>
  <c r="K328" i="1"/>
  <c r="M327" i="1"/>
  <c r="K327" i="1"/>
  <c r="M326" i="1"/>
  <c r="K326" i="1"/>
  <c r="M325" i="1"/>
  <c r="K325" i="1"/>
  <c r="M324" i="1"/>
  <c r="K324" i="1"/>
  <c r="M323" i="1"/>
  <c r="K323" i="1"/>
  <c r="M322" i="1"/>
  <c r="K322" i="1"/>
  <c r="M321" i="1"/>
  <c r="K321" i="1"/>
  <c r="M320" i="1"/>
  <c r="K320" i="1"/>
  <c r="M319" i="1"/>
  <c r="K319" i="1"/>
  <c r="M318" i="1"/>
  <c r="K318" i="1"/>
  <c r="M317" i="1"/>
  <c r="K317" i="1"/>
  <c r="M316" i="1"/>
  <c r="K316" i="1"/>
  <c r="M315" i="1"/>
  <c r="K315" i="1"/>
  <c r="M314" i="1"/>
  <c r="K314" i="1"/>
  <c r="M313" i="1"/>
  <c r="K313" i="1"/>
  <c r="M312" i="1"/>
  <c r="K312" i="1"/>
  <c r="M311" i="1"/>
  <c r="K311" i="1"/>
  <c r="M310" i="1"/>
  <c r="K310" i="1"/>
  <c r="M309" i="1"/>
  <c r="K309" i="1"/>
  <c r="M308" i="1"/>
  <c r="K308" i="1"/>
  <c r="M307" i="1"/>
  <c r="K307" i="1"/>
  <c r="M306" i="1"/>
  <c r="K306" i="1"/>
  <c r="M305" i="1"/>
  <c r="K305" i="1"/>
  <c r="M304" i="1"/>
  <c r="K304" i="1"/>
  <c r="M303" i="1"/>
  <c r="K303" i="1"/>
  <c r="M302" i="1"/>
  <c r="K302" i="1"/>
  <c r="M301" i="1"/>
  <c r="K301" i="1"/>
  <c r="M300" i="1"/>
  <c r="K300" i="1"/>
  <c r="M299" i="1"/>
  <c r="K299" i="1"/>
  <c r="M298" i="1"/>
  <c r="K298" i="1"/>
  <c r="M297" i="1"/>
  <c r="K297" i="1"/>
  <c r="M296" i="1"/>
  <c r="K296" i="1"/>
  <c r="M295" i="1"/>
  <c r="K295" i="1"/>
  <c r="M294" i="1"/>
  <c r="K294" i="1"/>
  <c r="M293" i="1"/>
  <c r="K293" i="1"/>
  <c r="M292" i="1"/>
  <c r="K292" i="1"/>
  <c r="M291" i="1"/>
  <c r="K291" i="1"/>
  <c r="M290" i="1"/>
  <c r="K290" i="1"/>
  <c r="M289" i="1"/>
  <c r="K289" i="1"/>
  <c r="M288" i="1"/>
  <c r="K288" i="1"/>
  <c r="M287" i="1"/>
  <c r="K287" i="1"/>
  <c r="M286" i="1"/>
  <c r="K286" i="1"/>
  <c r="M285" i="1"/>
  <c r="K285" i="1"/>
  <c r="M284" i="1"/>
  <c r="K284" i="1"/>
  <c r="M283" i="1"/>
  <c r="K283" i="1"/>
  <c r="M282" i="1"/>
  <c r="K282" i="1"/>
  <c r="M281" i="1"/>
  <c r="K281" i="1"/>
  <c r="M280" i="1"/>
  <c r="K280" i="1"/>
  <c r="M279" i="1"/>
  <c r="K279" i="1"/>
  <c r="M278" i="1"/>
  <c r="K278" i="1"/>
  <c r="M277" i="1"/>
  <c r="K277" i="1"/>
  <c r="M276" i="1"/>
  <c r="K276" i="1"/>
  <c r="M275" i="1"/>
  <c r="K275" i="1"/>
  <c r="M274" i="1"/>
  <c r="K274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K254" i="1"/>
  <c r="M253" i="1"/>
  <c r="K253" i="1"/>
  <c r="M252" i="1"/>
  <c r="K252" i="1"/>
  <c r="M251" i="1"/>
  <c r="K251" i="1"/>
  <c r="M250" i="1"/>
  <c r="K250" i="1"/>
  <c r="M249" i="1"/>
  <c r="K249" i="1"/>
  <c r="M248" i="1"/>
  <c r="K248" i="1"/>
  <c r="M247" i="1"/>
  <c r="K247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M65" i="1"/>
  <c r="K65" i="1"/>
  <c r="M64" i="1"/>
  <c r="K64" i="1"/>
  <c r="M63" i="1"/>
  <c r="K63" i="1"/>
  <c r="M62" i="1"/>
  <c r="K62" i="1"/>
  <c r="M61" i="1"/>
  <c r="K61" i="1"/>
  <c r="M60" i="1"/>
  <c r="K60" i="1"/>
  <c r="M59" i="1"/>
  <c r="K59" i="1"/>
  <c r="M58" i="1"/>
  <c r="K58" i="1"/>
  <c r="M57" i="1"/>
  <c r="K57" i="1"/>
  <c r="M56" i="1"/>
  <c r="K56" i="1"/>
  <c r="M55" i="1"/>
  <c r="K55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S16" i="1"/>
  <c r="P16" i="1"/>
  <c r="M16" i="1"/>
  <c r="J16" i="1"/>
  <c r="G16" i="1"/>
  <c r="D16" i="1"/>
  <c r="A16" i="1"/>
</calcChain>
</file>

<file path=xl/sharedStrings.xml><?xml version="1.0" encoding="utf-8"?>
<sst xmlns="http://schemas.openxmlformats.org/spreadsheetml/2006/main" count="41006" uniqueCount="746">
  <si>
    <t>PAINEL DE ANÁLISE — CHAMADAS, TMA E PAUSAS — HUBMAIS</t>
  </si>
  <si>
    <t>🎛️ SEGMENTAÇÕES</t>
  </si>
  <si>
    <t>📊 INDICADORES (apenas das linhas visíveis após filtro)</t>
  </si>
  <si>
    <t>Chamadas</t>
  </si>
  <si>
    <t>TMA Médio</t>
  </si>
  <si>
    <t>Tempo Pausado</t>
  </si>
  <si>
    <t>Pausa % Login</t>
  </si>
  <si>
    <t>📋 BASE DE DADOS (1 linha por agente × dia)</t>
  </si>
  <si>
    <t>Data</t>
  </si>
  <si>
    <t>Nome</t>
  </si>
  <si>
    <t>ID</t>
  </si>
  <si>
    <t>Supervisor</t>
  </si>
  <si>
    <t>Coordenador</t>
  </si>
  <si>
    <t>Área</t>
  </si>
  <si>
    <t>Turno</t>
  </si>
  <si>
    <t>Tempo Logado</t>
  </si>
  <si>
    <t>Tempo Falado</t>
  </si>
  <si>
    <t>TMA</t>
  </si>
  <si>
    <t>BANHEI</t>
  </si>
  <si>
    <t>DESCAN</t>
  </si>
  <si>
    <t>DISMX</t>
  </si>
  <si>
    <t>FEEDBK</t>
  </si>
  <si>
    <t>LAGGED</t>
  </si>
  <si>
    <t>LANCHE</t>
  </si>
  <si>
    <t>LOGIN</t>
  </si>
  <si>
    <t>MANUAL</t>
  </si>
  <si>
    <t>TESTE</t>
  </si>
  <si>
    <t>TREINA</t>
  </si>
  <si>
    <t>ANA CAROLINA SANTOS GONCALVES</t>
  </si>
  <si>
    <t>anagonca</t>
  </si>
  <si>
    <t>ANGELO MIKAELL SILVA SOUSA</t>
  </si>
  <si>
    <t>BIANCA MUNIZ FERREIRA</t>
  </si>
  <si>
    <t>SAC</t>
  </si>
  <si>
    <t>VESPERTINO</t>
  </si>
  <si>
    <t>ANDRESSA PEREIRA DOS SANTOS</t>
  </si>
  <si>
    <t>andressa</t>
  </si>
  <si>
    <t>ANTONIA DE MELO FRANCA</t>
  </si>
  <si>
    <t>antoniaf</t>
  </si>
  <si>
    <t>CARLOS AUGUSTO MOREIRA BERGUES</t>
  </si>
  <si>
    <t>carlosbe</t>
  </si>
  <si>
    <t>CARLOS FERREIRA DA SILVA</t>
  </si>
  <si>
    <t>carlossi</t>
  </si>
  <si>
    <t>DANILLO BARBOSA OLIVEIRA</t>
  </si>
  <si>
    <t>danilloo</t>
  </si>
  <si>
    <t>DEBORA DA SILVA COELHO</t>
  </si>
  <si>
    <t>deboraco</t>
  </si>
  <si>
    <t>ELAINE OLIVEIRA SILVA</t>
  </si>
  <si>
    <t>elainesi</t>
  </si>
  <si>
    <t>GUSTAVO DE SOUZA ABREU</t>
  </si>
  <si>
    <t>gustavoa</t>
  </si>
  <si>
    <t>GUSTAVO PEREIRA TEIXEIRA</t>
  </si>
  <si>
    <t>gustavot</t>
  </si>
  <si>
    <t>JENNYFER LAIS MATOS LIMA</t>
  </si>
  <si>
    <t>jennyfer</t>
  </si>
  <si>
    <t>KATIELEN DA SILVA BATISTA</t>
  </si>
  <si>
    <t>katielen</t>
  </si>
  <si>
    <t>LARA CARNEIRO DE ARAUJO MENEZES</t>
  </si>
  <si>
    <t>laramene</t>
  </si>
  <si>
    <t>LEONORA ADRIANE DE ALMEIDA SILVA RODRIGUES</t>
  </si>
  <si>
    <t>leonorar</t>
  </si>
  <si>
    <t>MIKAELLE DA SILVA ALVES</t>
  </si>
  <si>
    <t>mikaelle</t>
  </si>
  <si>
    <t>NATANY CRISTINY GOMES OLIVEIRA</t>
  </si>
  <si>
    <t>natanyol</t>
  </si>
  <si>
    <t>RONILDA DE SOUZA</t>
  </si>
  <si>
    <t>ronildas</t>
  </si>
  <si>
    <t>SAMEA THAISE FONSECA CUNHA</t>
  </si>
  <si>
    <t>sameacun</t>
  </si>
  <si>
    <t>SOPHIA LINDOSO BARROS</t>
  </si>
  <si>
    <t>sophiaba</t>
  </si>
  <si>
    <t>THAYLA VITORIA LIMA DOS SANTOS</t>
  </si>
  <si>
    <t>thaylasa</t>
  </si>
  <si>
    <t>THAYNA FERREIRA DE MELO DOS SANTOS</t>
  </si>
  <si>
    <t>thaynasa</t>
  </si>
  <si>
    <t>VITORIA BRAGA DA SILVA</t>
  </si>
  <si>
    <t>vitorias</t>
  </si>
  <si>
    <t>AMANDA SANTOS LOPES FLORES</t>
  </si>
  <si>
    <t>amandafl</t>
  </si>
  <si>
    <t>JENNYFER CABRERA DA CRUZ LIMA</t>
  </si>
  <si>
    <t>KARLA DAS DORES DE SOUSA</t>
  </si>
  <si>
    <t>BACKOFFICE</t>
  </si>
  <si>
    <t>INTEGRAL</t>
  </si>
  <si>
    <t>ANA PAULA NASCIMENTO MONTEIRO</t>
  </si>
  <si>
    <t>anamonte</t>
  </si>
  <si>
    <t>CEZAR MOURA FERREIRA</t>
  </si>
  <si>
    <t>cezarfer</t>
  </si>
  <si>
    <t>ELIZAMA DE OLIVEIRA ROCHA</t>
  </si>
  <si>
    <t>elizamar</t>
  </si>
  <si>
    <t>GABRIELI DA PAZ SANTOS</t>
  </si>
  <si>
    <t>gabrieli</t>
  </si>
  <si>
    <t>JULIANA DIAS NEVES</t>
  </si>
  <si>
    <t>julianan</t>
  </si>
  <si>
    <t>KEILA GOMES DA COSTA NEVES DE MENDONCA</t>
  </si>
  <si>
    <t>keilamen</t>
  </si>
  <si>
    <t>KEMELLY CAMILO TOMAZ</t>
  </si>
  <si>
    <t>kemellyt</t>
  </si>
  <si>
    <t>MARIA EDUARDA CARNEIRO RIBEIRO RECO</t>
  </si>
  <si>
    <t>mariarec</t>
  </si>
  <si>
    <t>MARIA LUIZA LIMA</t>
  </si>
  <si>
    <t>marialim</t>
  </si>
  <si>
    <t>RENATA MARQUES LIMA DOS REIS</t>
  </si>
  <si>
    <t>renatare</t>
  </si>
  <si>
    <t>ANA BEATRIZ COSTA DA SILVA</t>
  </si>
  <si>
    <t>anasilva</t>
  </si>
  <si>
    <t>MARCOS VINICIUS ALVES DE OLIVEIRA</t>
  </si>
  <si>
    <t>RETENCAO</t>
  </si>
  <si>
    <t>MATUTINO</t>
  </si>
  <si>
    <t>annegont</t>
  </si>
  <si>
    <t>ANTONIA KESSIA CARVALHO POSSIDONIO</t>
  </si>
  <si>
    <t>antoniap</t>
  </si>
  <si>
    <t>AURA RODRIGUES DO NASCIMENTO SANTOS</t>
  </si>
  <si>
    <t>aurasant</t>
  </si>
  <si>
    <t>DANDARA MONTEIRO OLIVEIRA</t>
  </si>
  <si>
    <t>dandarao</t>
  </si>
  <si>
    <t>DEBORA BRAGA DE MATOS AQUINO</t>
  </si>
  <si>
    <t>deboraaq</t>
  </si>
  <si>
    <t>DEBORA IMIDIO DOS SANTOS PEREIRA</t>
  </si>
  <si>
    <t>deborape</t>
  </si>
  <si>
    <t>DENISE DOS SANTOS VASCONCELOS</t>
  </si>
  <si>
    <t>deniseva</t>
  </si>
  <si>
    <t>EDYNAYANE LIMA DE FRANCA</t>
  </si>
  <si>
    <t>edynayan</t>
  </si>
  <si>
    <t>ELIZABETE ALVES NASCIMENTO</t>
  </si>
  <si>
    <t>elizabet</t>
  </si>
  <si>
    <t>KAIELLY VITORIA PEREIRA ARAUJO DO NASCIMENTO</t>
  </si>
  <si>
    <t>kaiellyn</t>
  </si>
  <si>
    <t>LORENI TAMIRES LOPES DA SILVA</t>
  </si>
  <si>
    <t>lorenisi</t>
  </si>
  <si>
    <t>LUIZA VICTORIA DO NASCIMENTO LIMA</t>
  </si>
  <si>
    <t>luizalim</t>
  </si>
  <si>
    <t>MARIANY GOMES SIQUEIRA CARNEIRO</t>
  </si>
  <si>
    <t>marianyc</t>
  </si>
  <si>
    <t>MONICA FERREIRA DE SOUZA</t>
  </si>
  <si>
    <t>monicaso</t>
  </si>
  <si>
    <t>MORGANA NATARRY RIBEIRO REIS</t>
  </si>
  <si>
    <t>morganar</t>
  </si>
  <si>
    <t>NATANIA CRISTINA ALVES DA SILVA</t>
  </si>
  <si>
    <t>natanias</t>
  </si>
  <si>
    <t>SABRINA SILVA DE SOUSA</t>
  </si>
  <si>
    <t>sabrinas</t>
  </si>
  <si>
    <t>SHELLEY DYANNE DE SOUSA SANTOS</t>
  </si>
  <si>
    <t>shelleys</t>
  </si>
  <si>
    <t>YASMYM VITORIA BARBOSA PAIVA</t>
  </si>
  <si>
    <t>yasmympa</t>
  </si>
  <si>
    <t>ANA CRISTINA SOUZA DE MEDEIROS</t>
  </si>
  <si>
    <t>anamedei</t>
  </si>
  <si>
    <t>PAULA FERNANDA ALVES</t>
  </si>
  <si>
    <t>COBRANCA</t>
  </si>
  <si>
    <t>ANA JULIA LOPES DE CASTRO</t>
  </si>
  <si>
    <t>anacastr</t>
  </si>
  <si>
    <t>CARLA RAYNARA CAMPELO COSTA</t>
  </si>
  <si>
    <t>carlacam</t>
  </si>
  <si>
    <t>CATIA DOS SANTOS PIMENTEL</t>
  </si>
  <si>
    <t>catiapim</t>
  </si>
  <si>
    <t>DAIANE FERREIRA DA SILVA</t>
  </si>
  <si>
    <t>daianesi</t>
  </si>
  <si>
    <t>DAYANE FERNANDA PEREIRA DE ALMEIDA</t>
  </si>
  <si>
    <t>dayaneal</t>
  </si>
  <si>
    <t>DEBORA DE JESUS AZEVEDO</t>
  </si>
  <si>
    <t>deboraaz</t>
  </si>
  <si>
    <t>EDUARDO BARBOSA MARQUES</t>
  </si>
  <si>
    <t>eduardom</t>
  </si>
  <si>
    <t>GRAZIELE CRISTINA PINTO DE MELO</t>
  </si>
  <si>
    <t>graziele</t>
  </si>
  <si>
    <t>JEOVANNA DE LIMA FERREIRA</t>
  </si>
  <si>
    <t>jeovanna</t>
  </si>
  <si>
    <t>JOAO VITOR VIEIRA DA CRUZ</t>
  </si>
  <si>
    <t>joaocruz</t>
  </si>
  <si>
    <t>KALISSA VALERIO GONCALVES</t>
  </si>
  <si>
    <t>kalissag</t>
  </si>
  <si>
    <t>KAROLYNY KELLY OLIVEIRA ASSIS</t>
  </si>
  <si>
    <t>karolyny</t>
  </si>
  <si>
    <t>LISANDRA CRISTINA CAETANO SILVA</t>
  </si>
  <si>
    <t>lisandra</t>
  </si>
  <si>
    <t>LUANA RODRIGUES DE SIQUEIRA</t>
  </si>
  <si>
    <t>luanasiq</t>
  </si>
  <si>
    <t>LUCAS MODESTO PONTES</t>
  </si>
  <si>
    <t>lucaspon</t>
  </si>
  <si>
    <t>LUZIA MACIEL DOS SANTOS</t>
  </si>
  <si>
    <t>luziasan</t>
  </si>
  <si>
    <t>MARIANA BARBOSA DAMACENA</t>
  </si>
  <si>
    <t>marianad</t>
  </si>
  <si>
    <t>NAYARA ELLEN ALVES DE MELO SANTOS</t>
  </si>
  <si>
    <t>nayarasa</t>
  </si>
  <si>
    <t>TATIANE FERREIRA DE OLIVEIRA</t>
  </si>
  <si>
    <t>tatianeo</t>
  </si>
  <si>
    <t>ADRIAM DA CONCEICAO SILVA</t>
  </si>
  <si>
    <t>adriamsi</t>
  </si>
  <si>
    <t>PRISCILLA LOURENCO DA SILVA</t>
  </si>
  <si>
    <t>ADRIANE PIRES DA SILVA SERRA</t>
  </si>
  <si>
    <t>adrianes</t>
  </si>
  <si>
    <t>ALEX FREITAS GARCIA</t>
  </si>
  <si>
    <t>alexgarc</t>
  </si>
  <si>
    <t>ALEXANDRE LOPES DOS SANTOS</t>
  </si>
  <si>
    <t>alexandr</t>
  </si>
  <si>
    <t>AQUILES RODRIGUES DE FREITAS</t>
  </si>
  <si>
    <t>aquilesf</t>
  </si>
  <si>
    <t>CAMILA OLIVEIRA DAS CHAGAS</t>
  </si>
  <si>
    <t>camilach</t>
  </si>
  <si>
    <t>JONATAN MENDONCA DOS SANTOS</t>
  </si>
  <si>
    <t>jonatans</t>
  </si>
  <si>
    <t>KAILANE TEIXEIRA DE SOUSA</t>
  </si>
  <si>
    <t>kailanes</t>
  </si>
  <si>
    <t>LIDIA GABRIELLY DOS SANTOS SOUSA</t>
  </si>
  <si>
    <t>lidiasou</t>
  </si>
  <si>
    <t>LUCIMONE COSTA RAMOS</t>
  </si>
  <si>
    <t>lucimone</t>
  </si>
  <si>
    <t>MARIA DO CARMO SOUZA SANTOS</t>
  </si>
  <si>
    <t>mariasan</t>
  </si>
  <si>
    <t>MICHELLY DE SOUZA LOPES</t>
  </si>
  <si>
    <t>michelly</t>
  </si>
  <si>
    <t>NADYA REGIANE RAMOS BESSA</t>
  </si>
  <si>
    <t>nadyabes</t>
  </si>
  <si>
    <t>ODETE AQUINO SILVA</t>
  </si>
  <si>
    <t>odetesil</t>
  </si>
  <si>
    <t>ORNELIA DE AGUIAR CORDEIRO BARBOSA</t>
  </si>
  <si>
    <t>orneliab</t>
  </si>
  <si>
    <t>ORTELINA NEVES DE JESUS NETA</t>
  </si>
  <si>
    <t>ortelina</t>
  </si>
  <si>
    <t>RAYCA ALVES DA SILVA GONCALVES</t>
  </si>
  <si>
    <t>raycagon</t>
  </si>
  <si>
    <t>RENATA ALVES DE SOUZA</t>
  </si>
  <si>
    <t>renataso</t>
  </si>
  <si>
    <t>SARA VIANA BRANDT</t>
  </si>
  <si>
    <t>sarabran</t>
  </si>
  <si>
    <t>THAIS DO SOCORRO CAVALCANTE MARIANO</t>
  </si>
  <si>
    <t>thaismar</t>
  </si>
  <si>
    <t>WANESSA MORAES FILGUEIRA</t>
  </si>
  <si>
    <t>wanessaf</t>
  </si>
  <si>
    <t>YASMIN KETLEM ALVES DOS REIS</t>
  </si>
  <si>
    <t>yasminre</t>
  </si>
  <si>
    <t>AMANDA LORENA ALVES</t>
  </si>
  <si>
    <t>amandaal</t>
  </si>
  <si>
    <t>RAFAEL ALVES DE LIMA</t>
  </si>
  <si>
    <t>ANANDA SANTOS VIEIRA</t>
  </si>
  <si>
    <t>anandavi</t>
  </si>
  <si>
    <t>ARIENE GONCALVES DE MORAES NASCIMENTO</t>
  </si>
  <si>
    <t>arienena</t>
  </si>
  <si>
    <t>BARBARA GLENDA DONIZETE DIAS</t>
  </si>
  <si>
    <t>barbarad</t>
  </si>
  <si>
    <t>DIOVANIA ROCHA ALVES SANTOS</t>
  </si>
  <si>
    <t>diovania</t>
  </si>
  <si>
    <t>HELENA VITORIA MACEDO DUTRA</t>
  </si>
  <si>
    <t>douglasd</t>
  </si>
  <si>
    <t>GESSICA DE SOUZA MATOS</t>
  </si>
  <si>
    <t>gessicam</t>
  </si>
  <si>
    <t>GILIELLE MAIANE ROSA E SILVA</t>
  </si>
  <si>
    <t>gilielle</t>
  </si>
  <si>
    <t>HUMBERTO FELIPE SANTANA RODRIGUES</t>
  </si>
  <si>
    <t>humberto</t>
  </si>
  <si>
    <t>IONARA PINTO DE SOUSA TELES</t>
  </si>
  <si>
    <t>ionarate</t>
  </si>
  <si>
    <t>ISABELA MENDES DAS NEVES</t>
  </si>
  <si>
    <t>isabelan</t>
  </si>
  <si>
    <t>JULLIANA TELES DE CASTRO BARRETO</t>
  </si>
  <si>
    <t>julliana</t>
  </si>
  <si>
    <t>LARA KEWELLY SILVA SOUZA</t>
  </si>
  <si>
    <t>larasouz</t>
  </si>
  <si>
    <t>LARISSA DA COSTA XAVIER</t>
  </si>
  <si>
    <t>larissax</t>
  </si>
  <si>
    <t>LARYSSA MARIANE RODRIGUES DE MORAES</t>
  </si>
  <si>
    <t>laryssam</t>
  </si>
  <si>
    <t>LIVIA MARIA LIMA MENDES</t>
  </si>
  <si>
    <t>liviamen</t>
  </si>
  <si>
    <t>LUCAS HENRIQUE DIAS SOARES</t>
  </si>
  <si>
    <t>lucassoa</t>
  </si>
  <si>
    <t>MAGNA SANTIAGO DE SOUZA</t>
  </si>
  <si>
    <t>magnasou</t>
  </si>
  <si>
    <t>MARIA CLARA SILVA TELES</t>
  </si>
  <si>
    <t>mariatel</t>
  </si>
  <si>
    <t>MARIANA CARVALHO DOS SANTOS</t>
  </si>
  <si>
    <t>marianas</t>
  </si>
  <si>
    <t>MICKAELY RODRIGUES PROFETA</t>
  </si>
  <si>
    <t>mickaely</t>
  </si>
  <si>
    <t>REGINALDO SOUSA BARBOSA</t>
  </si>
  <si>
    <t>reginald</t>
  </si>
  <si>
    <t>SARA LUISA MACIEL DIAS ESCOLASTICO</t>
  </si>
  <si>
    <t>saraesco</t>
  </si>
  <si>
    <t>SHIRLEY LUZIA DE SOUSA ANDRADE</t>
  </si>
  <si>
    <t>shirleya</t>
  </si>
  <si>
    <t>TRISSY DE PAULA ARAUJO</t>
  </si>
  <si>
    <t>trissyar</t>
  </si>
  <si>
    <t>WANESSA YASMIM DE ALMEIDA CHAVES</t>
  </si>
  <si>
    <t>wanessac</t>
  </si>
  <si>
    <t>— Não identificado —</t>
  </si>
  <si>
    <t>YTALLO AUGUSTO TORRES COSTA</t>
  </si>
  <si>
    <t>ytalloco</t>
  </si>
  <si>
    <t>FABIO BORGES DOS SANTOS FILHO</t>
  </si>
  <si>
    <t>fabiofil</t>
  </si>
  <si>
    <t>IASMYM RIBEIRO DA SILVA</t>
  </si>
  <si>
    <t>iasmymsi</t>
  </si>
  <si>
    <t>ISMAEL DE SOUSA GUIMARAES</t>
  </si>
  <si>
    <t>ismaelgu</t>
  </si>
  <si>
    <t>KEYTH RODRIGUES DE MORAIS</t>
  </si>
  <si>
    <t>keythmor</t>
  </si>
  <si>
    <t>MAGNA ANDREA OLIVEIRA SILVA</t>
  </si>
  <si>
    <t>magnasil</t>
  </si>
  <si>
    <t>MANUELLA TELES CARNEIRO</t>
  </si>
  <si>
    <t>matheusc</t>
  </si>
  <si>
    <t>VALDELICIA VIEIRA LIMA</t>
  </si>
  <si>
    <t>valdelic</t>
  </si>
  <si>
    <t>VIVIANE EGIDIA DE GOIS</t>
  </si>
  <si>
    <t>vivianeg</t>
  </si>
  <si>
    <t>DALLITY CRISTINE DE SOUSA</t>
  </si>
  <si>
    <t>dallitys</t>
  </si>
  <si>
    <t>RYAN FELYPE LOURENCO REGO</t>
  </si>
  <si>
    <t>ryanrego</t>
  </si>
  <si>
    <t>CAMILA MORAIS PIERI</t>
  </si>
  <si>
    <t>camilapi</t>
  </si>
  <si>
    <t>EDIVANEA LIMA LUNA</t>
  </si>
  <si>
    <t>edivanea</t>
  </si>
  <si>
    <t>GEOVANIA ATAIDE BARBOSA</t>
  </si>
  <si>
    <t>geovania</t>
  </si>
  <si>
    <t>SOPHIA ASSIS CARDOSO</t>
  </si>
  <si>
    <t>sophiaca</t>
  </si>
  <si>
    <t>ALISSON COSTA FARIA</t>
  </si>
  <si>
    <t>alissonf</t>
  </si>
  <si>
    <t>ROSSANA AVELINO CASTILHO</t>
  </si>
  <si>
    <t>rossanac</t>
  </si>
  <si>
    <t>Identificação</t>
  </si>
  <si>
    <t>Operação</t>
  </si>
  <si>
    <t>Pausas — Detalhamento (a partir de 05/05)</t>
  </si>
  <si>
    <t>Nome Completo</t>
  </si>
  <si>
    <t>ID Sistema</t>
  </si>
  <si>
    <t>Status</t>
  </si>
  <si>
    <t>Cargo</t>
  </si>
  <si>
    <t>Dias Logados</t>
  </si>
  <si>
    <t>ATIVIDADE NORMAL</t>
  </si>
  <si>
    <t>OPERADOR DE TELEMARKETING I</t>
  </si>
  <si>
    <t>DESISTENTE</t>
  </si>
  <si>
    <t>OPERADOR DE TELEMARKETING II</t>
  </si>
  <si>
    <t>Pausas Detalhadas</t>
  </si>
  <si>
    <t>Pausas Detalhadas?</t>
  </si>
  <si>
    <t>Não</t>
  </si>
  <si>
    <t>Sim</t>
  </si>
  <si>
    <t>Equipe e Operação</t>
  </si>
  <si>
    <t># Agentes</t>
  </si>
  <si>
    <t>TOTAL GERAL</t>
  </si>
  <si>
    <t>Nome no Compilado (truncado)</t>
  </si>
  <si>
    <t>Status do Match</t>
  </si>
  <si>
    <t>Nome Completo (Escala)</t>
  </si>
  <si>
    <t>✓ Mapeado</t>
  </si>
  <si>
    <t>ADRIANE PIRES DA SILVA SE</t>
  </si>
  <si>
    <t>ALEXANDRE LOPES DOS SANTO</t>
  </si>
  <si>
    <t>AMANDA SANTOS LOPES FLORE</t>
  </si>
  <si>
    <t>ANA BEATRIZ COSTA DA SILV</t>
  </si>
  <si>
    <t>ANA CAROLINA SANTOS GONCA</t>
  </si>
  <si>
    <t>ANA CRISTINA SOUZA DE MED</t>
  </si>
  <si>
    <t>ANA PAULA NASCIMENTO MONT</t>
  </si>
  <si>
    <t>ANDRESSA PEREIRA DOS SANT</t>
  </si>
  <si>
    <t>ANNE HELOIZA NOGUEIRA SAN</t>
  </si>
  <si>
    <t>ANTONIA KESSIA CARVALHO P</t>
  </si>
  <si>
    <t>AQUILES RODRIGUES DE FREI</t>
  </si>
  <si>
    <t>ARIENE GONCALVES DE MORAE</t>
  </si>
  <si>
    <t>AURA RODRIGUES DO NASCIME</t>
  </si>
  <si>
    <t>BARBARA GLENDA DONIZETE D</t>
  </si>
  <si>
    <t>CAMILA OLIVEIRA DAS CHAGA</t>
  </si>
  <si>
    <t>CARLA RAYNARA CAMPELO COS</t>
  </si>
  <si>
    <t>CARLOS AUGUSTO MOREIRA BE</t>
  </si>
  <si>
    <t>DAYANE FERNANDA PEREIRA D</t>
  </si>
  <si>
    <t>DEBORA BRAGA DE MATOS AQU</t>
  </si>
  <si>
    <t>DEBORA IMIDIO DOS SANTOS</t>
  </si>
  <si>
    <t>DENISE DOS SANTOS VASCONC</t>
  </si>
  <si>
    <t>DIOVANIA ROCHA ALVES SANT</t>
  </si>
  <si>
    <t>HELENA VITORIA MACEDO DUT</t>
  </si>
  <si>
    <t>ELIZABETE ALVES NASCIMENT</t>
  </si>
  <si>
    <t>FABIO BORGES DOS SANTOS F</t>
  </si>
  <si>
    <t>GILIELLE MAIANE ROSA E SI</t>
  </si>
  <si>
    <t>GRAZIELE CRISTINA PINTO D</t>
  </si>
  <si>
    <t>HUMBERTO FELIPE SANTANA R</t>
  </si>
  <si>
    <t>IONARA PINTO DE SOUSA TEL</t>
  </si>
  <si>
    <t>JONATAN MENDONCA DOS SANT</t>
  </si>
  <si>
    <t>JULLIANA TELES DE CASTRO</t>
  </si>
  <si>
    <t>KAIELLY VITORIA PEREIRA A</t>
  </si>
  <si>
    <t>KAROLYNY KELLY OLIVEIRA A</t>
  </si>
  <si>
    <t>KEILA GOMES DA COSTA NEVE</t>
  </si>
  <si>
    <t>LARA CARNEIRO DE ARAUJO M</t>
  </si>
  <si>
    <t>LARYSSA MARIANE RODRIGUES</t>
  </si>
  <si>
    <t>LEONORA ADRIANE DE ALMEID</t>
  </si>
  <si>
    <t>LIDIA GABRIELLY DOS SANTO</t>
  </si>
  <si>
    <t>LISANDRA CRISTINA CAETANO</t>
  </si>
  <si>
    <t>LORENI TAMIRES LOPES DA S</t>
  </si>
  <si>
    <t>LUANA RODRIGUES DE SIQUEI</t>
  </si>
  <si>
    <t>LUCAS HENRIQUE DIAS SOARE</t>
  </si>
  <si>
    <t>LUIZA VICTORIA DO NASCIME</t>
  </si>
  <si>
    <t>MAGNA ANDREA OLIVEIRA SIL</t>
  </si>
  <si>
    <t>MARIA DO CARMO SOUZA SANT</t>
  </si>
  <si>
    <t>MARIA EDUARDA CARNEIRO RI</t>
  </si>
  <si>
    <t>MARIANA CARVALHO DOS SANT</t>
  </si>
  <si>
    <t>MARIANY GOMES SIQUEIRA CA</t>
  </si>
  <si>
    <t>MANUELLA TELES CARNEIRO</t>
  </si>
  <si>
    <t>MICKAELY RODRIGUES PROFET</t>
  </si>
  <si>
    <t>MORGANA NATARRY RIBEIRO R</t>
  </si>
  <si>
    <t>NATANIA CRISTINA ALVES DA</t>
  </si>
  <si>
    <t>NATANY CRISTINY GOMES OLI</t>
  </si>
  <si>
    <t>NAYARA ELLEN ALVES DE MEL</t>
  </si>
  <si>
    <t>ORNELIA DE AGUIAR CORDEIR</t>
  </si>
  <si>
    <t>ORTELINA NEVES DE JESUS N</t>
  </si>
  <si>
    <t>RAYCA ALVES DA SILVA GONC</t>
  </si>
  <si>
    <t>RENATA MARQUES LIMA DOS R</t>
  </si>
  <si>
    <t>SAMEA THAISE FONSECA CUNH</t>
  </si>
  <si>
    <t>SARA LUISA MACIEL DIAS ES</t>
  </si>
  <si>
    <t>SHELLEY DYANNE DE SOUSA S</t>
  </si>
  <si>
    <t>SHIRLEY LUZIA DE SOUSA AN</t>
  </si>
  <si>
    <t>TATIANE FERREIRA DE OLIVE</t>
  </si>
  <si>
    <t>THAIS DO SOCORRO CAVALCAN</t>
  </si>
  <si>
    <t>THAYLA VITORIA LIMA DOS S</t>
  </si>
  <si>
    <t>THAYNA FEREIRA DE MELO DO</t>
  </si>
  <si>
    <t>WANESSA YASMIM DE ALMEIDA</t>
  </si>
  <si>
    <t>YASMIN KETLEM ALVES DOS R</t>
  </si>
  <si>
    <t>YASMYM VITORIA BARBOSA PA</t>
  </si>
  <si>
    <t>YTALLO AUGUSTO TORRES COS</t>
  </si>
  <si>
    <t>ADRIANA REIS DOS SANTOS</t>
  </si>
  <si>
    <t>ADRIANE OLIVEIRA STOPPA</t>
  </si>
  <si>
    <t>AMANDA CAROLINE SOARES DOS SANTOS MORAIS</t>
  </si>
  <si>
    <t>CAMILA FAUSTINA DA COSTA</t>
  </si>
  <si>
    <t>CLEITIANE DE SOUSA SILVA SANTOS</t>
  </si>
  <si>
    <t>LIVYA ALVES BARBOSA</t>
  </si>
  <si>
    <t>MARCO ANTONIO DA SILVA TINOCO</t>
  </si>
  <si>
    <t>MARIA CLARA DOS SANTOS SOUSA BRITO</t>
  </si>
  <si>
    <t>QUEMUEL LUCAS POTENCIANO SILVA</t>
  </si>
  <si>
    <t>RAILANA FE DA SILVA</t>
  </si>
  <si>
    <t>RAISSA LOPES DOS SANTOS</t>
  </si>
  <si>
    <t>RAQUEL CRISTINA LIMA DA CONCEICAO</t>
  </si>
  <si>
    <t>SILVANIA AMORIM DE SOUZA COSTA</t>
  </si>
  <si>
    <t>STEPHANNY GABRIELLE DA SILVA SOUSA</t>
  </si>
  <si>
    <t>THAIS FRANCA CAMPOS</t>
  </si>
  <si>
    <t>VANESSA SERAFIM DOS ANJOS</t>
  </si>
  <si>
    <t>RELATÓRIO DE PAUSAS POR USUÁRIO — HUBMAIS</t>
  </si>
  <si>
    <t>Período: 01/05/2026 a 07/05/2026 (excluindo 03/05)</t>
  </si>
  <si>
    <t>1. Estrutura do relatório</t>
  </si>
  <si>
    <t>Painel</t>
  </si>
  <si>
    <t>Aba interativa com filtros dinâmicos. KPIs e tabela detalhada se ajustam automaticamente conforme você muda os filtros. É o ponto de partida.</t>
  </si>
  <si>
    <t>Consolidado</t>
  </si>
  <si>
    <t>1 linha por agente, somando todos os 6 dias do período. Visão estática, executiva.</t>
  </si>
  <si>
    <t>Diário</t>
  </si>
  <si>
    <t>Long format — 1 linha por agente × dia. Base de dados que alimenta o Painel. Use para pivot tables externas.</t>
  </si>
  <si>
    <t>Resumo Supervisor</t>
  </si>
  <si>
    <t>Agregação por supervisor com linha de total geral.</t>
  </si>
  <si>
    <t>Mapeamento</t>
  </si>
  <si>
    <t>Detalhe do cruzamento Compilado ↔ Escala. Mostra também quem está na escala mas não teve registro nos dias.</t>
  </si>
  <si>
    <t>2. Como usar o Painel</t>
  </si>
  <si>
    <t>Modo de análise</t>
  </si>
  <si>
    <t>Escolha entre 3 modos: "Dia específico" usa a data informada em "Data específica". "Consolidado" agrega todos os dias automaticamente (ignora as datas). "Intervalo" usa as datas em "Data início" e "Data fim".</t>
  </si>
  <si>
    <t>Padrão de abertura</t>
  </si>
  <si>
    <t>Por padrão o painel abre com modo "Dia específico" e o último dia disponível (07/05/2026). Ao atualizar a base, basta editar a célula da data específica para o dia novo.</t>
  </si>
  <si>
    <t>Filtros adicionais</t>
  </si>
  <si>
    <t>Os campos Área e Supervisor têm a opção "TODAS"/"TODOS" para não filtrar, ou um valor específico. Combine os filtros como quiser — eles agem em conjunto.</t>
  </si>
  <si>
    <t>Datas efetivas</t>
  </si>
  <si>
    <t>A direita dos filtros mostra qual período foi de fato aplicado. Útil para conferir antes de tirar conclusões.</t>
  </si>
  <si>
    <t>Linhas em cinza</t>
  </si>
  <si>
    <t>Agentes que não tiveram atividade no filtro escolhido (0 chamadas e 0 tempo logado) aparecem em cinza claro automaticamente.</t>
  </si>
  <si>
    <t>Filtro do Excel</t>
  </si>
  <si>
    <t>A linha de cabeçalho da tabela tem AutoFilter ativo. Você pode adicionar filtros extras (ex: ordenar por TMA) sem afetar os filtros principais do painel.</t>
  </si>
  <si>
    <t>3. Cálculo das métricas</t>
  </si>
  <si>
    <t>Tempo Médio de Atendimento = Tempo Falado (TALK) ÷ Chamadas (CALLS). Considera apenas o tempo de conversa, não inclui pós-atendimento (DISPO). Se quiser incluir DISPO, basta avisar.</t>
  </si>
  <si>
    <t>Tempo Pausado ÷ Tempo Logado.</t>
  </si>
  <si>
    <t>TMA Médio do Painel</t>
  </si>
  <si>
    <t>Soma de todo o TALK do filtro ÷ soma de todas as CALLS do filtro. É média ponderada, não média simples dos TMAs individuais.</t>
  </si>
  <si>
    <t>Tempos</t>
  </si>
  <si>
    <t>Todos os tempos estão em formato [h]:mm:ss e suportam mais de 24h. Internamente são frações de dia (1 dia = 1.0).</t>
  </si>
  <si>
    <t>4. Detalhamento por tipo de pausa</t>
  </si>
  <si>
    <t>Cobertura</t>
  </si>
  <si>
    <t>Conforme alinhado, o detalhamento por tipo (BANHEI, DESCAN, FEEDBK, LANCHE, MANUAL, TREINA, TESTE) só é considerado a partir de 05/05/2026. Os dias 01, 02 e 04/05 contribuem apenas para o tempo TOTAL pausado.</t>
  </si>
  <si>
    <t>Por que</t>
  </si>
  <si>
    <t>Antes de 05/05 o sistema só registrava DISMX, LAGGED e LOGIN. Misturar com os dias posteriores distorceria a leitura por categoria.</t>
  </si>
  <si>
    <t>Aparece apenas no dia 05/05. Sumiu nos dias 06 e 07.</t>
  </si>
  <si>
    <t>5. Cruzamento com a escala</t>
  </si>
  <si>
    <t>Estratégia</t>
  </si>
  <si>
    <t>Match prioritário pelo prefixo dos primeiros 25 caracteres do nome (que é como o sistema trunca o USER NAME). Onde o prefixo não bateu, fuzzy matching com tolerância de 85%.</t>
  </si>
  <si>
    <t>Resultados</t>
  </si>
  <si>
    <t>138 de 142 agentes do compilado foram cruzados automaticamente. Os 4 não identificados são lideranças (Pedro Saddi, Bianca Muniz, Caue Fonseca, Paula Fernanda) que não constam na escala como operadores.</t>
  </si>
  <si>
    <t>Inconsistência</t>
  </si>
  <si>
    <t>O nome "THAYNA FEREIRA" no compilado tem grafia diferente da escala ("THAYNA FERREIRA" — duas RR). O fuzzy matching resolveu, mas vale corrigir no cadastro.</t>
  </si>
  <si>
    <t>6. Itens excluídos</t>
  </si>
  <si>
    <t>Admin</t>
  </si>
  <si>
    <t>Registro com ID 6666 ("Admin") removido de todas as agregações.</t>
  </si>
  <si>
    <t>Linha TOTALS</t>
  </si>
  <si>
    <t>A linha "TOTALS AGENTS:" que aparece no final de cada aba do relatório original foi descartada.</t>
  </si>
  <si>
    <t>7. Próximos passos sugeridos</t>
  </si>
  <si>
    <t>Cadastrar Caue e Julliana</t>
  </si>
  <si>
    <t>Estão operando mas não constam na escala.</t>
  </si>
  <si>
    <t>Corrigir grafia de THAYNA</t>
  </si>
  <si>
    <t>Padronizar entre cadastro do sistema e escala.</t>
  </si>
  <si>
    <t>Atualizar diariamente</t>
  </si>
  <si>
    <t>Quando o relatório do dia chegar, basta acrescentar a aba na planilha-fonte e regerar este compilado. O Painel automaticamente passa a mostrar o novo último dia se você editar a data específica.</t>
  </si>
  <si>
    <t>TMA Médio</t>
  </si>
  <si>
    <t>Tempo Total Falado</t>
  </si>
  <si>
    <t>Tempo Total Pausa</t>
  </si>
  <si>
    <t>% Pausa</t>
  </si>
  <si>
    <t>Chamadas</t>
  </si>
  <si>
    <t>Pausa Descanso</t>
  </si>
  <si>
    <t>Pausa Lanche</t>
  </si>
  <si>
    <t>ANNE HELOIZA NOGUEIRA SANTOS</t>
  </si>
  <si>
    <t>AVISO PRÉVIO</t>
  </si>
  <si>
    <t>MONITOR</t>
  </si>
  <si>
    <t>QUALIDADE</t>
  </si>
  <si>
    <t>DIVINA DOS REIS PEREIRA SANTOS</t>
  </si>
  <si>
    <t>divinasa</t>
  </si>
  <si>
    <t>GABRIELA PIRES DOS SANTOS</t>
  </si>
  <si>
    <t>IVONEIDE DUARTE FERREIRA</t>
  </si>
  <si>
    <t>NAYARA BISPO DO ESPIRITO SANTO</t>
  </si>
  <si>
    <t>ANDRIELLY PEREIRA DA SILVA CEZAR</t>
  </si>
  <si>
    <t>ZIRLENE SOUZA SILVA LOPO</t>
  </si>
  <si>
    <t>DESLIGADO</t>
  </si>
  <si>
    <t>andressasantos</t>
  </si>
  <si>
    <t>deboracoelho</t>
  </si>
  <si>
    <t>elainesilva</t>
  </si>
  <si>
    <t>gustavoabreu</t>
  </si>
  <si>
    <t>jennyferlima</t>
  </si>
  <si>
    <t>mikaellealves</t>
  </si>
  <si>
    <t>sophiacardoso</t>
  </si>
  <si>
    <t>monicasouza</t>
  </si>
  <si>
    <t>anacastro</t>
  </si>
  <si>
    <t>carlacampelo</t>
  </si>
  <si>
    <t>daianesilva</t>
  </si>
  <si>
    <t>dayanealmeida</t>
  </si>
  <si>
    <t>gabrielasantos</t>
  </si>
  <si>
    <t>ivoneideferreira</t>
  </si>
  <si>
    <t>jeovannaferreira</t>
  </si>
  <si>
    <t>kalissagoncalves</t>
  </si>
  <si>
    <t>karolynyassis</t>
  </si>
  <si>
    <t>luziasantos</t>
  </si>
  <si>
    <t>marianadamacena</t>
  </si>
  <si>
    <t>nayarapereira</t>
  </si>
  <si>
    <t>amandaalves</t>
  </si>
  <si>
    <t>barbaradias</t>
  </si>
  <si>
    <t>diovaniasantos</t>
  </si>
  <si>
    <t>jullianabarreto</t>
  </si>
  <si>
    <t>larasouza</t>
  </si>
  <si>
    <t>lucassoares</t>
  </si>
  <si>
    <t>magnasouza</t>
  </si>
  <si>
    <t>saraescolastico</t>
  </si>
  <si>
    <t>shirleyandrade</t>
  </si>
  <si>
    <t>trissyaraujo</t>
  </si>
  <si>
    <t>wanessachaves</t>
  </si>
  <si>
    <t>carlosbergues</t>
  </si>
  <si>
    <t>danillooliveira</t>
  </si>
  <si>
    <t>gustavoteixeira</t>
  </si>
  <si>
    <t>divinasantos</t>
  </si>
  <si>
    <t>edivanealuna</t>
  </si>
  <si>
    <t>deboraaquino</t>
  </si>
  <si>
    <t>fabiofilho</t>
  </si>
  <si>
    <t>keythmorais</t>
  </si>
  <si>
    <t>eduardomarques</t>
  </si>
  <si>
    <t>kailanesousa</t>
  </si>
  <si>
    <t>nadyabessa</t>
  </si>
  <si>
    <t>orneliabarbosa</t>
  </si>
  <si>
    <t>raycagoncalves</t>
  </si>
  <si>
    <t>thaismariano</t>
  </si>
  <si>
    <t>anandavieira</t>
  </si>
  <si>
    <t>arienenascimento</t>
  </si>
  <si>
    <t>humbertorodrigues</t>
  </si>
  <si>
    <t>isabelaneves</t>
  </si>
  <si>
    <t>larissaxavier</t>
  </si>
  <si>
    <t>luizalima</t>
  </si>
  <si>
    <t>sabrinasousa</t>
  </si>
  <si>
    <t>wanessafilgueira</t>
  </si>
  <si>
    <t>edynayanefranca</t>
  </si>
  <si>
    <t>iasmymsilva</t>
  </si>
  <si>
    <t>morganareis</t>
  </si>
  <si>
    <t>nataniasilva</t>
  </si>
  <si>
    <t>adriamsilva</t>
  </si>
  <si>
    <t>alexandresantos</t>
  </si>
  <si>
    <t>camilachagas</t>
  </si>
  <si>
    <t>lidiasousa</t>
  </si>
  <si>
    <t>mariasantos</t>
  </si>
  <si>
    <t>michellylopes</t>
  </si>
  <si>
    <t>giliellesilva</t>
  </si>
  <si>
    <t>annegontijo</t>
  </si>
  <si>
    <t>dandaraoliveira</t>
  </si>
  <si>
    <t>valdelicialima</t>
  </si>
  <si>
    <t>odetesilva</t>
  </si>
  <si>
    <t>VISÃO DIÁRIA — EVOLUÇÃO DA OPERAÇÃO</t>
  </si>
  <si>
    <t>Dia da Semana</t>
  </si>
  <si>
    <t># Agentes Ativos</t>
  </si>
  <si>
    <t>Logado/Agente</t>
  </si>
  <si>
    <t>Falado/Agente</t>
  </si>
  <si>
    <t>Pausado/Agente</t>
  </si>
  <si>
    <t>Sábado</t>
  </si>
  <si>
    <t>Segunda</t>
  </si>
  <si>
    <t>Terça</t>
  </si>
  <si>
    <t>TOTAL</t>
  </si>
  <si>
    <t>FALTAS DO DIA</t>
  </si>
  <si>
    <t>Data:</t>
  </si>
  <si>
    <t>Total esperados (ativos):</t>
  </si>
  <si>
    <t>Total FALTARAM:</t>
  </si>
  <si>
    <t>Total trabalharam:</t>
  </si>
  <si>
    <t>Agente</t>
  </si>
  <si>
    <t>Logou?</t>
  </si>
  <si>
    <t>COMPARATIVO ENTRE SUPERVISORES</t>
  </si>
  <si>
    <t>Chamadas/Agente</t>
  </si>
  <si>
    <t>Médias por Agente</t>
  </si>
  <si>
    <t>amandamo</t>
  </si>
  <si>
    <t>raissasa</t>
  </si>
  <si>
    <t>gabriela</t>
  </si>
  <si>
    <t>ivoneide</t>
  </si>
  <si>
    <t>nayarape</t>
  </si>
  <si>
    <t>VDCL</t>
  </si>
  <si>
    <t/>
  </si>
  <si>
    <t>VENDAS</t>
  </si>
  <si>
    <t>NICOLAS NOLBERTO MENA</t>
  </si>
  <si>
    <t>ℹ % Pausa: inclui TODOS os agentes logados, mesmo quem não atendeu nenhuma chamada (por isso fica maior que na aba Análise por Fila).</t>
  </si>
  <si>
    <t>helenadutra</t>
  </si>
  <si>
    <t>HELENA VITORIA MACEDO DUTRA</t>
  </si>
  <si>
    <t>⚠ Sem ID ViciDial</t>
  </si>
  <si>
    <t>LAIS RIBEIRO DA SILVA</t>
  </si>
  <si>
    <t>TREINAMENTO</t>
  </si>
  <si>
    <t>BRENDO ARAUJO DA LUZ</t>
  </si>
  <si>
    <t>DENISE MARINHO DE SOUZA</t>
  </si>
  <si>
    <t>IORRANNA KELLEN RODRIGUES</t>
  </si>
  <si>
    <t>JOSELITA NUNES DE SOUZA</t>
  </si>
  <si>
    <t>LARA SOUZA HEINZ</t>
  </si>
  <si>
    <t>MARIA DIEGICA PEREIRA DA SILVA</t>
  </si>
  <si>
    <t>MARIA DYSLLIAN JUSTINO FERRAZ</t>
  </si>
  <si>
    <t>MARIANA RESENDE GONCALVES</t>
  </si>
  <si>
    <t>MATHEUS CHAVES LEITE</t>
  </si>
  <si>
    <t>NATALIA AZEVEDO DA SILVA</t>
  </si>
  <si>
    <t>NATHALIA DOS SANTOS MORAIS</t>
  </si>
  <si>
    <t>PAULA CRISTINA CAETANO DA SILVA</t>
  </si>
  <si>
    <t>SABRINA DA COSTA NERES</t>
  </si>
  <si>
    <t>helenadu</t>
  </si>
  <si>
    <t>ATENDIMENTO POR FILA — HUBMAIS</t>
  </si>
  <si>
    <t>SEGMENTAÇÕES</t>
  </si>
  <si>
    <t>INDICADORES (apenas das linhas visíveis após filtro)</t>
  </si>
  <si>
    <t>BASE DE DADOS (1 linha por agente × fila × dia)</t>
  </si>
  <si>
    <t>Área Fixa (Escala)</t>
  </si>
  <si>
    <t>Fila de Atendimento</t>
  </si>
  <si>
    <t>ANÁLISE POR FILA DE ATENDIMENTO — HUBMAIS</t>
  </si>
  <si>
    <t>ℹ % Pausa: considera só quem atendeu chamada (1 linha por agente × fila); quem logou e não atendeu não entra aqui (por isso fica menor que no Painel).</t>
  </si>
  <si>
    <t>Pausa</t>
  </si>
  <si>
    <t>brendoluz</t>
  </si>
  <si>
    <t>denisesouza</t>
  </si>
  <si>
    <t>laissilva</t>
  </si>
  <si>
    <t>laraheinz</t>
  </si>
  <si>
    <t>mariaferraz</t>
  </si>
  <si>
    <t>marianagoncalves</t>
  </si>
  <si>
    <t>matheusleite</t>
  </si>
  <si>
    <t>nataliaazevedo</t>
  </si>
  <si>
    <t>nathaliamorais</t>
  </si>
  <si>
    <t>paulasilva</t>
  </si>
  <si>
    <t>sabrinaneres</t>
  </si>
  <si>
    <t>manuella</t>
  </si>
  <si>
    <t>ALAINE BARBOSA RIBEIRO</t>
  </si>
  <si>
    <t>alaineribeiro</t>
  </si>
  <si>
    <t>EDUARDO GABRIEL ANGELIM GONCALVES</t>
  </si>
  <si>
    <t>eduardogoncalves</t>
  </si>
  <si>
    <t>GEOVANA DANIELE PINTO DAS NEVES</t>
  </si>
  <si>
    <t>geovananeves</t>
  </si>
  <si>
    <t>GEOVANA GABRIELLY QUEIROZ DOS SANTOS</t>
  </si>
  <si>
    <t>geovanasantos</t>
  </si>
  <si>
    <t>GERLAINY CRISTINA DE OLIVEIRA SANTOS</t>
  </si>
  <si>
    <t>gerlainysantos</t>
  </si>
  <si>
    <t>JAMILLY SALES MOTA</t>
  </si>
  <si>
    <t>jamillymota</t>
  </si>
  <si>
    <t>JESSICA SILVA DA COSTA</t>
  </si>
  <si>
    <t>jessicacosta</t>
  </si>
  <si>
    <t>JOAO PEDRO DE SOUZA SANTOS</t>
  </si>
  <si>
    <t>joaosantos</t>
  </si>
  <si>
    <t>JORDANNA BEATRIZ BARBOSA REQUEL</t>
  </si>
  <si>
    <t>jordannarequel</t>
  </si>
  <si>
    <t>LAURA CRISTINNY DOS REIS CIRQUEIRA</t>
  </si>
  <si>
    <t>lauracirqueira</t>
  </si>
  <si>
    <t>LEIDIANE BARBOSA CAMPOS OLIVA</t>
  </si>
  <si>
    <t>leidianeoliva</t>
  </si>
  <si>
    <t>LORRANE PAES DE OLIVEIRA</t>
  </si>
  <si>
    <t>lorraneoliveira</t>
  </si>
  <si>
    <t>manuellacarneiro</t>
  </si>
  <si>
    <t>POLIANA OLIVEIRA CORREIA</t>
  </si>
  <si>
    <t>polianacorreia</t>
  </si>
  <si>
    <t>rafaellasantos</t>
  </si>
  <si>
    <t>SONIA CRISTINA ALVES DO CARMO</t>
  </si>
  <si>
    <t>soniacarmo</t>
  </si>
  <si>
    <t>TALYTA GABRYELE SILVA SOUZA</t>
  </si>
  <si>
    <t>talytasouza</t>
  </si>
  <si>
    <t>WILDSON DOS ANJOS FELIPE</t>
  </si>
  <si>
    <t>wildsonfelipe</t>
  </si>
  <si>
    <t>YARA DO CARMO DA CONCEICAO</t>
  </si>
  <si>
    <t>yaraconceicao</t>
  </si>
  <si>
    <t>YSABELY YSTEFFANY ANTONIO SANTOS</t>
  </si>
  <si>
    <t>ysabellysantos</t>
  </si>
  <si>
    <t>CASSIA CRISTINA CARVALHO GONCALVES</t>
  </si>
  <si>
    <t>cassiagoncalves</t>
  </si>
  <si>
    <t>JADNA ROBERTA GOMES DE SOUSA</t>
  </si>
  <si>
    <t>jadnagomes</t>
  </si>
  <si>
    <t>GEOVANA GABRIELLY QUEIRO</t>
  </si>
  <si>
    <t>— sem login —</t>
  </si>
  <si>
    <t>loislene</t>
  </si>
  <si>
    <t>LOISLENE OLIVEIRA DA SIL</t>
  </si>
  <si>
    <t>✓ Escala</t>
  </si>
  <si>
    <t>LOISLENE OLIVEIRA DA SILVA</t>
  </si>
  <si>
    <t>SONIA CRISTINA ALVES DO</t>
  </si>
  <si>
    <t>TALYTA GABRYELE SILVA SO</t>
  </si>
  <si>
    <t>wildsonf</t>
  </si>
  <si>
    <t>CASSIA CRISTINA CARVALHO</t>
  </si>
  <si>
    <t>ANA CECILIA BATISTA FREI</t>
  </si>
  <si>
    <t>ANA CECILIA BATISTA FREIRE</t>
  </si>
  <si>
    <t>JOAO PEDRO DE SOUZA SANT</t>
  </si>
  <si>
    <t>YARA DO CARMO DA CONCEIC</t>
  </si>
  <si>
    <t>YSABELY YSTEFFANY ANTONI</t>
  </si>
  <si>
    <t>alaineri</t>
  </si>
  <si>
    <t>GEOVANA DANIELE PINTO DA</t>
  </si>
  <si>
    <t>JADNA ROBERTA GOMES DE S</t>
  </si>
  <si>
    <t>LEIDIANE BARBOSA CAMPOS</t>
  </si>
  <si>
    <t>polianac</t>
  </si>
  <si>
    <t>IADRYA DO NASCIMENTO SOU</t>
  </si>
  <si>
    <t>IADRYA DO NASCIMENTO SOUZA</t>
  </si>
  <si>
    <t>JORDANNA BEATRIZ BARBOSA</t>
  </si>
  <si>
    <t>geovanan</t>
  </si>
  <si>
    <t>GEOVANA DANIELE PINTO DAS</t>
  </si>
  <si>
    <t>EDUARDO GABRIEL ANGELIM</t>
  </si>
  <si>
    <t>GERLAINY CRISTINA DE OLI</t>
  </si>
  <si>
    <t>ITHALLO MARCOS BARBOSA D</t>
  </si>
  <si>
    <t>ITHALLO MARCOS BARBOSA DOS SANTOS</t>
  </si>
  <si>
    <t>jamillym</t>
  </si>
  <si>
    <t>jessicac</t>
  </si>
  <si>
    <t>LAURA CRISTINNY DOS REIS</t>
  </si>
  <si>
    <t>lorraneo</t>
  </si>
  <si>
    <t>PROJEÇÃO DE VARIÁVEL — FILA SAC</t>
  </si>
  <si>
    <t>Time SAC pela ESCALA atualizada (até 01/08). Métricas acumuladas do mês, por NOME (atualizam ao adicionar dias e quando novos agentes começam a produzir). Preencha apenas Faltas.</t>
  </si>
  <si>
    <t>REGRAS DA VARIÁVEL (valores editáveis)</t>
  </si>
  <si>
    <t>TMA — quanto menor, melhor</t>
  </si>
  <si>
    <t>1ª faixa</t>
  </si>
  <si>
    <t>2ª faixa</t>
  </si>
  <si>
    <t>3ª faixa</t>
  </si>
  <si>
    <t>Faixa única (≥ horas)</t>
  </si>
  <si>
    <t>Tempo em Pausa (% do login) — quanto menor, melhor</t>
  </si>
  <si>
    <t>Deflator — Faltas</t>
  </si>
  <si>
    <t>1 falta</t>
  </si>
  <si>
    <t>2 ou mais faltas</t>
  </si>
  <si>
    <t>R$ TMA</t>
  </si>
  <si>
    <t>Horas Logadas</t>
  </si>
  <si>
    <t>R$ Logado</t>
  </si>
  <si>
    <t>R$ Pausa</t>
  </si>
  <si>
    <t>Variável</t>
  </si>
  <si>
    <t>Faltas</t>
  </si>
  <si>
    <t>Deflator</t>
  </si>
  <si>
    <t>Variável Final</t>
  </si>
  <si>
    <t>0</t>
  </si>
  <si>
    <t>TOTAL (40 agentes)</t>
  </si>
  <si>
    <t>Quarta</t>
  </si>
  <si>
    <t>Quinta</t>
  </si>
  <si>
    <t>Sexta</t>
  </si>
  <si>
    <t>paulaalv</t>
  </si>
  <si>
    <t>RAFAELLA BARBOSA DOS SANTOS</t>
  </si>
  <si>
    <t>rafaelli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</si>
</sst>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R$&quot;\ #,##0.00"/>
  </numFmts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20"/>
      <color rgb="FF1F4E7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6"/>
      <color rgb="FF1F4E7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1F4E78"/>
      <name val="Arial"/>
      <family val="2"/>
    </font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i/>
      <sz val="9"/>
      <color rgb="FF595959"/>
      <name val="Calibri"/>
      <family val="2"/>
      <charset val="1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FF660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C6E0B4"/>
        <bgColor rgb="FFD9E1F2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none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70AD47"/>
        <bgColor rgb="FF548235"/>
      </patternFill>
    </fill>
    <fill>
      <patternFill patternType="solid">
        <fgColor rgb="FFED7D31"/>
        <bgColor rgb="FFC65911"/>
      </patternFill>
    </fill>
    <fill>
      <patternFill patternType="solid">
        <fgColor rgb="FFC65911"/>
        <bgColor rgb="FF9E480E"/>
      </patternFill>
    </fill>
    <fill>
      <patternFill patternType="solid">
        <fgColor theme="3"/>
        <bgColor rgb="FF0066CC"/>
      </patternFill>
    </fill>
    <fill>
      <patternFill patternType="solid">
        <fgColor rgb="FF1F2A3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 style="medium">
        <color rgb="FF548235"/>
      </left>
      <right/>
      <top/>
      <bottom style="medium">
        <color rgb="FF548235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medium">
        <color rgb="FFBF8F00"/>
      </left>
      <right/>
      <top/>
      <bottom style="medium">
        <color rgb="FFBF8F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 style="medium">
        <color rgb="FFC65911"/>
      </left>
      <right/>
      <top/>
      <bottom style="medium">
        <color rgb="FFC65911"/>
      </bottom>
      <diagonal/>
    </border>
    <border>
      <left style="medium">
        <color rgb="FFBF8F00"/>
      </left>
      <right style="medium">
        <color rgb="FFBF8F00"/>
      </right>
      <top/>
      <bottom style="medium">
        <color rgb="FFBF8F00"/>
      </bottom>
      <diagonal/>
    </border>
    <border>
      <left/>
      <right style="medium">
        <color rgb="FF548235"/>
      </right>
      <top/>
      <bottom/>
      <diagonal/>
    </border>
    <border>
      <left style="medium">
        <color rgb="FF548235"/>
      </left>
      <right style="medium">
        <color rgb="FF548235"/>
      </right>
      <top/>
      <bottom style="medium">
        <color rgb="FF548235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4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46" fontId="0" fillId="0" borderId="0" xfId="0" applyNumberFormat="1"/>
    <xf numFmtId="164" fontId="0" fillId="0" borderId="0" xfId="0" applyNumberFormat="1"/>
    <xf numFmtId="0" fontId="5" fillId="6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46" fontId="0" fillId="8" borderId="5" xfId="0" applyNumberFormat="1" applyFill="1" applyBorder="1"/>
    <xf numFmtId="164" fontId="0" fillId="8" borderId="5" xfId="0" applyNumberFormat="1" applyFill="1" applyBorder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6" fontId="0" fillId="0" borderId="5" xfId="0" applyNumberFormat="1" applyBorder="1"/>
    <xf numFmtId="164" fontId="0" fillId="0" borderId="5" xfId="0" applyNumberFormat="1" applyBorder="1"/>
    <xf numFmtId="14" fontId="0" fillId="8" borderId="5" xfId="0" applyNumberForma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vertical="top" wrapText="1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14" fontId="11" fillId="13" borderId="7" xfId="0" applyNumberFormat="1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46" fontId="11" fillId="13" borderId="7" xfId="0" applyNumberFormat="1" applyFont="1" applyFill="1" applyBorder="1"/>
    <xf numFmtId="164" fontId="11" fillId="13" borderId="7" xfId="0" applyNumberFormat="1" applyFont="1" applyFill="1" applyBorder="1"/>
    <xf numFmtId="14" fontId="11" fillId="16" borderId="7" xfId="0" applyNumberFormat="1" applyFont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center" vertical="center"/>
    </xf>
    <xf numFmtId="46" fontId="11" fillId="16" borderId="7" xfId="0" applyNumberFormat="1" applyFont="1" applyFill="1" applyBorder="1"/>
    <xf numFmtId="164" fontId="11" fillId="16" borderId="7" xfId="0" applyNumberFormat="1" applyFont="1" applyFill="1" applyBorder="1"/>
    <xf numFmtId="0" fontId="11" fillId="17" borderId="7" xfId="0" applyFont="1" applyFill="1" applyBorder="1"/>
    <xf numFmtId="3" fontId="14" fillId="17" borderId="7" xfId="0" applyNumberFormat="1" applyFont="1" applyFill="1" applyBorder="1" applyAlignment="1">
      <alignment horizontal="center" vertical="center"/>
    </xf>
    <xf numFmtId="46" fontId="14" fillId="17" borderId="7" xfId="0" applyNumberFormat="1" applyFont="1" applyFill="1" applyBorder="1" applyAlignment="1">
      <alignment horizontal="center" vertical="center"/>
    </xf>
    <xf numFmtId="164" fontId="14" fillId="17" borderId="7" xfId="0" applyNumberFormat="1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left" vertical="center" indent="1"/>
    </xf>
    <xf numFmtId="165" fontId="11" fillId="13" borderId="7" xfId="0" applyNumberFormat="1" applyFont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left" vertical="center" indent="1"/>
    </xf>
    <xf numFmtId="165" fontId="11" fillId="16" borderId="7" xfId="0" applyNumberFormat="1" applyFont="1" applyFill="1" applyBorder="1" applyAlignment="1">
      <alignment horizontal="center" vertical="center"/>
    </xf>
    <xf numFmtId="0" fontId="14" fillId="17" borderId="7" xfId="0" applyFont="1" applyFill="1" applyBorder="1"/>
    <xf numFmtId="165" fontId="14" fillId="17" borderId="7" xfId="0" applyNumberFormat="1" applyFont="1" applyFill="1" applyBorder="1" applyAlignment="1">
      <alignment horizontal="center" vertical="center"/>
    </xf>
    <xf numFmtId="0" fontId="11" fillId="13" borderId="7" xfId="0" applyFont="1" applyFill="1" applyBorder="1"/>
    <xf numFmtId="46" fontId="0" fillId="8" borderId="5" xfId="0" applyNumberFormat="1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46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46" fontId="6" fillId="9" borderId="5" xfId="0" applyNumberFormat="1" applyFont="1" applyFill="1" applyBorder="1" applyAlignment="1">
      <alignment horizontal="center" vertical="center"/>
    </xf>
    <xf numFmtId="164" fontId="6" fillId="9" borderId="5" xfId="0" applyNumberFormat="1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46" fontId="11" fillId="13" borderId="7" xfId="0" applyNumberFormat="1" applyFont="1" applyFill="1" applyBorder="1" applyAlignment="1">
      <alignment horizontal="center"/>
    </xf>
    <xf numFmtId="164" fontId="11" fillId="13" borderId="7" xfId="0" applyNumberFormat="1" applyFont="1" applyFill="1" applyBorder="1" applyAlignment="1">
      <alignment horizontal="center"/>
    </xf>
    <xf numFmtId="46" fontId="11" fillId="16" borderId="7" xfId="0" applyNumberFormat="1" applyFont="1" applyFill="1" applyBorder="1" applyAlignment="1">
      <alignment horizontal="center"/>
    </xf>
    <xf numFmtId="164" fontId="11" fillId="16" borderId="7" xfId="0" applyNumberFormat="1" applyFont="1" applyFill="1" applyBorder="1" applyAlignment="1">
      <alignment horizontal="center"/>
    </xf>
    <xf numFmtId="0" fontId="13" fillId="15" borderId="7" xfId="0" applyFont="1" applyFill="1" applyBorder="1" applyAlignment="1">
      <alignment horizontal="center"/>
    </xf>
    <xf numFmtId="14" fontId="11" fillId="13" borderId="7" xfId="0" applyNumberFormat="1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7" fillId="22" borderId="5" xfId="0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18" fillId="0" borderId="5" xfId="0" applyNumberFormat="1" applyFont="1" applyBorder="1" applyAlignment="1">
      <alignment horizontal="center" vertical="center"/>
    </xf>
    <xf numFmtId="45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" fontId="18" fillId="23" borderId="5" xfId="0" applyNumberFormat="1" applyFont="1" applyFill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66" fontId="18" fillId="25" borderId="5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46" fontId="4" fillId="4" borderId="8" xfId="0" applyNumberFormat="1" applyFont="1" applyFill="1" applyBorder="1" applyAlignment="1">
      <alignment horizontal="center" vertical="center"/>
    </xf>
    <xf numFmtId="46" fontId="4" fillId="4" borderId="2" xfId="0" applyNumberFormat="1" applyFont="1" applyFill="1" applyBorder="1" applyAlignment="1">
      <alignment horizontal="center" vertical="center"/>
    </xf>
    <xf numFmtId="46" fontId="4" fillId="4" borderId="9" xfId="0" applyNumberFormat="1" applyFont="1" applyFill="1" applyBorder="1" applyAlignment="1">
      <alignment horizontal="center" vertical="center"/>
    </xf>
    <xf numFmtId="46" fontId="4" fillId="4" borderId="10" xfId="0" applyNumberFormat="1" applyFont="1" applyFill="1" applyBorder="1" applyAlignment="1">
      <alignment horizontal="center" vertical="center"/>
    </xf>
    <xf numFmtId="46" fontId="4" fillId="4" borderId="3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0" fillId="4" borderId="0" xfId="0" applyFill="1"/>
    <xf numFmtId="164" fontId="4" fillId="4" borderId="1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46" fontId="4" fillId="4" borderId="13" xfId="0" applyNumberFormat="1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0" fontId="10" fillId="0" borderId="0" xfId="0" applyFont="1"/>
    <xf numFmtId="0" fontId="7" fillId="0" borderId="0" xfId="0" applyFont="1"/>
    <xf numFmtId="0" fontId="8" fillId="0" borderId="0" xfId="0" applyFont="1"/>
    <xf numFmtId="0" fontId="18" fillId="24" borderId="5" xfId="0" applyFont="1" applyFill="1" applyBorder="1" applyAlignment="1">
      <alignment horizontal="left" vertical="center"/>
    </xf>
    <xf numFmtId="0" fontId="16" fillId="22" borderId="0" xfId="0" applyFont="1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7" fillId="2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microsoft.com/office/2007/relationships/slicerCache" Target="slicerCaches/slicerCache14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5.xml"/><Relationship Id="rId25" Type="http://schemas.microsoft.com/office/2007/relationships/slicerCache" Target="slicerCaches/slicerCache1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07/relationships/slicerCache" Target="slicerCaches/slicerCache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41910</xdr:rowOff>
    </xdr:from>
    <xdr:to>
      <xdr:col>9</xdr:col>
      <xdr:colOff>792480</xdr:colOff>
      <xdr:row>12</xdr:row>
      <xdr:rowOff>163830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43922452-C9E5-6A01-4C0D-0570C43670D3}"/>
            </a:ext>
          </a:extLst>
        </xdr:cNvPr>
        <xdr:cNvGrpSpPr/>
      </xdr:nvGrpSpPr>
      <xdr:grpSpPr>
        <a:xfrm>
          <a:off x="0" y="1057910"/>
          <a:ext cx="11238230" cy="1645920"/>
          <a:chOff x="0" y="1047750"/>
          <a:chExt cx="11490960" cy="1584960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2" name="Data">
                <a:extLst>
                  <a:ext uri="{FF2B5EF4-FFF2-40B4-BE49-F238E27FC236}">
                    <a16:creationId xmlns:a16="http://schemas.microsoft.com/office/drawing/2014/main" id="{2004B0A7-F120-B907-BCDA-D849FFF34610}"/>
                  </a:ext>
                </a:extLst>
              </xdr:cNvPr>
              <xdr:cNvGraphicFramePr/>
            </xdr:nvGraphicFramePr>
            <xdr:xfrm>
              <a:off x="0" y="1055370"/>
              <a:ext cx="1828800" cy="1569720"/>
            </xdr:xfrm>
            <a:graphic>
              <a:graphicData uri="http://schemas.microsoft.com/office/drawing/2010/slicer">
                <sle:slicer xmlns:sle="http://schemas.microsoft.com/office/drawing/2010/slicer" name="Dat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048727"/>
                <a:ext cx="1827992" cy="159655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3" name="Nome">
                <a:extLst>
                  <a:ext uri="{FF2B5EF4-FFF2-40B4-BE49-F238E27FC236}">
                    <a16:creationId xmlns:a16="http://schemas.microsoft.com/office/drawing/2014/main" id="{7CF77CC7-65E2-8582-C6A9-6141DECA516D}"/>
                  </a:ext>
                </a:extLst>
              </xdr:cNvPr>
              <xdr:cNvGraphicFramePr/>
            </xdr:nvGraphicFramePr>
            <xdr:xfrm>
              <a:off x="9662160" y="1055370"/>
              <a:ext cx="1828800" cy="1569720"/>
            </xdr:xfrm>
            <a:graphic>
              <a:graphicData uri="http://schemas.microsoft.com/office/drawing/2010/slicer">
                <sle:slicer xmlns:sle="http://schemas.microsoft.com/office/drawing/2010/slicer" name="Nom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657888" y="1048727"/>
                <a:ext cx="1827992" cy="159655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4" name="Supervisor">
                <a:extLst>
                  <a:ext uri="{FF2B5EF4-FFF2-40B4-BE49-F238E27FC236}">
                    <a16:creationId xmlns:a16="http://schemas.microsoft.com/office/drawing/2014/main" id="{8565FFE0-2522-8673-BBD6-9EE37451005F}"/>
                  </a:ext>
                </a:extLst>
              </xdr:cNvPr>
              <xdr:cNvGraphicFramePr/>
            </xdr:nvGraphicFramePr>
            <xdr:xfrm>
              <a:off x="7729728" y="1055370"/>
              <a:ext cx="1828800" cy="1569720"/>
            </xdr:xfrm>
            <a:graphic>
              <a:graphicData uri="http://schemas.microsoft.com/office/drawing/2010/slicer">
                <sle:slicer xmlns:sle="http://schemas.microsoft.com/office/drawing/2010/slicer" name="Superviso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726311" y="1048727"/>
                <a:ext cx="1827992" cy="159655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5" name="Coordenador">
                <a:extLst>
                  <a:ext uri="{FF2B5EF4-FFF2-40B4-BE49-F238E27FC236}">
                    <a16:creationId xmlns:a16="http://schemas.microsoft.com/office/drawing/2014/main" id="{28C1009B-FC66-9BDD-E07A-1C71878FF041}"/>
                  </a:ext>
                </a:extLst>
              </xdr:cNvPr>
              <xdr:cNvGraphicFramePr/>
            </xdr:nvGraphicFramePr>
            <xdr:xfrm>
              <a:off x="5797296" y="1055370"/>
              <a:ext cx="1828800" cy="1569720"/>
            </xdr:xfrm>
            <a:graphic>
              <a:graphicData uri="http://schemas.microsoft.com/office/drawing/2010/slicer">
                <sle:slicer xmlns:sle="http://schemas.microsoft.com/office/drawing/2010/slicer" name="Coordenado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94733" y="1048727"/>
                <a:ext cx="1827992" cy="159655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6" name="Área">
                <a:extLst>
                  <a:ext uri="{FF2B5EF4-FFF2-40B4-BE49-F238E27FC236}">
                    <a16:creationId xmlns:a16="http://schemas.microsoft.com/office/drawing/2014/main" id="{BA798A16-E3F7-EDBE-5BA2-D330040271C7}"/>
                  </a:ext>
                </a:extLst>
              </xdr:cNvPr>
              <xdr:cNvGraphicFramePr/>
            </xdr:nvGraphicFramePr>
            <xdr:xfrm>
              <a:off x="1932432" y="1055370"/>
              <a:ext cx="1828800" cy="1569720"/>
            </xdr:xfrm>
            <a:graphic>
              <a:graphicData uri="http://schemas.microsoft.com/office/drawing/2010/slicer">
                <sle:slicer xmlns:sle="http://schemas.microsoft.com/office/drawing/2010/slicer" name="Áre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31578" y="1048727"/>
                <a:ext cx="1827992" cy="159655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7" name="Turno">
                <a:extLst>
                  <a:ext uri="{FF2B5EF4-FFF2-40B4-BE49-F238E27FC236}">
                    <a16:creationId xmlns:a16="http://schemas.microsoft.com/office/drawing/2014/main" id="{FCD23FA3-4C4E-F569-2D64-26F9693DD282}"/>
                  </a:ext>
                </a:extLst>
              </xdr:cNvPr>
              <xdr:cNvGraphicFramePr/>
            </xdr:nvGraphicFramePr>
            <xdr:xfrm>
              <a:off x="3864864" y="1047750"/>
              <a:ext cx="1828800" cy="1584960"/>
            </xdr:xfrm>
            <a:graphic>
              <a:graphicData uri="http://schemas.microsoft.com/office/drawing/2010/slicer">
                <sle:slicer xmlns:sle="http://schemas.microsoft.com/office/drawing/2010/slicer" name="Turn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63155" y="1040977"/>
                <a:ext cx="1827992" cy="161205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4</xdr:row>
      <xdr:rowOff>19050</xdr:rowOff>
    </xdr:from>
    <xdr:to>
      <xdr:col>2</xdr:col>
      <xdr:colOff>38100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ata 1">
              <a:extLst>
                <a:ext uri="{FF2B5EF4-FFF2-40B4-BE49-F238E27FC236}">
                  <a16:creationId xmlns:a16="http://schemas.microsoft.com/office/drawing/2014/main" id="{8159DC89-A59A-1943-4918-9EB9A7B6A4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476250</xdr:colOff>
      <xdr:row>4</xdr:row>
      <xdr:rowOff>19050</xdr:rowOff>
    </xdr:from>
    <xdr:to>
      <xdr:col>7</xdr:col>
      <xdr:colOff>438150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Fila de Atendimento">
              <a:extLst>
                <a:ext uri="{FF2B5EF4-FFF2-40B4-BE49-F238E27FC236}">
                  <a16:creationId xmlns:a16="http://schemas.microsoft.com/office/drawing/2014/main" id="{0D1A3965-AFDF-C75C-D190-72B1A00D84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a de Atendi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0225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752475</xdr:colOff>
      <xdr:row>4</xdr:row>
      <xdr:rowOff>19050</xdr:rowOff>
    </xdr:from>
    <xdr:to>
      <xdr:col>5</xdr:col>
      <xdr:colOff>447675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Nome Completo">
              <a:extLst>
                <a:ext uri="{FF2B5EF4-FFF2-40B4-BE49-F238E27FC236}">
                  <a16:creationId xmlns:a16="http://schemas.microsoft.com/office/drawing/2014/main" id="{33CED5F1-884D-2274-ED36-9A4E223E2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 Comple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2850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66675</xdr:colOff>
      <xdr:row>4</xdr:row>
      <xdr:rowOff>19050</xdr:rowOff>
    </xdr:from>
    <xdr:to>
      <xdr:col>3</xdr:col>
      <xdr:colOff>695325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upervisor 1">
              <a:extLst>
                <a:ext uri="{FF2B5EF4-FFF2-40B4-BE49-F238E27FC236}">
                  <a16:creationId xmlns:a16="http://schemas.microsoft.com/office/drawing/2014/main" id="{B761B7D9-CBE8-E385-56BF-BDC8BD78E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6900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4</xdr:row>
      <xdr:rowOff>19050</xdr:rowOff>
    </xdr:from>
    <xdr:to>
      <xdr:col>1</xdr:col>
      <xdr:colOff>1123950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ata 2">
              <a:extLst>
                <a:ext uri="{FF2B5EF4-FFF2-40B4-BE49-F238E27FC236}">
                  <a16:creationId xmlns:a16="http://schemas.microsoft.com/office/drawing/2014/main" id="{43B2465D-A86D-F526-BA2E-0DF08910BE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1162050</xdr:colOff>
      <xdr:row>4</xdr:row>
      <xdr:rowOff>19050</xdr:rowOff>
    </xdr:from>
    <xdr:to>
      <xdr:col>3</xdr:col>
      <xdr:colOff>590550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Fila de Atendimento 1">
              <a:extLst>
                <a:ext uri="{FF2B5EF4-FFF2-40B4-BE49-F238E27FC236}">
                  <a16:creationId xmlns:a16="http://schemas.microsoft.com/office/drawing/2014/main" id="{01128AE2-ABFE-755C-B34F-ACB1C571A8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a de Atendim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5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628650</xdr:colOff>
      <xdr:row>4</xdr:row>
      <xdr:rowOff>19050</xdr:rowOff>
    </xdr:from>
    <xdr:to>
      <xdr:col>5</xdr:col>
      <xdr:colOff>457200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Nome Completo 1">
              <a:extLst>
                <a:ext uri="{FF2B5EF4-FFF2-40B4-BE49-F238E27FC236}">
                  <a16:creationId xmlns:a16="http://schemas.microsoft.com/office/drawing/2014/main" id="{DD68632E-4848-00AD-D6D2-1B6C16D744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 Comple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2375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476250</xdr:colOff>
      <xdr:row>4</xdr:row>
      <xdr:rowOff>19050</xdr:rowOff>
    </xdr:from>
    <xdr:to>
      <xdr:col>7</xdr:col>
      <xdr:colOff>438150</xdr:colOff>
      <xdr:row>12</xdr:row>
      <xdr:rowOff>115050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upervisor 2">
              <a:extLst>
                <a:ext uri="{FF2B5EF4-FFF2-40B4-BE49-F238E27FC236}">
                  <a16:creationId xmlns:a16="http://schemas.microsoft.com/office/drawing/2014/main" id="{01C54E1A-53B1-3F1E-1049-DCCBD31477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0225" y="952500"/>
              <a:ext cx="18288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FCC5BF78-0316-4738-9616-F185C3D6AF64}" sourceName="Dat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" xr10:uid="{576E9E62-26C5-4E6C-A62A-399778B17AA1}" sourceName="Nome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" xr10:uid="{8E7D5EC4-18FD-42BF-94E0-2D8D87B9CC9B}" sourceName="Supervisor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ordenador" xr10:uid="{C847969C-7F50-4A63-8473-5D7D45098657}" sourceName="Coordenador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D6C0E392-E84D-401D-8241-10D346B9DCA7}" sourceName="Área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urno" xr10:uid="{851EA564-2993-4DF3-B89C-C7034DC99833}" sourceName="Turno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" xr10:uid="{3FCAD449-8BE3-4006-9CC2-54E4201B319E}" sourceName="Data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a_de_Atendimento" xr10:uid="{5FBDD143-B6AE-490D-959A-C99DD7FD2720}" sourceName="Fila de Atendimento">
  <extLst>
    <x:ext xmlns:x15="http://schemas.microsoft.com/office/spreadsheetml/2010/11/main" uri="{2F2917AC-EB37-4324-AD4E-5DD8C200BD13}">
      <x15:tableSlicerCache tableId="3" column="2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Completo" xr10:uid="{B9FD2DAB-D335-4967-BF03-326DC5068564}" sourceName="Nome Completo">
  <extLst>
    <x:ext xmlns:x15="http://schemas.microsoft.com/office/spreadsheetml/2010/11/main" uri="{2F2917AC-EB37-4324-AD4E-5DD8C200BD13}">
      <x15:tableSlicerCache tableId="3" column="11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1" xr10:uid="{950245A7-E687-4128-8B73-8A530D6DB52A}" sourceName="Supervisor">
  <extLst>
    <x:ext xmlns:x15="http://schemas.microsoft.com/office/spreadsheetml/2010/11/main" uri="{2F2917AC-EB37-4324-AD4E-5DD8C200BD13}">
      <x15:tableSlicerCache tableId="3" column="12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2" xr10:uid="{FFF026CC-5C94-4128-9D6D-A9D243756093}" sourceName="Data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a_de_Atendimento1" xr10:uid="{EC3365CD-3660-452B-A362-03B948A795B4}" sourceName="Fila de Atendimento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Completo1" xr10:uid="{0C87DFA9-E7AE-4572-944D-4B513208BFA5}" sourceName="Nome Completo">
  <extLst>
    <x:ext xmlns:x15="http://schemas.microsoft.com/office/spreadsheetml/2010/11/main" uri="{2F2917AC-EB37-4324-AD4E-5DD8C200BD13}">
      <x15:tableSlicerCache tableId="2" column="8"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2" xr10:uid="{4F7BEA94-4DDB-4189-92F4-3E2C1FA46925}" sourceName="Supervisor">
  <extLst>
    <x:ext xmlns:x15="http://schemas.microsoft.com/office/spreadsheetml/2010/11/main" uri="{2F2917AC-EB37-4324-AD4E-5DD8C200BD13}">
      <x15:tableSlicerCache tableId="2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9BCEA15A-6534-4CCE-872F-51C9C1EE3AB5}" cache="SegmentaçãodeDados_Data" caption="Data" rowHeight="234950"/>
  <slicer name="Nome" xr10:uid="{C16D70B6-E310-4473-8E61-41E14B104493}" cache="SegmentaçãodeDados_Nome" caption="Nome" rowHeight="234950"/>
  <slicer name="Supervisor" xr10:uid="{7C16D8BF-50FE-4300-B4D5-5921D2224CD8}" cache="SegmentaçãodeDados_Supervisor" caption="Supervisor" rowHeight="234950"/>
  <slicer name="Coordenador" xr10:uid="{740C6853-F467-40BA-9CB3-10C502029866}" cache="SegmentaçãodeDados_Coordenador" caption="Coordenador" rowHeight="234950"/>
  <slicer name="Área" xr10:uid="{3D101955-B96E-4F13-8CCB-DDDCD970CE4D}" cache="SegmentaçãodeDados_Área" caption="Área" rowHeight="234950"/>
  <slicer name="Turno" xr10:uid="{4D67F998-849B-4826-A3FC-DE4F1632D745}" cache="SegmentaçãodeDados_Turno" caption="Turn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1" xr10:uid="{13A0C2F3-8337-4885-AA7E-F1010C8B055A}" cache="SegmentaçãodeDados_Data1" caption="Data" rowHeight="241300"/>
  <slicer name="Fila de Atendimento" xr10:uid="{D12301D6-5595-4C55-AEF8-4EE7BD1E1140}" cache="SegmentaçãodeDados_Fila_de_Atendimento" caption="Fila de Atendimento" rowHeight="241300"/>
  <slicer name="Nome Completo" xr10:uid="{30E8638E-E6AB-44DB-BA41-E039D11928C0}" cache="SegmentaçãodeDados_Nome_Completo" caption="Nome Completo" rowHeight="241300"/>
  <slicer name="Supervisor 1" xr10:uid="{A277DA84-A5FD-49B4-B0FC-0279685A32A3}" cache="SegmentaçãodeDados_Supervisor1" caption="Supervisor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2" xr10:uid="{859FFE24-F4FD-4A55-9B75-8AB695939AD2}" cache="SegmentaçãodeDados_Data2" caption="Data" rowHeight="241300"/>
  <slicer name="Fila de Atendimento 1" xr10:uid="{58459A66-D891-4D32-88BF-DA6284365D0E}" cache="SegmentaçãodeDados_Fila_de_Atendimento1" caption="Fila de Atendimento" rowHeight="241300"/>
  <slicer name="Nome Completo 1" xr10:uid="{BC42D8EB-2E2F-4835-8D86-16473BD76B91}" cache="SegmentaçãodeDados_Nome_Completo1" caption="Nome Completo" rowHeight="241300"/>
  <slicer name="Supervisor 2" xr10:uid="{AAE1805C-E619-46DB-804A-5A889A06EFFD}" cache="SegmentaçãodeDados_Supervisor2" caption="Superviso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ultados" displayName="tblResultados" ref="A20:W1600" totalsRowShown="0" headerRowDxfId="14">
  <autoFilter ref="A20:W1600" xr:uid="{00000000-0009-0000-0100-000001000000}"/>
  <tableColumns count="23">
    <tableColumn id="1" xr3:uid="{00000000-0010-0000-0000-000001000000}" name="Data"/>
    <tableColumn id="2" xr3:uid="{00000000-0010-0000-0000-000002000000}" name="Nome"/>
    <tableColumn id="3" xr3:uid="{00000000-0010-0000-0000-000003000000}" name="ID"/>
    <tableColumn id="4" xr3:uid="{00000000-0010-0000-0000-000004000000}" name="Supervisor"/>
    <tableColumn id="5" xr3:uid="{00000000-0010-0000-0000-000005000000}" name="Coordenador"/>
    <tableColumn id="6" xr3:uid="{00000000-0010-0000-0000-000006000000}" name="Área"/>
    <tableColumn id="7" xr3:uid="{00000000-0010-0000-0000-000007000000}" name="Turno"/>
    <tableColumn id="8" xr3:uid="{00000000-0010-0000-0000-000008000000}" name="Chamadas"/>
    <tableColumn id="9" xr3:uid="{00000000-0010-0000-0000-000009000000}" name="Tempo Logado"/>
    <tableColumn id="10" xr3:uid="{00000000-0010-0000-0000-00000A000000}" name="Tempo Falado"/>
    <tableColumn id="11" xr3:uid="{00000000-0010-0000-0000-00000B000000}" name="TMA"/>
    <tableColumn id="12" xr3:uid="{00000000-0010-0000-0000-00000C000000}" name="Tempo Pausado"/>
    <tableColumn id="13" xr3:uid="{00000000-0010-0000-0000-00000D000000}" name="Pausa % Login"/>
    <tableColumn id="14" xr3:uid="{00000000-0010-0000-0000-00000E000000}" name="BANHEI"/>
    <tableColumn id="15" xr3:uid="{00000000-0010-0000-0000-00000F000000}" name="DESCAN"/>
    <tableColumn id="16" xr3:uid="{00000000-0010-0000-0000-000010000000}" name="DISMX"/>
    <tableColumn id="17" xr3:uid="{00000000-0010-0000-0000-000011000000}" name="FEEDBK"/>
    <tableColumn id="18" xr3:uid="{00000000-0010-0000-0000-000012000000}" name="LAGGED"/>
    <tableColumn id="19" xr3:uid="{00000000-0010-0000-0000-000013000000}" name="LANCHE"/>
    <tableColumn id="20" xr3:uid="{00000000-0010-0000-0000-000014000000}" name="LOGIN"/>
    <tableColumn id="21" xr3:uid="{00000000-0010-0000-0000-000015000000}" name="MANUAL"/>
    <tableColumn id="22" xr3:uid="{00000000-0010-0000-0000-000016000000}" name="TESTE"/>
    <tableColumn id="23" xr3:uid="{00000000-0010-0000-0000-000017000000}" name="TREIN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C3D4E5-0011-0000-FFFF-FFFF00000003}" name="tblAnaliseFila" displayName="tblAnaliseFila" ref="A20:L1811" totalsRowShown="0">
  <autoFilter ref="A20:L1811" xr:uid="{B2C3D4E5-0009-0000-0300-000003000000}"/>
  <sortState xmlns:xlrd2="http://schemas.microsoft.com/office/spreadsheetml/2017/richdata2" ref="A21:L1541">
    <sortCondition descending="1" ref="A20:A1541"/>
  </sortState>
  <tableColumns count="12">
    <tableColumn id="1" xr3:uid="{00000000-0010-0000-0200-000001000000}" name="Data"/>
    <tableColumn id="2" xr3:uid="{00000000-0010-0000-0200-000002000000}" name="Fila de Atendimento"/>
    <tableColumn id="3" xr3:uid="{00000000-0010-0000-0200-000003000000}" name="Agente"/>
    <tableColumn id="4" xr3:uid="{00000000-0010-0000-0200-000004000000}" name="Área Fixa (Escala)"/>
    <tableColumn id="5" xr3:uid="{00000000-0010-0000-0200-000005000000}" name="Chamadas"/>
    <tableColumn id="6" xr3:uid="{00000000-0010-0000-0200-000006000000}" name="Tempo Falado"/>
    <tableColumn id="7" xr3:uid="{00000000-0010-0000-0200-000007000000}" name="TMA"/>
    <tableColumn id="8" xr3:uid="{00000000-0010-0000-0200-000008000000}" name="Tempo Logado"/>
    <tableColumn id="9" xr3:uid="{00000000-0010-0000-0200-000009000000}" name="Pausa"/>
    <tableColumn id="10" xr3:uid="{00000000-0010-0000-0200-00000A000000}" name="% Pausa"/>
    <tableColumn id="11" xr3:uid="{00000000-0010-0000-0200-00000B000000}" name="Nome Completo"/>
    <tableColumn id="12" xr3:uid="{00000000-0010-0000-0200-00000C000000}" name="Supervis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B2C3D4-0011-0000-FFFF-FFFF00000002}" name="tblFila" displayName="tblFila" ref="A20:I1811" totalsRowShown="0">
  <autoFilter ref="A20:I1811" xr:uid="{A1B2C3D4-0009-0000-0200-000002000000}"/>
  <sortState xmlns:xlrd2="http://schemas.microsoft.com/office/spreadsheetml/2017/richdata2" ref="A21:I1541">
    <sortCondition descending="1" ref="A20:A1541"/>
  </sortState>
  <tableColumns count="9">
    <tableColumn id="1" xr3:uid="{00000000-0010-0000-0100-000001000000}" name="Data"/>
    <tableColumn id="2" xr3:uid="{00000000-0010-0000-0100-000002000000}" name="Agente"/>
    <tableColumn id="3" xr3:uid="{00000000-0010-0000-0100-000003000000}" name="Área Fixa (Escala)"/>
    <tableColumn id="4" xr3:uid="{00000000-0010-0000-0100-000004000000}" name="Fila de Atendimento"/>
    <tableColumn id="5" xr3:uid="{00000000-0010-0000-0100-000005000000}" name="Chamadas"/>
    <tableColumn id="6" xr3:uid="{00000000-0010-0000-0100-000006000000}" name="Tempo Falado"/>
    <tableColumn id="7" xr3:uid="{00000000-0010-0000-0100-000007000000}" name="TMA"/>
    <tableColumn id="8" xr3:uid="{00000000-0010-0000-0100-000008000000}" name="Nome Completo"/>
    <tableColumn id="9" xr3:uid="{00000000-0010-0000-0100-000009000000}" name="Supervis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0B73-F665-408E-8325-0A6414B5A47D}">
  <dimension ref="A1:W1600"/>
  <sheetViews>
    <sheetView showGridLines="0" tabSelected="1" zoomScale="90" zoomScaleNormal="90" workbookViewId="0">
      <selection activeCell="D18" sqref="D18"/>
    </sheetView>
  </sheetViews>
  <sheetFormatPr defaultColWidth="8.7109375" defaultRowHeight="15" x14ac:dyDescent="0.25"/>
  <cols>
    <col min="1" max="1" width="11.5703125" bestFit="1" customWidth="1"/>
    <col min="2" max="2" width="32" customWidth="1"/>
    <col min="3" max="3" width="11" customWidth="1"/>
    <col min="4" max="4" width="30" customWidth="1"/>
    <col min="5" max="5" width="25" customWidth="1"/>
    <col min="6" max="6" width="13" customWidth="1"/>
    <col min="7" max="7" width="11" customWidth="1"/>
    <col min="8" max="8" width="10" customWidth="1"/>
    <col min="9" max="10" width="13" customWidth="1"/>
    <col min="11" max="11" width="11" customWidth="1"/>
    <col min="12" max="12" width="13" customWidth="1"/>
    <col min="13" max="13" width="11" customWidth="1"/>
    <col min="14" max="23" width="10" customWidth="1"/>
  </cols>
  <sheetData>
    <row r="1" spans="1:22" ht="21.75" customHeight="1" x14ac:dyDescent="0.2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22" ht="21.7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</row>
    <row r="4" spans="1:22" ht="21.75" customHeight="1" x14ac:dyDescent="0.25">
      <c r="A4" s="75" t="s">
        <v>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4" spans="1:22" ht="19.5" customHeight="1" x14ac:dyDescent="0.25">
      <c r="A14" s="73" t="s">
        <v>2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</row>
    <row r="15" spans="1:22" ht="21.75" customHeight="1" x14ac:dyDescent="0.25">
      <c r="A15" s="76" t="s">
        <v>490</v>
      </c>
      <c r="B15" s="76"/>
      <c r="C15" s="76"/>
      <c r="D15" s="77" t="s">
        <v>486</v>
      </c>
      <c r="E15" s="77"/>
      <c r="F15" s="77"/>
      <c r="G15" s="78" t="s">
        <v>487</v>
      </c>
      <c r="H15" s="78"/>
      <c r="I15" s="78"/>
      <c r="J15" s="79" t="s">
        <v>491</v>
      </c>
      <c r="K15" s="79"/>
      <c r="L15" s="79"/>
      <c r="M15" s="80" t="s">
        <v>492</v>
      </c>
      <c r="N15" s="80"/>
      <c r="O15" s="80"/>
      <c r="P15" s="81" t="s">
        <v>488</v>
      </c>
      <c r="Q15" s="81"/>
      <c r="R15" s="81"/>
      <c r="S15" s="82" t="s">
        <v>489</v>
      </c>
      <c r="T15" s="82"/>
      <c r="U15" s="82"/>
      <c r="V15" s="82"/>
    </row>
    <row r="16" spans="1:22" ht="36" customHeight="1" x14ac:dyDescent="0.25">
      <c r="A16" s="83">
        <f>SUBTOTAL(109,tblResultados[Chamadas])</f>
        <v>23493</v>
      </c>
      <c r="B16" s="83"/>
      <c r="C16" s="83"/>
      <c r="D16" s="84">
        <f>IFERROR(SUBTOTAL(109,tblResultados[Tempo Falado])/SUBTOTAL(109,tblResultados[Chamadas]),0)</f>
        <v>6.1196691173572631E-3</v>
      </c>
      <c r="E16" s="84"/>
      <c r="F16" s="84"/>
      <c r="G16" s="85">
        <f>SUBTOTAL(109,tblResultados[Tempo Falado])</f>
        <v>143.76938657407419</v>
      </c>
      <c r="H16" s="85"/>
      <c r="I16" s="85"/>
      <c r="J16" s="86">
        <f>SUBTOTAL(109,tblResultados[DESCAN])</f>
        <v>21.277407407407406</v>
      </c>
      <c r="K16" s="86"/>
      <c r="L16" s="86"/>
      <c r="M16" s="87">
        <f>SUBTOTAL(109,tblResultados[LANCHE])</f>
        <v>19.232407407407422</v>
      </c>
      <c r="N16" s="87"/>
      <c r="O16" s="87"/>
      <c r="P16" s="88">
        <f>SUBTOTAL(109,tblResultados[Tempo Pausado])</f>
        <v>139.45679398148144</v>
      </c>
      <c r="Q16" s="88"/>
      <c r="R16" s="88"/>
      <c r="S16" s="89">
        <f>IFERROR(SUBTOTAL(109,tblResultados[Tempo Pausado])/SUBTOTAL(109,tblResultados[Tempo Logado]),0)</f>
        <v>0.37581945121370419</v>
      </c>
      <c r="T16" s="89"/>
      <c r="U16" s="89"/>
      <c r="V16" s="89"/>
    </row>
    <row r="17" spans="1:23" ht="7.5" customHeight="1" x14ac:dyDescent="0.25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</row>
    <row r="18" spans="1:23" ht="33" customHeight="1" x14ac:dyDescent="0.25">
      <c r="P18" s="71" t="s">
        <v>602</v>
      </c>
      <c r="Q18" s="72"/>
      <c r="R18" s="72"/>
      <c r="S18" s="72"/>
      <c r="T18" s="72"/>
      <c r="U18" s="72"/>
      <c r="V18" s="72"/>
    </row>
    <row r="19" spans="1:23" ht="19.5" customHeight="1" x14ac:dyDescent="0.25">
      <c r="A19" s="73" t="s">
        <v>7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</row>
    <row r="20" spans="1:23" ht="27.75" customHeight="1" x14ac:dyDescent="0.25">
      <c r="A20" s="25" t="s">
        <v>8</v>
      </c>
      <c r="B20" s="25" t="s">
        <v>9</v>
      </c>
      <c r="C20" s="25" t="s">
        <v>10</v>
      </c>
      <c r="D20" s="25" t="s">
        <v>11</v>
      </c>
      <c r="E20" s="25" t="s">
        <v>12</v>
      </c>
      <c r="F20" s="25" t="s">
        <v>13</v>
      </c>
      <c r="G20" s="25" t="s">
        <v>14</v>
      </c>
      <c r="H20" s="25" t="s">
        <v>3</v>
      </c>
      <c r="I20" s="25" t="s">
        <v>15</v>
      </c>
      <c r="J20" s="25" t="s">
        <v>16</v>
      </c>
      <c r="K20" s="25" t="s">
        <v>17</v>
      </c>
      <c r="L20" s="25" t="s">
        <v>5</v>
      </c>
      <c r="M20" s="25" t="s">
        <v>6</v>
      </c>
      <c r="N20" s="26" t="s">
        <v>18</v>
      </c>
      <c r="O20" s="26" t="s">
        <v>19</v>
      </c>
      <c r="P20" s="26" t="s">
        <v>20</v>
      </c>
      <c r="Q20" s="26" t="s">
        <v>21</v>
      </c>
      <c r="R20" s="26" t="s">
        <v>22</v>
      </c>
      <c r="S20" s="26" t="s">
        <v>23</v>
      </c>
      <c r="T20" s="26" t="s">
        <v>24</v>
      </c>
      <c r="U20" s="26" t="s">
        <v>25</v>
      </c>
      <c r="V20" s="26" t="s">
        <v>26</v>
      </c>
      <c r="W20" s="26" t="s">
        <v>27</v>
      </c>
    </row>
    <row r="21" spans="1:23" x14ac:dyDescent="0.25">
      <c r="A21" s="2">
        <v>46235</v>
      </c>
      <c r="B21" s="3" t="s">
        <v>186</v>
      </c>
      <c r="C21" s="3" t="s">
        <v>562</v>
      </c>
      <c r="D21" s="3" t="s">
        <v>78</v>
      </c>
      <c r="E21" s="3" t="s">
        <v>79</v>
      </c>
      <c r="F21" s="3" t="s">
        <v>80</v>
      </c>
      <c r="G21" s="4" t="s">
        <v>33</v>
      </c>
      <c r="H21" s="4">
        <v>0</v>
      </c>
      <c r="I21" s="5">
        <v>0.25207175925925923</v>
      </c>
      <c r="J21" s="5">
        <v>0</v>
      </c>
      <c r="K21" s="5">
        <f t="shared" ref="K21:K84" si="0">IFERROR(J21/H21,0)</f>
        <v>0</v>
      </c>
      <c r="L21" s="5">
        <v>4.5925925925925926E-2</v>
      </c>
      <c r="M21" s="6">
        <f t="shared" ref="M21:M84" si="1">IFERROR(L21/I21,0)</f>
        <v>0.1821938564672391</v>
      </c>
      <c r="N21" s="5">
        <v>1.8749999999999999E-2</v>
      </c>
      <c r="O21" s="5">
        <v>7.951388888888888E-3</v>
      </c>
      <c r="P21" s="5"/>
      <c r="Q21" s="5"/>
      <c r="R21" s="5"/>
      <c r="S21" s="5">
        <v>1.474537037037037E-2</v>
      </c>
      <c r="T21" s="5">
        <v>4.4791666666666669E-3</v>
      </c>
      <c r="U21" s="5"/>
      <c r="V21" s="5"/>
      <c r="W21" s="5"/>
    </row>
    <row r="22" spans="1:23" x14ac:dyDescent="0.25">
      <c r="A22" s="2">
        <v>46235</v>
      </c>
      <c r="B22" s="3" t="s">
        <v>643</v>
      </c>
      <c r="C22" s="3" t="s">
        <v>644</v>
      </c>
      <c r="D22" s="3" t="s">
        <v>233</v>
      </c>
      <c r="E22" s="3" t="s">
        <v>31</v>
      </c>
      <c r="F22" s="3" t="s">
        <v>32</v>
      </c>
      <c r="G22" s="4" t="s">
        <v>106</v>
      </c>
      <c r="H22" s="4">
        <v>12</v>
      </c>
      <c r="I22" s="5">
        <v>0.25457175925925923</v>
      </c>
      <c r="J22" s="5">
        <v>0.11768518518518518</v>
      </c>
      <c r="K22" s="5">
        <f t="shared" si="0"/>
        <v>9.8070987654320981E-3</v>
      </c>
      <c r="L22" s="5">
        <v>3.9803240740740743E-2</v>
      </c>
      <c r="M22" s="6">
        <f t="shared" si="1"/>
        <v>0.15635371675380771</v>
      </c>
      <c r="N22" s="5">
        <v>7.9398148148148145E-3</v>
      </c>
      <c r="O22" s="5">
        <v>1.3622685185185186E-2</v>
      </c>
      <c r="P22" s="5"/>
      <c r="Q22" s="5"/>
      <c r="R22" s="5"/>
      <c r="S22" s="5">
        <v>1.4317129629629629E-2</v>
      </c>
      <c r="T22" s="5">
        <v>3.2407407407407406E-3</v>
      </c>
      <c r="U22" s="5">
        <v>6.8287037037037036E-4</v>
      </c>
      <c r="V22" s="5"/>
      <c r="W22" s="5"/>
    </row>
    <row r="23" spans="1:23" x14ac:dyDescent="0.25">
      <c r="A23" s="2">
        <v>46235</v>
      </c>
      <c r="B23" s="3" t="s">
        <v>193</v>
      </c>
      <c r="C23" s="3" t="s">
        <v>563</v>
      </c>
      <c r="D23" s="3" t="s">
        <v>274</v>
      </c>
      <c r="E23" s="3" t="s">
        <v>79</v>
      </c>
      <c r="F23" s="3" t="s">
        <v>147</v>
      </c>
      <c r="G23" s="4" t="s">
        <v>33</v>
      </c>
      <c r="H23" s="4">
        <v>8</v>
      </c>
      <c r="I23" s="5">
        <v>0.25750000000000001</v>
      </c>
      <c r="J23" s="5">
        <v>2.6770833333333334E-2</v>
      </c>
      <c r="K23" s="5">
        <f t="shared" si="0"/>
        <v>3.3463541666666667E-3</v>
      </c>
      <c r="L23" s="5">
        <v>3.2025462962962964E-2</v>
      </c>
      <c r="M23" s="6">
        <f t="shared" si="1"/>
        <v>0.12437072995325422</v>
      </c>
      <c r="N23" s="5">
        <v>3.3564814814814816E-3</v>
      </c>
      <c r="O23" s="5">
        <v>1.3831018518518519E-2</v>
      </c>
      <c r="P23" s="5"/>
      <c r="Q23" s="5"/>
      <c r="R23" s="5"/>
      <c r="S23" s="5">
        <v>1.4340277777777778E-2</v>
      </c>
      <c r="T23" s="5">
        <v>1.3888888888888889E-4</v>
      </c>
      <c r="U23" s="5">
        <v>3.3564814814814812E-4</v>
      </c>
      <c r="V23" s="5"/>
      <c r="W23" s="5"/>
    </row>
    <row r="24" spans="1:23" x14ac:dyDescent="0.25">
      <c r="A24" s="2">
        <v>46235</v>
      </c>
      <c r="B24" s="3" t="s">
        <v>231</v>
      </c>
      <c r="C24" s="3" t="s">
        <v>525</v>
      </c>
      <c r="D24" s="3" t="s">
        <v>233</v>
      </c>
      <c r="E24" s="3" t="s">
        <v>31</v>
      </c>
      <c r="F24" s="3" t="s">
        <v>32</v>
      </c>
      <c r="G24" s="4" t="s">
        <v>106</v>
      </c>
      <c r="H24" s="4">
        <v>23</v>
      </c>
      <c r="I24" s="5">
        <v>0.25962962962962965</v>
      </c>
      <c r="J24" s="5">
        <v>8.9826388888888886E-2</v>
      </c>
      <c r="K24" s="5">
        <f t="shared" si="0"/>
        <v>3.9054951690821256E-3</v>
      </c>
      <c r="L24" s="5">
        <v>5.7037037037037039E-2</v>
      </c>
      <c r="M24" s="6">
        <f t="shared" si="1"/>
        <v>0.21968616262482166</v>
      </c>
      <c r="N24" s="5"/>
      <c r="O24" s="5">
        <v>1.53125E-2</v>
      </c>
      <c r="P24" s="5"/>
      <c r="Q24" s="5"/>
      <c r="R24" s="5"/>
      <c r="S24" s="5">
        <v>1.480324074074074E-2</v>
      </c>
      <c r="T24" s="5">
        <v>1.4421296296296297E-2</v>
      </c>
      <c r="U24" s="5">
        <v>4.1666666666666669E-4</v>
      </c>
      <c r="V24" s="5"/>
      <c r="W24" s="5">
        <v>1.2048611111111111E-2</v>
      </c>
    </row>
    <row r="25" spans="1:23" x14ac:dyDescent="0.25">
      <c r="A25" s="2">
        <v>46235</v>
      </c>
      <c r="B25" s="3" t="s">
        <v>234</v>
      </c>
      <c r="C25" s="3" t="s">
        <v>550</v>
      </c>
      <c r="D25" s="3" t="s">
        <v>233</v>
      </c>
      <c r="E25" s="3" t="s">
        <v>31</v>
      </c>
      <c r="F25" s="3" t="s">
        <v>32</v>
      </c>
      <c r="G25" s="4" t="s">
        <v>106</v>
      </c>
      <c r="H25" s="4">
        <v>23</v>
      </c>
      <c r="I25" s="5">
        <v>0.27071759259259259</v>
      </c>
      <c r="J25" s="5">
        <v>5.9143518518518519E-2</v>
      </c>
      <c r="K25" s="5">
        <f t="shared" si="0"/>
        <v>2.5714573268921094E-3</v>
      </c>
      <c r="L25" s="5">
        <v>4.3402777777777776E-2</v>
      </c>
      <c r="M25" s="6">
        <f t="shared" si="1"/>
        <v>0.16032492518170158</v>
      </c>
      <c r="N25" s="5">
        <v>7.3379629629629628E-3</v>
      </c>
      <c r="O25" s="5">
        <v>7.1296296296296299E-3</v>
      </c>
      <c r="P25" s="5"/>
      <c r="Q25" s="5"/>
      <c r="R25" s="5">
        <v>7.6504629629629631E-3</v>
      </c>
      <c r="S25" s="5">
        <v>1.494212962962963E-2</v>
      </c>
      <c r="T25" s="5">
        <v>5.5439814814814813E-3</v>
      </c>
      <c r="U25" s="5">
        <v>2.3148148148148149E-4</v>
      </c>
      <c r="V25" s="5"/>
      <c r="W25" s="5"/>
    </row>
    <row r="26" spans="1:23" x14ac:dyDescent="0.25">
      <c r="A26" s="2">
        <v>46235</v>
      </c>
      <c r="B26" s="3" t="s">
        <v>34</v>
      </c>
      <c r="C26" s="3" t="s">
        <v>505</v>
      </c>
      <c r="D26" s="3" t="s">
        <v>233</v>
      </c>
      <c r="E26" s="3" t="s">
        <v>31</v>
      </c>
      <c r="F26" s="3" t="s">
        <v>32</v>
      </c>
      <c r="G26" s="4" t="s">
        <v>106</v>
      </c>
      <c r="H26" s="4">
        <v>24</v>
      </c>
      <c r="I26" s="5">
        <v>0.25571759259259258</v>
      </c>
      <c r="J26" s="5">
        <v>7.8842592592592589E-2</v>
      </c>
      <c r="K26" s="5">
        <f t="shared" si="0"/>
        <v>3.285108024691358E-3</v>
      </c>
      <c r="L26" s="5">
        <v>3.9421296296296295E-2</v>
      </c>
      <c r="M26" s="6">
        <f t="shared" si="1"/>
        <v>0.1541595003168281</v>
      </c>
      <c r="N26" s="5">
        <v>3.2870370370370371E-3</v>
      </c>
      <c r="O26" s="5">
        <v>1.3287037037037036E-2</v>
      </c>
      <c r="P26" s="5"/>
      <c r="Q26" s="5"/>
      <c r="R26" s="5"/>
      <c r="S26" s="5">
        <v>1.3715277777777778E-2</v>
      </c>
      <c r="T26" s="5">
        <v>6.9675925925925929E-3</v>
      </c>
      <c r="U26" s="5">
        <v>2.1643518518518518E-3</v>
      </c>
      <c r="V26" s="5"/>
      <c r="W26" s="5"/>
    </row>
    <row r="27" spans="1:23" x14ac:dyDescent="0.25">
      <c r="A27" s="2">
        <v>46235</v>
      </c>
      <c r="B27" s="3" t="s">
        <v>236</v>
      </c>
      <c r="C27" s="3" t="s">
        <v>551</v>
      </c>
      <c r="D27" s="3" t="s">
        <v>233</v>
      </c>
      <c r="E27" s="3" t="s">
        <v>31</v>
      </c>
      <c r="F27" s="3" t="s">
        <v>32</v>
      </c>
      <c r="G27" s="4" t="s">
        <v>106</v>
      </c>
      <c r="H27" s="4">
        <v>3</v>
      </c>
      <c r="I27" s="5">
        <v>0.14228009259259258</v>
      </c>
      <c r="J27" s="5">
        <v>1.3587962962962963E-2</v>
      </c>
      <c r="K27" s="5">
        <f t="shared" si="0"/>
        <v>4.529320987654321E-3</v>
      </c>
      <c r="L27" s="5">
        <v>0.10108796296296296</v>
      </c>
      <c r="M27" s="6">
        <f t="shared" si="1"/>
        <v>0.71048564223541855</v>
      </c>
      <c r="N27" s="5">
        <v>5.6018518518518518E-3</v>
      </c>
      <c r="O27" s="5">
        <v>1.2002314814814815E-2</v>
      </c>
      <c r="P27" s="5"/>
      <c r="Q27" s="5"/>
      <c r="R27" s="5"/>
      <c r="S27" s="5"/>
      <c r="T27" s="5">
        <v>4.3749999999999997E-2</v>
      </c>
      <c r="U27" s="5">
        <v>3.2407407407407406E-4</v>
      </c>
      <c r="V27" s="5"/>
      <c r="W27" s="5">
        <v>3.9409722222222221E-2</v>
      </c>
    </row>
    <row r="28" spans="1:23" x14ac:dyDescent="0.25">
      <c r="A28" s="2">
        <v>46235</v>
      </c>
      <c r="B28" s="3" t="s">
        <v>238</v>
      </c>
      <c r="C28" s="3" t="s">
        <v>526</v>
      </c>
      <c r="D28" s="3" t="s">
        <v>233</v>
      </c>
      <c r="E28" s="3" t="s">
        <v>31</v>
      </c>
      <c r="F28" s="3" t="s">
        <v>32</v>
      </c>
      <c r="G28" s="4" t="s">
        <v>106</v>
      </c>
      <c r="H28" s="4">
        <v>3</v>
      </c>
      <c r="I28" s="5">
        <v>0.22598379629629631</v>
      </c>
      <c r="J28" s="5">
        <v>7.7546296296296295E-3</v>
      </c>
      <c r="K28" s="5">
        <f t="shared" si="0"/>
        <v>2.5848765432098767E-3</v>
      </c>
      <c r="L28" s="5">
        <v>0.20126157407407408</v>
      </c>
      <c r="M28" s="6">
        <f t="shared" si="1"/>
        <v>0.89060179257362349</v>
      </c>
      <c r="N28" s="5"/>
      <c r="O28" s="5">
        <v>5.9606481481481481E-3</v>
      </c>
      <c r="P28" s="5"/>
      <c r="Q28" s="5"/>
      <c r="R28" s="5"/>
      <c r="S28" s="5">
        <v>1.2893518518518518E-2</v>
      </c>
      <c r="T28" s="5">
        <v>4.861111111111111E-4</v>
      </c>
      <c r="U28" s="5"/>
      <c r="V28" s="5"/>
      <c r="W28" s="5">
        <v>0.1819212962962963</v>
      </c>
    </row>
    <row r="29" spans="1:23" x14ac:dyDescent="0.25">
      <c r="A29" s="2">
        <v>46235</v>
      </c>
      <c r="B29" s="3" t="s">
        <v>608</v>
      </c>
      <c r="C29" s="3" t="s">
        <v>631</v>
      </c>
      <c r="D29" s="3" t="s">
        <v>601</v>
      </c>
      <c r="E29" s="3" t="s">
        <v>31</v>
      </c>
      <c r="F29" s="3" t="s">
        <v>105</v>
      </c>
      <c r="G29" s="4" t="s">
        <v>33</v>
      </c>
      <c r="H29" s="4">
        <v>8</v>
      </c>
      <c r="I29" s="5">
        <v>0.25012731481481482</v>
      </c>
      <c r="J29" s="5">
        <v>5.7731481481481481E-2</v>
      </c>
      <c r="K29" s="5">
        <f t="shared" si="0"/>
        <v>7.2164351851851851E-3</v>
      </c>
      <c r="L29" s="5">
        <v>0.12460648148148148</v>
      </c>
      <c r="M29" s="6">
        <f t="shared" si="1"/>
        <v>0.49817222710656611</v>
      </c>
      <c r="N29" s="5"/>
      <c r="O29" s="5">
        <v>1.5081018518518518E-2</v>
      </c>
      <c r="P29" s="5"/>
      <c r="Q29" s="5">
        <v>2.1631944444444443E-2</v>
      </c>
      <c r="R29" s="5"/>
      <c r="S29" s="5">
        <v>1.4016203703703704E-2</v>
      </c>
      <c r="T29" s="5">
        <v>4.6296296296296298E-4</v>
      </c>
      <c r="U29" s="5">
        <v>2.5046296296296296E-2</v>
      </c>
      <c r="V29" s="5"/>
      <c r="W29" s="5">
        <v>4.8368055555555553E-2</v>
      </c>
    </row>
    <row r="30" spans="1:23" x14ac:dyDescent="0.25">
      <c r="A30" s="2">
        <v>46235</v>
      </c>
      <c r="B30" s="3" t="s">
        <v>197</v>
      </c>
      <c r="C30" s="3" t="s">
        <v>564</v>
      </c>
      <c r="D30" s="3" t="s">
        <v>601</v>
      </c>
      <c r="E30" s="3" t="s">
        <v>31</v>
      </c>
      <c r="F30" s="3" t="s">
        <v>105</v>
      </c>
      <c r="G30" s="4" t="s">
        <v>33</v>
      </c>
      <c r="H30" s="4">
        <v>7</v>
      </c>
      <c r="I30" s="5">
        <v>0.24979166666666666</v>
      </c>
      <c r="J30" s="5">
        <v>3.5069444444444445E-2</v>
      </c>
      <c r="K30" s="5">
        <f t="shared" si="0"/>
        <v>5.0099206349206353E-3</v>
      </c>
      <c r="L30" s="5">
        <v>0.11475694444444444</v>
      </c>
      <c r="M30" s="6">
        <f t="shared" si="1"/>
        <v>0.45941061996107868</v>
      </c>
      <c r="N30" s="5">
        <v>8.6921296296296295E-3</v>
      </c>
      <c r="O30" s="5">
        <v>1.96875E-2</v>
      </c>
      <c r="P30" s="5"/>
      <c r="Q30" s="5">
        <v>1.7974537037037035E-2</v>
      </c>
      <c r="R30" s="5"/>
      <c r="S30" s="5">
        <v>4.3159722222222224E-2</v>
      </c>
      <c r="T30" s="5">
        <v>1.7361111111111112E-4</v>
      </c>
      <c r="U30" s="5">
        <v>1.6898148148148148E-3</v>
      </c>
      <c r="V30" s="5"/>
      <c r="W30" s="5">
        <v>2.3356481481481482E-2</v>
      </c>
    </row>
    <row r="31" spans="1:23" x14ac:dyDescent="0.25">
      <c r="A31" s="2">
        <v>46235</v>
      </c>
      <c r="B31" s="3" t="s">
        <v>150</v>
      </c>
      <c r="C31" s="3" t="s">
        <v>514</v>
      </c>
      <c r="D31" s="3" t="s">
        <v>146</v>
      </c>
      <c r="E31" s="3" t="s">
        <v>79</v>
      </c>
      <c r="F31" s="3" t="s">
        <v>147</v>
      </c>
      <c r="G31" s="4" t="s">
        <v>106</v>
      </c>
      <c r="H31" s="4">
        <v>19</v>
      </c>
      <c r="I31" s="5">
        <v>0.26445601851851852</v>
      </c>
      <c r="J31" s="5">
        <v>2.9166666666666667E-2</v>
      </c>
      <c r="K31" s="5">
        <f t="shared" si="0"/>
        <v>1.5350877192982456E-3</v>
      </c>
      <c r="L31" s="5">
        <v>4.6377314814814816E-2</v>
      </c>
      <c r="M31" s="6">
        <f t="shared" si="1"/>
        <v>0.17536872510831983</v>
      </c>
      <c r="N31" s="5">
        <v>5.2546296296296299E-3</v>
      </c>
      <c r="O31" s="5">
        <v>1.4768518518518519E-2</v>
      </c>
      <c r="P31" s="5"/>
      <c r="Q31" s="5">
        <v>9.9421296296296289E-3</v>
      </c>
      <c r="R31" s="5"/>
      <c r="S31" s="5">
        <v>1.6018518518518519E-2</v>
      </c>
      <c r="T31" s="5">
        <v>1.1574074074074075E-4</v>
      </c>
      <c r="U31" s="5">
        <v>4.6296296296296294E-5</v>
      </c>
      <c r="V31" s="5"/>
      <c r="W31" s="5">
        <v>2.199074074074074E-4</v>
      </c>
    </row>
    <row r="32" spans="1:23" x14ac:dyDescent="0.25">
      <c r="A32" s="2">
        <v>46235</v>
      </c>
      <c r="B32" s="3" t="s">
        <v>154</v>
      </c>
      <c r="C32" s="3" t="s">
        <v>515</v>
      </c>
      <c r="D32" s="3" t="s">
        <v>146</v>
      </c>
      <c r="E32" s="3" t="s">
        <v>79</v>
      </c>
      <c r="F32" s="3" t="s">
        <v>147</v>
      </c>
      <c r="G32" s="4" t="s">
        <v>106</v>
      </c>
      <c r="H32" s="4">
        <v>19</v>
      </c>
      <c r="I32" s="5">
        <v>0.26240740740740742</v>
      </c>
      <c r="J32" s="5">
        <v>3.1678240740740743E-2</v>
      </c>
      <c r="K32" s="5">
        <f t="shared" si="0"/>
        <v>1.667275828460039E-3</v>
      </c>
      <c r="L32" s="5">
        <v>5.8379629629629629E-2</v>
      </c>
      <c r="M32" s="6">
        <f t="shared" si="1"/>
        <v>0.22247706422018346</v>
      </c>
      <c r="N32" s="5">
        <v>2.627314814814815E-3</v>
      </c>
      <c r="O32" s="5">
        <v>1.0868055555555556E-2</v>
      </c>
      <c r="P32" s="5"/>
      <c r="Q32" s="5">
        <v>2.9305555555555557E-2</v>
      </c>
      <c r="R32" s="5"/>
      <c r="S32" s="5">
        <v>1.443287037037037E-2</v>
      </c>
      <c r="T32" s="5">
        <v>1.6203703703703703E-4</v>
      </c>
      <c r="U32" s="5">
        <v>9.0277777777777774E-4</v>
      </c>
      <c r="V32" s="5"/>
      <c r="W32" s="5"/>
    </row>
    <row r="33" spans="1:23" x14ac:dyDescent="0.25">
      <c r="A33" s="2">
        <v>46235</v>
      </c>
      <c r="B33" s="3" t="s">
        <v>112</v>
      </c>
      <c r="C33" s="3" t="s">
        <v>570</v>
      </c>
      <c r="D33" s="3" t="s">
        <v>104</v>
      </c>
      <c r="E33" s="3" t="s">
        <v>31</v>
      </c>
      <c r="F33" s="3" t="s">
        <v>105</v>
      </c>
      <c r="G33" s="4" t="s">
        <v>106</v>
      </c>
      <c r="H33" s="4">
        <v>7</v>
      </c>
      <c r="I33" s="5">
        <v>0.23166666666666666</v>
      </c>
      <c r="J33" s="5">
        <v>0.12538194444444445</v>
      </c>
      <c r="K33" s="5">
        <f t="shared" si="0"/>
        <v>1.7911706349206351E-2</v>
      </c>
      <c r="L33" s="5">
        <v>0.10849537037037037</v>
      </c>
      <c r="M33" s="6">
        <f t="shared" si="1"/>
        <v>0.46832533972821744</v>
      </c>
      <c r="N33" s="5">
        <v>3.3553240740740738E-2</v>
      </c>
      <c r="O33" s="5">
        <v>1.6354166666666666E-2</v>
      </c>
      <c r="P33" s="5"/>
      <c r="Q33" s="5"/>
      <c r="R33" s="5"/>
      <c r="S33" s="5">
        <v>1.3865740740740741E-2</v>
      </c>
      <c r="T33" s="5">
        <v>2.0833333333333335E-4</v>
      </c>
      <c r="U33" s="5">
        <v>9.8495370370370369E-3</v>
      </c>
      <c r="V33" s="5"/>
      <c r="W33" s="5">
        <v>3.4664351851851849E-2</v>
      </c>
    </row>
    <row r="34" spans="1:23" x14ac:dyDescent="0.25">
      <c r="A34" s="2">
        <v>46235</v>
      </c>
      <c r="B34" s="3" t="s">
        <v>42</v>
      </c>
      <c r="C34" s="3" t="s">
        <v>537</v>
      </c>
      <c r="D34" s="3" t="s">
        <v>104</v>
      </c>
      <c r="E34" s="3" t="s">
        <v>31</v>
      </c>
      <c r="F34" s="3" t="s">
        <v>105</v>
      </c>
      <c r="G34" s="4" t="s">
        <v>106</v>
      </c>
      <c r="H34" s="4">
        <v>19</v>
      </c>
      <c r="I34" s="5">
        <v>0.25931712962962961</v>
      </c>
      <c r="J34" s="5">
        <v>0.19207175925925926</v>
      </c>
      <c r="K34" s="5">
        <f t="shared" si="0"/>
        <v>1.0109039961013646E-2</v>
      </c>
      <c r="L34" s="5">
        <v>6.9826388888888882E-2</v>
      </c>
      <c r="M34" s="6">
        <f t="shared" si="1"/>
        <v>0.2692702521758536</v>
      </c>
      <c r="N34" s="5">
        <v>1.4560185185185185E-2</v>
      </c>
      <c r="O34" s="5">
        <v>1.3900462962962963E-2</v>
      </c>
      <c r="P34" s="5"/>
      <c r="Q34" s="5"/>
      <c r="R34" s="5">
        <v>4.6296296296296294E-5</v>
      </c>
      <c r="S34" s="5">
        <v>1.3391203703703704E-2</v>
      </c>
      <c r="T34" s="5">
        <v>9.837962962962962E-4</v>
      </c>
      <c r="U34" s="5">
        <v>1.4583333333333334E-3</v>
      </c>
      <c r="V34" s="5"/>
      <c r="W34" s="5">
        <v>2.5474537037037039E-2</v>
      </c>
    </row>
    <row r="35" spans="1:23" x14ac:dyDescent="0.25">
      <c r="A35" s="2">
        <v>46235</v>
      </c>
      <c r="B35" s="3" t="s">
        <v>114</v>
      </c>
      <c r="C35" s="3" t="s">
        <v>541</v>
      </c>
      <c r="D35" s="3" t="s">
        <v>104</v>
      </c>
      <c r="E35" s="3" t="s">
        <v>31</v>
      </c>
      <c r="F35" s="3" t="s">
        <v>105</v>
      </c>
      <c r="G35" s="4" t="s">
        <v>106</v>
      </c>
      <c r="H35" s="4">
        <v>16</v>
      </c>
      <c r="I35" s="5">
        <v>0.27681712962962962</v>
      </c>
      <c r="J35" s="5">
        <v>0.13174768518518518</v>
      </c>
      <c r="K35" s="5">
        <f t="shared" si="0"/>
        <v>8.2342303240740735E-3</v>
      </c>
      <c r="L35" s="5">
        <v>0.12961805555555556</v>
      </c>
      <c r="M35" s="6">
        <f t="shared" si="1"/>
        <v>0.46824434502655016</v>
      </c>
      <c r="N35" s="5">
        <v>1.1770833333333333E-2</v>
      </c>
      <c r="O35" s="5">
        <v>1.4872685185185185E-2</v>
      </c>
      <c r="P35" s="5"/>
      <c r="Q35" s="5"/>
      <c r="R35" s="5"/>
      <c r="S35" s="5">
        <v>1.4953703703703703E-2</v>
      </c>
      <c r="T35" s="5">
        <v>7.2824074074074069E-2</v>
      </c>
      <c r="U35" s="5">
        <v>1.0763888888888889E-3</v>
      </c>
      <c r="V35" s="5"/>
      <c r="W35" s="5">
        <v>1.412037037037037E-2</v>
      </c>
    </row>
    <row r="36" spans="1:23" x14ac:dyDescent="0.25">
      <c r="A36" s="2">
        <v>46235</v>
      </c>
      <c r="B36" s="3" t="s">
        <v>44</v>
      </c>
      <c r="C36" s="3" t="s">
        <v>506</v>
      </c>
      <c r="D36" s="3" t="s">
        <v>100</v>
      </c>
      <c r="E36" s="3" t="s">
        <v>31</v>
      </c>
      <c r="F36" s="3" t="s">
        <v>32</v>
      </c>
      <c r="G36" s="4" t="s">
        <v>33</v>
      </c>
      <c r="H36" s="4">
        <v>17</v>
      </c>
      <c r="I36" s="5">
        <v>0.24781249999999999</v>
      </c>
      <c r="J36" s="5">
        <v>0.10821759259259259</v>
      </c>
      <c r="K36" s="5">
        <f t="shared" si="0"/>
        <v>6.3657407407407404E-3</v>
      </c>
      <c r="L36" s="5">
        <v>2.9930555555555554E-2</v>
      </c>
      <c r="M36" s="6">
        <f t="shared" si="1"/>
        <v>0.1207790388118257</v>
      </c>
      <c r="N36" s="5"/>
      <c r="O36" s="5">
        <v>7.0717592592592594E-3</v>
      </c>
      <c r="P36" s="5"/>
      <c r="Q36" s="5"/>
      <c r="R36" s="5">
        <v>7.0949074074074074E-3</v>
      </c>
      <c r="S36" s="5">
        <v>1.4212962962962964E-2</v>
      </c>
      <c r="T36" s="5">
        <v>5.2083333333333333E-4</v>
      </c>
      <c r="U36" s="5">
        <v>9.6064814814814819E-4</v>
      </c>
      <c r="V36" s="5"/>
      <c r="W36" s="5"/>
    </row>
    <row r="37" spans="1:23" x14ac:dyDescent="0.25">
      <c r="A37" s="2">
        <v>46235</v>
      </c>
      <c r="B37" s="3" t="s">
        <v>240</v>
      </c>
      <c r="C37" s="3" t="s">
        <v>527</v>
      </c>
      <c r="D37" s="3" t="s">
        <v>233</v>
      </c>
      <c r="E37" s="3" t="s">
        <v>31</v>
      </c>
      <c r="F37" s="3" t="s">
        <v>32</v>
      </c>
      <c r="G37" s="4" t="s">
        <v>106</v>
      </c>
      <c r="H37" s="4">
        <v>2</v>
      </c>
      <c r="I37" s="5">
        <v>0.21841435185185185</v>
      </c>
      <c r="J37" s="5">
        <v>9.8842592592592593E-3</v>
      </c>
      <c r="K37" s="5">
        <f t="shared" si="0"/>
        <v>4.9421296296296297E-3</v>
      </c>
      <c r="L37" s="5">
        <v>0.19186342592592592</v>
      </c>
      <c r="M37" s="6">
        <f t="shared" si="1"/>
        <v>0.87843781463621429</v>
      </c>
      <c r="N37" s="5">
        <v>1.5509259259259259E-2</v>
      </c>
      <c r="O37" s="5">
        <v>1.3287037037037036E-2</v>
      </c>
      <c r="P37" s="5"/>
      <c r="Q37" s="5"/>
      <c r="R37" s="5"/>
      <c r="S37" s="5">
        <v>1.3935185185185186E-2</v>
      </c>
      <c r="T37" s="5">
        <v>5.3240740740740744E-4</v>
      </c>
      <c r="U37" s="5"/>
      <c r="V37" s="5"/>
      <c r="W37" s="5">
        <v>0.14859953703703704</v>
      </c>
    </row>
    <row r="38" spans="1:23" x14ac:dyDescent="0.25">
      <c r="A38" s="2">
        <v>46235</v>
      </c>
      <c r="B38" s="3" t="s">
        <v>160</v>
      </c>
      <c r="C38" s="3" t="s">
        <v>544</v>
      </c>
      <c r="D38" s="3" t="s">
        <v>146</v>
      </c>
      <c r="E38" s="3" t="s">
        <v>79</v>
      </c>
      <c r="F38" s="3" t="s">
        <v>147</v>
      </c>
      <c r="G38" s="4" t="s">
        <v>106</v>
      </c>
      <c r="H38" s="4">
        <v>13</v>
      </c>
      <c r="I38" s="5">
        <v>0.25754629629629627</v>
      </c>
      <c r="J38" s="5">
        <v>9.6874999999999999E-3</v>
      </c>
      <c r="K38" s="5">
        <f t="shared" si="0"/>
        <v>7.4519230769230771E-4</v>
      </c>
      <c r="L38" s="5">
        <v>5.9363425925925924E-2</v>
      </c>
      <c r="M38" s="6">
        <f t="shared" si="1"/>
        <v>0.23049613517886033</v>
      </c>
      <c r="N38" s="5">
        <v>7.6620370370370366E-3</v>
      </c>
      <c r="O38" s="5">
        <v>1.4548611111111111E-2</v>
      </c>
      <c r="P38" s="5"/>
      <c r="Q38" s="5">
        <v>1.6145833333333335E-2</v>
      </c>
      <c r="R38" s="5"/>
      <c r="S38" s="5">
        <v>1.4861111111111111E-2</v>
      </c>
      <c r="T38" s="5">
        <v>8.1018518518518516E-5</v>
      </c>
      <c r="U38" s="5">
        <v>5.6944444444444447E-3</v>
      </c>
      <c r="V38" s="5"/>
      <c r="W38" s="5"/>
    </row>
    <row r="39" spans="1:23" x14ac:dyDescent="0.25">
      <c r="A39" s="2">
        <v>46235</v>
      </c>
      <c r="B39" s="3" t="s">
        <v>645</v>
      </c>
      <c r="C39" s="3" t="s">
        <v>646</v>
      </c>
      <c r="D39" s="3" t="s">
        <v>100</v>
      </c>
      <c r="E39" s="3" t="s">
        <v>31</v>
      </c>
      <c r="F39" s="3" t="s">
        <v>32</v>
      </c>
      <c r="G39" s="4" t="s">
        <v>33</v>
      </c>
      <c r="H39" s="4">
        <v>14</v>
      </c>
      <c r="I39" s="5">
        <v>0.23895833333333333</v>
      </c>
      <c r="J39" s="5">
        <v>5.8483796296296298E-2</v>
      </c>
      <c r="K39" s="5">
        <f t="shared" si="0"/>
        <v>4.177414021164021E-3</v>
      </c>
      <c r="L39" s="5">
        <v>2.8680555555555556E-2</v>
      </c>
      <c r="M39" s="6">
        <f t="shared" si="1"/>
        <v>0.12002324905550713</v>
      </c>
      <c r="N39" s="5">
        <v>7.8009259259259256E-3</v>
      </c>
      <c r="O39" s="5">
        <v>1.4282407407407407E-2</v>
      </c>
      <c r="P39" s="5"/>
      <c r="Q39" s="5"/>
      <c r="R39" s="5"/>
      <c r="S39" s="5"/>
      <c r="T39" s="5">
        <v>7.1759259259259259E-4</v>
      </c>
      <c r="U39" s="5">
        <v>8.7962962962962962E-4</v>
      </c>
      <c r="V39" s="5"/>
      <c r="W39" s="5">
        <v>4.9421296296296297E-3</v>
      </c>
    </row>
    <row r="40" spans="1:23" x14ac:dyDescent="0.25">
      <c r="A40" s="2">
        <v>46235</v>
      </c>
      <c r="B40" s="3" t="s">
        <v>120</v>
      </c>
      <c r="C40" s="3" t="s">
        <v>558</v>
      </c>
      <c r="D40" s="3" t="s">
        <v>233</v>
      </c>
      <c r="E40" s="3" t="s">
        <v>31</v>
      </c>
      <c r="F40" s="3" t="s">
        <v>32</v>
      </c>
      <c r="G40" s="4" t="s">
        <v>106</v>
      </c>
      <c r="H40" s="4">
        <v>19</v>
      </c>
      <c r="I40" s="5">
        <v>0.26371527777777776</v>
      </c>
      <c r="J40" s="5">
        <v>7.4618055555555562E-2</v>
      </c>
      <c r="K40" s="5">
        <f t="shared" si="0"/>
        <v>3.9272660818713452E-3</v>
      </c>
      <c r="L40" s="5">
        <v>5.8541666666666665E-2</v>
      </c>
      <c r="M40" s="6">
        <f t="shared" si="1"/>
        <v>0.2219881500987492</v>
      </c>
      <c r="N40" s="5">
        <v>1.1076388888888889E-2</v>
      </c>
      <c r="O40" s="5">
        <v>1.3842592592592592E-2</v>
      </c>
      <c r="P40" s="5"/>
      <c r="Q40" s="5"/>
      <c r="R40" s="5"/>
      <c r="S40" s="5">
        <v>1.462962962962963E-2</v>
      </c>
      <c r="T40" s="5">
        <v>1.7384259259259259E-2</v>
      </c>
      <c r="U40" s="5">
        <v>1.5393518518518519E-3</v>
      </c>
      <c r="V40" s="5"/>
      <c r="W40" s="5">
        <v>6.9444444444444444E-5</v>
      </c>
    </row>
    <row r="41" spans="1:23" x14ac:dyDescent="0.25">
      <c r="A41" s="2">
        <v>46235</v>
      </c>
      <c r="B41" s="3" t="s">
        <v>46</v>
      </c>
      <c r="C41" s="3" t="s">
        <v>507</v>
      </c>
      <c r="D41" s="3" t="s">
        <v>100</v>
      </c>
      <c r="E41" s="3" t="s">
        <v>31</v>
      </c>
      <c r="F41" s="3" t="s">
        <v>32</v>
      </c>
      <c r="G41" s="4" t="s">
        <v>33</v>
      </c>
      <c r="H41" s="4">
        <v>17</v>
      </c>
      <c r="I41" s="5">
        <v>0.25762731481481482</v>
      </c>
      <c r="J41" s="5">
        <v>9.4918981481481479E-2</v>
      </c>
      <c r="K41" s="5">
        <f t="shared" si="0"/>
        <v>5.5834694989106756E-3</v>
      </c>
      <c r="L41" s="5">
        <v>3.2650462962962964E-2</v>
      </c>
      <c r="M41" s="6">
        <f t="shared" si="1"/>
        <v>0.12673525315602677</v>
      </c>
      <c r="N41" s="5">
        <v>1.6087962962962963E-3</v>
      </c>
      <c r="O41" s="5">
        <v>1.4016203703703704E-2</v>
      </c>
      <c r="P41" s="5"/>
      <c r="Q41" s="5"/>
      <c r="R41" s="5"/>
      <c r="S41" s="5">
        <v>1.4502314814814815E-2</v>
      </c>
      <c r="T41" s="5">
        <v>1.5046296296296297E-4</v>
      </c>
      <c r="U41" s="5">
        <v>7.9861111111111116E-4</v>
      </c>
      <c r="V41" s="5"/>
      <c r="W41" s="5">
        <v>1.5625000000000001E-3</v>
      </c>
    </row>
    <row r="42" spans="1:23" x14ac:dyDescent="0.25">
      <c r="A42" s="2">
        <v>46235</v>
      </c>
      <c r="B42" s="3" t="s">
        <v>287</v>
      </c>
      <c r="C42" s="3" t="s">
        <v>542</v>
      </c>
      <c r="D42" s="3" t="s">
        <v>104</v>
      </c>
      <c r="E42" s="3" t="s">
        <v>31</v>
      </c>
      <c r="F42" s="3" t="s">
        <v>105</v>
      </c>
      <c r="G42" s="4" t="s">
        <v>106</v>
      </c>
      <c r="H42" s="4">
        <v>10</v>
      </c>
      <c r="I42" s="5">
        <v>0.24667824074074074</v>
      </c>
      <c r="J42" s="5">
        <v>9.8680555555555549E-2</v>
      </c>
      <c r="K42" s="5">
        <f t="shared" si="0"/>
        <v>9.8680555555555553E-3</v>
      </c>
      <c r="L42" s="5">
        <v>0.11300925925925925</v>
      </c>
      <c r="M42" s="6">
        <f t="shared" si="1"/>
        <v>0.45812414958006847</v>
      </c>
      <c r="N42" s="5">
        <v>2.0219907407407409E-2</v>
      </c>
      <c r="O42" s="5">
        <v>2.0937500000000001E-2</v>
      </c>
      <c r="P42" s="5"/>
      <c r="Q42" s="5"/>
      <c r="R42" s="5"/>
      <c r="S42" s="5">
        <v>1.7534722222222222E-2</v>
      </c>
      <c r="T42" s="5">
        <v>1.6435185185185185E-3</v>
      </c>
      <c r="U42" s="5">
        <v>4.0393518518518521E-3</v>
      </c>
      <c r="V42" s="5"/>
      <c r="W42" s="5">
        <v>4.8622685185185185E-2</v>
      </c>
    </row>
    <row r="43" spans="1:23" x14ac:dyDescent="0.25">
      <c r="A43" s="2">
        <v>46235</v>
      </c>
      <c r="B43" s="3" t="s">
        <v>499</v>
      </c>
      <c r="C43" s="3" t="s">
        <v>517</v>
      </c>
      <c r="D43" s="3" t="s">
        <v>146</v>
      </c>
      <c r="E43" s="3" t="s">
        <v>79</v>
      </c>
      <c r="F43" s="3" t="s">
        <v>147</v>
      </c>
      <c r="G43" s="4" t="s">
        <v>106</v>
      </c>
      <c r="H43" s="4">
        <v>9</v>
      </c>
      <c r="I43" s="5">
        <v>0.26329861111111114</v>
      </c>
      <c r="J43" s="5">
        <v>5.1967592592592593E-2</v>
      </c>
      <c r="K43" s="5">
        <f t="shared" si="0"/>
        <v>5.7741769547325107E-3</v>
      </c>
      <c r="L43" s="5">
        <v>6.9143518518518521E-2</v>
      </c>
      <c r="M43" s="6">
        <f t="shared" si="1"/>
        <v>0.26260494966811726</v>
      </c>
      <c r="N43" s="5">
        <v>9.0393518518518522E-3</v>
      </c>
      <c r="O43" s="5">
        <v>1.4340277777777778E-2</v>
      </c>
      <c r="P43" s="5">
        <v>1.7013888888888888E-3</v>
      </c>
      <c r="Q43" s="5">
        <v>2.7488425925925927E-2</v>
      </c>
      <c r="R43" s="5"/>
      <c r="S43" s="5">
        <v>1.3773148148148149E-2</v>
      </c>
      <c r="T43" s="5">
        <v>9.4907407407407408E-4</v>
      </c>
      <c r="U43" s="5">
        <v>1.8171296296296297E-3</v>
      </c>
      <c r="V43" s="5"/>
      <c r="W43" s="5"/>
    </row>
    <row r="44" spans="1:23" x14ac:dyDescent="0.25">
      <c r="A44" s="2">
        <v>46235</v>
      </c>
      <c r="B44" s="3" t="s">
        <v>647</v>
      </c>
      <c r="C44" s="3" t="s">
        <v>648</v>
      </c>
      <c r="D44" s="3" t="s">
        <v>233</v>
      </c>
      <c r="E44" s="3" t="s">
        <v>31</v>
      </c>
      <c r="F44" s="3" t="s">
        <v>32</v>
      </c>
      <c r="G44" s="4" t="s">
        <v>106</v>
      </c>
      <c r="H44" s="4">
        <v>29</v>
      </c>
      <c r="I44" s="5">
        <v>0.26295138888888892</v>
      </c>
      <c r="J44" s="5">
        <v>9.7453703703703709E-2</v>
      </c>
      <c r="K44" s="5">
        <f t="shared" si="0"/>
        <v>3.3604725415070243E-3</v>
      </c>
      <c r="L44" s="5">
        <v>2.6875E-2</v>
      </c>
      <c r="M44" s="6">
        <f t="shared" si="1"/>
        <v>0.10220520269378053</v>
      </c>
      <c r="N44" s="5">
        <v>4.5949074074074078E-3</v>
      </c>
      <c r="O44" s="5">
        <v>7.1064814814814819E-3</v>
      </c>
      <c r="P44" s="5"/>
      <c r="Q44" s="5">
        <v>7.407407407407407E-4</v>
      </c>
      <c r="R44" s="5"/>
      <c r="S44" s="5">
        <v>1.4027777777777778E-2</v>
      </c>
      <c r="T44" s="5">
        <v>8.1018518518518516E-5</v>
      </c>
      <c r="U44" s="5">
        <v>3.1250000000000001E-4</v>
      </c>
      <c r="V44" s="5"/>
      <c r="W44" s="5"/>
    </row>
    <row r="45" spans="1:23" x14ac:dyDescent="0.25">
      <c r="A45" s="2">
        <v>46235</v>
      </c>
      <c r="B45" s="3" t="s">
        <v>649</v>
      </c>
      <c r="C45" s="3" t="s">
        <v>650</v>
      </c>
      <c r="D45" s="3" t="s">
        <v>104</v>
      </c>
      <c r="E45" s="3" t="s">
        <v>31</v>
      </c>
      <c r="F45" s="3" t="s">
        <v>105</v>
      </c>
      <c r="G45" s="4" t="s">
        <v>106</v>
      </c>
      <c r="H45" s="4">
        <v>7</v>
      </c>
      <c r="I45" s="5">
        <v>0.26298611111111109</v>
      </c>
      <c r="J45" s="5">
        <v>0.16091435185185185</v>
      </c>
      <c r="K45" s="5">
        <f t="shared" si="0"/>
        <v>2.298776455026455E-2</v>
      </c>
      <c r="L45" s="5">
        <v>0.10422453703703703</v>
      </c>
      <c r="M45" s="6">
        <f t="shared" si="1"/>
        <v>0.39631194437109413</v>
      </c>
      <c r="N45" s="5">
        <v>4.2592592592592595E-3</v>
      </c>
      <c r="O45" s="5">
        <v>1.3842592592592592E-2</v>
      </c>
      <c r="P45" s="5"/>
      <c r="Q45" s="5"/>
      <c r="R45" s="5"/>
      <c r="S45" s="5">
        <v>1.4525462962962962E-2</v>
      </c>
      <c r="T45" s="5">
        <v>5.7870370370370373E-5</v>
      </c>
      <c r="U45" s="5">
        <v>1.8831018518518518E-2</v>
      </c>
      <c r="V45" s="5"/>
      <c r="W45" s="5">
        <v>5.2708333333333336E-2</v>
      </c>
    </row>
    <row r="46" spans="1:23" x14ac:dyDescent="0.25">
      <c r="A46" s="2">
        <v>46235</v>
      </c>
      <c r="B46" s="3" t="s">
        <v>651</v>
      </c>
      <c r="C46" s="3" t="s">
        <v>652</v>
      </c>
      <c r="D46" s="3" t="s">
        <v>100</v>
      </c>
      <c r="E46" s="3" t="s">
        <v>31</v>
      </c>
      <c r="F46" s="3" t="s">
        <v>32</v>
      </c>
      <c r="G46" s="4" t="s">
        <v>33</v>
      </c>
      <c r="H46" s="4">
        <v>12</v>
      </c>
      <c r="I46" s="5">
        <v>0.24902777777777776</v>
      </c>
      <c r="J46" s="5">
        <v>0.11121527777777777</v>
      </c>
      <c r="K46" s="5">
        <f t="shared" si="0"/>
        <v>9.2679398148148139E-3</v>
      </c>
      <c r="L46" s="5">
        <v>3.9004629629629632E-2</v>
      </c>
      <c r="M46" s="6">
        <f t="shared" si="1"/>
        <v>0.15662762595277935</v>
      </c>
      <c r="N46" s="5">
        <v>4.6412037037037038E-3</v>
      </c>
      <c r="O46" s="5">
        <v>1.9050925925925926E-2</v>
      </c>
      <c r="P46" s="5"/>
      <c r="Q46" s="5"/>
      <c r="R46" s="5"/>
      <c r="S46" s="5">
        <v>1.4490740740740742E-2</v>
      </c>
      <c r="T46" s="5">
        <v>2.5462962962962961E-4</v>
      </c>
      <c r="U46" s="5">
        <v>3.2407407407407406E-4</v>
      </c>
      <c r="V46" s="5"/>
      <c r="W46" s="5"/>
    </row>
    <row r="47" spans="1:23" x14ac:dyDescent="0.25">
      <c r="A47" s="2">
        <v>46235</v>
      </c>
      <c r="B47" s="3" t="s">
        <v>246</v>
      </c>
      <c r="C47" s="3" t="s">
        <v>568</v>
      </c>
      <c r="D47" s="3" t="s">
        <v>233</v>
      </c>
      <c r="E47" s="3" t="s">
        <v>31</v>
      </c>
      <c r="F47" s="3" t="s">
        <v>32</v>
      </c>
      <c r="G47" s="4" t="s">
        <v>106</v>
      </c>
      <c r="H47" s="4">
        <v>19</v>
      </c>
      <c r="I47" s="5">
        <v>0.26370370370370372</v>
      </c>
      <c r="J47" s="5">
        <v>6.2511574074074081E-2</v>
      </c>
      <c r="K47" s="5">
        <f t="shared" si="0"/>
        <v>3.290082846003899E-3</v>
      </c>
      <c r="L47" s="5">
        <v>6.3715277777777773E-2</v>
      </c>
      <c r="M47" s="6">
        <f t="shared" si="1"/>
        <v>0.24161692415730335</v>
      </c>
      <c r="N47" s="5">
        <v>1.6770833333333332E-2</v>
      </c>
      <c r="O47" s="5">
        <v>1.6342592592592593E-2</v>
      </c>
      <c r="P47" s="5"/>
      <c r="Q47" s="5"/>
      <c r="R47" s="5"/>
      <c r="S47" s="5">
        <v>1.7002314814814814E-2</v>
      </c>
      <c r="T47" s="5">
        <v>1.3599537037037037E-2</v>
      </c>
      <c r="U47" s="5"/>
      <c r="V47" s="5"/>
      <c r="W47" s="5"/>
    </row>
    <row r="48" spans="1:23" x14ac:dyDescent="0.25">
      <c r="A48" s="2">
        <v>46235</v>
      </c>
      <c r="B48" s="3" t="s">
        <v>50</v>
      </c>
      <c r="C48" s="3" t="s">
        <v>538</v>
      </c>
      <c r="D48" s="3" t="s">
        <v>100</v>
      </c>
      <c r="E48" s="3" t="s">
        <v>31</v>
      </c>
      <c r="F48" s="3" t="s">
        <v>32</v>
      </c>
      <c r="G48" s="4" t="s">
        <v>33</v>
      </c>
      <c r="H48" s="4">
        <v>0</v>
      </c>
      <c r="I48" s="5">
        <v>0.1411226851851852</v>
      </c>
      <c r="J48" s="5">
        <v>0</v>
      </c>
      <c r="K48" s="5">
        <f t="shared" si="0"/>
        <v>0</v>
      </c>
      <c r="L48" s="5">
        <v>0.1411226851851852</v>
      </c>
      <c r="M48" s="6">
        <f t="shared" si="1"/>
        <v>1</v>
      </c>
      <c r="N48" s="5">
        <v>1.4189814814814815E-2</v>
      </c>
      <c r="O48" s="5">
        <v>7.7199074074074071E-3</v>
      </c>
      <c r="P48" s="5"/>
      <c r="Q48" s="5">
        <v>4.8032407407407407E-3</v>
      </c>
      <c r="R48" s="5"/>
      <c r="S48" s="5">
        <v>6.0416666666666665E-3</v>
      </c>
      <c r="T48" s="5">
        <v>4.0509259259259258E-4</v>
      </c>
      <c r="U48" s="5"/>
      <c r="V48" s="5"/>
      <c r="W48" s="5">
        <v>0.10796296296296297</v>
      </c>
    </row>
    <row r="49" spans="1:23" x14ac:dyDescent="0.25">
      <c r="A49" s="2">
        <v>46235</v>
      </c>
      <c r="B49" s="3" t="s">
        <v>242</v>
      </c>
      <c r="C49" s="3" t="s">
        <v>603</v>
      </c>
      <c r="D49" s="3" t="s">
        <v>233</v>
      </c>
      <c r="E49" s="3" t="s">
        <v>31</v>
      </c>
      <c r="F49" s="3" t="s">
        <v>32</v>
      </c>
      <c r="G49" s="4" t="s">
        <v>106</v>
      </c>
      <c r="H49" s="4">
        <v>24</v>
      </c>
      <c r="I49" s="5">
        <v>0.26293981481481482</v>
      </c>
      <c r="J49" s="5">
        <v>9.7673611111111114E-2</v>
      </c>
      <c r="K49" s="5">
        <f t="shared" si="0"/>
        <v>4.0697337962962961E-3</v>
      </c>
      <c r="L49" s="5">
        <v>1.8518518518518519E-3</v>
      </c>
      <c r="M49" s="6">
        <f t="shared" si="1"/>
        <v>7.0428734923848931E-3</v>
      </c>
      <c r="N49" s="5"/>
      <c r="O49" s="5"/>
      <c r="P49" s="5"/>
      <c r="Q49" s="5"/>
      <c r="R49" s="5"/>
      <c r="S49" s="5"/>
      <c r="T49" s="5">
        <v>9.2592592592592588E-5</v>
      </c>
      <c r="U49" s="5">
        <v>1.6782407407407408E-3</v>
      </c>
      <c r="V49" s="5"/>
      <c r="W49" s="5">
        <v>1.1574074074074073E-5</v>
      </c>
    </row>
    <row r="50" spans="1:23" x14ac:dyDescent="0.25">
      <c r="A50" s="2">
        <v>46235</v>
      </c>
      <c r="B50" s="3" t="s">
        <v>289</v>
      </c>
      <c r="C50" s="3" t="s">
        <v>559</v>
      </c>
      <c r="D50" s="3" t="s">
        <v>104</v>
      </c>
      <c r="E50" s="3" t="s">
        <v>31</v>
      </c>
      <c r="F50" s="3" t="s">
        <v>105</v>
      </c>
      <c r="G50" s="4" t="s">
        <v>106</v>
      </c>
      <c r="H50" s="4">
        <v>16</v>
      </c>
      <c r="I50" s="5">
        <v>0.2585648148148148</v>
      </c>
      <c r="J50" s="5">
        <v>0.18454861111111112</v>
      </c>
      <c r="K50" s="5">
        <f t="shared" si="0"/>
        <v>1.1534288194444445E-2</v>
      </c>
      <c r="L50" s="5">
        <v>8.0497685185185186E-2</v>
      </c>
      <c r="M50" s="6">
        <f t="shared" si="1"/>
        <v>0.31132497761862132</v>
      </c>
      <c r="N50" s="5">
        <v>2.193287037037037E-2</v>
      </c>
      <c r="O50" s="5">
        <v>9.9652777777777778E-3</v>
      </c>
      <c r="P50" s="5"/>
      <c r="Q50" s="5"/>
      <c r="R50" s="5"/>
      <c r="S50" s="5">
        <v>1.4212962962962964E-2</v>
      </c>
      <c r="T50" s="5">
        <v>9.2592592592592588E-5</v>
      </c>
      <c r="U50" s="5">
        <v>1.037037037037037E-2</v>
      </c>
      <c r="V50" s="5"/>
      <c r="W50" s="5">
        <v>2.388888888888889E-2</v>
      </c>
    </row>
    <row r="51" spans="1:23" x14ac:dyDescent="0.25">
      <c r="A51" s="2">
        <v>46235</v>
      </c>
      <c r="B51" s="3" t="s">
        <v>252</v>
      </c>
      <c r="C51" s="3" t="s">
        <v>553</v>
      </c>
      <c r="D51" s="3" t="s">
        <v>78</v>
      </c>
      <c r="E51" s="3" t="s">
        <v>79</v>
      </c>
      <c r="F51" s="3" t="s">
        <v>80</v>
      </c>
      <c r="G51" s="4" t="s">
        <v>81</v>
      </c>
      <c r="H51" s="4">
        <v>0</v>
      </c>
      <c r="I51" s="5">
        <v>1.3541666666666667E-3</v>
      </c>
      <c r="J51" s="5">
        <v>0</v>
      </c>
      <c r="K51" s="5">
        <f t="shared" si="0"/>
        <v>0</v>
      </c>
      <c r="L51" s="5">
        <v>0</v>
      </c>
      <c r="M51" s="6">
        <f t="shared" si="1"/>
        <v>0</v>
      </c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25">
      <c r="A52" s="2">
        <v>46235</v>
      </c>
      <c r="B52" s="3" t="s">
        <v>500</v>
      </c>
      <c r="C52" s="3" t="s">
        <v>518</v>
      </c>
      <c r="D52" s="3" t="s">
        <v>274</v>
      </c>
      <c r="E52" s="3" t="s">
        <v>79</v>
      </c>
      <c r="F52" s="3" t="s">
        <v>147</v>
      </c>
      <c r="G52" s="4" t="s">
        <v>33</v>
      </c>
      <c r="H52" s="4">
        <v>12</v>
      </c>
      <c r="I52" s="5">
        <v>0.26288194444444446</v>
      </c>
      <c r="J52" s="5">
        <v>3.6585648148148145E-2</v>
      </c>
      <c r="K52" s="5">
        <f t="shared" si="0"/>
        <v>3.0488040123456787E-3</v>
      </c>
      <c r="L52" s="5">
        <v>3.0266203703703705E-2</v>
      </c>
      <c r="M52" s="6">
        <f t="shared" si="1"/>
        <v>0.11513230308633822</v>
      </c>
      <c r="N52" s="5">
        <v>1.5162037037037036E-3</v>
      </c>
      <c r="O52" s="5">
        <v>1.3981481481481482E-2</v>
      </c>
      <c r="P52" s="5"/>
      <c r="Q52" s="5"/>
      <c r="R52" s="5"/>
      <c r="S52" s="5">
        <v>1.3981481481481482E-2</v>
      </c>
      <c r="T52" s="5">
        <v>1.7361111111111112E-4</v>
      </c>
      <c r="U52" s="5">
        <v>6.018518518518519E-4</v>
      </c>
      <c r="V52" s="5"/>
      <c r="W52" s="5"/>
    </row>
    <row r="53" spans="1:23" x14ac:dyDescent="0.25">
      <c r="A53" s="2">
        <v>46235</v>
      </c>
      <c r="B53" s="3" t="s">
        <v>653</v>
      </c>
      <c r="C53" s="3" t="s">
        <v>654</v>
      </c>
      <c r="D53" s="3" t="s">
        <v>100</v>
      </c>
      <c r="E53" s="3" t="s">
        <v>31</v>
      </c>
      <c r="F53" s="3" t="s">
        <v>32</v>
      </c>
      <c r="G53" s="4" t="s">
        <v>33</v>
      </c>
      <c r="H53" s="4">
        <v>11</v>
      </c>
      <c r="I53" s="5">
        <v>0.25890046296296299</v>
      </c>
      <c r="J53" s="5">
        <v>0.18156249999999999</v>
      </c>
      <c r="K53" s="5">
        <f t="shared" si="0"/>
        <v>1.6505681818181819E-2</v>
      </c>
      <c r="L53" s="5">
        <v>3.6145833333333335E-2</v>
      </c>
      <c r="M53" s="6">
        <f t="shared" si="1"/>
        <v>0.13961285707899324</v>
      </c>
      <c r="N53" s="5">
        <v>5.0462962962962961E-3</v>
      </c>
      <c r="O53" s="5">
        <v>1.474537037037037E-2</v>
      </c>
      <c r="P53" s="5"/>
      <c r="Q53" s="5"/>
      <c r="R53" s="5"/>
      <c r="S53" s="5">
        <v>1.4016203703703704E-2</v>
      </c>
      <c r="T53" s="5">
        <v>7.291666666666667E-4</v>
      </c>
      <c r="U53" s="5">
        <v>1.5740740740740741E-3</v>
      </c>
      <c r="V53" s="5"/>
      <c r="W53" s="5"/>
    </row>
    <row r="54" spans="1:23" x14ac:dyDescent="0.25">
      <c r="A54" s="2">
        <v>46235</v>
      </c>
      <c r="B54" s="3" t="s">
        <v>52</v>
      </c>
      <c r="C54" s="3" t="s">
        <v>509</v>
      </c>
      <c r="D54" s="3" t="s">
        <v>100</v>
      </c>
      <c r="E54" s="3" t="s">
        <v>31</v>
      </c>
      <c r="F54" s="3" t="s">
        <v>32</v>
      </c>
      <c r="G54" s="4" t="s">
        <v>33</v>
      </c>
      <c r="H54" s="4">
        <v>0</v>
      </c>
      <c r="I54" s="5">
        <v>0.16879629629629631</v>
      </c>
      <c r="J54" s="5">
        <v>0</v>
      </c>
      <c r="K54" s="5">
        <f t="shared" si="0"/>
        <v>0</v>
      </c>
      <c r="L54" s="5">
        <v>0.16879629629629631</v>
      </c>
      <c r="M54" s="6">
        <f t="shared" si="1"/>
        <v>1</v>
      </c>
      <c r="N54" s="5"/>
      <c r="O54" s="5">
        <v>1.3912037037037037E-2</v>
      </c>
      <c r="P54" s="5"/>
      <c r="Q54" s="5"/>
      <c r="R54" s="5"/>
      <c r="S54" s="5">
        <v>1.4131944444444445E-2</v>
      </c>
      <c r="T54" s="5">
        <v>4.861111111111111E-4</v>
      </c>
      <c r="U54" s="5"/>
      <c r="V54" s="5"/>
      <c r="W54" s="5">
        <v>0.14026620370370371</v>
      </c>
    </row>
    <row r="55" spans="1:23" x14ac:dyDescent="0.25">
      <c r="A55" s="2">
        <v>46235</v>
      </c>
      <c r="B55" s="3" t="s">
        <v>164</v>
      </c>
      <c r="C55" s="3" t="s">
        <v>519</v>
      </c>
      <c r="D55" s="3" t="s">
        <v>146</v>
      </c>
      <c r="E55" s="3" t="s">
        <v>79</v>
      </c>
      <c r="F55" s="3" t="s">
        <v>147</v>
      </c>
      <c r="G55" s="4" t="s">
        <v>106</v>
      </c>
      <c r="H55" s="4">
        <v>14</v>
      </c>
      <c r="I55" s="5">
        <v>0.26445601851851852</v>
      </c>
      <c r="J55" s="5">
        <v>3.574074074074074E-2</v>
      </c>
      <c r="K55" s="5">
        <f t="shared" si="0"/>
        <v>2.5529100529100529E-3</v>
      </c>
      <c r="L55" s="5">
        <v>4.7523148148148148E-2</v>
      </c>
      <c r="M55" s="6">
        <f t="shared" si="1"/>
        <v>0.17970151866602477</v>
      </c>
      <c r="N55" s="5"/>
      <c r="O55" s="5">
        <v>1.8113425925925925E-2</v>
      </c>
      <c r="P55" s="5"/>
      <c r="Q55" s="5">
        <v>1.3344907407407408E-2</v>
      </c>
      <c r="R55" s="5"/>
      <c r="S55" s="5">
        <v>1.5474537037037037E-2</v>
      </c>
      <c r="T55" s="5">
        <v>1.5046296296296297E-4</v>
      </c>
      <c r="U55" s="5">
        <v>4.1666666666666669E-4</v>
      </c>
      <c r="V55" s="5"/>
      <c r="W55" s="5"/>
    </row>
    <row r="56" spans="1:23" x14ac:dyDescent="0.25">
      <c r="A56" s="2">
        <v>46235</v>
      </c>
      <c r="B56" s="3" t="s">
        <v>655</v>
      </c>
      <c r="C56" s="3" t="s">
        <v>656</v>
      </c>
      <c r="D56" s="3" t="s">
        <v>100</v>
      </c>
      <c r="E56" s="3" t="s">
        <v>31</v>
      </c>
      <c r="F56" s="3" t="s">
        <v>32</v>
      </c>
      <c r="G56" s="4" t="s">
        <v>33</v>
      </c>
      <c r="H56" s="4">
        <v>16</v>
      </c>
      <c r="I56" s="5">
        <v>0.25579861111111113</v>
      </c>
      <c r="J56" s="5">
        <v>7.6817129629629624E-2</v>
      </c>
      <c r="K56" s="5">
        <f t="shared" si="0"/>
        <v>4.8010706018518515E-3</v>
      </c>
      <c r="L56" s="5">
        <v>3.8124999999999999E-2</v>
      </c>
      <c r="M56" s="6">
        <f t="shared" si="1"/>
        <v>0.14904302972716166</v>
      </c>
      <c r="N56" s="5">
        <v>7.0949074074074074E-3</v>
      </c>
      <c r="O56" s="5">
        <v>1.443287037037037E-2</v>
      </c>
      <c r="P56" s="5"/>
      <c r="Q56" s="5"/>
      <c r="R56" s="5"/>
      <c r="S56" s="5">
        <v>1.3923611111111111E-2</v>
      </c>
      <c r="T56" s="5">
        <v>1.5625000000000001E-3</v>
      </c>
      <c r="U56" s="5">
        <v>1.0995370370370371E-3</v>
      </c>
      <c r="V56" s="5"/>
      <c r="W56" s="5"/>
    </row>
    <row r="57" spans="1:23" x14ac:dyDescent="0.25">
      <c r="A57" s="2">
        <v>46235</v>
      </c>
      <c r="B57" s="3" t="s">
        <v>657</v>
      </c>
      <c r="C57" s="3" t="s">
        <v>658</v>
      </c>
      <c r="D57" s="3" t="s">
        <v>274</v>
      </c>
      <c r="E57" s="3" t="s">
        <v>79</v>
      </c>
      <c r="F57" s="3" t="s">
        <v>147</v>
      </c>
      <c r="G57" s="4" t="s">
        <v>33</v>
      </c>
      <c r="H57" s="4">
        <v>12</v>
      </c>
      <c r="I57" s="5">
        <v>0.25413194444444442</v>
      </c>
      <c r="J57" s="5">
        <v>3.4652777777777775E-2</v>
      </c>
      <c r="K57" s="5">
        <f t="shared" si="0"/>
        <v>2.8877314814814811E-3</v>
      </c>
      <c r="L57" s="5">
        <v>3.5104166666666665E-2</v>
      </c>
      <c r="M57" s="6">
        <f t="shared" si="1"/>
        <v>0.13813362481213282</v>
      </c>
      <c r="N57" s="5">
        <v>7.8240740740740736E-3</v>
      </c>
      <c r="O57" s="5">
        <v>1.4108796296296296E-2</v>
      </c>
      <c r="P57" s="5"/>
      <c r="Q57" s="5"/>
      <c r="R57" s="5">
        <v>1.5509259259259259E-3</v>
      </c>
      <c r="S57" s="5">
        <v>1.0578703703703703E-2</v>
      </c>
      <c r="T57" s="5">
        <v>5.4398148148148144E-4</v>
      </c>
      <c r="U57" s="5">
        <v>4.861111111111111E-4</v>
      </c>
      <c r="V57" s="5"/>
      <c r="W57" s="5"/>
    </row>
    <row r="58" spans="1:23" x14ac:dyDescent="0.25">
      <c r="A58" s="2">
        <v>46235</v>
      </c>
      <c r="B58" s="3" t="s">
        <v>166</v>
      </c>
      <c r="C58" s="3" t="s">
        <v>167</v>
      </c>
      <c r="D58" s="3" t="s">
        <v>146</v>
      </c>
      <c r="E58" s="3" t="s">
        <v>79</v>
      </c>
      <c r="F58" s="3" t="s">
        <v>147</v>
      </c>
      <c r="G58" s="4" t="s">
        <v>106</v>
      </c>
      <c r="H58" s="4">
        <v>17</v>
      </c>
      <c r="I58" s="5">
        <v>0.2573611111111111</v>
      </c>
      <c r="J58" s="5">
        <v>3.5937499999999997E-2</v>
      </c>
      <c r="K58" s="5">
        <f t="shared" si="0"/>
        <v>2.113970588235294E-3</v>
      </c>
      <c r="L58" s="5">
        <v>4.6192129629629632E-2</v>
      </c>
      <c r="M58" s="6">
        <f t="shared" si="1"/>
        <v>0.17948372009354202</v>
      </c>
      <c r="N58" s="5">
        <v>7.2569444444444443E-3</v>
      </c>
      <c r="O58" s="5">
        <v>1.3530092592592592E-2</v>
      </c>
      <c r="P58" s="5"/>
      <c r="Q58" s="5">
        <v>1.1076388888888889E-2</v>
      </c>
      <c r="R58" s="5"/>
      <c r="S58" s="5">
        <v>1.4085648148148147E-2</v>
      </c>
      <c r="T58" s="5">
        <v>1.3888888888888889E-4</v>
      </c>
      <c r="U58" s="5">
        <v>9.2592592592592588E-5</v>
      </c>
      <c r="V58" s="5"/>
      <c r="W58" s="5"/>
    </row>
    <row r="59" spans="1:23" x14ac:dyDescent="0.25">
      <c r="A59" s="2">
        <v>46235</v>
      </c>
      <c r="B59" s="3" t="s">
        <v>659</v>
      </c>
      <c r="C59" s="3" t="s">
        <v>660</v>
      </c>
      <c r="D59" s="3" t="s">
        <v>100</v>
      </c>
      <c r="E59" s="3" t="s">
        <v>31</v>
      </c>
      <c r="F59" s="3" t="s">
        <v>32</v>
      </c>
      <c r="G59" s="4" t="s">
        <v>33</v>
      </c>
      <c r="H59" s="4">
        <v>21</v>
      </c>
      <c r="I59" s="5">
        <v>0.25342592592592594</v>
      </c>
      <c r="J59" s="5">
        <v>9.0300925925925923E-2</v>
      </c>
      <c r="K59" s="5">
        <f t="shared" si="0"/>
        <v>4.3000440917107582E-3</v>
      </c>
      <c r="L59" s="5">
        <v>4.2094907407407407E-2</v>
      </c>
      <c r="M59" s="6">
        <f t="shared" si="1"/>
        <v>0.16610339788089148</v>
      </c>
      <c r="N59" s="5">
        <v>8.2523148148148148E-3</v>
      </c>
      <c r="O59" s="5">
        <v>1.5358796296296296E-2</v>
      </c>
      <c r="P59" s="5"/>
      <c r="Q59" s="5">
        <v>3.7268518518518519E-3</v>
      </c>
      <c r="R59" s="5"/>
      <c r="S59" s="5">
        <v>1.2777777777777779E-2</v>
      </c>
      <c r="T59" s="5">
        <v>7.0601851851851847E-4</v>
      </c>
      <c r="U59" s="5">
        <v>1.2152777777777778E-3</v>
      </c>
      <c r="V59" s="5"/>
      <c r="W59" s="5"/>
    </row>
    <row r="60" spans="1:23" x14ac:dyDescent="0.25">
      <c r="A60" s="2">
        <v>46235</v>
      </c>
      <c r="B60" s="3" t="s">
        <v>254</v>
      </c>
      <c r="C60" s="3" t="s">
        <v>528</v>
      </c>
      <c r="D60" s="3" t="s">
        <v>233</v>
      </c>
      <c r="E60" s="3" t="s">
        <v>31</v>
      </c>
      <c r="F60" s="3" t="s">
        <v>32</v>
      </c>
      <c r="G60" s="4" t="s">
        <v>106</v>
      </c>
      <c r="H60" s="4">
        <v>16</v>
      </c>
      <c r="I60" s="5">
        <v>0.26457175925925924</v>
      </c>
      <c r="J60" s="5">
        <v>0.10538194444444444</v>
      </c>
      <c r="K60" s="5">
        <f t="shared" si="0"/>
        <v>6.5863715277777778E-3</v>
      </c>
      <c r="L60" s="5">
        <v>6.3101851851851853E-2</v>
      </c>
      <c r="M60" s="6">
        <f t="shared" si="1"/>
        <v>0.23850562141825979</v>
      </c>
      <c r="N60" s="5">
        <v>2.1412037037037038E-2</v>
      </c>
      <c r="O60" s="5">
        <v>1.4189814814814815E-2</v>
      </c>
      <c r="P60" s="5"/>
      <c r="Q60" s="5">
        <v>2.4305555555555556E-3</v>
      </c>
      <c r="R60" s="5"/>
      <c r="S60" s="5">
        <v>1.2685185185185185E-2</v>
      </c>
      <c r="T60" s="5">
        <v>1.1597222222222222E-2</v>
      </c>
      <c r="U60" s="5">
        <v>7.5231481481481482E-4</v>
      </c>
      <c r="V60" s="5"/>
      <c r="W60" s="5"/>
    </row>
    <row r="61" spans="1:23" x14ac:dyDescent="0.25">
      <c r="A61" s="2">
        <v>46235</v>
      </c>
      <c r="B61" s="3" t="s">
        <v>201</v>
      </c>
      <c r="C61" s="3" t="s">
        <v>545</v>
      </c>
      <c r="D61" s="3" t="s">
        <v>601</v>
      </c>
      <c r="E61" s="3" t="s">
        <v>31</v>
      </c>
      <c r="F61" s="3" t="s">
        <v>600</v>
      </c>
      <c r="G61" s="4" t="s">
        <v>33</v>
      </c>
      <c r="H61" s="4">
        <v>18</v>
      </c>
      <c r="I61" s="5">
        <v>0.25240740740740741</v>
      </c>
      <c r="J61" s="5">
        <v>5.4976851851851853E-2</v>
      </c>
      <c r="K61" s="5">
        <f t="shared" si="0"/>
        <v>3.0542695473251029E-3</v>
      </c>
      <c r="L61" s="5">
        <v>8.0231481481481487E-2</v>
      </c>
      <c r="M61" s="6">
        <f t="shared" si="1"/>
        <v>0.31786500366837861</v>
      </c>
      <c r="N61" s="5">
        <v>4.4432870370370373E-2</v>
      </c>
      <c r="O61" s="5">
        <v>1.0243055555555556E-2</v>
      </c>
      <c r="P61" s="5"/>
      <c r="Q61" s="5">
        <v>3.7268518518518519E-3</v>
      </c>
      <c r="R61" s="5"/>
      <c r="S61" s="5">
        <v>2.0219907407407409E-2</v>
      </c>
      <c r="T61" s="5">
        <v>1.4583333333333334E-3</v>
      </c>
      <c r="U61" s="5">
        <v>1.5046296296296297E-4</v>
      </c>
      <c r="V61" s="5"/>
      <c r="W61" s="5"/>
    </row>
    <row r="62" spans="1:23" x14ac:dyDescent="0.25">
      <c r="A62" s="2">
        <v>46235</v>
      </c>
      <c r="B62" s="3" t="s">
        <v>168</v>
      </c>
      <c r="C62" s="3" t="s">
        <v>520</v>
      </c>
      <c r="D62" s="3" t="s">
        <v>274</v>
      </c>
      <c r="E62" s="3" t="s">
        <v>79</v>
      </c>
      <c r="F62" s="3" t="s">
        <v>147</v>
      </c>
      <c r="G62" s="4" t="s">
        <v>33</v>
      </c>
      <c r="H62" s="4">
        <v>10</v>
      </c>
      <c r="I62" s="5">
        <v>0.26148148148148148</v>
      </c>
      <c r="J62" s="5">
        <v>2.4652777777777777E-2</v>
      </c>
      <c r="K62" s="5">
        <f t="shared" si="0"/>
        <v>2.4652777777777776E-3</v>
      </c>
      <c r="L62" s="5">
        <v>4.0833333333333333E-2</v>
      </c>
      <c r="M62" s="6">
        <f t="shared" si="1"/>
        <v>0.15616147308781869</v>
      </c>
      <c r="N62" s="5">
        <v>1.0960648148148148E-2</v>
      </c>
      <c r="O62" s="5">
        <v>1.5486111111111112E-2</v>
      </c>
      <c r="P62" s="5"/>
      <c r="Q62" s="5"/>
      <c r="R62" s="5"/>
      <c r="S62" s="5">
        <v>1.3784722222222223E-2</v>
      </c>
      <c r="T62" s="5">
        <v>1.5046296296296297E-4</v>
      </c>
      <c r="U62" s="5">
        <v>1.3888888888888889E-4</v>
      </c>
      <c r="V62" s="5"/>
      <c r="W62" s="5"/>
    </row>
    <row r="63" spans="1:23" x14ac:dyDescent="0.25">
      <c r="A63" s="2">
        <v>46235</v>
      </c>
      <c r="B63" s="3" t="s">
        <v>170</v>
      </c>
      <c r="C63" s="3" t="s">
        <v>521</v>
      </c>
      <c r="D63" s="3" t="s">
        <v>146</v>
      </c>
      <c r="E63" s="3" t="s">
        <v>79</v>
      </c>
      <c r="F63" s="3" t="s">
        <v>147</v>
      </c>
      <c r="G63" s="4" t="s">
        <v>106</v>
      </c>
      <c r="H63" s="4">
        <v>10</v>
      </c>
      <c r="I63" s="5">
        <v>0.25469907407407405</v>
      </c>
      <c r="J63" s="5">
        <v>3.8217592592592595E-2</v>
      </c>
      <c r="K63" s="5">
        <f t="shared" si="0"/>
        <v>3.8217592592592596E-3</v>
      </c>
      <c r="L63" s="5">
        <v>5.7210648148148149E-2</v>
      </c>
      <c r="M63" s="6">
        <f t="shared" si="1"/>
        <v>0.2246205580296283</v>
      </c>
      <c r="N63" s="5"/>
      <c r="O63" s="5">
        <v>1.4479166666666666E-2</v>
      </c>
      <c r="P63" s="5"/>
      <c r="Q63" s="5">
        <v>2.6909722222222224E-2</v>
      </c>
      <c r="R63" s="5"/>
      <c r="S63" s="5">
        <v>1.3842592592592592E-2</v>
      </c>
      <c r="T63" s="5">
        <v>1.1574074074074075E-4</v>
      </c>
      <c r="U63" s="5">
        <v>1.7708333333333332E-3</v>
      </c>
      <c r="V63" s="5"/>
      <c r="W63" s="5"/>
    </row>
    <row r="64" spans="1:23" x14ac:dyDescent="0.25">
      <c r="A64" s="2">
        <v>46235</v>
      </c>
      <c r="B64" s="3" t="s">
        <v>293</v>
      </c>
      <c r="C64" s="3" t="s">
        <v>543</v>
      </c>
      <c r="D64" s="3" t="s">
        <v>104</v>
      </c>
      <c r="E64" s="3" t="s">
        <v>31</v>
      </c>
      <c r="F64" s="3" t="s">
        <v>600</v>
      </c>
      <c r="G64" s="4" t="s">
        <v>106</v>
      </c>
      <c r="H64" s="4">
        <v>22</v>
      </c>
      <c r="I64" s="5">
        <v>0.25930555555555557</v>
      </c>
      <c r="J64" s="5">
        <v>4.521990740740741E-2</v>
      </c>
      <c r="K64" s="5">
        <f t="shared" si="0"/>
        <v>2.0554503367003368E-3</v>
      </c>
      <c r="L64" s="5">
        <v>0.10219907407407407</v>
      </c>
      <c r="M64" s="6">
        <f t="shared" si="1"/>
        <v>0.39412604891983571</v>
      </c>
      <c r="N64" s="5">
        <v>1.7164351851851851E-2</v>
      </c>
      <c r="O64" s="5">
        <v>2.6643518518518518E-2</v>
      </c>
      <c r="P64" s="5"/>
      <c r="Q64" s="5"/>
      <c r="R64" s="5"/>
      <c r="S64" s="5">
        <v>1.4050925925925927E-2</v>
      </c>
      <c r="T64" s="5">
        <v>1.3402777777777777E-2</v>
      </c>
      <c r="U64" s="5">
        <v>2.199074074074074E-4</v>
      </c>
      <c r="V64" s="5"/>
      <c r="W64" s="5">
        <v>3.0694444444444444E-2</v>
      </c>
    </row>
    <row r="65" spans="1:23" x14ac:dyDescent="0.25">
      <c r="A65" s="2">
        <v>46235</v>
      </c>
      <c r="B65" s="3" t="s">
        <v>606</v>
      </c>
      <c r="C65" s="3" t="s">
        <v>633</v>
      </c>
      <c r="D65" s="3" t="s">
        <v>146</v>
      </c>
      <c r="E65" s="3" t="s">
        <v>79</v>
      </c>
      <c r="F65" s="3" t="s">
        <v>147</v>
      </c>
      <c r="G65" s="4" t="s">
        <v>106</v>
      </c>
      <c r="H65" s="4">
        <v>10</v>
      </c>
      <c r="I65" s="5">
        <v>0.26535879629629627</v>
      </c>
      <c r="J65" s="5">
        <v>2.420138888888889E-2</v>
      </c>
      <c r="K65" s="5">
        <f t="shared" si="0"/>
        <v>2.4201388888888892E-3</v>
      </c>
      <c r="L65" s="5">
        <v>5.6284722222222222E-2</v>
      </c>
      <c r="M65" s="6">
        <f t="shared" si="1"/>
        <v>0.21210799494046323</v>
      </c>
      <c r="N65" s="5">
        <v>4.0625000000000001E-3</v>
      </c>
      <c r="O65" s="5">
        <v>1.4027777777777778E-2</v>
      </c>
      <c r="P65" s="5"/>
      <c r="Q65" s="5">
        <v>1.5625E-2</v>
      </c>
      <c r="R65" s="5"/>
      <c r="S65" s="5">
        <v>1.4282407407407407E-2</v>
      </c>
      <c r="T65" s="5">
        <v>4.0972222222222226E-3</v>
      </c>
      <c r="U65" s="5">
        <v>4.0740740740740737E-3</v>
      </c>
      <c r="V65" s="5"/>
      <c r="W65" s="5"/>
    </row>
    <row r="66" spans="1:23" x14ac:dyDescent="0.25">
      <c r="A66" s="2">
        <v>46235</v>
      </c>
      <c r="B66" s="3" t="s">
        <v>612</v>
      </c>
      <c r="C66" s="3" t="s">
        <v>634</v>
      </c>
      <c r="D66" s="3" t="s">
        <v>601</v>
      </c>
      <c r="E66" s="3" t="s">
        <v>31</v>
      </c>
      <c r="F66" s="3" t="s">
        <v>105</v>
      </c>
      <c r="G66" s="4" t="s">
        <v>33</v>
      </c>
      <c r="H66" s="4">
        <v>2</v>
      </c>
      <c r="I66" s="5">
        <v>0.17953703703703705</v>
      </c>
      <c r="J66" s="5">
        <v>0.12479166666666666</v>
      </c>
      <c r="K66" s="5">
        <f t="shared" si="0"/>
        <v>6.2395833333333331E-2</v>
      </c>
      <c r="L66" s="5">
        <v>0.13241898148148148</v>
      </c>
      <c r="M66" s="6">
        <f t="shared" si="1"/>
        <v>0.73755801959773071</v>
      </c>
      <c r="N66" s="5">
        <v>2.1412037037037038E-2</v>
      </c>
      <c r="O66" s="5">
        <v>1.0821759259259258E-2</v>
      </c>
      <c r="P66" s="5"/>
      <c r="Q66" s="5"/>
      <c r="R66" s="5"/>
      <c r="S66" s="5">
        <v>1.7511574074074075E-2</v>
      </c>
      <c r="T66" s="5">
        <v>5.7870370370370367E-4</v>
      </c>
      <c r="U66" s="5"/>
      <c r="V66" s="5"/>
      <c r="W66" s="5">
        <v>8.2094907407407408E-2</v>
      </c>
    </row>
    <row r="67" spans="1:23" x14ac:dyDescent="0.25">
      <c r="A67" s="2">
        <v>46235</v>
      </c>
      <c r="B67" s="3" t="s">
        <v>258</v>
      </c>
      <c r="C67" s="3" t="s">
        <v>554</v>
      </c>
      <c r="D67" s="3" t="s">
        <v>233</v>
      </c>
      <c r="E67" s="3" t="s">
        <v>31</v>
      </c>
      <c r="F67" s="3" t="s">
        <v>32</v>
      </c>
      <c r="G67" s="4" t="s">
        <v>106</v>
      </c>
      <c r="H67" s="4">
        <v>1</v>
      </c>
      <c r="I67" s="5">
        <v>0.20333333333333334</v>
      </c>
      <c r="J67" s="5">
        <v>5.9722222222222225E-3</v>
      </c>
      <c r="K67" s="5">
        <f t="shared" si="0"/>
        <v>5.9722222222222225E-3</v>
      </c>
      <c r="L67" s="5">
        <v>0.18802083333333333</v>
      </c>
      <c r="M67" s="6">
        <f t="shared" si="1"/>
        <v>0.92469262295081966</v>
      </c>
      <c r="N67" s="5"/>
      <c r="O67" s="5"/>
      <c r="P67" s="5"/>
      <c r="Q67" s="5"/>
      <c r="R67" s="5"/>
      <c r="S67" s="5"/>
      <c r="T67" s="5">
        <v>4.3703703703703703E-2</v>
      </c>
      <c r="U67" s="5"/>
      <c r="V67" s="5"/>
      <c r="W67" s="5">
        <v>0.14431712962962964</v>
      </c>
    </row>
    <row r="68" spans="1:23" x14ac:dyDescent="0.25">
      <c r="A68" s="2">
        <v>46235</v>
      </c>
      <c r="B68" s="3" t="s">
        <v>661</v>
      </c>
      <c r="C68" s="3" t="s">
        <v>662</v>
      </c>
      <c r="D68" s="3" t="s">
        <v>100</v>
      </c>
      <c r="E68" s="3" t="s">
        <v>31</v>
      </c>
      <c r="F68" s="3" t="s">
        <v>32</v>
      </c>
      <c r="G68" s="4" t="s">
        <v>33</v>
      </c>
      <c r="H68" s="4">
        <v>11</v>
      </c>
      <c r="I68" s="5">
        <v>0.26231481481481483</v>
      </c>
      <c r="J68" s="5">
        <v>0.1404050925925926</v>
      </c>
      <c r="K68" s="5">
        <f t="shared" si="0"/>
        <v>1.2764099326599327E-2</v>
      </c>
      <c r="L68" s="5">
        <v>3.0034722222222223E-2</v>
      </c>
      <c r="M68" s="6">
        <f t="shared" si="1"/>
        <v>0.11449876456053652</v>
      </c>
      <c r="N68" s="5"/>
      <c r="O68" s="5">
        <v>1.4004629629629629E-2</v>
      </c>
      <c r="P68" s="5"/>
      <c r="Q68" s="5"/>
      <c r="R68" s="5"/>
      <c r="S68" s="5">
        <v>1.4351851851851852E-2</v>
      </c>
      <c r="T68" s="5">
        <v>7.5231481481481482E-4</v>
      </c>
      <c r="U68" s="5">
        <v>9.0277777777777774E-4</v>
      </c>
      <c r="V68" s="5"/>
      <c r="W68" s="5"/>
    </row>
    <row r="69" spans="1:23" x14ac:dyDescent="0.25">
      <c r="A69" s="2">
        <v>46235</v>
      </c>
      <c r="B69" s="3" t="s">
        <v>663</v>
      </c>
      <c r="C69" s="3" t="s">
        <v>664</v>
      </c>
      <c r="D69" s="3" t="s">
        <v>233</v>
      </c>
      <c r="E69" s="3" t="s">
        <v>31</v>
      </c>
      <c r="F69" s="3" t="s">
        <v>32</v>
      </c>
      <c r="G69" s="4" t="s">
        <v>106</v>
      </c>
      <c r="H69" s="4">
        <v>15</v>
      </c>
      <c r="I69" s="5">
        <v>0.24864583333333334</v>
      </c>
      <c r="J69" s="5">
        <v>0.1162037037037037</v>
      </c>
      <c r="K69" s="5">
        <f t="shared" si="0"/>
        <v>7.7469135802469133E-3</v>
      </c>
      <c r="L69" s="5">
        <v>4.0937500000000002E-2</v>
      </c>
      <c r="M69" s="6">
        <f t="shared" si="1"/>
        <v>0.16464180980310011</v>
      </c>
      <c r="N69" s="5">
        <v>1.1574074074074075E-4</v>
      </c>
      <c r="O69" s="5">
        <v>1.2893518518518518E-2</v>
      </c>
      <c r="P69" s="5"/>
      <c r="Q69" s="5"/>
      <c r="R69" s="5"/>
      <c r="S69" s="5">
        <v>1.7361111111111112E-2</v>
      </c>
      <c r="T69" s="5">
        <v>5.7870370370370373E-5</v>
      </c>
      <c r="U69" s="5">
        <v>9.6064814814814819E-4</v>
      </c>
      <c r="V69" s="5"/>
      <c r="W69" s="5">
        <v>9.525462962962963E-3</v>
      </c>
    </row>
    <row r="70" spans="1:23" x14ac:dyDescent="0.25">
      <c r="A70" s="2">
        <v>46235</v>
      </c>
      <c r="B70" s="3" t="s">
        <v>203</v>
      </c>
      <c r="C70" s="3" t="s">
        <v>565</v>
      </c>
      <c r="D70" s="3" t="s">
        <v>601</v>
      </c>
      <c r="E70" s="3" t="s">
        <v>31</v>
      </c>
      <c r="F70" s="3" t="s">
        <v>105</v>
      </c>
      <c r="G70" s="4" t="s">
        <v>33</v>
      </c>
      <c r="H70" s="4">
        <v>6</v>
      </c>
      <c r="I70" s="5">
        <v>0.19097222222222221</v>
      </c>
      <c r="J70" s="5">
        <v>5.3113425925925925E-2</v>
      </c>
      <c r="K70" s="5">
        <f t="shared" si="0"/>
        <v>8.8522376543209869E-3</v>
      </c>
      <c r="L70" s="5">
        <v>8.9317129629629635E-2</v>
      </c>
      <c r="M70" s="6">
        <f t="shared" si="1"/>
        <v>0.46769696969696978</v>
      </c>
      <c r="N70" s="5">
        <v>2.8009259259259259E-3</v>
      </c>
      <c r="O70" s="5">
        <v>8.6689814814814806E-3</v>
      </c>
      <c r="P70" s="5"/>
      <c r="Q70" s="5">
        <v>7.1527777777777779E-3</v>
      </c>
      <c r="R70" s="5"/>
      <c r="S70" s="5">
        <v>1.6087962962962964E-2</v>
      </c>
      <c r="T70" s="5">
        <v>2.6620370370370372E-4</v>
      </c>
      <c r="U70" s="5"/>
      <c r="V70" s="5"/>
      <c r="W70" s="5">
        <v>5.4340277777777779E-2</v>
      </c>
    </row>
    <row r="71" spans="1:23" x14ac:dyDescent="0.25">
      <c r="A71" s="2">
        <v>46235</v>
      </c>
      <c r="B71" s="3" t="s">
        <v>665</v>
      </c>
      <c r="C71" s="3" t="s">
        <v>666</v>
      </c>
      <c r="D71" s="3" t="s">
        <v>100</v>
      </c>
      <c r="E71" s="3" t="s">
        <v>31</v>
      </c>
      <c r="F71" s="3" t="s">
        <v>32</v>
      </c>
      <c r="G71" s="4" t="s">
        <v>33</v>
      </c>
      <c r="H71" s="4">
        <v>16</v>
      </c>
      <c r="I71" s="5">
        <v>0.26341435185185186</v>
      </c>
      <c r="J71" s="5">
        <v>8.0844907407407407E-2</v>
      </c>
      <c r="K71" s="5">
        <f t="shared" si="0"/>
        <v>5.0528067129629629E-3</v>
      </c>
      <c r="L71" s="5">
        <v>3.0138888888888889E-2</v>
      </c>
      <c r="M71" s="6">
        <f t="shared" si="1"/>
        <v>0.11441627488026715</v>
      </c>
      <c r="N71" s="5"/>
      <c r="O71" s="5">
        <v>1.375E-2</v>
      </c>
      <c r="P71" s="5"/>
      <c r="Q71" s="5"/>
      <c r="R71" s="5"/>
      <c r="S71" s="5">
        <v>1.412037037037037E-2</v>
      </c>
      <c r="T71" s="5">
        <v>1.6203703703703703E-4</v>
      </c>
      <c r="U71" s="5">
        <v>1.9675925925925924E-3</v>
      </c>
      <c r="V71" s="5"/>
      <c r="W71" s="5"/>
    </row>
    <row r="72" spans="1:23" x14ac:dyDescent="0.25">
      <c r="A72" s="2">
        <v>46235</v>
      </c>
      <c r="B72" s="3" t="s">
        <v>128</v>
      </c>
      <c r="C72" s="3" t="s">
        <v>555</v>
      </c>
      <c r="D72" s="3" t="s">
        <v>233</v>
      </c>
      <c r="E72" s="3" t="s">
        <v>31</v>
      </c>
      <c r="F72" s="3" t="s">
        <v>32</v>
      </c>
      <c r="G72" s="4" t="s">
        <v>106</v>
      </c>
      <c r="H72" s="4">
        <v>16</v>
      </c>
      <c r="I72" s="5">
        <v>0.24840277777777778</v>
      </c>
      <c r="J72" s="5">
        <v>6.2789351851851846E-2</v>
      </c>
      <c r="K72" s="5">
        <f t="shared" si="0"/>
        <v>3.9243344907407404E-3</v>
      </c>
      <c r="L72" s="5">
        <v>5.9699074074074071E-2</v>
      </c>
      <c r="M72" s="6">
        <f t="shared" si="1"/>
        <v>0.24033174913801136</v>
      </c>
      <c r="N72" s="5">
        <v>1.9930555555555556E-2</v>
      </c>
      <c r="O72" s="5">
        <v>1.4201388888888888E-2</v>
      </c>
      <c r="P72" s="5"/>
      <c r="Q72" s="5"/>
      <c r="R72" s="5"/>
      <c r="S72" s="5">
        <v>1.4502314814814815E-2</v>
      </c>
      <c r="T72" s="5">
        <v>2.3263888888888887E-3</v>
      </c>
      <c r="U72" s="5">
        <v>2.8935185185185184E-3</v>
      </c>
      <c r="V72" s="5"/>
      <c r="W72" s="5">
        <v>5.8217592592592592E-3</v>
      </c>
    </row>
    <row r="73" spans="1:23" x14ac:dyDescent="0.25">
      <c r="A73" s="2">
        <v>46235</v>
      </c>
      <c r="B73" s="3" t="s">
        <v>178</v>
      </c>
      <c r="C73" s="3" t="s">
        <v>522</v>
      </c>
      <c r="D73" s="3" t="s">
        <v>146</v>
      </c>
      <c r="E73" s="3" t="s">
        <v>79</v>
      </c>
      <c r="F73" s="3" t="s">
        <v>147</v>
      </c>
      <c r="G73" s="4" t="s">
        <v>106</v>
      </c>
      <c r="H73" s="4">
        <v>9</v>
      </c>
      <c r="I73" s="5">
        <v>0.26554398148148151</v>
      </c>
      <c r="J73" s="5">
        <v>4.2719907407407408E-2</v>
      </c>
      <c r="K73" s="5">
        <f t="shared" si="0"/>
        <v>4.7466563786008227E-3</v>
      </c>
      <c r="L73" s="5">
        <v>5.3564814814814815E-2</v>
      </c>
      <c r="M73" s="6">
        <f t="shared" si="1"/>
        <v>0.2017172993941507</v>
      </c>
      <c r="N73" s="5">
        <v>4.8611111111111112E-3</v>
      </c>
      <c r="O73" s="5">
        <v>1.3726851851851851E-2</v>
      </c>
      <c r="P73" s="5"/>
      <c r="Q73" s="5">
        <v>1.7118055555555556E-2</v>
      </c>
      <c r="R73" s="5"/>
      <c r="S73" s="5">
        <v>1.3159722222222222E-2</v>
      </c>
      <c r="T73" s="5">
        <v>1.1574074074074075E-4</v>
      </c>
      <c r="U73" s="5">
        <v>4.4675925925925924E-3</v>
      </c>
      <c r="V73" s="5"/>
      <c r="W73" s="5"/>
    </row>
    <row r="74" spans="1:23" x14ac:dyDescent="0.25">
      <c r="A74" s="2">
        <v>46235</v>
      </c>
      <c r="B74" s="3" t="s">
        <v>266</v>
      </c>
      <c r="C74" s="3" t="s">
        <v>531</v>
      </c>
      <c r="D74" s="3" t="s">
        <v>233</v>
      </c>
      <c r="E74" s="3" t="s">
        <v>31</v>
      </c>
      <c r="F74" s="3" t="s">
        <v>32</v>
      </c>
      <c r="G74" s="4" t="s">
        <v>106</v>
      </c>
      <c r="H74" s="4">
        <v>0</v>
      </c>
      <c r="I74" s="5">
        <v>0.24414351851851851</v>
      </c>
      <c r="J74" s="5">
        <v>0</v>
      </c>
      <c r="K74" s="5">
        <f t="shared" si="0"/>
        <v>0</v>
      </c>
      <c r="L74" s="5">
        <v>0.24414351851851851</v>
      </c>
      <c r="M74" s="6">
        <f t="shared" si="1"/>
        <v>1</v>
      </c>
      <c r="N74" s="5"/>
      <c r="O74" s="5">
        <v>1.3993055555555555E-2</v>
      </c>
      <c r="P74" s="5"/>
      <c r="Q74" s="5"/>
      <c r="R74" s="5"/>
      <c r="S74" s="5">
        <v>8.472222222222223E-3</v>
      </c>
      <c r="T74" s="5">
        <v>5.0925925925925921E-4</v>
      </c>
      <c r="U74" s="5"/>
      <c r="V74" s="5"/>
      <c r="W74" s="5">
        <v>0.22116898148148148</v>
      </c>
    </row>
    <row r="75" spans="1:23" x14ac:dyDescent="0.25">
      <c r="A75" s="2">
        <v>46235</v>
      </c>
      <c r="B75" s="3" t="s">
        <v>297</v>
      </c>
      <c r="C75" s="3" t="s">
        <v>667</v>
      </c>
      <c r="D75" s="3" t="s">
        <v>104</v>
      </c>
      <c r="E75" s="3" t="s">
        <v>31</v>
      </c>
      <c r="F75" s="3" t="s">
        <v>105</v>
      </c>
      <c r="G75" s="4" t="s">
        <v>106</v>
      </c>
      <c r="H75" s="4">
        <v>20</v>
      </c>
      <c r="I75" s="5">
        <v>0.25236111111111109</v>
      </c>
      <c r="J75" s="5">
        <v>0.19547453703703704</v>
      </c>
      <c r="K75" s="5">
        <f t="shared" si="0"/>
        <v>9.7737268518518529E-3</v>
      </c>
      <c r="L75" s="5">
        <v>8.1956018518518525E-2</v>
      </c>
      <c r="M75" s="6">
        <f t="shared" si="1"/>
        <v>0.32475692533480099</v>
      </c>
      <c r="N75" s="5">
        <v>2.1643518518518517E-2</v>
      </c>
      <c r="O75" s="5">
        <v>1.8356481481481481E-2</v>
      </c>
      <c r="P75" s="5"/>
      <c r="Q75" s="5">
        <v>8.9930555555555562E-3</v>
      </c>
      <c r="R75" s="5"/>
      <c r="S75" s="5">
        <v>1.4722222222222222E-2</v>
      </c>
      <c r="T75" s="5">
        <v>4.0740740740740737E-3</v>
      </c>
      <c r="U75" s="5">
        <v>5.7870370370370373E-5</v>
      </c>
      <c r="V75" s="5"/>
      <c r="W75" s="5">
        <v>1.4108796296296296E-2</v>
      </c>
    </row>
    <row r="76" spans="1:23" x14ac:dyDescent="0.25">
      <c r="A76" s="2">
        <v>46235</v>
      </c>
      <c r="B76" s="3" t="s">
        <v>207</v>
      </c>
      <c r="C76" s="3" t="s">
        <v>566</v>
      </c>
      <c r="D76" s="3" t="s">
        <v>274</v>
      </c>
      <c r="E76" s="3" t="s">
        <v>79</v>
      </c>
      <c r="F76" s="3" t="s">
        <v>147</v>
      </c>
      <c r="G76" s="4" t="s">
        <v>33</v>
      </c>
      <c r="H76" s="4">
        <v>6</v>
      </c>
      <c r="I76" s="5">
        <v>0.25765046296296296</v>
      </c>
      <c r="J76" s="5">
        <v>1.863425925925926E-2</v>
      </c>
      <c r="K76" s="5">
        <f t="shared" si="0"/>
        <v>3.1057098765432099E-3</v>
      </c>
      <c r="L76" s="5">
        <v>3.7199074074074072E-2</v>
      </c>
      <c r="M76" s="6">
        <f t="shared" si="1"/>
        <v>0.14437806028480302</v>
      </c>
      <c r="N76" s="5">
        <v>6.6203703703703702E-3</v>
      </c>
      <c r="O76" s="5">
        <v>1.5393518518518518E-2</v>
      </c>
      <c r="P76" s="5"/>
      <c r="Q76" s="5"/>
      <c r="R76" s="5"/>
      <c r="S76" s="5">
        <v>1.4456018518518519E-2</v>
      </c>
      <c r="T76" s="5">
        <v>6.9444444444444444E-5</v>
      </c>
      <c r="U76" s="5">
        <v>6.3657407407407413E-4</v>
      </c>
      <c r="V76" s="5"/>
      <c r="W76" s="5"/>
    </row>
    <row r="77" spans="1:23" x14ac:dyDescent="0.25">
      <c r="A77" s="2">
        <v>46235</v>
      </c>
      <c r="B77" s="3" t="s">
        <v>614</v>
      </c>
      <c r="C77" s="3" t="s">
        <v>635</v>
      </c>
      <c r="D77" s="3" t="s">
        <v>601</v>
      </c>
      <c r="E77" s="3" t="s">
        <v>31</v>
      </c>
      <c r="F77" s="3" t="s">
        <v>105</v>
      </c>
      <c r="G77" s="4" t="s">
        <v>33</v>
      </c>
      <c r="H77" s="4">
        <v>5</v>
      </c>
      <c r="I77" s="5">
        <v>0.23787037037037037</v>
      </c>
      <c r="J77" s="5">
        <v>4.6458333333333331E-2</v>
      </c>
      <c r="K77" s="5">
        <f t="shared" si="0"/>
        <v>9.2916666666666668E-3</v>
      </c>
      <c r="L77" s="5">
        <v>0.1363425925925926</v>
      </c>
      <c r="M77" s="6">
        <f t="shared" si="1"/>
        <v>0.57318022576878169</v>
      </c>
      <c r="N77" s="5">
        <v>1.9583333333333335E-2</v>
      </c>
      <c r="O77" s="5">
        <v>1.800925925925926E-2</v>
      </c>
      <c r="P77" s="5"/>
      <c r="Q77" s="5">
        <v>3.8541666666666668E-3</v>
      </c>
      <c r="R77" s="5">
        <v>1.8518518518518518E-4</v>
      </c>
      <c r="S77" s="5">
        <v>1.3726851851851851E-2</v>
      </c>
      <c r="T77" s="5">
        <v>2.3032407407407407E-3</v>
      </c>
      <c r="U77" s="5"/>
      <c r="V77" s="5"/>
      <c r="W77" s="5">
        <v>7.8680555555555559E-2</v>
      </c>
    </row>
    <row r="78" spans="1:23" x14ac:dyDescent="0.25">
      <c r="A78" s="2">
        <v>46235</v>
      </c>
      <c r="B78" s="3" t="s">
        <v>180</v>
      </c>
      <c r="C78" s="3" t="s">
        <v>523</v>
      </c>
      <c r="D78" s="3" t="s">
        <v>146</v>
      </c>
      <c r="E78" s="3" t="s">
        <v>79</v>
      </c>
      <c r="F78" s="3" t="s">
        <v>147</v>
      </c>
      <c r="G78" s="4" t="s">
        <v>106</v>
      </c>
      <c r="H78" s="4">
        <v>7</v>
      </c>
      <c r="I78" s="5">
        <v>0.26173611111111111</v>
      </c>
      <c r="J78" s="5">
        <v>5.4351851851851853E-2</v>
      </c>
      <c r="K78" s="5">
        <f t="shared" si="0"/>
        <v>7.7645502645502648E-3</v>
      </c>
      <c r="L78" s="5">
        <v>6.0949074074074072E-2</v>
      </c>
      <c r="M78" s="6">
        <f t="shared" si="1"/>
        <v>0.23286459715220659</v>
      </c>
      <c r="N78" s="5">
        <v>7.951388888888888E-3</v>
      </c>
      <c r="O78" s="5">
        <v>1.5578703703703704E-2</v>
      </c>
      <c r="P78" s="5"/>
      <c r="Q78" s="5">
        <v>1.954861111111111E-2</v>
      </c>
      <c r="R78" s="5"/>
      <c r="S78" s="5">
        <v>1.40625E-2</v>
      </c>
      <c r="T78" s="5">
        <v>1.0416666666666667E-4</v>
      </c>
      <c r="U78" s="5">
        <v>3.5879629629629629E-3</v>
      </c>
      <c r="V78" s="5"/>
      <c r="W78" s="5"/>
    </row>
    <row r="79" spans="1:23" x14ac:dyDescent="0.25">
      <c r="A79" s="2">
        <v>46235</v>
      </c>
      <c r="B79" s="3" t="s">
        <v>615</v>
      </c>
      <c r="C79" s="3" t="s">
        <v>636</v>
      </c>
      <c r="D79" s="3" t="s">
        <v>601</v>
      </c>
      <c r="E79" s="3" t="s">
        <v>31</v>
      </c>
      <c r="F79" s="3" t="s">
        <v>105</v>
      </c>
      <c r="G79" s="4" t="s">
        <v>33</v>
      </c>
      <c r="H79" s="4">
        <v>6</v>
      </c>
      <c r="I79" s="5">
        <v>0.24677083333333333</v>
      </c>
      <c r="J79" s="5">
        <v>5.8935185185185188E-2</v>
      </c>
      <c r="K79" s="5">
        <f t="shared" si="0"/>
        <v>9.8225308641975307E-3</v>
      </c>
      <c r="L79" s="5">
        <v>0.13737268518518519</v>
      </c>
      <c r="M79" s="6">
        <f t="shared" si="1"/>
        <v>0.55668120632240514</v>
      </c>
      <c r="N79" s="5">
        <v>4.8958333333333336E-3</v>
      </c>
      <c r="O79" s="5">
        <v>1.2106481481481482E-2</v>
      </c>
      <c r="P79" s="5"/>
      <c r="Q79" s="5">
        <v>3.6111111111111109E-3</v>
      </c>
      <c r="R79" s="5"/>
      <c r="S79" s="5">
        <v>1.2222222222222223E-2</v>
      </c>
      <c r="T79" s="5">
        <v>1.3194444444444445E-3</v>
      </c>
      <c r="U79" s="5"/>
      <c r="V79" s="5"/>
      <c r="W79" s="5">
        <v>0.1032175925925926</v>
      </c>
    </row>
    <row r="80" spans="1:23" x14ac:dyDescent="0.25">
      <c r="A80" s="2">
        <v>46235</v>
      </c>
      <c r="B80" s="3" t="s">
        <v>616</v>
      </c>
      <c r="C80" s="3" t="s">
        <v>637</v>
      </c>
      <c r="D80" s="3" t="s">
        <v>601</v>
      </c>
      <c r="E80" s="3" t="s">
        <v>31</v>
      </c>
      <c r="F80" s="3" t="s">
        <v>105</v>
      </c>
      <c r="G80" s="4" t="s">
        <v>33</v>
      </c>
      <c r="H80" s="4">
        <v>4</v>
      </c>
      <c r="I80" s="5">
        <v>0.19175925925925927</v>
      </c>
      <c r="J80" s="5">
        <v>4.5868055555555558E-2</v>
      </c>
      <c r="K80" s="5">
        <f t="shared" si="0"/>
        <v>1.1467013888888889E-2</v>
      </c>
      <c r="L80" s="5">
        <v>9.1030092592592593E-2</v>
      </c>
      <c r="M80" s="6">
        <f t="shared" si="1"/>
        <v>0.47471028488652822</v>
      </c>
      <c r="N80" s="5">
        <v>2.1990740740740742E-3</v>
      </c>
      <c r="O80" s="5">
        <v>7.2453703703703708E-3</v>
      </c>
      <c r="P80" s="5"/>
      <c r="Q80" s="5">
        <v>1.5601851851851851E-2</v>
      </c>
      <c r="R80" s="5">
        <v>6.9444444444444444E-5</v>
      </c>
      <c r="S80" s="5">
        <v>8.8541666666666664E-3</v>
      </c>
      <c r="T80" s="5">
        <v>1.7939814814814815E-3</v>
      </c>
      <c r="U80" s="5"/>
      <c r="V80" s="5"/>
      <c r="W80" s="5">
        <v>5.5266203703703706E-2</v>
      </c>
    </row>
    <row r="81" spans="1:23" x14ac:dyDescent="0.25">
      <c r="A81" s="2">
        <v>46235</v>
      </c>
      <c r="B81" s="3" t="s">
        <v>209</v>
      </c>
      <c r="C81" s="3" t="s">
        <v>567</v>
      </c>
      <c r="D81" s="3" t="s">
        <v>601</v>
      </c>
      <c r="E81" s="3" t="s">
        <v>31</v>
      </c>
      <c r="F81" s="3" t="s">
        <v>105</v>
      </c>
      <c r="G81" s="4" t="s">
        <v>33</v>
      </c>
      <c r="H81" s="4">
        <v>7</v>
      </c>
      <c r="I81" s="5">
        <v>0.25184027777777779</v>
      </c>
      <c r="J81" s="5">
        <v>9.9398148148148152E-2</v>
      </c>
      <c r="K81" s="5">
        <f t="shared" si="0"/>
        <v>1.419973544973545E-2</v>
      </c>
      <c r="L81" s="5">
        <v>0.11092592592592593</v>
      </c>
      <c r="M81" s="6">
        <f t="shared" si="1"/>
        <v>0.44046141826370694</v>
      </c>
      <c r="N81" s="5"/>
      <c r="O81" s="5">
        <v>7.905092592592592E-3</v>
      </c>
      <c r="P81" s="5"/>
      <c r="Q81" s="5">
        <v>3.1203703703703702E-2</v>
      </c>
      <c r="R81" s="5"/>
      <c r="S81" s="5">
        <v>1.1828703703703704E-2</v>
      </c>
      <c r="T81" s="5">
        <v>1.0810185185185185E-2</v>
      </c>
      <c r="U81" s="5">
        <v>2.4756944444444446E-2</v>
      </c>
      <c r="V81" s="5"/>
      <c r="W81" s="5">
        <v>2.4421296296296295E-2</v>
      </c>
    </row>
    <row r="82" spans="1:23" x14ac:dyDescent="0.25">
      <c r="A82" s="2">
        <v>46235</v>
      </c>
      <c r="B82" s="3" t="s">
        <v>60</v>
      </c>
      <c r="C82" s="3" t="s">
        <v>510</v>
      </c>
      <c r="D82" s="3" t="s">
        <v>100</v>
      </c>
      <c r="E82" s="3" t="s">
        <v>31</v>
      </c>
      <c r="F82" s="3" t="s">
        <v>32</v>
      </c>
      <c r="G82" s="4" t="s">
        <v>33</v>
      </c>
      <c r="H82" s="4">
        <v>19</v>
      </c>
      <c r="I82" s="5">
        <v>0.26268518518518519</v>
      </c>
      <c r="J82" s="5">
        <v>9.9826388888888895E-2</v>
      </c>
      <c r="K82" s="5">
        <f t="shared" si="0"/>
        <v>5.2540204678362575E-3</v>
      </c>
      <c r="L82" s="5">
        <v>3.8113425925925926E-2</v>
      </c>
      <c r="M82" s="6">
        <f t="shared" si="1"/>
        <v>0.14509164610504052</v>
      </c>
      <c r="N82" s="5">
        <v>9.7222222222222219E-4</v>
      </c>
      <c r="O82" s="5">
        <v>1.4108796296296296E-2</v>
      </c>
      <c r="P82" s="5"/>
      <c r="Q82" s="5">
        <v>7.4189814814814813E-3</v>
      </c>
      <c r="R82" s="5"/>
      <c r="S82" s="5">
        <v>1.4224537037037037E-2</v>
      </c>
      <c r="T82" s="5">
        <v>8.1018518518518516E-5</v>
      </c>
      <c r="U82" s="5"/>
      <c r="V82" s="5"/>
      <c r="W82" s="5">
        <v>1.2731481481481483E-3</v>
      </c>
    </row>
    <row r="83" spans="1:23" x14ac:dyDescent="0.25">
      <c r="A83" s="2">
        <v>46235</v>
      </c>
      <c r="B83" s="3" t="s">
        <v>132</v>
      </c>
      <c r="C83" s="3" t="s">
        <v>512</v>
      </c>
      <c r="D83" s="3" t="s">
        <v>104</v>
      </c>
      <c r="E83" s="3" t="s">
        <v>31</v>
      </c>
      <c r="F83" s="3" t="s">
        <v>105</v>
      </c>
      <c r="G83" s="4" t="s">
        <v>106</v>
      </c>
      <c r="H83" s="4">
        <v>14</v>
      </c>
      <c r="I83" s="5">
        <v>0.2590972222222222</v>
      </c>
      <c r="J83" s="5">
        <v>0.22620370370370371</v>
      </c>
      <c r="K83" s="5">
        <f t="shared" si="0"/>
        <v>1.6157407407407409E-2</v>
      </c>
      <c r="L83" s="5">
        <v>5.8321759259259261E-2</v>
      </c>
      <c r="M83" s="6">
        <f t="shared" si="1"/>
        <v>0.22509604216921292</v>
      </c>
      <c r="N83" s="5">
        <v>6.145833333333333E-3</v>
      </c>
      <c r="O83" s="5">
        <v>1.5324074074074073E-2</v>
      </c>
      <c r="P83" s="5"/>
      <c r="Q83" s="5"/>
      <c r="R83" s="5"/>
      <c r="S83" s="5">
        <v>1.4421296296296297E-2</v>
      </c>
      <c r="T83" s="5">
        <v>1.2152777777777778E-3</v>
      </c>
      <c r="U83" s="5">
        <v>7.6273148148148151E-3</v>
      </c>
      <c r="V83" s="5"/>
      <c r="W83" s="5">
        <v>1.357638888888889E-2</v>
      </c>
    </row>
    <row r="84" spans="1:23" x14ac:dyDescent="0.25">
      <c r="A84" s="2">
        <v>46235</v>
      </c>
      <c r="B84" s="3" t="s">
        <v>134</v>
      </c>
      <c r="C84" s="3" t="s">
        <v>560</v>
      </c>
      <c r="D84" s="3" t="s">
        <v>104</v>
      </c>
      <c r="E84" s="3" t="s">
        <v>31</v>
      </c>
      <c r="F84" s="3" t="s">
        <v>105</v>
      </c>
      <c r="G84" s="4" t="s">
        <v>106</v>
      </c>
      <c r="H84" s="4">
        <v>16</v>
      </c>
      <c r="I84" s="5">
        <v>0.26656249999999998</v>
      </c>
      <c r="J84" s="5">
        <v>0.21751157407407407</v>
      </c>
      <c r="K84" s="5">
        <f t="shared" si="0"/>
        <v>1.3594473379629629E-2</v>
      </c>
      <c r="L84" s="5">
        <v>5.752314814814815E-2</v>
      </c>
      <c r="M84" s="6">
        <f t="shared" si="1"/>
        <v>0.21579610090747256</v>
      </c>
      <c r="N84" s="5">
        <v>2.8124999999999999E-3</v>
      </c>
      <c r="O84" s="5">
        <v>1.5625E-2</v>
      </c>
      <c r="P84" s="5"/>
      <c r="Q84" s="5"/>
      <c r="R84" s="5"/>
      <c r="S84" s="5">
        <v>1.3194444444444444E-2</v>
      </c>
      <c r="T84" s="5">
        <v>1.1574074074074075E-4</v>
      </c>
      <c r="U84" s="5">
        <v>1.0694444444444444E-2</v>
      </c>
      <c r="V84" s="5"/>
      <c r="W84" s="5">
        <v>1.5069444444444444E-2</v>
      </c>
    </row>
    <row r="85" spans="1:23" x14ac:dyDescent="0.25">
      <c r="A85" s="2">
        <v>46235</v>
      </c>
      <c r="B85" s="3" t="s">
        <v>211</v>
      </c>
      <c r="C85" s="3" t="s">
        <v>546</v>
      </c>
      <c r="D85" s="3" t="s">
        <v>104</v>
      </c>
      <c r="E85" s="3" t="s">
        <v>31</v>
      </c>
      <c r="F85" s="3" t="s">
        <v>105</v>
      </c>
      <c r="G85" s="4" t="s">
        <v>106</v>
      </c>
      <c r="H85" s="4">
        <v>11</v>
      </c>
      <c r="I85" s="5">
        <v>0.26543981481481482</v>
      </c>
      <c r="J85" s="5">
        <v>0.14582175925925925</v>
      </c>
      <c r="K85" s="5">
        <f t="shared" ref="K85:K148" si="2">IFERROR(J85/H85,0)</f>
        <v>1.3256523569023569E-2</v>
      </c>
      <c r="L85" s="5">
        <v>6.4004629629629634E-2</v>
      </c>
      <c r="M85" s="6">
        <f t="shared" ref="M85:M148" si="3">IFERROR(L85/I85,0)</f>
        <v>0.2411267114328072</v>
      </c>
      <c r="N85" s="5"/>
      <c r="O85" s="5">
        <v>1.7222222222222222E-2</v>
      </c>
      <c r="P85" s="5">
        <v>2.0590277777777777E-2</v>
      </c>
      <c r="Q85" s="5"/>
      <c r="R85" s="5"/>
      <c r="S85" s="5">
        <v>1.3252314814814814E-2</v>
      </c>
      <c r="T85" s="5">
        <v>1.0416666666666667E-4</v>
      </c>
      <c r="U85" s="5">
        <v>1.269675925925926E-2</v>
      </c>
      <c r="V85" s="5"/>
      <c r="W85" s="5">
        <v>1.3888888888888889E-4</v>
      </c>
    </row>
    <row r="86" spans="1:23" x14ac:dyDescent="0.25">
      <c r="A86" s="2">
        <v>46235</v>
      </c>
      <c r="B86" s="3" t="s">
        <v>617</v>
      </c>
      <c r="C86" s="3" t="s">
        <v>638</v>
      </c>
      <c r="D86" s="3" t="s">
        <v>601</v>
      </c>
      <c r="E86" s="3" t="s">
        <v>31</v>
      </c>
      <c r="F86" s="3" t="s">
        <v>105</v>
      </c>
      <c r="G86" s="4" t="s">
        <v>33</v>
      </c>
      <c r="H86" s="4">
        <v>6</v>
      </c>
      <c r="I86" s="5">
        <v>0.25104166666666666</v>
      </c>
      <c r="J86" s="5">
        <v>6.5439814814814812E-2</v>
      </c>
      <c r="K86" s="5">
        <f t="shared" si="2"/>
        <v>1.0906635802469136E-2</v>
      </c>
      <c r="L86" s="5">
        <v>0.11375</v>
      </c>
      <c r="M86" s="6">
        <f t="shared" si="3"/>
        <v>0.45311203319502075</v>
      </c>
      <c r="N86" s="5">
        <v>4.9537037037037041E-3</v>
      </c>
      <c r="O86" s="5">
        <v>1.8229166666666668E-2</v>
      </c>
      <c r="P86" s="5"/>
      <c r="Q86" s="5">
        <v>3.5763888888888889E-3</v>
      </c>
      <c r="R86" s="5"/>
      <c r="S86" s="5">
        <v>1.5833333333333335E-2</v>
      </c>
      <c r="T86" s="5">
        <v>3.8425925925925928E-3</v>
      </c>
      <c r="U86" s="5">
        <v>1.724537037037037E-3</v>
      </c>
      <c r="V86" s="5"/>
      <c r="W86" s="5">
        <v>6.5590277777777775E-2</v>
      </c>
    </row>
    <row r="87" spans="1:23" x14ac:dyDescent="0.25">
      <c r="A87" s="2">
        <v>46235</v>
      </c>
      <c r="B87" s="3" t="s">
        <v>136</v>
      </c>
      <c r="C87" s="3" t="s">
        <v>561</v>
      </c>
      <c r="D87" s="3" t="s">
        <v>104</v>
      </c>
      <c r="E87" s="3" t="s">
        <v>31</v>
      </c>
      <c r="F87" s="3" t="s">
        <v>105</v>
      </c>
      <c r="G87" s="4" t="s">
        <v>106</v>
      </c>
      <c r="H87" s="4">
        <v>17</v>
      </c>
      <c r="I87" s="5">
        <v>0.26525462962962965</v>
      </c>
      <c r="J87" s="5">
        <v>0.18898148148148147</v>
      </c>
      <c r="K87" s="5">
        <f t="shared" si="2"/>
        <v>1.1116557734204793E-2</v>
      </c>
      <c r="L87" s="5">
        <v>7.2152777777777774E-2</v>
      </c>
      <c r="M87" s="6">
        <f t="shared" si="3"/>
        <v>0.27201326468278209</v>
      </c>
      <c r="N87" s="5">
        <v>4.5138888888888885E-3</v>
      </c>
      <c r="O87" s="5">
        <v>1.8472222222222223E-2</v>
      </c>
      <c r="P87" s="5"/>
      <c r="Q87" s="5"/>
      <c r="R87" s="5"/>
      <c r="S87" s="5">
        <v>1.443287037037037E-2</v>
      </c>
      <c r="T87" s="5">
        <v>1.2152777777777778E-3</v>
      </c>
      <c r="U87" s="5">
        <v>5.9027777777777778E-4</v>
      </c>
      <c r="V87" s="5"/>
      <c r="W87" s="5">
        <v>3.2928240740740744E-2</v>
      </c>
    </row>
    <row r="88" spans="1:23" x14ac:dyDescent="0.25">
      <c r="A88" s="2">
        <v>46235</v>
      </c>
      <c r="B88" s="3" t="s">
        <v>618</v>
      </c>
      <c r="C88" s="3" t="s">
        <v>639</v>
      </c>
      <c r="D88" s="3" t="s">
        <v>601</v>
      </c>
      <c r="E88" s="3" t="s">
        <v>31</v>
      </c>
      <c r="F88" s="3" t="s">
        <v>105</v>
      </c>
      <c r="G88" s="4" t="s">
        <v>33</v>
      </c>
      <c r="H88" s="4">
        <v>2</v>
      </c>
      <c r="I88" s="5">
        <v>0.20699074074074075</v>
      </c>
      <c r="J88" s="5">
        <v>2.9062500000000002E-2</v>
      </c>
      <c r="K88" s="5">
        <f t="shared" si="2"/>
        <v>1.4531250000000001E-2</v>
      </c>
      <c r="L88" s="5">
        <v>0.15819444444444444</v>
      </c>
      <c r="M88" s="6">
        <f t="shared" si="3"/>
        <v>0.76425855513307983</v>
      </c>
      <c r="N88" s="5">
        <v>9.5949074074074079E-3</v>
      </c>
      <c r="O88" s="5">
        <v>9.5833333333333326E-3</v>
      </c>
      <c r="P88" s="5"/>
      <c r="Q88" s="5">
        <v>1.4189814814814815E-2</v>
      </c>
      <c r="R88" s="5"/>
      <c r="S88" s="5">
        <v>1.6701388888888891E-2</v>
      </c>
      <c r="T88" s="5">
        <v>1.6898148148148148E-3</v>
      </c>
      <c r="U88" s="5">
        <v>1.4953703703703703E-2</v>
      </c>
      <c r="V88" s="5"/>
      <c r="W88" s="5">
        <v>9.1481481481481483E-2</v>
      </c>
    </row>
    <row r="89" spans="1:23" x14ac:dyDescent="0.25">
      <c r="A89" s="2">
        <v>46235</v>
      </c>
      <c r="B89" s="3" t="s">
        <v>501</v>
      </c>
      <c r="C89" s="3" t="s">
        <v>524</v>
      </c>
      <c r="D89" s="3" t="s">
        <v>274</v>
      </c>
      <c r="E89" s="3" t="s">
        <v>79</v>
      </c>
      <c r="F89" s="3" t="s">
        <v>147</v>
      </c>
      <c r="G89" s="4" t="s">
        <v>33</v>
      </c>
      <c r="H89" s="4">
        <v>10</v>
      </c>
      <c r="I89" s="5">
        <v>0.26609953703703704</v>
      </c>
      <c r="J89" s="5">
        <v>3.3680555555555554E-2</v>
      </c>
      <c r="K89" s="5">
        <f t="shared" si="2"/>
        <v>3.3680555555555556E-3</v>
      </c>
      <c r="L89" s="5">
        <v>2.9930555555555554E-2</v>
      </c>
      <c r="M89" s="6">
        <f t="shared" si="3"/>
        <v>0.11247879605062851</v>
      </c>
      <c r="N89" s="5">
        <v>1.3888888888888889E-3</v>
      </c>
      <c r="O89" s="5">
        <v>1.462962962962963E-2</v>
      </c>
      <c r="P89" s="5"/>
      <c r="Q89" s="5"/>
      <c r="R89" s="5"/>
      <c r="S89" s="5">
        <v>1.3773148148148149E-2</v>
      </c>
      <c r="T89" s="5">
        <v>5.7870370370370373E-5</v>
      </c>
      <c r="U89" s="5">
        <v>6.9444444444444444E-5</v>
      </c>
      <c r="V89" s="5"/>
      <c r="W89" s="5"/>
    </row>
    <row r="90" spans="1:23" x14ac:dyDescent="0.25">
      <c r="A90" s="2">
        <v>46235</v>
      </c>
      <c r="B90" s="3" t="s">
        <v>213</v>
      </c>
      <c r="C90" s="3" t="s">
        <v>572</v>
      </c>
      <c r="D90" s="3" t="s">
        <v>601</v>
      </c>
      <c r="E90" s="3" t="s">
        <v>31</v>
      </c>
      <c r="F90" s="3" t="s">
        <v>105</v>
      </c>
      <c r="G90" s="4" t="s">
        <v>33</v>
      </c>
      <c r="H90" s="4">
        <v>6</v>
      </c>
      <c r="I90" s="5">
        <v>0.22033564814814816</v>
      </c>
      <c r="J90" s="5">
        <v>3.2048611111111111E-2</v>
      </c>
      <c r="K90" s="5">
        <f t="shared" si="2"/>
        <v>5.3414351851851852E-3</v>
      </c>
      <c r="L90" s="5">
        <v>0.12670138888888888</v>
      </c>
      <c r="M90" s="6">
        <f t="shared" si="3"/>
        <v>0.57503808373168031</v>
      </c>
      <c r="N90" s="5">
        <v>9.1666666666666667E-3</v>
      </c>
      <c r="O90" s="5">
        <v>8.6458333333333335E-3</v>
      </c>
      <c r="P90" s="5"/>
      <c r="Q90" s="5">
        <v>7.9166666666666673E-3</v>
      </c>
      <c r="R90" s="5"/>
      <c r="S90" s="5">
        <v>1.4930555555555556E-2</v>
      </c>
      <c r="T90" s="5">
        <v>3.3449074074074076E-3</v>
      </c>
      <c r="U90" s="5">
        <v>1.2488425925925925E-2</v>
      </c>
      <c r="V90" s="5"/>
      <c r="W90" s="5">
        <v>7.0208333333333331E-2</v>
      </c>
    </row>
    <row r="91" spans="1:23" x14ac:dyDescent="0.25">
      <c r="A91" s="2">
        <v>46235</v>
      </c>
      <c r="B91" s="3" t="s">
        <v>215</v>
      </c>
      <c r="C91" s="3" t="s">
        <v>547</v>
      </c>
      <c r="D91" s="3" t="s">
        <v>601</v>
      </c>
      <c r="E91" s="3" t="s">
        <v>31</v>
      </c>
      <c r="F91" s="3" t="s">
        <v>105</v>
      </c>
      <c r="G91" s="4" t="s">
        <v>33</v>
      </c>
      <c r="H91" s="4">
        <v>5</v>
      </c>
      <c r="I91" s="5">
        <v>0.24432870370370371</v>
      </c>
      <c r="J91" s="5">
        <v>4.2060185185185187E-2</v>
      </c>
      <c r="K91" s="5">
        <f t="shared" si="2"/>
        <v>8.4120370370370373E-3</v>
      </c>
      <c r="L91" s="5">
        <v>0.15995370370370371</v>
      </c>
      <c r="M91" s="6">
        <f t="shared" si="3"/>
        <v>0.65466603505447651</v>
      </c>
      <c r="N91" s="5">
        <v>2.9282407407407408E-3</v>
      </c>
      <c r="O91" s="5">
        <v>1.1168981481481481E-2</v>
      </c>
      <c r="P91" s="5"/>
      <c r="Q91" s="5">
        <v>1.4074074074074074E-2</v>
      </c>
      <c r="R91" s="5"/>
      <c r="S91" s="5">
        <v>1.6018518518518519E-2</v>
      </c>
      <c r="T91" s="5">
        <v>2.0486111111111113E-3</v>
      </c>
      <c r="U91" s="5"/>
      <c r="V91" s="5"/>
      <c r="W91" s="5">
        <v>0.11371527777777778</v>
      </c>
    </row>
    <row r="92" spans="1:23" x14ac:dyDescent="0.25">
      <c r="A92" s="2">
        <v>46235</v>
      </c>
      <c r="B92" s="3" t="s">
        <v>619</v>
      </c>
      <c r="C92" s="3" t="s">
        <v>640</v>
      </c>
      <c r="D92" s="3" t="s">
        <v>601</v>
      </c>
      <c r="E92" s="3" t="s">
        <v>31</v>
      </c>
      <c r="F92" s="3" t="s">
        <v>105</v>
      </c>
      <c r="G92" s="4" t="s">
        <v>33</v>
      </c>
      <c r="H92" s="4">
        <v>10</v>
      </c>
      <c r="I92" s="5">
        <v>0.24996527777777777</v>
      </c>
      <c r="J92" s="5">
        <v>7.3506944444444444E-2</v>
      </c>
      <c r="K92" s="5">
        <f t="shared" si="2"/>
        <v>7.3506944444444444E-3</v>
      </c>
      <c r="L92" s="5">
        <v>0.13408564814814813</v>
      </c>
      <c r="M92" s="6">
        <f t="shared" si="3"/>
        <v>0.53641709496689349</v>
      </c>
      <c r="N92" s="5">
        <v>7.013888888888889E-3</v>
      </c>
      <c r="O92" s="5">
        <v>7.6851851851851855E-3</v>
      </c>
      <c r="P92" s="5"/>
      <c r="Q92" s="5">
        <v>1.5995370370370372E-2</v>
      </c>
      <c r="R92" s="5"/>
      <c r="S92" s="5">
        <v>1.9895833333333335E-2</v>
      </c>
      <c r="T92" s="5">
        <v>1.7361111111111112E-4</v>
      </c>
      <c r="U92" s="5">
        <v>5.7870370370370367E-4</v>
      </c>
      <c r="V92" s="5"/>
      <c r="W92" s="5">
        <v>8.2743055555555556E-2</v>
      </c>
    </row>
    <row r="93" spans="1:23" x14ac:dyDescent="0.25">
      <c r="A93" s="2">
        <v>46235</v>
      </c>
      <c r="B93" s="3" t="s">
        <v>668</v>
      </c>
      <c r="C93" s="3" t="s">
        <v>669</v>
      </c>
      <c r="D93" s="3" t="s">
        <v>233</v>
      </c>
      <c r="E93" s="3" t="s">
        <v>31</v>
      </c>
      <c r="F93" s="3" t="s">
        <v>32</v>
      </c>
      <c r="G93" s="4" t="s">
        <v>106</v>
      </c>
      <c r="H93" s="4">
        <v>22</v>
      </c>
      <c r="I93" s="5">
        <v>0.26215277777777779</v>
      </c>
      <c r="J93" s="5">
        <v>9.0810185185185188E-2</v>
      </c>
      <c r="K93" s="5">
        <f t="shared" si="2"/>
        <v>4.1277356902356902E-3</v>
      </c>
      <c r="L93" s="5">
        <v>3.5196759259259261E-2</v>
      </c>
      <c r="M93" s="6">
        <f t="shared" si="3"/>
        <v>0.13426048565121412</v>
      </c>
      <c r="N93" s="5">
        <v>5.0462962962962961E-3</v>
      </c>
      <c r="O93" s="5">
        <v>1.2141203703703704E-2</v>
      </c>
      <c r="P93" s="5"/>
      <c r="Q93" s="5"/>
      <c r="R93" s="5"/>
      <c r="S93" s="5"/>
      <c r="T93" s="5">
        <v>6.5624999999999998E-3</v>
      </c>
      <c r="U93" s="5">
        <v>1.1446759259259259E-2</v>
      </c>
      <c r="V93" s="5"/>
      <c r="W93" s="5"/>
    </row>
    <row r="94" spans="1:23" x14ac:dyDescent="0.25">
      <c r="A94" s="2">
        <v>46235</v>
      </c>
      <c r="B94" s="3" t="s">
        <v>744</v>
      </c>
      <c r="C94" s="3" t="s">
        <v>670</v>
      </c>
      <c r="D94" s="3" t="s">
        <v>100</v>
      </c>
      <c r="E94" s="3" t="s">
        <v>31</v>
      </c>
      <c r="F94" s="3" t="s">
        <v>32</v>
      </c>
      <c r="G94" s="4" t="s">
        <v>33</v>
      </c>
      <c r="H94" s="4">
        <v>15</v>
      </c>
      <c r="I94" s="5">
        <v>0.26104166666666667</v>
      </c>
      <c r="J94" s="5">
        <v>8.2071759259259261E-2</v>
      </c>
      <c r="K94" s="5">
        <f t="shared" si="2"/>
        <v>5.4714506172839506E-3</v>
      </c>
      <c r="L94" s="5">
        <v>4.8321759259259259E-2</v>
      </c>
      <c r="M94" s="6">
        <f t="shared" si="3"/>
        <v>0.18511128846324376</v>
      </c>
      <c r="N94" s="5">
        <v>1.8831018518518518E-2</v>
      </c>
      <c r="O94" s="5">
        <v>1.4444444444444444E-2</v>
      </c>
      <c r="P94" s="5"/>
      <c r="Q94" s="5"/>
      <c r="R94" s="5"/>
      <c r="S94" s="5">
        <v>1.4004629629629629E-2</v>
      </c>
      <c r="T94" s="5">
        <v>1.5046296296296297E-4</v>
      </c>
      <c r="U94" s="5">
        <v>8.6805555555555551E-4</v>
      </c>
      <c r="V94" s="5"/>
      <c r="W94" s="5"/>
    </row>
    <row r="95" spans="1:23" x14ac:dyDescent="0.25">
      <c r="A95" s="2">
        <v>46235</v>
      </c>
      <c r="B95" s="3" t="s">
        <v>219</v>
      </c>
      <c r="C95" s="3" t="s">
        <v>548</v>
      </c>
      <c r="D95" s="3" t="s">
        <v>104</v>
      </c>
      <c r="E95" s="3" t="s">
        <v>31</v>
      </c>
      <c r="F95" s="3" t="s">
        <v>105</v>
      </c>
      <c r="G95" s="4" t="s">
        <v>106</v>
      </c>
      <c r="H95" s="4">
        <v>12</v>
      </c>
      <c r="I95" s="5">
        <v>0.25545138888888891</v>
      </c>
      <c r="J95" s="5">
        <v>0.14978009259259259</v>
      </c>
      <c r="K95" s="5">
        <f t="shared" si="2"/>
        <v>1.248167438271605E-2</v>
      </c>
      <c r="L95" s="5">
        <v>8.2430555555555562E-2</v>
      </c>
      <c r="M95" s="6">
        <f t="shared" si="3"/>
        <v>0.32268587739567761</v>
      </c>
      <c r="N95" s="5">
        <v>2.5231481481481483E-2</v>
      </c>
      <c r="O95" s="5">
        <v>2.1666666666666667E-2</v>
      </c>
      <c r="P95" s="5"/>
      <c r="Q95" s="5"/>
      <c r="R95" s="5"/>
      <c r="S95" s="5">
        <v>1.4247685185185184E-2</v>
      </c>
      <c r="T95" s="5">
        <v>7.4305555555555557E-3</v>
      </c>
      <c r="U95" s="5">
        <v>1.8518518518518518E-4</v>
      </c>
      <c r="V95" s="5"/>
      <c r="W95" s="5">
        <v>1.3668981481481482E-2</v>
      </c>
    </row>
    <row r="96" spans="1:23" x14ac:dyDescent="0.25">
      <c r="A96" s="2">
        <v>46235</v>
      </c>
      <c r="B96" s="3" t="s">
        <v>305</v>
      </c>
      <c r="C96" s="3" t="s">
        <v>306</v>
      </c>
      <c r="D96" s="3" t="s">
        <v>100</v>
      </c>
      <c r="E96" s="3" t="s">
        <v>31</v>
      </c>
      <c r="F96" s="3" t="s">
        <v>32</v>
      </c>
      <c r="G96" s="4" t="s">
        <v>33</v>
      </c>
      <c r="H96" s="4">
        <v>16</v>
      </c>
      <c r="I96" s="5">
        <v>0.26094907407407408</v>
      </c>
      <c r="J96" s="5">
        <v>4.3946759259259262E-2</v>
      </c>
      <c r="K96" s="5">
        <f t="shared" si="2"/>
        <v>2.7466724537037039E-3</v>
      </c>
      <c r="L96" s="5">
        <v>6.2094907407407404E-2</v>
      </c>
      <c r="M96" s="6">
        <f t="shared" si="3"/>
        <v>0.23795795263017827</v>
      </c>
      <c r="N96" s="5">
        <v>2.1157407407407406E-2</v>
      </c>
      <c r="O96" s="5">
        <v>1.5520833333333333E-2</v>
      </c>
      <c r="P96" s="5"/>
      <c r="Q96" s="5">
        <v>6.875E-3</v>
      </c>
      <c r="R96" s="5"/>
      <c r="S96" s="5">
        <v>1.4317129629629629E-2</v>
      </c>
      <c r="T96" s="5">
        <v>2.199074074074074E-4</v>
      </c>
      <c r="U96" s="5"/>
      <c r="V96" s="5"/>
      <c r="W96" s="5">
        <v>4.0046296296296297E-3</v>
      </c>
    </row>
    <row r="97" spans="1:23" x14ac:dyDescent="0.25">
      <c r="A97" s="2">
        <v>46235</v>
      </c>
      <c r="B97" s="3" t="s">
        <v>620</v>
      </c>
      <c r="C97" s="3" t="s">
        <v>641</v>
      </c>
      <c r="D97" s="3" t="s">
        <v>601</v>
      </c>
      <c r="E97" s="3" t="s">
        <v>31</v>
      </c>
      <c r="F97" s="3" t="s">
        <v>105</v>
      </c>
      <c r="G97" s="4" t="s">
        <v>33</v>
      </c>
      <c r="H97" s="4">
        <v>9</v>
      </c>
      <c r="I97" s="5">
        <v>0.23866898148148147</v>
      </c>
      <c r="J97" s="5">
        <v>8.7523148148148142E-2</v>
      </c>
      <c r="K97" s="5">
        <f t="shared" si="2"/>
        <v>9.7247942386831272E-3</v>
      </c>
      <c r="L97" s="5">
        <v>0.10145833333333333</v>
      </c>
      <c r="M97" s="6">
        <f t="shared" si="3"/>
        <v>0.42510062557586925</v>
      </c>
      <c r="N97" s="5">
        <v>6.4583333333333333E-3</v>
      </c>
      <c r="O97" s="5">
        <v>7.1643518518518514E-3</v>
      </c>
      <c r="P97" s="5"/>
      <c r="Q97" s="5">
        <v>3.7152777777777778E-3</v>
      </c>
      <c r="R97" s="5"/>
      <c r="S97" s="5">
        <v>1.3009259259259259E-2</v>
      </c>
      <c r="T97" s="5">
        <v>2.7777777777777778E-4</v>
      </c>
      <c r="U97" s="5">
        <v>1.9212962962962963E-2</v>
      </c>
      <c r="V97" s="5"/>
      <c r="W97" s="5">
        <v>5.1620370370370372E-2</v>
      </c>
    </row>
    <row r="98" spans="1:23" x14ac:dyDescent="0.25">
      <c r="A98" s="2">
        <v>46235</v>
      </c>
      <c r="B98" s="3" t="s">
        <v>138</v>
      </c>
      <c r="C98" s="3" t="s">
        <v>556</v>
      </c>
      <c r="D98" s="3" t="s">
        <v>104</v>
      </c>
      <c r="E98" s="3" t="s">
        <v>31</v>
      </c>
      <c r="F98" s="3" t="s">
        <v>105</v>
      </c>
      <c r="G98" s="4" t="s">
        <v>106</v>
      </c>
      <c r="H98" s="4">
        <v>12</v>
      </c>
      <c r="I98" s="5">
        <v>0.25172453703703701</v>
      </c>
      <c r="J98" s="5">
        <v>0.16250000000000001</v>
      </c>
      <c r="K98" s="5">
        <f t="shared" si="2"/>
        <v>1.3541666666666667E-2</v>
      </c>
      <c r="L98" s="5">
        <v>8.44212962962963E-2</v>
      </c>
      <c r="M98" s="6">
        <f t="shared" si="3"/>
        <v>0.33537174122948188</v>
      </c>
      <c r="N98" s="5">
        <v>2.6238425925925925E-2</v>
      </c>
      <c r="O98" s="5">
        <v>6.9791666666666665E-3</v>
      </c>
      <c r="P98" s="5"/>
      <c r="Q98" s="5"/>
      <c r="R98" s="5">
        <v>2.3194444444444445E-2</v>
      </c>
      <c r="S98" s="5">
        <v>1.7349537037037038E-2</v>
      </c>
      <c r="T98" s="5">
        <v>1.0034722222222223E-2</v>
      </c>
      <c r="U98" s="5">
        <v>5.4398148148148144E-4</v>
      </c>
      <c r="V98" s="5"/>
      <c r="W98" s="5">
        <v>6.9444444444444444E-5</v>
      </c>
    </row>
    <row r="99" spans="1:23" x14ac:dyDescent="0.25">
      <c r="A99" s="2">
        <v>46235</v>
      </c>
      <c r="B99" s="3" t="s">
        <v>278</v>
      </c>
      <c r="C99" s="3" t="s">
        <v>533</v>
      </c>
      <c r="D99" s="3" t="s">
        <v>233</v>
      </c>
      <c r="E99" s="3" t="s">
        <v>31</v>
      </c>
      <c r="F99" s="3" t="s">
        <v>32</v>
      </c>
      <c r="G99" s="4" t="s">
        <v>106</v>
      </c>
      <c r="H99" s="4">
        <v>18</v>
      </c>
      <c r="I99" s="5">
        <v>0.26428240740740738</v>
      </c>
      <c r="J99" s="5">
        <v>8.2916666666666666E-2</v>
      </c>
      <c r="K99" s="5">
        <f t="shared" si="2"/>
        <v>4.6064814814814814E-3</v>
      </c>
      <c r="L99" s="5">
        <v>4.1550925925925929E-2</v>
      </c>
      <c r="M99" s="6">
        <f t="shared" si="3"/>
        <v>0.15722168695804506</v>
      </c>
      <c r="N99" s="5">
        <v>7.0949074074074074E-3</v>
      </c>
      <c r="O99" s="5">
        <v>1.4965277777777777E-2</v>
      </c>
      <c r="P99" s="5"/>
      <c r="Q99" s="5"/>
      <c r="R99" s="5"/>
      <c r="S99" s="5">
        <v>1.4849537037037038E-2</v>
      </c>
      <c r="T99" s="5">
        <v>4.6412037037037038E-3</v>
      </c>
      <c r="U99" s="5"/>
      <c r="V99" s="5"/>
      <c r="W99" s="5"/>
    </row>
    <row r="100" spans="1:23" x14ac:dyDescent="0.25">
      <c r="A100" s="2">
        <v>46235</v>
      </c>
      <c r="B100" s="3" t="s">
        <v>671</v>
      </c>
      <c r="C100" s="3" t="s">
        <v>672</v>
      </c>
      <c r="D100" s="3" t="s">
        <v>601</v>
      </c>
      <c r="E100" s="3" t="s">
        <v>31</v>
      </c>
      <c r="F100" s="3" t="s">
        <v>105</v>
      </c>
      <c r="G100" s="4" t="s">
        <v>33</v>
      </c>
      <c r="H100" s="4">
        <v>11</v>
      </c>
      <c r="I100" s="5">
        <v>0.26732638888888888</v>
      </c>
      <c r="J100" s="5">
        <v>5.5243055555555552E-2</v>
      </c>
      <c r="K100" s="5">
        <f t="shared" si="2"/>
        <v>5.022095959595959E-3</v>
      </c>
      <c r="L100" s="5">
        <v>0.12956018518518519</v>
      </c>
      <c r="M100" s="6">
        <f t="shared" si="3"/>
        <v>0.48465168636619482</v>
      </c>
      <c r="N100" s="5">
        <v>9.2592592592592588E-5</v>
      </c>
      <c r="O100" s="5">
        <v>1.5995370370370372E-2</v>
      </c>
      <c r="P100" s="5">
        <v>1.1574074074074075E-4</v>
      </c>
      <c r="Q100" s="5">
        <v>1.9409722222222221E-2</v>
      </c>
      <c r="R100" s="5">
        <v>1.6319444444444445E-3</v>
      </c>
      <c r="S100" s="5">
        <v>1.9502314814814816E-2</v>
      </c>
      <c r="T100" s="5">
        <v>1.1111111111111111E-3</v>
      </c>
      <c r="U100" s="5">
        <v>0.01</v>
      </c>
      <c r="V100" s="5"/>
      <c r="W100" s="5">
        <v>6.1701388888888889E-2</v>
      </c>
    </row>
    <row r="101" spans="1:23" x14ac:dyDescent="0.25">
      <c r="A101" s="2">
        <v>46235</v>
      </c>
      <c r="B101" s="3" t="s">
        <v>313</v>
      </c>
      <c r="C101" s="3" t="s">
        <v>511</v>
      </c>
      <c r="D101" s="3" t="s">
        <v>78</v>
      </c>
      <c r="E101" s="3" t="s">
        <v>79</v>
      </c>
      <c r="F101" s="3" t="s">
        <v>80</v>
      </c>
      <c r="G101" s="4" t="s">
        <v>81</v>
      </c>
      <c r="H101" s="4">
        <v>2</v>
      </c>
      <c r="I101" s="5">
        <v>0.24952546296296296</v>
      </c>
      <c r="J101" s="5">
        <v>3.7268518518518519E-3</v>
      </c>
      <c r="K101" s="5">
        <f t="shared" si="2"/>
        <v>1.8634259259259259E-3</v>
      </c>
      <c r="L101" s="5">
        <v>3.005787037037037E-2</v>
      </c>
      <c r="M101" s="6">
        <f t="shared" si="3"/>
        <v>0.12046013265921425</v>
      </c>
      <c r="N101" s="5"/>
      <c r="O101" s="5">
        <v>1.6666666666666666E-2</v>
      </c>
      <c r="P101" s="5"/>
      <c r="Q101" s="5"/>
      <c r="R101" s="5"/>
      <c r="S101" s="5">
        <v>1.3333333333333334E-2</v>
      </c>
      <c r="T101" s="5">
        <v>5.7870370370370373E-5</v>
      </c>
      <c r="U101" s="5"/>
      <c r="V101" s="5"/>
      <c r="W101" s="5"/>
    </row>
    <row r="102" spans="1:23" x14ac:dyDescent="0.25">
      <c r="A102" s="2">
        <v>46235</v>
      </c>
      <c r="B102" s="3" t="s">
        <v>673</v>
      </c>
      <c r="C102" s="3" t="s">
        <v>674</v>
      </c>
      <c r="D102" s="3" t="s">
        <v>104</v>
      </c>
      <c r="E102" s="3" t="s">
        <v>31</v>
      </c>
      <c r="F102" s="3" t="s">
        <v>105</v>
      </c>
      <c r="G102" s="4" t="s">
        <v>106</v>
      </c>
      <c r="H102" s="4">
        <v>13</v>
      </c>
      <c r="I102" s="5">
        <v>0.26082175925925927</v>
      </c>
      <c r="J102" s="5">
        <v>0.13223379629629631</v>
      </c>
      <c r="K102" s="5">
        <f t="shared" si="2"/>
        <v>1.0171830484330485E-2</v>
      </c>
      <c r="L102" s="5">
        <v>0.12265046296296296</v>
      </c>
      <c r="M102" s="6">
        <f t="shared" si="3"/>
        <v>0.47024628355890835</v>
      </c>
      <c r="N102" s="5">
        <v>9.2129629629629627E-3</v>
      </c>
      <c r="O102" s="5">
        <v>1.4849537037037038E-2</v>
      </c>
      <c r="P102" s="5"/>
      <c r="Q102" s="5"/>
      <c r="R102" s="5"/>
      <c r="S102" s="5">
        <v>1.4502314814814815E-2</v>
      </c>
      <c r="T102" s="5">
        <v>8.1018518518518516E-5</v>
      </c>
      <c r="U102" s="5">
        <v>7.291666666666667E-4</v>
      </c>
      <c r="V102" s="5"/>
      <c r="W102" s="5">
        <v>8.3275462962962968E-2</v>
      </c>
    </row>
    <row r="103" spans="1:23" x14ac:dyDescent="0.25">
      <c r="A103" s="2">
        <v>46235</v>
      </c>
      <c r="B103" s="3" t="s">
        <v>225</v>
      </c>
      <c r="C103" s="3" t="s">
        <v>549</v>
      </c>
      <c r="D103" s="3" t="s">
        <v>601</v>
      </c>
      <c r="E103" s="3" t="s">
        <v>31</v>
      </c>
      <c r="F103" s="3" t="s">
        <v>105</v>
      </c>
      <c r="G103" s="4" t="s">
        <v>33</v>
      </c>
      <c r="H103" s="4">
        <v>9</v>
      </c>
      <c r="I103" s="5">
        <v>0.25510416666666669</v>
      </c>
      <c r="J103" s="5">
        <v>0.16128472222222223</v>
      </c>
      <c r="K103" s="5">
        <f t="shared" si="2"/>
        <v>1.7920524691358027E-2</v>
      </c>
      <c r="L103" s="5">
        <v>4.2268518518518518E-2</v>
      </c>
      <c r="M103" s="6">
        <f t="shared" si="3"/>
        <v>0.16569121183249397</v>
      </c>
      <c r="N103" s="5">
        <v>4.6527777777777774E-3</v>
      </c>
      <c r="O103" s="5">
        <v>1.2893518518518518E-2</v>
      </c>
      <c r="P103" s="5"/>
      <c r="Q103" s="5">
        <v>4.6296296296296294E-3</v>
      </c>
      <c r="R103" s="5"/>
      <c r="S103" s="5"/>
      <c r="T103" s="5">
        <v>1.0416666666666667E-4</v>
      </c>
      <c r="U103" s="5">
        <v>2.5810185185185185E-3</v>
      </c>
      <c r="V103" s="5"/>
      <c r="W103" s="5">
        <v>1.7395833333333333E-2</v>
      </c>
    </row>
    <row r="104" spans="1:23" x14ac:dyDescent="0.25">
      <c r="A104" s="2">
        <v>46235</v>
      </c>
      <c r="B104" s="3" t="s">
        <v>280</v>
      </c>
      <c r="C104" s="3" t="s">
        <v>534</v>
      </c>
      <c r="D104" s="3" t="s">
        <v>233</v>
      </c>
      <c r="E104" s="3" t="s">
        <v>31</v>
      </c>
      <c r="F104" s="3" t="s">
        <v>32</v>
      </c>
      <c r="G104" s="4" t="s">
        <v>106</v>
      </c>
      <c r="H104" s="4">
        <v>20</v>
      </c>
      <c r="I104" s="5">
        <v>0.26076388888888891</v>
      </c>
      <c r="J104" s="5">
        <v>7.0624999999999993E-2</v>
      </c>
      <c r="K104" s="5">
        <f t="shared" si="2"/>
        <v>3.5312499999999997E-3</v>
      </c>
      <c r="L104" s="5">
        <v>4.2557870370370371E-2</v>
      </c>
      <c r="M104" s="6">
        <f t="shared" si="3"/>
        <v>0.16320461606746559</v>
      </c>
      <c r="N104" s="5">
        <v>3.9930555555555552E-3</v>
      </c>
      <c r="O104" s="5">
        <v>1.5208333333333334E-2</v>
      </c>
      <c r="P104" s="5"/>
      <c r="Q104" s="5">
        <v>1.9907407407407408E-3</v>
      </c>
      <c r="R104" s="5"/>
      <c r="S104" s="5">
        <v>1.4791666666666667E-2</v>
      </c>
      <c r="T104" s="5">
        <v>8.7962962962962962E-4</v>
      </c>
      <c r="U104" s="5"/>
      <c r="V104" s="5"/>
      <c r="W104" s="5">
        <v>5.6944444444444447E-3</v>
      </c>
    </row>
    <row r="105" spans="1:23" x14ac:dyDescent="0.25">
      <c r="A105" s="2">
        <v>46235</v>
      </c>
      <c r="B105" s="3" t="s">
        <v>299</v>
      </c>
      <c r="C105" s="3" t="s">
        <v>571</v>
      </c>
      <c r="D105" s="3" t="s">
        <v>104</v>
      </c>
      <c r="E105" s="3" t="s">
        <v>31</v>
      </c>
      <c r="F105" s="3" t="s">
        <v>105</v>
      </c>
      <c r="G105" s="4" t="s">
        <v>106</v>
      </c>
      <c r="H105" s="4">
        <v>15</v>
      </c>
      <c r="I105" s="5">
        <v>0.26815972222222223</v>
      </c>
      <c r="J105" s="5">
        <v>0.18912037037037038</v>
      </c>
      <c r="K105" s="5">
        <f t="shared" si="2"/>
        <v>1.2608024691358025E-2</v>
      </c>
      <c r="L105" s="5">
        <v>4.5868055555555558E-2</v>
      </c>
      <c r="M105" s="6">
        <f t="shared" si="3"/>
        <v>0.17104752039362942</v>
      </c>
      <c r="N105" s="5"/>
      <c r="O105" s="5">
        <v>1.4212962962962964E-2</v>
      </c>
      <c r="P105" s="5"/>
      <c r="Q105" s="5"/>
      <c r="R105" s="5"/>
      <c r="S105" s="5">
        <v>1.3923611111111111E-2</v>
      </c>
      <c r="T105" s="5">
        <v>5.7870370370370373E-5</v>
      </c>
      <c r="U105" s="5">
        <v>1.6481481481481482E-2</v>
      </c>
      <c r="V105" s="5"/>
      <c r="W105" s="5">
        <v>1.1805555555555556E-3</v>
      </c>
    </row>
    <row r="106" spans="1:23" x14ac:dyDescent="0.25">
      <c r="A106" s="2">
        <v>46235</v>
      </c>
      <c r="B106" s="3" t="s">
        <v>227</v>
      </c>
      <c r="C106" s="3" t="s">
        <v>557</v>
      </c>
      <c r="D106" s="3" t="s">
        <v>146</v>
      </c>
      <c r="E106" s="3" t="s">
        <v>79</v>
      </c>
      <c r="F106" s="3" t="s">
        <v>147</v>
      </c>
      <c r="G106" s="4" t="s">
        <v>106</v>
      </c>
      <c r="H106" s="4">
        <v>6</v>
      </c>
      <c r="I106" s="5">
        <v>0.28488425925925925</v>
      </c>
      <c r="J106" s="5">
        <v>2.4907407407407406E-2</v>
      </c>
      <c r="K106" s="5">
        <f t="shared" si="2"/>
        <v>4.151234567901234E-3</v>
      </c>
      <c r="L106" s="5">
        <v>6.7638888888888887E-2</v>
      </c>
      <c r="M106" s="6">
        <f t="shared" si="3"/>
        <v>0.23742585520435525</v>
      </c>
      <c r="N106" s="5">
        <v>8.819444444444444E-3</v>
      </c>
      <c r="O106" s="5">
        <v>1.3321759259259259E-2</v>
      </c>
      <c r="P106" s="5"/>
      <c r="Q106" s="5">
        <v>2.6574074074074073E-2</v>
      </c>
      <c r="R106" s="5"/>
      <c r="S106" s="5">
        <v>1.3530092592592592E-2</v>
      </c>
      <c r="T106" s="5">
        <v>6.9444444444444444E-5</v>
      </c>
      <c r="U106" s="5">
        <v>5.0000000000000001E-3</v>
      </c>
      <c r="V106" s="5"/>
      <c r="W106" s="5"/>
    </row>
    <row r="107" spans="1:23" x14ac:dyDescent="0.25">
      <c r="A107" s="2">
        <v>46235</v>
      </c>
      <c r="B107" s="3" t="s">
        <v>282</v>
      </c>
      <c r="C107" s="3" t="s">
        <v>535</v>
      </c>
      <c r="D107" s="3" t="s">
        <v>233</v>
      </c>
      <c r="E107" s="3" t="s">
        <v>31</v>
      </c>
      <c r="F107" s="3" t="s">
        <v>32</v>
      </c>
      <c r="G107" s="4" t="s">
        <v>106</v>
      </c>
      <c r="H107" s="4">
        <v>29</v>
      </c>
      <c r="I107" s="5">
        <v>0.25784722222222223</v>
      </c>
      <c r="J107" s="5">
        <v>5.1516203703703703E-2</v>
      </c>
      <c r="K107" s="5">
        <f t="shared" si="2"/>
        <v>1.7764208173690931E-3</v>
      </c>
      <c r="L107" s="5">
        <v>3.875E-2</v>
      </c>
      <c r="M107" s="6">
        <f t="shared" si="3"/>
        <v>0.15028279019660651</v>
      </c>
      <c r="N107" s="5">
        <v>7.4884259259259262E-3</v>
      </c>
      <c r="O107" s="5">
        <v>1.4884259259259259E-2</v>
      </c>
      <c r="P107" s="5"/>
      <c r="Q107" s="5">
        <v>3.9351851851851852E-4</v>
      </c>
      <c r="R107" s="5"/>
      <c r="S107" s="5">
        <v>1.5590277777777778E-2</v>
      </c>
      <c r="T107" s="5">
        <v>3.9351851851851852E-4</v>
      </c>
      <c r="U107" s="5"/>
      <c r="V107" s="5"/>
      <c r="W107" s="5"/>
    </row>
    <row r="108" spans="1:23" x14ac:dyDescent="0.25">
      <c r="A108" s="2">
        <v>46235</v>
      </c>
      <c r="B108" s="3" t="s">
        <v>675</v>
      </c>
      <c r="C108" s="3" t="s">
        <v>676</v>
      </c>
      <c r="D108" s="3" t="s">
        <v>104</v>
      </c>
      <c r="E108" s="3" t="s">
        <v>31</v>
      </c>
      <c r="F108" s="3" t="s">
        <v>105</v>
      </c>
      <c r="G108" s="4" t="s">
        <v>106</v>
      </c>
      <c r="H108" s="4">
        <v>10</v>
      </c>
      <c r="I108" s="5">
        <v>0.27881944444444445</v>
      </c>
      <c r="J108" s="5">
        <v>0.21887731481481482</v>
      </c>
      <c r="K108" s="5">
        <f t="shared" si="2"/>
        <v>2.188773148148148E-2</v>
      </c>
      <c r="L108" s="5">
        <v>5.1412037037037034E-2</v>
      </c>
      <c r="M108" s="6">
        <f t="shared" si="3"/>
        <v>0.18439186384391862</v>
      </c>
      <c r="N108" s="5">
        <v>2.7083333333333334E-3</v>
      </c>
      <c r="O108" s="5">
        <v>7.9282407407407409E-3</v>
      </c>
      <c r="P108" s="5"/>
      <c r="Q108" s="5"/>
      <c r="R108" s="5"/>
      <c r="S108" s="5">
        <v>1.3900462962962963E-2</v>
      </c>
      <c r="T108" s="5">
        <v>1.0416666666666667E-4</v>
      </c>
      <c r="U108" s="5">
        <v>7.0601851851851847E-4</v>
      </c>
      <c r="V108" s="5"/>
      <c r="W108" s="5">
        <v>2.6064814814814815E-2</v>
      </c>
    </row>
    <row r="109" spans="1:23" x14ac:dyDescent="0.25">
      <c r="A109" s="2">
        <v>46235</v>
      </c>
      <c r="B109" s="3" t="s">
        <v>677</v>
      </c>
      <c r="C109" s="3" t="s">
        <v>678</v>
      </c>
      <c r="D109" s="3" t="s">
        <v>274</v>
      </c>
      <c r="E109" s="3" t="s">
        <v>79</v>
      </c>
      <c r="F109" s="3" t="s">
        <v>147</v>
      </c>
      <c r="G109" s="4" t="s">
        <v>33</v>
      </c>
      <c r="H109" s="4">
        <v>16</v>
      </c>
      <c r="I109" s="5">
        <v>0.25929398148148147</v>
      </c>
      <c r="J109" s="5">
        <v>3.9386574074074074E-2</v>
      </c>
      <c r="K109" s="5">
        <f t="shared" si="2"/>
        <v>2.4616608796296296E-3</v>
      </c>
      <c r="L109" s="5">
        <v>2.8854166666666667E-2</v>
      </c>
      <c r="M109" s="6">
        <f t="shared" si="3"/>
        <v>0.11127973932062671</v>
      </c>
      <c r="N109" s="5">
        <v>5.3240740740740744E-4</v>
      </c>
      <c r="O109" s="5">
        <v>1.4317129629629629E-2</v>
      </c>
      <c r="P109" s="5"/>
      <c r="Q109" s="5"/>
      <c r="R109" s="5"/>
      <c r="S109" s="5">
        <v>1.375E-2</v>
      </c>
      <c r="T109" s="5">
        <v>1.5046296296296297E-4</v>
      </c>
      <c r="U109" s="5">
        <v>9.2592592592592588E-5</v>
      </c>
      <c r="V109" s="5"/>
      <c r="W109" s="5"/>
    </row>
    <row r="110" spans="1:23" x14ac:dyDescent="0.25">
      <c r="A110" s="2">
        <v>46235</v>
      </c>
      <c r="B110" s="3" t="s">
        <v>679</v>
      </c>
      <c r="C110" s="3" t="s">
        <v>680</v>
      </c>
      <c r="D110" s="3" t="s">
        <v>274</v>
      </c>
      <c r="E110" s="3" t="s">
        <v>79</v>
      </c>
      <c r="F110" s="3" t="s">
        <v>147</v>
      </c>
      <c r="G110" s="4" t="s">
        <v>33</v>
      </c>
      <c r="H110" s="4">
        <v>7</v>
      </c>
      <c r="I110" s="5">
        <v>0.25763888888888886</v>
      </c>
      <c r="J110" s="5">
        <v>1.7118055555555556E-2</v>
      </c>
      <c r="K110" s="5">
        <f t="shared" si="2"/>
        <v>2.445436507936508E-3</v>
      </c>
      <c r="L110" s="5">
        <v>3.5856481481481482E-2</v>
      </c>
      <c r="M110" s="6">
        <f t="shared" si="3"/>
        <v>0.13917340521114108</v>
      </c>
      <c r="N110" s="5">
        <v>6.145833333333333E-3</v>
      </c>
      <c r="O110" s="5">
        <v>2.9641203703703704E-2</v>
      </c>
      <c r="P110" s="5"/>
      <c r="Q110" s="5"/>
      <c r="R110" s="5"/>
      <c r="S110" s="5"/>
      <c r="T110" s="5">
        <v>6.9444444444444444E-5</v>
      </c>
      <c r="U110" s="5"/>
      <c r="V110" s="5"/>
      <c r="W110" s="5"/>
    </row>
    <row r="111" spans="1:23" x14ac:dyDescent="0.25">
      <c r="A111" s="2">
        <v>46237</v>
      </c>
      <c r="B111" s="3" t="s">
        <v>186</v>
      </c>
      <c r="C111" s="3" t="s">
        <v>562</v>
      </c>
      <c r="D111" s="3" t="s">
        <v>78</v>
      </c>
      <c r="E111" s="3" t="s">
        <v>79</v>
      </c>
      <c r="F111" s="3" t="s">
        <v>80</v>
      </c>
      <c r="G111" s="4" t="s">
        <v>33</v>
      </c>
      <c r="H111" s="4">
        <v>5</v>
      </c>
      <c r="I111" s="5">
        <v>0.26290509259259259</v>
      </c>
      <c r="J111" s="5">
        <v>7.1296296296296299E-3</v>
      </c>
      <c r="K111" s="5">
        <f t="shared" si="2"/>
        <v>1.425925925925926E-3</v>
      </c>
      <c r="L111" s="5">
        <v>6.1585648148148146E-2</v>
      </c>
      <c r="M111" s="6">
        <f t="shared" si="3"/>
        <v>0.2342504952674444</v>
      </c>
      <c r="N111" s="5">
        <v>1.846064814814815E-2</v>
      </c>
      <c r="O111" s="5">
        <v>2.0659722222222222E-2</v>
      </c>
      <c r="P111" s="5"/>
      <c r="Q111" s="5">
        <v>7.1759259259259259E-3</v>
      </c>
      <c r="R111" s="5"/>
      <c r="S111" s="5">
        <v>1.5104166666666667E-2</v>
      </c>
      <c r="T111" s="5">
        <v>1.1574074074074075E-4</v>
      </c>
      <c r="U111" s="5">
        <v>5.7870370370370373E-5</v>
      </c>
      <c r="V111" s="5"/>
      <c r="W111" s="5"/>
    </row>
    <row r="112" spans="1:23" x14ac:dyDescent="0.25">
      <c r="A112" s="2">
        <v>46237</v>
      </c>
      <c r="B112" s="3" t="s">
        <v>643</v>
      </c>
      <c r="C112" s="3" t="s">
        <v>644</v>
      </c>
      <c r="D112" s="3" t="s">
        <v>233</v>
      </c>
      <c r="E112" s="3" t="s">
        <v>31</v>
      </c>
      <c r="F112" s="3" t="s">
        <v>32</v>
      </c>
      <c r="G112" s="4" t="s">
        <v>106</v>
      </c>
      <c r="H112" s="4">
        <v>25</v>
      </c>
      <c r="I112" s="5">
        <v>0.25465277777777778</v>
      </c>
      <c r="J112" s="5">
        <v>0.13630787037037037</v>
      </c>
      <c r="K112" s="5">
        <f t="shared" si="2"/>
        <v>5.4523148148148152E-3</v>
      </c>
      <c r="L112" s="5">
        <v>4.4537037037037035E-2</v>
      </c>
      <c r="M112" s="6">
        <f t="shared" si="3"/>
        <v>0.17489319152804289</v>
      </c>
      <c r="N112" s="5">
        <v>9.5949074074074079E-3</v>
      </c>
      <c r="O112" s="5">
        <v>1.2916666666666667E-2</v>
      </c>
      <c r="P112" s="5">
        <v>3.7268518518518519E-3</v>
      </c>
      <c r="Q112" s="5"/>
      <c r="R112" s="5"/>
      <c r="S112" s="5">
        <v>1.4247685185185184E-2</v>
      </c>
      <c r="T112" s="5">
        <v>1.0416666666666667E-4</v>
      </c>
      <c r="U112" s="5">
        <v>3.9004629629629628E-3</v>
      </c>
      <c r="V112" s="5"/>
      <c r="W112" s="5"/>
    </row>
    <row r="113" spans="1:23" x14ac:dyDescent="0.25">
      <c r="A113" s="2">
        <v>46237</v>
      </c>
      <c r="B113" s="3" t="s">
        <v>193</v>
      </c>
      <c r="C113" s="3" t="s">
        <v>563</v>
      </c>
      <c r="D113" s="3" t="s">
        <v>274</v>
      </c>
      <c r="E113" s="3" t="s">
        <v>79</v>
      </c>
      <c r="F113" s="3" t="s">
        <v>147</v>
      </c>
      <c r="G113" s="4" t="s">
        <v>33</v>
      </c>
      <c r="H113" s="4">
        <v>22</v>
      </c>
      <c r="I113" s="5">
        <v>0.25608796296296299</v>
      </c>
      <c r="J113" s="5">
        <v>7.5833333333333336E-2</v>
      </c>
      <c r="K113" s="5">
        <f t="shared" si="2"/>
        <v>3.446969696969697E-3</v>
      </c>
      <c r="L113" s="5">
        <v>4.50462962962963E-2</v>
      </c>
      <c r="M113" s="6">
        <f t="shared" si="3"/>
        <v>0.17590165416252374</v>
      </c>
      <c r="N113" s="5"/>
      <c r="O113" s="5">
        <v>1.3900462962962963E-2</v>
      </c>
      <c r="P113" s="5"/>
      <c r="Q113" s="5">
        <v>1.4618055555555556E-2</v>
      </c>
      <c r="R113" s="5"/>
      <c r="S113" s="5">
        <v>1.3912037037037037E-2</v>
      </c>
      <c r="T113" s="5">
        <v>2.1875000000000002E-3</v>
      </c>
      <c r="U113" s="5">
        <v>3.9351851851851852E-4</v>
      </c>
      <c r="V113" s="5"/>
      <c r="W113" s="5"/>
    </row>
    <row r="114" spans="1:23" x14ac:dyDescent="0.25">
      <c r="A114" s="2">
        <v>46237</v>
      </c>
      <c r="B114" s="3" t="s">
        <v>231</v>
      </c>
      <c r="C114" s="3" t="s">
        <v>525</v>
      </c>
      <c r="D114" s="3" t="s">
        <v>233</v>
      </c>
      <c r="E114" s="3" t="s">
        <v>31</v>
      </c>
      <c r="F114" s="3" t="s">
        <v>32</v>
      </c>
      <c r="G114" s="4" t="s">
        <v>106</v>
      </c>
      <c r="H114" s="4">
        <v>33</v>
      </c>
      <c r="I114" s="5">
        <v>0.26171296296296298</v>
      </c>
      <c r="J114" s="5">
        <v>0.14894675925925926</v>
      </c>
      <c r="K114" s="5">
        <f t="shared" si="2"/>
        <v>4.5135381593714927E-3</v>
      </c>
      <c r="L114" s="5">
        <v>4.1828703703703701E-2</v>
      </c>
      <c r="M114" s="6">
        <f t="shared" si="3"/>
        <v>0.15982664072174066</v>
      </c>
      <c r="N114" s="5"/>
      <c r="O114" s="5">
        <v>1.5428240740740741E-2</v>
      </c>
      <c r="P114" s="5"/>
      <c r="Q114" s="5"/>
      <c r="R114" s="5"/>
      <c r="S114" s="5">
        <v>1.4444444444444444E-2</v>
      </c>
      <c r="T114" s="5">
        <v>1.1377314814814814E-2</v>
      </c>
      <c r="U114" s="5">
        <v>1.9675925925925926E-4</v>
      </c>
      <c r="V114" s="5"/>
      <c r="W114" s="5"/>
    </row>
    <row r="115" spans="1:23" x14ac:dyDescent="0.25">
      <c r="A115" s="2">
        <v>46237</v>
      </c>
      <c r="B115" s="3" t="s">
        <v>148</v>
      </c>
      <c r="C115" s="3" t="s">
        <v>513</v>
      </c>
      <c r="D115" s="3" t="s">
        <v>104</v>
      </c>
      <c r="E115" s="3" t="s">
        <v>31</v>
      </c>
      <c r="F115" s="3" t="s">
        <v>105</v>
      </c>
      <c r="G115" s="4" t="s">
        <v>106</v>
      </c>
      <c r="H115" s="4">
        <v>16</v>
      </c>
      <c r="I115" s="5">
        <v>0.2260648148148148</v>
      </c>
      <c r="J115" s="5">
        <v>0.25255787037037036</v>
      </c>
      <c r="K115" s="5">
        <f t="shared" si="2"/>
        <v>1.5784866898148148E-2</v>
      </c>
      <c r="L115" s="5">
        <v>6.21875E-2</v>
      </c>
      <c r="M115" s="6">
        <f t="shared" si="3"/>
        <v>0.27508703665779238</v>
      </c>
      <c r="N115" s="5">
        <v>9.9652777777777778E-3</v>
      </c>
      <c r="O115" s="5">
        <v>1.8877314814814816E-2</v>
      </c>
      <c r="P115" s="5"/>
      <c r="Q115" s="5"/>
      <c r="R115" s="5"/>
      <c r="S115" s="5"/>
      <c r="T115" s="5">
        <v>5.9027777777777778E-4</v>
      </c>
      <c r="U115" s="5">
        <v>2.0625000000000001E-2</v>
      </c>
      <c r="V115" s="5"/>
      <c r="W115" s="5">
        <v>1.2129629629629629E-2</v>
      </c>
    </row>
    <row r="116" spans="1:23" x14ac:dyDescent="0.25">
      <c r="A116" s="2">
        <v>46237</v>
      </c>
      <c r="B116" s="3" t="s">
        <v>82</v>
      </c>
      <c r="C116" s="3" t="s">
        <v>83</v>
      </c>
      <c r="D116" s="3" t="s">
        <v>78</v>
      </c>
      <c r="E116" s="3" t="s">
        <v>79</v>
      </c>
      <c r="F116" s="3" t="s">
        <v>80</v>
      </c>
      <c r="G116" s="4" t="s">
        <v>81</v>
      </c>
      <c r="H116" s="4">
        <v>0</v>
      </c>
      <c r="I116" s="5">
        <v>0</v>
      </c>
      <c r="J116" s="5">
        <v>0</v>
      </c>
      <c r="K116" s="5">
        <f t="shared" si="2"/>
        <v>0</v>
      </c>
      <c r="L116" s="5">
        <v>0</v>
      </c>
      <c r="M116" s="6">
        <f t="shared" si="3"/>
        <v>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25">
      <c r="A117" s="2">
        <v>46237</v>
      </c>
      <c r="B117" s="3" t="s">
        <v>234</v>
      </c>
      <c r="C117" s="3" t="s">
        <v>550</v>
      </c>
      <c r="D117" s="3" t="s">
        <v>233</v>
      </c>
      <c r="E117" s="3" t="s">
        <v>31</v>
      </c>
      <c r="F117" s="3" t="s">
        <v>32</v>
      </c>
      <c r="G117" s="4" t="s">
        <v>106</v>
      </c>
      <c r="H117" s="4">
        <v>49</v>
      </c>
      <c r="I117" s="5">
        <v>0.26333333333333331</v>
      </c>
      <c r="J117" s="5">
        <v>0.1333101851851852</v>
      </c>
      <c r="K117" s="5">
        <f t="shared" si="2"/>
        <v>2.7206160241874532E-3</v>
      </c>
      <c r="L117" s="5">
        <v>5.1284722222222225E-2</v>
      </c>
      <c r="M117" s="6">
        <f t="shared" si="3"/>
        <v>0.19475210970464138</v>
      </c>
      <c r="N117" s="5">
        <v>6.4930555555555557E-3</v>
      </c>
      <c r="O117" s="5">
        <v>1.4363425925925925E-2</v>
      </c>
      <c r="P117" s="5"/>
      <c r="Q117" s="5">
        <v>6.1689814814814819E-3</v>
      </c>
      <c r="R117" s="5"/>
      <c r="S117" s="5">
        <v>1.6759259259259258E-2</v>
      </c>
      <c r="T117" s="5">
        <v>7.4999999999999997E-3</v>
      </c>
      <c r="U117" s="5"/>
      <c r="V117" s="5"/>
      <c r="W117" s="5"/>
    </row>
    <row r="118" spans="1:23" x14ac:dyDescent="0.25">
      <c r="A118" s="2">
        <v>46237</v>
      </c>
      <c r="B118" s="3" t="s">
        <v>34</v>
      </c>
      <c r="C118" s="3" t="s">
        <v>505</v>
      </c>
      <c r="D118" s="3" t="s">
        <v>233</v>
      </c>
      <c r="E118" s="3" t="s">
        <v>31</v>
      </c>
      <c r="F118" s="3" t="s">
        <v>32</v>
      </c>
      <c r="G118" s="4" t="s">
        <v>106</v>
      </c>
      <c r="H118" s="4">
        <v>43</v>
      </c>
      <c r="I118" s="5">
        <v>0.25965277777777779</v>
      </c>
      <c r="J118" s="5">
        <v>0.14887731481481481</v>
      </c>
      <c r="K118" s="5">
        <f t="shared" si="2"/>
        <v>3.4622631352282515E-3</v>
      </c>
      <c r="L118" s="5">
        <v>4.5937499999999999E-2</v>
      </c>
      <c r="M118" s="6">
        <f t="shared" si="3"/>
        <v>0.17691896228938217</v>
      </c>
      <c r="N118" s="5">
        <v>9.0277777777777774E-4</v>
      </c>
      <c r="O118" s="5">
        <v>1.3599537037037037E-2</v>
      </c>
      <c r="P118" s="5"/>
      <c r="Q118" s="5"/>
      <c r="R118" s="5"/>
      <c r="S118" s="5">
        <v>1.361111111111111E-2</v>
      </c>
      <c r="T118" s="5">
        <v>1.2349537037037037E-2</v>
      </c>
      <c r="U118" s="5">
        <v>5.4629629629629629E-3</v>
      </c>
      <c r="V118" s="5"/>
      <c r="W118" s="5"/>
    </row>
    <row r="119" spans="1:23" x14ac:dyDescent="0.25">
      <c r="A119" s="2">
        <v>46237</v>
      </c>
      <c r="B119" s="3" t="s">
        <v>493</v>
      </c>
      <c r="C119" s="3" t="s">
        <v>569</v>
      </c>
      <c r="D119" s="3" t="s">
        <v>104</v>
      </c>
      <c r="E119" s="3" t="s">
        <v>31</v>
      </c>
      <c r="F119" s="3" t="s">
        <v>105</v>
      </c>
      <c r="G119" s="4" t="s">
        <v>106</v>
      </c>
      <c r="H119" s="4">
        <v>28</v>
      </c>
      <c r="I119" s="5">
        <v>0.24219907407407407</v>
      </c>
      <c r="J119" s="5">
        <v>0.31479166666666669</v>
      </c>
      <c r="K119" s="5">
        <f t="shared" si="2"/>
        <v>1.1242559523809524E-2</v>
      </c>
      <c r="L119" s="5">
        <v>5.2430555555555557E-2</v>
      </c>
      <c r="M119" s="6">
        <f t="shared" si="3"/>
        <v>0.2164771098155405</v>
      </c>
      <c r="N119" s="5">
        <v>7.1875000000000003E-3</v>
      </c>
      <c r="O119" s="5">
        <v>1.3784722222222223E-2</v>
      </c>
      <c r="P119" s="5">
        <v>4.2824074074074075E-4</v>
      </c>
      <c r="Q119" s="5"/>
      <c r="R119" s="5"/>
      <c r="S119" s="5">
        <v>1.3657407407407408E-2</v>
      </c>
      <c r="T119" s="5">
        <v>2.7777777777777778E-4</v>
      </c>
      <c r="U119" s="5">
        <v>1.2592592592592593E-2</v>
      </c>
      <c r="V119" s="5"/>
      <c r="W119" s="5">
        <v>4.4907407407407405E-3</v>
      </c>
    </row>
    <row r="120" spans="1:23" x14ac:dyDescent="0.25">
      <c r="A120" s="2">
        <v>46237</v>
      </c>
      <c r="B120" s="3" t="s">
        <v>236</v>
      </c>
      <c r="C120" s="3" t="s">
        <v>551</v>
      </c>
      <c r="D120" s="3" t="s">
        <v>233</v>
      </c>
      <c r="E120" s="3" t="s">
        <v>31</v>
      </c>
      <c r="F120" s="3" t="s">
        <v>32</v>
      </c>
      <c r="G120" s="4" t="s">
        <v>106</v>
      </c>
      <c r="H120" s="4">
        <v>12</v>
      </c>
      <c r="I120" s="5">
        <v>0.30199074074074073</v>
      </c>
      <c r="J120" s="5">
        <v>6.7789351851851851E-2</v>
      </c>
      <c r="K120" s="5">
        <f t="shared" si="2"/>
        <v>5.6491126543209876E-3</v>
      </c>
      <c r="L120" s="5">
        <v>0.23159722222222223</v>
      </c>
      <c r="M120" s="6">
        <f t="shared" si="3"/>
        <v>0.7669017323317493</v>
      </c>
      <c r="N120" s="5">
        <v>2.8472222222222223E-3</v>
      </c>
      <c r="O120" s="5">
        <v>8.3564814814814821E-3</v>
      </c>
      <c r="P120" s="5"/>
      <c r="Q120" s="5"/>
      <c r="R120" s="5"/>
      <c r="S120" s="5">
        <v>1.1180555555555555E-2</v>
      </c>
      <c r="T120" s="5">
        <v>2.9513888888888888E-2</v>
      </c>
      <c r="U120" s="5">
        <v>3.0208333333333333E-3</v>
      </c>
      <c r="V120" s="5"/>
      <c r="W120" s="5">
        <v>0.17662037037037037</v>
      </c>
    </row>
    <row r="121" spans="1:23" x14ac:dyDescent="0.25">
      <c r="A121" s="2">
        <v>46237</v>
      </c>
      <c r="B121" s="3" t="s">
        <v>238</v>
      </c>
      <c r="C121" s="3" t="s">
        <v>526</v>
      </c>
      <c r="D121" s="3" t="s">
        <v>233</v>
      </c>
      <c r="E121" s="3" t="s">
        <v>31</v>
      </c>
      <c r="F121" s="3" t="s">
        <v>32</v>
      </c>
      <c r="G121" s="4" t="s">
        <v>106</v>
      </c>
      <c r="H121" s="4">
        <v>0</v>
      </c>
      <c r="I121" s="5">
        <v>0.2575925925925926</v>
      </c>
      <c r="J121" s="5">
        <v>0</v>
      </c>
      <c r="K121" s="5">
        <f t="shared" si="2"/>
        <v>0</v>
      </c>
      <c r="L121" s="5">
        <v>0.25726851851851851</v>
      </c>
      <c r="M121" s="6">
        <f t="shared" si="3"/>
        <v>0.9987419122933141</v>
      </c>
      <c r="N121" s="5"/>
      <c r="O121" s="5">
        <v>5.6249999999999998E-3</v>
      </c>
      <c r="P121" s="5"/>
      <c r="Q121" s="5"/>
      <c r="R121" s="5"/>
      <c r="S121" s="5">
        <v>8.9236111111111113E-3</v>
      </c>
      <c r="T121" s="5">
        <v>3.9351851851851852E-4</v>
      </c>
      <c r="U121" s="5"/>
      <c r="V121" s="5"/>
      <c r="W121" s="5">
        <v>0.24232638888888888</v>
      </c>
    </row>
    <row r="122" spans="1:23" x14ac:dyDescent="0.25">
      <c r="A122" s="2">
        <v>46237</v>
      </c>
      <c r="B122" s="3" t="s">
        <v>608</v>
      </c>
      <c r="C122" s="3" t="s">
        <v>631</v>
      </c>
      <c r="D122" s="3" t="s">
        <v>601</v>
      </c>
      <c r="E122" s="3" t="s">
        <v>31</v>
      </c>
      <c r="F122" s="3" t="s">
        <v>105</v>
      </c>
      <c r="G122" s="4" t="s">
        <v>33</v>
      </c>
      <c r="H122" s="4">
        <v>13</v>
      </c>
      <c r="I122" s="5">
        <v>0.25726851851851851</v>
      </c>
      <c r="J122" s="5">
        <v>0.27789351851851851</v>
      </c>
      <c r="K122" s="5">
        <f t="shared" si="2"/>
        <v>2.1376424501424501E-2</v>
      </c>
      <c r="L122" s="5">
        <v>0.12686342592592592</v>
      </c>
      <c r="M122" s="6">
        <f t="shared" si="3"/>
        <v>0.49311678963469496</v>
      </c>
      <c r="N122" s="5"/>
      <c r="O122" s="5">
        <v>1.3391203703703704E-2</v>
      </c>
      <c r="P122" s="5"/>
      <c r="Q122" s="5"/>
      <c r="R122" s="5"/>
      <c r="S122" s="5">
        <v>1.4050925925925927E-2</v>
      </c>
      <c r="T122" s="5">
        <v>4.861111111111111E-4</v>
      </c>
      <c r="U122" s="5">
        <v>4.1689814814814811E-2</v>
      </c>
      <c r="V122" s="5"/>
      <c r="W122" s="5">
        <v>5.724537037037037E-2</v>
      </c>
    </row>
    <row r="123" spans="1:23" x14ac:dyDescent="0.25">
      <c r="A123" s="2">
        <v>46237</v>
      </c>
      <c r="B123" s="3" t="s">
        <v>307</v>
      </c>
      <c r="C123" s="3" t="s">
        <v>308</v>
      </c>
      <c r="D123" s="3" t="s">
        <v>78</v>
      </c>
      <c r="E123" s="3" t="s">
        <v>79</v>
      </c>
      <c r="F123" s="3" t="s">
        <v>80</v>
      </c>
      <c r="G123" s="4" t="s">
        <v>81</v>
      </c>
      <c r="H123" s="4">
        <v>0</v>
      </c>
      <c r="I123" s="5">
        <v>0.34810185185185183</v>
      </c>
      <c r="J123" s="5">
        <v>0</v>
      </c>
      <c r="K123" s="5">
        <f t="shared" si="2"/>
        <v>0</v>
      </c>
      <c r="L123" s="5">
        <v>2.1990740740740741E-2</v>
      </c>
      <c r="M123" s="6">
        <f t="shared" si="3"/>
        <v>6.3173294321053342E-2</v>
      </c>
      <c r="N123" s="5">
        <v>3.3449074074074076E-3</v>
      </c>
      <c r="O123" s="5"/>
      <c r="P123" s="5"/>
      <c r="Q123" s="5"/>
      <c r="R123" s="5">
        <v>6.4467592592592588E-3</v>
      </c>
      <c r="S123" s="5">
        <v>8.0902777777777778E-3</v>
      </c>
      <c r="T123" s="5">
        <v>5.7870370370370373E-5</v>
      </c>
      <c r="U123" s="5">
        <v>3.9814814814814817E-3</v>
      </c>
      <c r="V123" s="5"/>
      <c r="W123" s="5"/>
    </row>
    <row r="124" spans="1:23" x14ac:dyDescent="0.25">
      <c r="A124" s="2">
        <v>46237</v>
      </c>
      <c r="B124" s="3" t="s">
        <v>197</v>
      </c>
      <c r="C124" s="3" t="s">
        <v>564</v>
      </c>
      <c r="D124" s="3" t="s">
        <v>601</v>
      </c>
      <c r="E124" s="3" t="s">
        <v>31</v>
      </c>
      <c r="F124" s="3" t="s">
        <v>105</v>
      </c>
      <c r="G124" s="4" t="s">
        <v>33</v>
      </c>
      <c r="H124" s="4">
        <v>14</v>
      </c>
      <c r="I124" s="5">
        <v>0.24303240740740742</v>
      </c>
      <c r="J124" s="5">
        <v>0.19891203703703703</v>
      </c>
      <c r="K124" s="5">
        <f t="shared" si="2"/>
        <v>1.4208002645502645E-2</v>
      </c>
      <c r="L124" s="5">
        <v>0.16501157407407407</v>
      </c>
      <c r="M124" s="6">
        <f t="shared" si="3"/>
        <v>0.67896942565958662</v>
      </c>
      <c r="N124" s="5">
        <v>6.4120370370370373E-3</v>
      </c>
      <c r="O124" s="5">
        <v>2.8483796296296295E-2</v>
      </c>
      <c r="P124" s="5"/>
      <c r="Q124" s="5"/>
      <c r="R124" s="5"/>
      <c r="S124" s="5">
        <v>1.3321759259259259E-2</v>
      </c>
      <c r="T124" s="5">
        <v>5.6134259259259262E-3</v>
      </c>
      <c r="U124" s="5">
        <v>1.4583333333333334E-2</v>
      </c>
      <c r="V124" s="5"/>
      <c r="W124" s="5">
        <v>9.6562499999999996E-2</v>
      </c>
    </row>
    <row r="125" spans="1:23" x14ac:dyDescent="0.25">
      <c r="A125" s="2">
        <v>46237</v>
      </c>
      <c r="B125" s="3" t="s">
        <v>150</v>
      </c>
      <c r="C125" s="3" t="s">
        <v>514</v>
      </c>
      <c r="D125" s="3" t="s">
        <v>146</v>
      </c>
      <c r="E125" s="3" t="s">
        <v>79</v>
      </c>
      <c r="F125" s="3" t="s">
        <v>147</v>
      </c>
      <c r="G125" s="4" t="s">
        <v>106</v>
      </c>
      <c r="H125" s="4">
        <v>19</v>
      </c>
      <c r="I125" s="5">
        <v>0.26089120370370372</v>
      </c>
      <c r="J125" s="5">
        <v>4.7881944444444442E-2</v>
      </c>
      <c r="K125" s="5">
        <f t="shared" si="2"/>
        <v>2.5201023391812865E-3</v>
      </c>
      <c r="L125" s="5">
        <v>3.7708333333333337E-2</v>
      </c>
      <c r="M125" s="6">
        <f t="shared" si="3"/>
        <v>0.1445366221551839</v>
      </c>
      <c r="N125" s="5"/>
      <c r="O125" s="5">
        <v>1.5208333333333334E-2</v>
      </c>
      <c r="P125" s="5">
        <v>4.6412037037037038E-3</v>
      </c>
      <c r="Q125" s="5"/>
      <c r="R125" s="5"/>
      <c r="S125" s="5">
        <v>1.3958333333333333E-2</v>
      </c>
      <c r="T125" s="5">
        <v>1.9675925925925926E-4</v>
      </c>
      <c r="U125" s="5"/>
      <c r="V125" s="5"/>
      <c r="W125" s="5">
        <v>3.6458333333333334E-3</v>
      </c>
    </row>
    <row r="126" spans="1:23" x14ac:dyDescent="0.25">
      <c r="A126" s="2">
        <v>46237</v>
      </c>
      <c r="B126" s="3" t="s">
        <v>38</v>
      </c>
      <c r="C126" s="3" t="s">
        <v>536</v>
      </c>
      <c r="D126" s="3" t="s">
        <v>100</v>
      </c>
      <c r="E126" s="3" t="s">
        <v>31</v>
      </c>
      <c r="F126" s="3" t="s">
        <v>32</v>
      </c>
      <c r="G126" s="4" t="s">
        <v>33</v>
      </c>
      <c r="H126" s="4">
        <v>8</v>
      </c>
      <c r="I126" s="5">
        <v>0.25975694444444447</v>
      </c>
      <c r="J126" s="5">
        <v>7.6365740740740734E-2</v>
      </c>
      <c r="K126" s="5">
        <f t="shared" si="2"/>
        <v>9.5457175925925918E-3</v>
      </c>
      <c r="L126" s="5">
        <v>0.19453703703703704</v>
      </c>
      <c r="M126" s="6">
        <f t="shared" si="3"/>
        <v>0.74891948491734606</v>
      </c>
      <c r="N126" s="5">
        <v>1.5752314814814816E-2</v>
      </c>
      <c r="O126" s="5">
        <v>6.851851851851852E-3</v>
      </c>
      <c r="P126" s="5"/>
      <c r="Q126" s="5"/>
      <c r="R126" s="5">
        <v>1.1759259259259259E-2</v>
      </c>
      <c r="S126" s="5">
        <v>1.4155092592592592E-2</v>
      </c>
      <c r="T126" s="5">
        <v>2.0023148148148148E-3</v>
      </c>
      <c r="U126" s="5"/>
      <c r="V126" s="5"/>
      <c r="W126" s="5">
        <v>0.14401620370370372</v>
      </c>
    </row>
    <row r="127" spans="1:23" x14ac:dyDescent="0.25">
      <c r="A127" s="2">
        <v>46237</v>
      </c>
      <c r="B127" s="3" t="s">
        <v>681</v>
      </c>
      <c r="C127" s="3" t="s">
        <v>682</v>
      </c>
      <c r="D127" s="3" t="s">
        <v>601</v>
      </c>
      <c r="E127" s="3" t="s">
        <v>31</v>
      </c>
      <c r="F127" s="3" t="s">
        <v>105</v>
      </c>
      <c r="G127" s="4" t="s">
        <v>33</v>
      </c>
      <c r="H127" s="4">
        <v>8</v>
      </c>
      <c r="I127" s="5">
        <v>0.22493055555555555</v>
      </c>
      <c r="J127" s="5">
        <v>0.18358796296296295</v>
      </c>
      <c r="K127" s="5">
        <f t="shared" si="2"/>
        <v>2.2948495370370369E-2</v>
      </c>
      <c r="L127" s="5">
        <v>0.11410879629629629</v>
      </c>
      <c r="M127" s="6">
        <f t="shared" si="3"/>
        <v>0.50730678192857881</v>
      </c>
      <c r="N127" s="5">
        <v>2.3726851851851851E-3</v>
      </c>
      <c r="O127" s="5">
        <v>1.7094907407407406E-2</v>
      </c>
      <c r="P127" s="5"/>
      <c r="Q127" s="5"/>
      <c r="R127" s="5"/>
      <c r="S127" s="5">
        <v>1.7071759259259259E-2</v>
      </c>
      <c r="T127" s="5">
        <v>3.7037037037037035E-4</v>
      </c>
      <c r="U127" s="5"/>
      <c r="V127" s="5"/>
      <c r="W127" s="5">
        <v>7.7199074074074073E-2</v>
      </c>
    </row>
    <row r="128" spans="1:23" x14ac:dyDescent="0.25">
      <c r="A128" s="2">
        <v>46237</v>
      </c>
      <c r="B128" s="3" t="s">
        <v>154</v>
      </c>
      <c r="C128" s="3" t="s">
        <v>515</v>
      </c>
      <c r="D128" s="3" t="s">
        <v>146</v>
      </c>
      <c r="E128" s="3" t="s">
        <v>79</v>
      </c>
      <c r="F128" s="3" t="s">
        <v>147</v>
      </c>
      <c r="G128" s="4" t="s">
        <v>106</v>
      </c>
      <c r="H128" s="4">
        <v>19</v>
      </c>
      <c r="I128" s="5">
        <v>0.26223379629629628</v>
      </c>
      <c r="J128" s="5">
        <v>2.7870370370370372E-2</v>
      </c>
      <c r="K128" s="5">
        <f t="shared" si="2"/>
        <v>1.4668615984405459E-3</v>
      </c>
      <c r="L128" s="5">
        <v>4.494212962962963E-2</v>
      </c>
      <c r="M128" s="6">
        <f t="shared" si="3"/>
        <v>0.1713819128746083</v>
      </c>
      <c r="N128" s="5">
        <v>6.8402777777777776E-3</v>
      </c>
      <c r="O128" s="5">
        <v>1.1585648148148149E-2</v>
      </c>
      <c r="P128" s="5"/>
      <c r="Q128" s="5">
        <v>7.8009259259259256E-3</v>
      </c>
      <c r="R128" s="5"/>
      <c r="S128" s="5">
        <v>1.4861111111111111E-2</v>
      </c>
      <c r="T128" s="5">
        <v>3.1250000000000001E-4</v>
      </c>
      <c r="U128" s="5">
        <v>1.0995370370370371E-3</v>
      </c>
      <c r="V128" s="5"/>
      <c r="W128" s="5">
        <v>2.3032407407407407E-3</v>
      </c>
    </row>
    <row r="129" spans="1:23" x14ac:dyDescent="0.25">
      <c r="A129" s="2">
        <v>46237</v>
      </c>
      <c r="B129" s="3" t="s">
        <v>112</v>
      </c>
      <c r="C129" s="3" t="s">
        <v>570</v>
      </c>
      <c r="D129" s="3" t="s">
        <v>104</v>
      </c>
      <c r="E129" s="3" t="s">
        <v>31</v>
      </c>
      <c r="F129" s="3" t="s">
        <v>105</v>
      </c>
      <c r="G129" s="4" t="s">
        <v>106</v>
      </c>
      <c r="H129" s="4">
        <v>14</v>
      </c>
      <c r="I129" s="5">
        <v>0.24171296296296296</v>
      </c>
      <c r="J129" s="5">
        <v>0.1822337962962963</v>
      </c>
      <c r="K129" s="5">
        <f t="shared" si="2"/>
        <v>1.3016699735449735E-2</v>
      </c>
      <c r="L129" s="5">
        <v>0.10887731481481482</v>
      </c>
      <c r="M129" s="6">
        <f t="shared" si="3"/>
        <v>0.45044052863436124</v>
      </c>
      <c r="N129" s="5">
        <v>3.9594907407407405E-2</v>
      </c>
      <c r="O129" s="5">
        <v>1.6319444444444445E-2</v>
      </c>
      <c r="P129" s="5"/>
      <c r="Q129" s="5"/>
      <c r="R129" s="5"/>
      <c r="S129" s="5">
        <v>2.0208333333333332E-2</v>
      </c>
      <c r="T129" s="5">
        <v>4.8958333333333336E-3</v>
      </c>
      <c r="U129" s="5">
        <v>6.875E-3</v>
      </c>
      <c r="V129" s="5"/>
      <c r="W129" s="5">
        <v>2.0983796296296296E-2</v>
      </c>
    </row>
    <row r="130" spans="1:23" x14ac:dyDescent="0.25">
      <c r="A130" s="2">
        <v>46237</v>
      </c>
      <c r="B130" s="3" t="s">
        <v>42</v>
      </c>
      <c r="C130" s="3" t="s">
        <v>537</v>
      </c>
      <c r="D130" s="3" t="s">
        <v>104</v>
      </c>
      <c r="E130" s="3" t="s">
        <v>31</v>
      </c>
      <c r="F130" s="3" t="s">
        <v>105</v>
      </c>
      <c r="G130" s="4" t="s">
        <v>106</v>
      </c>
      <c r="H130" s="4">
        <v>22</v>
      </c>
      <c r="I130" s="5">
        <v>0.25760416666666669</v>
      </c>
      <c r="J130" s="5">
        <v>0.36481481481481481</v>
      </c>
      <c r="K130" s="5">
        <f t="shared" si="2"/>
        <v>1.6582491582491584E-2</v>
      </c>
      <c r="L130" s="5">
        <v>6.8819444444444447E-2</v>
      </c>
      <c r="M130" s="6">
        <f t="shared" si="3"/>
        <v>0.26715190726513005</v>
      </c>
      <c r="N130" s="5">
        <v>1.6192129629629629E-2</v>
      </c>
      <c r="O130" s="5">
        <v>1.3333333333333334E-2</v>
      </c>
      <c r="P130" s="5"/>
      <c r="Q130" s="5"/>
      <c r="R130" s="5"/>
      <c r="S130" s="5">
        <v>1.4363425925925925E-2</v>
      </c>
      <c r="T130" s="5">
        <v>3.4722222222222224E-4</v>
      </c>
      <c r="U130" s="5">
        <v>1.0995370370370371E-3</v>
      </c>
      <c r="V130" s="5"/>
      <c r="W130" s="5">
        <v>2.3460648148148147E-2</v>
      </c>
    </row>
    <row r="131" spans="1:23" x14ac:dyDescent="0.25">
      <c r="A131" s="2">
        <v>46237</v>
      </c>
      <c r="B131" s="3" t="s">
        <v>156</v>
      </c>
      <c r="C131" s="3" t="s">
        <v>516</v>
      </c>
      <c r="D131" s="3" t="s">
        <v>146</v>
      </c>
      <c r="E131" s="3" t="s">
        <v>79</v>
      </c>
      <c r="F131" s="3" t="s">
        <v>147</v>
      </c>
      <c r="G131" s="4" t="s">
        <v>106</v>
      </c>
      <c r="H131" s="4">
        <v>8</v>
      </c>
      <c r="I131" s="5">
        <v>8.9687500000000003E-2</v>
      </c>
      <c r="J131" s="5">
        <v>3.2071759259259258E-2</v>
      </c>
      <c r="K131" s="5">
        <f t="shared" si="2"/>
        <v>4.0089699074074073E-3</v>
      </c>
      <c r="L131" s="5">
        <v>2.4652777777777777E-2</v>
      </c>
      <c r="M131" s="6">
        <f t="shared" si="3"/>
        <v>0.27487417731320168</v>
      </c>
      <c r="N131" s="5"/>
      <c r="O131" s="5"/>
      <c r="P131" s="5"/>
      <c r="Q131" s="5">
        <v>1.2673611111111111E-2</v>
      </c>
      <c r="R131" s="5"/>
      <c r="S131" s="5">
        <v>1.1921296296296296E-2</v>
      </c>
      <c r="T131" s="5">
        <v>5.7870370370370373E-5</v>
      </c>
      <c r="U131" s="5"/>
      <c r="V131" s="5"/>
      <c r="W131" s="5"/>
    </row>
    <row r="132" spans="1:23" x14ac:dyDescent="0.25">
      <c r="A132" s="2">
        <v>46237</v>
      </c>
      <c r="B132" s="3" t="s">
        <v>114</v>
      </c>
      <c r="C132" s="3" t="s">
        <v>541</v>
      </c>
      <c r="D132" s="3" t="s">
        <v>104</v>
      </c>
      <c r="E132" s="3" t="s">
        <v>31</v>
      </c>
      <c r="F132" s="3" t="s">
        <v>105</v>
      </c>
      <c r="G132" s="4" t="s">
        <v>106</v>
      </c>
      <c r="H132" s="4">
        <v>16</v>
      </c>
      <c r="I132" s="5">
        <v>0.25930555555555557</v>
      </c>
      <c r="J132" s="5">
        <v>0.2083912037037037</v>
      </c>
      <c r="K132" s="5">
        <f t="shared" si="2"/>
        <v>1.3024450231481481E-2</v>
      </c>
      <c r="L132" s="5">
        <v>0.14194444444444446</v>
      </c>
      <c r="M132" s="6">
        <f t="shared" si="3"/>
        <v>0.54740224959828609</v>
      </c>
      <c r="N132" s="5">
        <v>1.6597222222222222E-2</v>
      </c>
      <c r="O132" s="5">
        <v>2.0821759259259259E-2</v>
      </c>
      <c r="P132" s="5"/>
      <c r="Q132" s="5"/>
      <c r="R132" s="5"/>
      <c r="S132" s="5">
        <v>1.5833333333333335E-2</v>
      </c>
      <c r="T132" s="5">
        <v>8.5949074074074081E-2</v>
      </c>
      <c r="U132" s="5">
        <v>4.861111111111111E-4</v>
      </c>
      <c r="V132" s="5"/>
      <c r="W132" s="5">
        <v>2.2569444444444442E-3</v>
      </c>
    </row>
    <row r="133" spans="1:23" x14ac:dyDescent="0.25">
      <c r="A133" s="2">
        <v>46237</v>
      </c>
      <c r="B133" s="3" t="s">
        <v>44</v>
      </c>
      <c r="C133" s="3" t="s">
        <v>506</v>
      </c>
      <c r="D133" s="3" t="s">
        <v>100</v>
      </c>
      <c r="E133" s="3" t="s">
        <v>31</v>
      </c>
      <c r="F133" s="3" t="s">
        <v>32</v>
      </c>
      <c r="G133" s="4" t="s">
        <v>33</v>
      </c>
      <c r="H133" s="4">
        <v>41</v>
      </c>
      <c r="I133" s="5">
        <v>0.26271990740740742</v>
      </c>
      <c r="J133" s="5">
        <v>0.25049768518518517</v>
      </c>
      <c r="K133" s="5">
        <f t="shared" si="2"/>
        <v>6.1096996386630527E-3</v>
      </c>
      <c r="L133" s="5">
        <v>3.2789351851851854E-2</v>
      </c>
      <c r="M133" s="6">
        <f t="shared" si="3"/>
        <v>0.12480726023172828</v>
      </c>
      <c r="N133" s="5"/>
      <c r="O133" s="5">
        <v>1.7604166666666667E-2</v>
      </c>
      <c r="P133" s="5"/>
      <c r="Q133" s="5"/>
      <c r="R133" s="5"/>
      <c r="S133" s="5">
        <v>1.3912037037037037E-2</v>
      </c>
      <c r="T133" s="5">
        <v>5.9027777777777778E-4</v>
      </c>
      <c r="U133" s="5">
        <v>6.3657407407407413E-4</v>
      </c>
      <c r="V133" s="5"/>
      <c r="W133" s="5"/>
    </row>
    <row r="134" spans="1:23" x14ac:dyDescent="0.25">
      <c r="A134" s="2">
        <v>46237</v>
      </c>
      <c r="B134" s="3" t="s">
        <v>609</v>
      </c>
      <c r="C134" s="3" t="s">
        <v>632</v>
      </c>
      <c r="D134" s="3" t="s">
        <v>601</v>
      </c>
      <c r="E134" s="3" t="s">
        <v>31</v>
      </c>
      <c r="F134" s="3" t="s">
        <v>105</v>
      </c>
      <c r="G134" s="4" t="s">
        <v>33</v>
      </c>
      <c r="H134" s="4">
        <v>12</v>
      </c>
      <c r="I134" s="5">
        <v>0.26089120370370372</v>
      </c>
      <c r="J134" s="5">
        <v>0.18172453703703703</v>
      </c>
      <c r="K134" s="5">
        <f t="shared" si="2"/>
        <v>1.5143711419753085E-2</v>
      </c>
      <c r="L134" s="5">
        <v>0.1970486111111111</v>
      </c>
      <c r="M134" s="6">
        <f t="shared" si="3"/>
        <v>0.75529035978882919</v>
      </c>
      <c r="N134" s="5">
        <v>1.5474537037037037E-2</v>
      </c>
      <c r="O134" s="5">
        <v>1.9571759259259261E-2</v>
      </c>
      <c r="P134" s="5"/>
      <c r="Q134" s="5"/>
      <c r="R134" s="5"/>
      <c r="S134" s="5">
        <v>1.758101851851852E-2</v>
      </c>
      <c r="T134" s="5">
        <v>2.3148148148148149E-4</v>
      </c>
      <c r="U134" s="5">
        <v>2.6458333333333334E-2</v>
      </c>
      <c r="V134" s="5"/>
      <c r="W134" s="5">
        <v>0.11773148148148148</v>
      </c>
    </row>
    <row r="135" spans="1:23" x14ac:dyDescent="0.25">
      <c r="A135" s="2">
        <v>46237</v>
      </c>
      <c r="B135" s="3" t="s">
        <v>240</v>
      </c>
      <c r="C135" s="3" t="s">
        <v>527</v>
      </c>
      <c r="D135" s="3" t="s">
        <v>233</v>
      </c>
      <c r="E135" s="3" t="s">
        <v>31</v>
      </c>
      <c r="F135" s="3" t="s">
        <v>32</v>
      </c>
      <c r="G135" s="4" t="s">
        <v>106</v>
      </c>
      <c r="H135" s="4">
        <v>0</v>
      </c>
      <c r="I135" s="5">
        <v>0.21807870370370369</v>
      </c>
      <c r="J135" s="5">
        <v>0</v>
      </c>
      <c r="K135" s="5">
        <f t="shared" si="2"/>
        <v>0</v>
      </c>
      <c r="L135" s="5">
        <v>0.21807870370370369</v>
      </c>
      <c r="M135" s="6">
        <f t="shared" si="3"/>
        <v>1</v>
      </c>
      <c r="N135" s="5">
        <v>1.5891203703703703E-2</v>
      </c>
      <c r="O135" s="5">
        <v>1.3055555555555556E-2</v>
      </c>
      <c r="P135" s="5"/>
      <c r="Q135" s="5"/>
      <c r="R135" s="5"/>
      <c r="S135" s="5">
        <v>1.4583333333333334E-2</v>
      </c>
      <c r="T135" s="5">
        <v>5.9027777777777778E-4</v>
      </c>
      <c r="U135" s="5"/>
      <c r="V135" s="5"/>
      <c r="W135" s="5">
        <v>0.17395833333333333</v>
      </c>
    </row>
    <row r="136" spans="1:23" x14ac:dyDescent="0.25">
      <c r="A136" s="2">
        <v>46237</v>
      </c>
      <c r="B136" s="3" t="s">
        <v>497</v>
      </c>
      <c r="C136" s="3" t="s">
        <v>498</v>
      </c>
      <c r="D136" s="3" t="s">
        <v>78</v>
      </c>
      <c r="E136" s="3" t="s">
        <v>79</v>
      </c>
      <c r="F136" s="3" t="s">
        <v>80</v>
      </c>
      <c r="G136" s="4" t="s">
        <v>81</v>
      </c>
      <c r="H136" s="4">
        <v>0</v>
      </c>
      <c r="I136" s="5">
        <v>0.3379861111111111</v>
      </c>
      <c r="J136" s="5">
        <v>0</v>
      </c>
      <c r="K136" s="5">
        <f t="shared" si="2"/>
        <v>0</v>
      </c>
      <c r="L136" s="5">
        <v>7.1435185185185185E-2</v>
      </c>
      <c r="M136" s="6">
        <f t="shared" si="3"/>
        <v>0.21135538661735498</v>
      </c>
      <c r="N136" s="5">
        <v>2.2453703703703702E-3</v>
      </c>
      <c r="O136" s="5">
        <v>1.1990740740740741E-2</v>
      </c>
      <c r="P136" s="5"/>
      <c r="Q136" s="5">
        <v>4.6064814814814814E-3</v>
      </c>
      <c r="R136" s="5"/>
      <c r="S136" s="5">
        <v>4.1134259259259259E-2</v>
      </c>
      <c r="T136" s="5">
        <v>1.1307870370370371E-2</v>
      </c>
      <c r="U136" s="5"/>
      <c r="V136" s="5"/>
      <c r="W136" s="5"/>
    </row>
    <row r="137" spans="1:23" x14ac:dyDescent="0.25">
      <c r="A137" s="2">
        <v>46237</v>
      </c>
      <c r="B137" s="3" t="s">
        <v>309</v>
      </c>
      <c r="C137" s="3" t="s">
        <v>310</v>
      </c>
      <c r="D137" s="3" t="s">
        <v>78</v>
      </c>
      <c r="E137" s="3" t="s">
        <v>79</v>
      </c>
      <c r="F137" s="3" t="s">
        <v>80</v>
      </c>
      <c r="G137" s="4" t="s">
        <v>81</v>
      </c>
      <c r="H137" s="4">
        <v>0</v>
      </c>
      <c r="I137" s="5">
        <v>0.34157407407407409</v>
      </c>
      <c r="J137" s="5">
        <v>0</v>
      </c>
      <c r="K137" s="5">
        <f t="shared" si="2"/>
        <v>0</v>
      </c>
      <c r="L137" s="5">
        <v>6.1840277777777779E-2</v>
      </c>
      <c r="M137" s="6">
        <f t="shared" si="3"/>
        <v>0.18104499864461915</v>
      </c>
      <c r="N137" s="5">
        <v>8.773148148148148E-3</v>
      </c>
      <c r="O137" s="5">
        <v>4.1678240740740738E-2</v>
      </c>
      <c r="P137" s="5"/>
      <c r="Q137" s="5"/>
      <c r="R137" s="5"/>
      <c r="S137" s="5">
        <v>7.3032407407407404E-3</v>
      </c>
      <c r="T137" s="5">
        <v>2.0833333333333335E-4</v>
      </c>
      <c r="U137" s="5">
        <v>4.6296296296296298E-4</v>
      </c>
      <c r="V137" s="5"/>
      <c r="W137" s="5">
        <v>3.3796296296296296E-3</v>
      </c>
    </row>
    <row r="138" spans="1:23" x14ac:dyDescent="0.25">
      <c r="A138" s="2">
        <v>46237</v>
      </c>
      <c r="B138" s="3" t="s">
        <v>160</v>
      </c>
      <c r="C138" s="3" t="s">
        <v>544</v>
      </c>
      <c r="D138" s="3" t="s">
        <v>146</v>
      </c>
      <c r="E138" s="3" t="s">
        <v>79</v>
      </c>
      <c r="F138" s="3" t="s">
        <v>147</v>
      </c>
      <c r="G138" s="4" t="s">
        <v>106</v>
      </c>
      <c r="H138" s="4">
        <v>13</v>
      </c>
      <c r="I138" s="5">
        <v>0.25918981481481479</v>
      </c>
      <c r="J138" s="5">
        <v>4.1562500000000002E-2</v>
      </c>
      <c r="K138" s="5">
        <f t="shared" si="2"/>
        <v>3.1971153846153846E-3</v>
      </c>
      <c r="L138" s="5">
        <v>8.3217592592592593E-2</v>
      </c>
      <c r="M138" s="6">
        <f t="shared" si="3"/>
        <v>0.32106814325265698</v>
      </c>
      <c r="N138" s="5">
        <v>1.6006944444444445E-2</v>
      </c>
      <c r="O138" s="5">
        <v>2.2048611111111113E-2</v>
      </c>
      <c r="P138" s="5"/>
      <c r="Q138" s="5">
        <v>3.965277777777778E-2</v>
      </c>
      <c r="R138" s="5"/>
      <c r="S138" s="5"/>
      <c r="T138" s="5">
        <v>1.3888888888888889E-4</v>
      </c>
      <c r="U138" s="5">
        <v>5.0694444444444441E-3</v>
      </c>
      <c r="V138" s="5"/>
      <c r="W138" s="5"/>
    </row>
    <row r="139" spans="1:23" x14ac:dyDescent="0.25">
      <c r="A139" s="2">
        <v>46237</v>
      </c>
      <c r="B139" s="3" t="s">
        <v>645</v>
      </c>
      <c r="C139" s="3" t="s">
        <v>646</v>
      </c>
      <c r="D139" s="3" t="s">
        <v>100</v>
      </c>
      <c r="E139" s="3" t="s">
        <v>31</v>
      </c>
      <c r="F139" s="3" t="s">
        <v>32</v>
      </c>
      <c r="G139" s="4" t="s">
        <v>33</v>
      </c>
      <c r="H139" s="4">
        <v>47</v>
      </c>
      <c r="I139" s="5">
        <v>0.26622685185185185</v>
      </c>
      <c r="J139" s="5">
        <v>0.26636574074074076</v>
      </c>
      <c r="K139" s="5">
        <f t="shared" si="2"/>
        <v>5.6673561859732074E-3</v>
      </c>
      <c r="L139" s="5">
        <v>4.2893518518518518E-2</v>
      </c>
      <c r="M139" s="6">
        <f t="shared" si="3"/>
        <v>0.16111642465872533</v>
      </c>
      <c r="N139" s="5">
        <v>6.030092592592593E-3</v>
      </c>
      <c r="O139" s="5">
        <v>1.4398148148148148E-2</v>
      </c>
      <c r="P139" s="5"/>
      <c r="Q139" s="5">
        <v>3.5532407407407409E-3</v>
      </c>
      <c r="R139" s="5"/>
      <c r="S139" s="5">
        <v>1.3263888888888889E-2</v>
      </c>
      <c r="T139" s="5">
        <v>2.8009259259259259E-3</v>
      </c>
      <c r="U139" s="5">
        <v>1.9907407407407408E-3</v>
      </c>
      <c r="V139" s="5"/>
      <c r="W139" s="5">
        <v>3.4722222222222222E-5</v>
      </c>
    </row>
    <row r="140" spans="1:23" x14ac:dyDescent="0.25">
      <c r="A140" s="2">
        <v>46237</v>
      </c>
      <c r="B140" s="3" t="s">
        <v>120</v>
      </c>
      <c r="C140" s="3" t="s">
        <v>558</v>
      </c>
      <c r="D140" s="3" t="s">
        <v>233</v>
      </c>
      <c r="E140" s="3" t="s">
        <v>31</v>
      </c>
      <c r="F140" s="3" t="s">
        <v>32</v>
      </c>
      <c r="G140" s="4" t="s">
        <v>106</v>
      </c>
      <c r="H140" s="4">
        <v>57</v>
      </c>
      <c r="I140" s="5">
        <v>0.25548611111111114</v>
      </c>
      <c r="J140" s="5">
        <v>0.16090277777777778</v>
      </c>
      <c r="K140" s="5">
        <f t="shared" si="2"/>
        <v>2.8228557504873294E-3</v>
      </c>
      <c r="L140" s="5">
        <v>4.3877314814814813E-2</v>
      </c>
      <c r="M140" s="6">
        <f t="shared" si="3"/>
        <v>0.17174050919633957</v>
      </c>
      <c r="N140" s="5">
        <v>4.1087962962962962E-3</v>
      </c>
      <c r="O140" s="5">
        <v>1.2592592592592593E-2</v>
      </c>
      <c r="P140" s="5"/>
      <c r="Q140" s="5"/>
      <c r="R140" s="5"/>
      <c r="S140" s="5">
        <v>1.2152777777777778E-2</v>
      </c>
      <c r="T140" s="5">
        <v>8.9583333333333338E-3</v>
      </c>
      <c r="U140" s="5">
        <v>5.2546296296296299E-3</v>
      </c>
      <c r="V140" s="5"/>
      <c r="W140" s="5">
        <v>7.9861111111111116E-4</v>
      </c>
    </row>
    <row r="141" spans="1:23" x14ac:dyDescent="0.25">
      <c r="A141" s="2">
        <v>46237</v>
      </c>
      <c r="B141" s="3" t="s">
        <v>46</v>
      </c>
      <c r="C141" s="3" t="s">
        <v>507</v>
      </c>
      <c r="D141" s="3" t="s">
        <v>100</v>
      </c>
      <c r="E141" s="3" t="s">
        <v>31</v>
      </c>
      <c r="F141" s="3" t="s">
        <v>32</v>
      </c>
      <c r="G141" s="4" t="s">
        <v>33</v>
      </c>
      <c r="H141" s="4">
        <v>36</v>
      </c>
      <c r="I141" s="5">
        <v>0.2628125</v>
      </c>
      <c r="J141" s="5">
        <v>0.23997685185185186</v>
      </c>
      <c r="K141" s="5">
        <f t="shared" si="2"/>
        <v>6.6660236625514409E-3</v>
      </c>
      <c r="L141" s="5">
        <v>3.366898148148148E-2</v>
      </c>
      <c r="M141" s="6">
        <f t="shared" si="3"/>
        <v>0.12811027436473332</v>
      </c>
      <c r="N141" s="5">
        <v>3.5069444444444445E-3</v>
      </c>
      <c r="O141" s="5">
        <v>1.3888888888888888E-2</v>
      </c>
      <c r="P141" s="5"/>
      <c r="Q141" s="5"/>
      <c r="R141" s="5"/>
      <c r="S141" s="5">
        <v>1.412037037037037E-2</v>
      </c>
      <c r="T141" s="5">
        <v>5.7870370370370373E-5</v>
      </c>
      <c r="U141" s="5">
        <v>2.0023148148148148E-3</v>
      </c>
      <c r="V141" s="5"/>
      <c r="W141" s="5"/>
    </row>
    <row r="142" spans="1:23" x14ac:dyDescent="0.25">
      <c r="A142" s="2">
        <v>46237</v>
      </c>
      <c r="B142" s="3" t="s">
        <v>287</v>
      </c>
      <c r="C142" s="3" t="s">
        <v>542</v>
      </c>
      <c r="D142" s="3" t="s">
        <v>104</v>
      </c>
      <c r="E142" s="3" t="s">
        <v>31</v>
      </c>
      <c r="F142" s="3" t="s">
        <v>105</v>
      </c>
      <c r="G142" s="4" t="s">
        <v>106</v>
      </c>
      <c r="H142" s="4">
        <v>7</v>
      </c>
      <c r="I142" s="5">
        <v>0.22952546296296297</v>
      </c>
      <c r="J142" s="5">
        <v>0.14489583333333333</v>
      </c>
      <c r="K142" s="5">
        <f t="shared" si="2"/>
        <v>2.0699404761904763E-2</v>
      </c>
      <c r="L142" s="5">
        <v>0.11232638888888889</v>
      </c>
      <c r="M142" s="6">
        <f t="shared" si="3"/>
        <v>0.48938530583429984</v>
      </c>
      <c r="N142" s="5">
        <v>2.2858796296296297E-2</v>
      </c>
      <c r="O142" s="5">
        <v>1.9537037037037037E-2</v>
      </c>
      <c r="P142" s="5">
        <v>1.5081018518518518E-2</v>
      </c>
      <c r="Q142" s="5"/>
      <c r="R142" s="5"/>
      <c r="S142" s="5">
        <v>1.6180555555555556E-2</v>
      </c>
      <c r="T142" s="5">
        <v>1.5046296296296297E-4</v>
      </c>
      <c r="U142" s="5"/>
      <c r="V142" s="5"/>
      <c r="W142" s="5">
        <v>3.8518518518518521E-2</v>
      </c>
    </row>
    <row r="143" spans="1:23" x14ac:dyDescent="0.25">
      <c r="A143" s="2">
        <v>46237</v>
      </c>
      <c r="B143" s="3" t="s">
        <v>499</v>
      </c>
      <c r="C143" s="3" t="s">
        <v>517</v>
      </c>
      <c r="D143" s="3" t="s">
        <v>146</v>
      </c>
      <c r="E143" s="3" t="s">
        <v>79</v>
      </c>
      <c r="F143" s="3" t="s">
        <v>147</v>
      </c>
      <c r="G143" s="4" t="s">
        <v>106</v>
      </c>
      <c r="H143" s="4">
        <v>10</v>
      </c>
      <c r="I143" s="5">
        <v>0.25048611111111113</v>
      </c>
      <c r="J143" s="5">
        <v>3.471064814814815E-2</v>
      </c>
      <c r="K143" s="5">
        <f t="shared" si="2"/>
        <v>3.4710648148148148E-3</v>
      </c>
      <c r="L143" s="5">
        <v>7.0231481481481478E-2</v>
      </c>
      <c r="M143" s="6">
        <f t="shared" si="3"/>
        <v>0.28038074115146472</v>
      </c>
      <c r="N143" s="5">
        <v>6.9212962962962961E-3</v>
      </c>
      <c r="O143" s="5">
        <v>1.6597222222222222E-2</v>
      </c>
      <c r="P143" s="5"/>
      <c r="Q143" s="5">
        <v>1.6921296296296295E-2</v>
      </c>
      <c r="R143" s="5"/>
      <c r="S143" s="5">
        <v>1.4328703703703703E-2</v>
      </c>
      <c r="T143" s="5">
        <v>4.2824074074074075E-4</v>
      </c>
      <c r="U143" s="5">
        <v>1.8981481481481482E-3</v>
      </c>
      <c r="V143" s="5"/>
      <c r="W143" s="5">
        <v>1.3113425925925926E-2</v>
      </c>
    </row>
    <row r="144" spans="1:23" x14ac:dyDescent="0.25">
      <c r="A144" s="2">
        <v>46237</v>
      </c>
      <c r="B144" s="3" t="s">
        <v>647</v>
      </c>
      <c r="C144" s="3" t="s">
        <v>648</v>
      </c>
      <c r="D144" s="3" t="s">
        <v>233</v>
      </c>
      <c r="E144" s="3" t="s">
        <v>31</v>
      </c>
      <c r="F144" s="3" t="s">
        <v>32</v>
      </c>
      <c r="G144" s="4" t="s">
        <v>106</v>
      </c>
      <c r="H144" s="4">
        <v>35</v>
      </c>
      <c r="I144" s="5">
        <v>0.26407407407407407</v>
      </c>
      <c r="J144" s="5">
        <v>0.14929398148148149</v>
      </c>
      <c r="K144" s="5">
        <f t="shared" si="2"/>
        <v>4.2655423280423283E-3</v>
      </c>
      <c r="L144" s="5">
        <v>4.7210648148148147E-2</v>
      </c>
      <c r="M144" s="6">
        <f t="shared" si="3"/>
        <v>0.17877805049088358</v>
      </c>
      <c r="N144" s="5">
        <v>1.0787037037037038E-2</v>
      </c>
      <c r="O144" s="5">
        <v>1.4305555555555556E-2</v>
      </c>
      <c r="P144" s="5"/>
      <c r="Q144" s="5">
        <v>7.2222222222222219E-3</v>
      </c>
      <c r="R144" s="5"/>
      <c r="S144" s="5">
        <v>1.4641203703703703E-2</v>
      </c>
      <c r="T144" s="5">
        <v>6.9444444444444444E-5</v>
      </c>
      <c r="U144" s="5">
        <v>1.8518518518518518E-4</v>
      </c>
      <c r="V144" s="5"/>
      <c r="W144" s="5"/>
    </row>
    <row r="145" spans="1:23" x14ac:dyDescent="0.25">
      <c r="A145" s="2">
        <v>46237</v>
      </c>
      <c r="B145" s="3" t="s">
        <v>649</v>
      </c>
      <c r="C145" s="3" t="s">
        <v>650</v>
      </c>
      <c r="D145" s="3" t="s">
        <v>104</v>
      </c>
      <c r="E145" s="3" t="s">
        <v>31</v>
      </c>
      <c r="F145" s="3" t="s">
        <v>105</v>
      </c>
      <c r="G145" s="4" t="s">
        <v>106</v>
      </c>
      <c r="H145" s="4">
        <v>10</v>
      </c>
      <c r="I145" s="5">
        <v>0.25010416666666668</v>
      </c>
      <c r="J145" s="5">
        <v>0.20957175925925925</v>
      </c>
      <c r="K145" s="5">
        <f t="shared" si="2"/>
        <v>2.0957175925925924E-2</v>
      </c>
      <c r="L145" s="5">
        <v>9.9641203703703704E-2</v>
      </c>
      <c r="M145" s="6">
        <f t="shared" si="3"/>
        <v>0.39839881530843629</v>
      </c>
      <c r="N145" s="5">
        <v>5.8680555555555552E-3</v>
      </c>
      <c r="O145" s="5">
        <v>1.3680555555555555E-2</v>
      </c>
      <c r="P145" s="5"/>
      <c r="Q145" s="5"/>
      <c r="R145" s="5"/>
      <c r="S145" s="5">
        <v>1.4664351851851852E-2</v>
      </c>
      <c r="T145" s="5">
        <v>1.3888888888888889E-4</v>
      </c>
      <c r="U145" s="5">
        <v>1.5011574074074075E-2</v>
      </c>
      <c r="V145" s="5"/>
      <c r="W145" s="5">
        <v>5.0277777777777775E-2</v>
      </c>
    </row>
    <row r="146" spans="1:23" x14ac:dyDescent="0.25">
      <c r="A146" s="2">
        <v>46237</v>
      </c>
      <c r="B146" s="3" t="s">
        <v>48</v>
      </c>
      <c r="C146" s="3" t="s">
        <v>508</v>
      </c>
      <c r="D146" s="3" t="s">
        <v>100</v>
      </c>
      <c r="E146" s="3" t="s">
        <v>31</v>
      </c>
      <c r="F146" s="3" t="s">
        <v>32</v>
      </c>
      <c r="G146" s="4" t="s">
        <v>33</v>
      </c>
      <c r="H146" s="4">
        <v>42</v>
      </c>
      <c r="I146" s="5">
        <v>0.30230324074074072</v>
      </c>
      <c r="J146" s="5">
        <v>0.23150462962962962</v>
      </c>
      <c r="K146" s="5">
        <f t="shared" si="2"/>
        <v>5.5120149911816576E-3</v>
      </c>
      <c r="L146" s="5">
        <v>7.5023148148148144E-2</v>
      </c>
      <c r="M146" s="6">
        <f t="shared" si="3"/>
        <v>0.24817182893678932</v>
      </c>
      <c r="N146" s="5">
        <v>4.9074074074074072E-3</v>
      </c>
      <c r="O146" s="5">
        <v>1.4363425925925925E-2</v>
      </c>
      <c r="P146" s="5"/>
      <c r="Q146" s="5">
        <v>2.4988425925925924E-2</v>
      </c>
      <c r="R146" s="5"/>
      <c r="S146" s="5">
        <v>1.4004629629629629E-2</v>
      </c>
      <c r="T146" s="5">
        <v>5.6712962962962967E-4</v>
      </c>
      <c r="U146" s="5">
        <v>1.273148148148148E-4</v>
      </c>
      <c r="V146" s="5"/>
      <c r="W146" s="5">
        <v>1.6041666666666666E-2</v>
      </c>
    </row>
    <row r="147" spans="1:23" x14ac:dyDescent="0.25">
      <c r="A147" s="2">
        <v>46237</v>
      </c>
      <c r="B147" s="3" t="s">
        <v>50</v>
      </c>
      <c r="C147" s="3" t="s">
        <v>538</v>
      </c>
      <c r="D147" s="3" t="s">
        <v>100</v>
      </c>
      <c r="E147" s="3" t="s">
        <v>31</v>
      </c>
      <c r="F147" s="3" t="s">
        <v>32</v>
      </c>
      <c r="G147" s="4" t="s">
        <v>33</v>
      </c>
      <c r="H147" s="4">
        <v>12</v>
      </c>
      <c r="I147" s="5">
        <v>0.24517361111111111</v>
      </c>
      <c r="J147" s="5">
        <v>5.6527777777777781E-2</v>
      </c>
      <c r="K147" s="5">
        <f t="shared" si="2"/>
        <v>4.7106481481481487E-3</v>
      </c>
      <c r="L147" s="5">
        <v>0.19908564814814814</v>
      </c>
      <c r="M147" s="6">
        <f t="shared" si="3"/>
        <v>0.81201907189727607</v>
      </c>
      <c r="N147" s="5">
        <v>4.400462962962963E-2</v>
      </c>
      <c r="O147" s="5">
        <v>6.8865740740740745E-3</v>
      </c>
      <c r="P147" s="5"/>
      <c r="Q147" s="5"/>
      <c r="R147" s="5"/>
      <c r="S147" s="5">
        <v>1.4780092592592593E-2</v>
      </c>
      <c r="T147" s="5">
        <v>6.145833333333333E-3</v>
      </c>
      <c r="U147" s="5">
        <v>5.0925925925925921E-4</v>
      </c>
      <c r="V147" s="5"/>
      <c r="W147" s="5">
        <v>0.12674768518518517</v>
      </c>
    </row>
    <row r="148" spans="1:23" x14ac:dyDescent="0.25">
      <c r="A148" s="2">
        <v>46237</v>
      </c>
      <c r="B148" s="3" t="s">
        <v>242</v>
      </c>
      <c r="C148" s="3" t="s">
        <v>603</v>
      </c>
      <c r="D148" s="3" t="s">
        <v>233</v>
      </c>
      <c r="E148" s="3" t="s">
        <v>31</v>
      </c>
      <c r="F148" s="3" t="s">
        <v>32</v>
      </c>
      <c r="G148" s="4" t="s">
        <v>106</v>
      </c>
      <c r="H148" s="4">
        <v>33</v>
      </c>
      <c r="I148" s="5">
        <v>0.27641203703703704</v>
      </c>
      <c r="J148" s="5">
        <v>0.20393518518518519</v>
      </c>
      <c r="K148" s="5">
        <f t="shared" si="2"/>
        <v>6.179854096520763E-3</v>
      </c>
      <c r="L148" s="5">
        <v>6.5162037037037037E-3</v>
      </c>
      <c r="M148" s="6">
        <f t="shared" si="3"/>
        <v>2.3574240013399212E-2</v>
      </c>
      <c r="N148" s="5"/>
      <c r="O148" s="5">
        <v>3.6574074074074074E-3</v>
      </c>
      <c r="P148" s="5"/>
      <c r="Q148" s="5"/>
      <c r="R148" s="5"/>
      <c r="S148" s="5"/>
      <c r="T148" s="5">
        <v>2.199074074074074E-4</v>
      </c>
      <c r="U148" s="5">
        <v>2.5578703703703705E-3</v>
      </c>
      <c r="V148" s="5"/>
      <c r="W148" s="5">
        <v>1.1574074074074073E-5</v>
      </c>
    </row>
    <row r="149" spans="1:23" x14ac:dyDescent="0.25">
      <c r="A149" s="2">
        <v>46237</v>
      </c>
      <c r="B149" s="3" t="s">
        <v>248</v>
      </c>
      <c r="C149" s="3" t="s">
        <v>249</v>
      </c>
      <c r="D149" s="3" t="s">
        <v>78</v>
      </c>
      <c r="E149" s="3" t="s">
        <v>79</v>
      </c>
      <c r="F149" s="3" t="s">
        <v>80</v>
      </c>
      <c r="G149" s="4" t="s">
        <v>81</v>
      </c>
      <c r="H149" s="4">
        <v>0</v>
      </c>
      <c r="I149" s="5">
        <v>0.32366898148148149</v>
      </c>
      <c r="J149" s="5">
        <v>0</v>
      </c>
      <c r="K149" s="5">
        <f t="shared" ref="K149:K212" si="4">IFERROR(J149/H149,0)</f>
        <v>0</v>
      </c>
      <c r="L149" s="5">
        <v>1.1226851851851851E-3</v>
      </c>
      <c r="M149" s="6">
        <f t="shared" ref="M149:M212" si="5">IFERROR(L149/I149,0)</f>
        <v>3.4686214911496512E-3</v>
      </c>
      <c r="N149" s="5"/>
      <c r="O149" s="5"/>
      <c r="P149" s="5"/>
      <c r="Q149" s="5"/>
      <c r="R149" s="5"/>
      <c r="S149" s="5"/>
      <c r="T149" s="5">
        <v>6.9444444444444444E-5</v>
      </c>
      <c r="U149" s="5">
        <v>9.6064814814814819E-4</v>
      </c>
      <c r="V149" s="5"/>
      <c r="W149" s="5">
        <v>5.7870370370370373E-5</v>
      </c>
    </row>
    <row r="150" spans="1:23" x14ac:dyDescent="0.25">
      <c r="A150" s="2">
        <v>46237</v>
      </c>
      <c r="B150" s="3" t="s">
        <v>289</v>
      </c>
      <c r="C150" s="3" t="s">
        <v>559</v>
      </c>
      <c r="D150" s="3" t="s">
        <v>104</v>
      </c>
      <c r="E150" s="3" t="s">
        <v>31</v>
      </c>
      <c r="F150" s="3" t="s">
        <v>105</v>
      </c>
      <c r="G150" s="4" t="s">
        <v>106</v>
      </c>
      <c r="H150" s="4">
        <v>24</v>
      </c>
      <c r="I150" s="5">
        <v>0.32762731481481483</v>
      </c>
      <c r="J150" s="5">
        <v>0.27332175925925928</v>
      </c>
      <c r="K150" s="5">
        <f t="shared" si="4"/>
        <v>1.138840663580247E-2</v>
      </c>
      <c r="L150" s="5">
        <v>0.12417824074074074</v>
      </c>
      <c r="M150" s="6">
        <f t="shared" si="5"/>
        <v>0.37902285653725226</v>
      </c>
      <c r="N150" s="5">
        <v>3.0636574074074073E-2</v>
      </c>
      <c r="O150" s="5">
        <v>2.0347222222222221E-2</v>
      </c>
      <c r="P150" s="5"/>
      <c r="Q150" s="5"/>
      <c r="R150" s="5"/>
      <c r="S150" s="5">
        <v>2.042824074074074E-2</v>
      </c>
      <c r="T150" s="5">
        <v>4.6990740740740743E-3</v>
      </c>
      <c r="U150" s="5">
        <v>4.2303240740740738E-2</v>
      </c>
      <c r="V150" s="5"/>
      <c r="W150" s="5">
        <v>4.5717592592592589E-3</v>
      </c>
    </row>
    <row r="151" spans="1:23" x14ac:dyDescent="0.25">
      <c r="A151" s="2">
        <v>46237</v>
      </c>
      <c r="B151" s="3" t="s">
        <v>252</v>
      </c>
      <c r="C151" s="3" t="s">
        <v>553</v>
      </c>
      <c r="D151" s="3" t="s">
        <v>78</v>
      </c>
      <c r="E151" s="3" t="s">
        <v>79</v>
      </c>
      <c r="F151" s="3" t="s">
        <v>80</v>
      </c>
      <c r="G151" s="4" t="s">
        <v>81</v>
      </c>
      <c r="H151" s="4">
        <v>0</v>
      </c>
      <c r="I151" s="5">
        <v>0.57406250000000003</v>
      </c>
      <c r="J151" s="5">
        <v>0</v>
      </c>
      <c r="K151" s="5">
        <f t="shared" si="4"/>
        <v>0</v>
      </c>
      <c r="L151" s="5">
        <v>5.2083333333333333E-4</v>
      </c>
      <c r="M151" s="6">
        <f t="shared" si="5"/>
        <v>9.0727635637815273E-4</v>
      </c>
      <c r="N151" s="5"/>
      <c r="O151" s="5"/>
      <c r="P151" s="5"/>
      <c r="Q151" s="5"/>
      <c r="R151" s="5"/>
      <c r="S151" s="5"/>
      <c r="T151" s="5">
        <v>8.1018518518518516E-5</v>
      </c>
      <c r="U151" s="5">
        <v>4.0509259259259258E-4</v>
      </c>
      <c r="V151" s="5"/>
      <c r="W151" s="5"/>
    </row>
    <row r="152" spans="1:23" x14ac:dyDescent="0.25">
      <c r="A152" s="2">
        <v>46237</v>
      </c>
      <c r="B152" s="3" t="s">
        <v>500</v>
      </c>
      <c r="C152" s="3" t="s">
        <v>518</v>
      </c>
      <c r="D152" s="3" t="s">
        <v>274</v>
      </c>
      <c r="E152" s="3" t="s">
        <v>79</v>
      </c>
      <c r="F152" s="3" t="s">
        <v>147</v>
      </c>
      <c r="G152" s="4" t="s">
        <v>33</v>
      </c>
      <c r="H152" s="4">
        <v>15</v>
      </c>
      <c r="I152" s="5">
        <v>0.26273148148148145</v>
      </c>
      <c r="J152" s="5">
        <v>5.710648148148148E-2</v>
      </c>
      <c r="K152" s="5">
        <f t="shared" si="4"/>
        <v>3.8070987654320989E-3</v>
      </c>
      <c r="L152" s="5">
        <v>4.4351851851851851E-2</v>
      </c>
      <c r="M152" s="6">
        <f t="shared" si="5"/>
        <v>0.16881057268722469</v>
      </c>
      <c r="N152" s="5">
        <v>2.1875000000000002E-3</v>
      </c>
      <c r="O152" s="5">
        <v>1.3414351851851853E-2</v>
      </c>
      <c r="P152" s="5"/>
      <c r="Q152" s="5">
        <v>1.4467592592592593E-2</v>
      </c>
      <c r="R152" s="5"/>
      <c r="S152" s="5">
        <v>1.4143518518518519E-2</v>
      </c>
      <c r="T152" s="5">
        <v>1.3888888888888889E-4</v>
      </c>
      <c r="U152" s="5"/>
      <c r="V152" s="5"/>
      <c r="W152" s="5"/>
    </row>
    <row r="153" spans="1:23" x14ac:dyDescent="0.25">
      <c r="A153" s="2">
        <v>46237</v>
      </c>
      <c r="B153" s="3" t="s">
        <v>653</v>
      </c>
      <c r="C153" s="3" t="s">
        <v>654</v>
      </c>
      <c r="D153" s="3" t="s">
        <v>100</v>
      </c>
      <c r="E153" s="3" t="s">
        <v>31</v>
      </c>
      <c r="F153" s="3" t="s">
        <v>32</v>
      </c>
      <c r="G153" s="4" t="s">
        <v>33</v>
      </c>
      <c r="H153" s="4">
        <v>23</v>
      </c>
      <c r="I153" s="5">
        <v>0.25649305555555557</v>
      </c>
      <c r="J153" s="5">
        <v>0.20667824074074073</v>
      </c>
      <c r="K153" s="5">
        <f t="shared" si="4"/>
        <v>8.9860104669887281E-3</v>
      </c>
      <c r="L153" s="5">
        <v>4.3043981481481482E-2</v>
      </c>
      <c r="M153" s="6">
        <f t="shared" si="5"/>
        <v>0.16781733676278146</v>
      </c>
      <c r="N153" s="5">
        <v>9.7916666666666673E-3</v>
      </c>
      <c r="O153" s="5">
        <v>1.5208333333333334E-2</v>
      </c>
      <c r="P153" s="5"/>
      <c r="Q153" s="5"/>
      <c r="R153" s="5"/>
      <c r="S153" s="5">
        <v>1.4768518518518519E-2</v>
      </c>
      <c r="T153" s="5">
        <v>6.4814814814814813E-4</v>
      </c>
      <c r="U153" s="5">
        <v>2.5925925925925925E-3</v>
      </c>
      <c r="V153" s="5"/>
      <c r="W153" s="5"/>
    </row>
    <row r="154" spans="1:23" x14ac:dyDescent="0.25">
      <c r="A154" s="2">
        <v>46237</v>
      </c>
      <c r="B154" s="3" t="s">
        <v>52</v>
      </c>
      <c r="C154" s="3" t="s">
        <v>509</v>
      </c>
      <c r="D154" s="3" t="s">
        <v>100</v>
      </c>
      <c r="E154" s="3" t="s">
        <v>31</v>
      </c>
      <c r="F154" s="3" t="s">
        <v>32</v>
      </c>
      <c r="G154" s="4" t="s">
        <v>33</v>
      </c>
      <c r="H154" s="4">
        <v>5</v>
      </c>
      <c r="I154" s="5">
        <v>0.25643518518518521</v>
      </c>
      <c r="J154" s="5">
        <v>4.9629629629629628E-2</v>
      </c>
      <c r="K154" s="5">
        <f t="shared" si="4"/>
        <v>9.9259259259259248E-3</v>
      </c>
      <c r="L154" s="5">
        <v>0.22572916666666668</v>
      </c>
      <c r="M154" s="6">
        <f t="shared" si="5"/>
        <v>0.88025816934464696</v>
      </c>
      <c r="N154" s="5">
        <v>7.8009259259259256E-3</v>
      </c>
      <c r="O154" s="5">
        <v>9.618055555555555E-3</v>
      </c>
      <c r="P154" s="5"/>
      <c r="Q154" s="5"/>
      <c r="R154" s="5"/>
      <c r="S154" s="5">
        <v>1.3923611111111111E-2</v>
      </c>
      <c r="T154" s="5">
        <v>2.6620370370370372E-4</v>
      </c>
      <c r="U154" s="5"/>
      <c r="V154" s="5"/>
      <c r="W154" s="5">
        <v>0.19412037037037036</v>
      </c>
    </row>
    <row r="155" spans="1:23" x14ac:dyDescent="0.25">
      <c r="A155" s="2">
        <v>46237</v>
      </c>
      <c r="B155" s="3" t="s">
        <v>164</v>
      </c>
      <c r="C155" s="3" t="s">
        <v>519</v>
      </c>
      <c r="D155" s="3" t="s">
        <v>146</v>
      </c>
      <c r="E155" s="3" t="s">
        <v>79</v>
      </c>
      <c r="F155" s="3" t="s">
        <v>147</v>
      </c>
      <c r="G155" s="4" t="s">
        <v>106</v>
      </c>
      <c r="H155" s="4">
        <v>25</v>
      </c>
      <c r="I155" s="5">
        <v>0.25767361111111109</v>
      </c>
      <c r="J155" s="5">
        <v>3.8402777777777779E-2</v>
      </c>
      <c r="K155" s="5">
        <f t="shared" si="4"/>
        <v>1.5361111111111111E-3</v>
      </c>
      <c r="L155" s="5">
        <v>3.9166666666666669E-2</v>
      </c>
      <c r="M155" s="6">
        <f t="shared" si="5"/>
        <v>0.15200107802182997</v>
      </c>
      <c r="N155" s="5">
        <v>6.2731481481481484E-3</v>
      </c>
      <c r="O155" s="5">
        <v>1.3263888888888889E-2</v>
      </c>
      <c r="P155" s="5"/>
      <c r="Q155" s="5">
        <v>4.0856481481481481E-3</v>
      </c>
      <c r="R155" s="5"/>
      <c r="S155" s="5">
        <v>1.4537037037037038E-2</v>
      </c>
      <c r="T155" s="5">
        <v>8.1018518518518516E-5</v>
      </c>
      <c r="U155" s="5">
        <v>9.0277777777777774E-4</v>
      </c>
      <c r="V155" s="5"/>
      <c r="W155" s="5"/>
    </row>
    <row r="156" spans="1:23" x14ac:dyDescent="0.25">
      <c r="A156" s="2">
        <v>46237</v>
      </c>
      <c r="B156" s="3" t="s">
        <v>655</v>
      </c>
      <c r="C156" s="3" t="s">
        <v>656</v>
      </c>
      <c r="D156" s="3" t="s">
        <v>100</v>
      </c>
      <c r="E156" s="3" t="s">
        <v>31</v>
      </c>
      <c r="F156" s="3" t="s">
        <v>32</v>
      </c>
      <c r="G156" s="4" t="s">
        <v>33</v>
      </c>
      <c r="H156" s="4">
        <v>22</v>
      </c>
      <c r="I156" s="5">
        <v>0.26162037037037039</v>
      </c>
      <c r="J156" s="5">
        <v>0.2107175925925926</v>
      </c>
      <c r="K156" s="5">
        <f t="shared" si="4"/>
        <v>9.5780723905723904E-3</v>
      </c>
      <c r="L156" s="5">
        <v>4.1342592592592591E-2</v>
      </c>
      <c r="M156" s="6">
        <f t="shared" si="5"/>
        <v>0.15802512829587681</v>
      </c>
      <c r="N156" s="5"/>
      <c r="O156" s="5">
        <v>2.627314814814815E-2</v>
      </c>
      <c r="P156" s="5"/>
      <c r="Q156" s="5"/>
      <c r="R156" s="5"/>
      <c r="S156" s="5"/>
      <c r="T156" s="5">
        <v>6.9444444444444444E-5</v>
      </c>
      <c r="U156" s="5">
        <v>5.4398148148148144E-4</v>
      </c>
      <c r="V156" s="5"/>
      <c r="W156" s="5">
        <v>1.4456018518518519E-2</v>
      </c>
    </row>
    <row r="157" spans="1:23" x14ac:dyDescent="0.25">
      <c r="A157" s="2">
        <v>46237</v>
      </c>
      <c r="B157" s="3" t="s">
        <v>657</v>
      </c>
      <c r="C157" s="3" t="s">
        <v>658</v>
      </c>
      <c r="D157" s="3" t="s">
        <v>274</v>
      </c>
      <c r="E157" s="3" t="s">
        <v>79</v>
      </c>
      <c r="F157" s="3" t="s">
        <v>147</v>
      </c>
      <c r="G157" s="4" t="s">
        <v>33</v>
      </c>
      <c r="H157" s="4">
        <v>16</v>
      </c>
      <c r="I157" s="5">
        <v>0.25896990740740738</v>
      </c>
      <c r="J157" s="5">
        <v>8.0532407407407414E-2</v>
      </c>
      <c r="K157" s="5">
        <f t="shared" si="4"/>
        <v>5.0332754629629634E-3</v>
      </c>
      <c r="L157" s="5">
        <v>5.0717592592592592E-2</v>
      </c>
      <c r="M157" s="6">
        <f t="shared" si="5"/>
        <v>0.19584357541899441</v>
      </c>
      <c r="N157" s="5">
        <v>5.7407407407407407E-3</v>
      </c>
      <c r="O157" s="5">
        <v>1.3946759259259259E-2</v>
      </c>
      <c r="P157" s="5"/>
      <c r="Q157" s="5">
        <v>1.3136574074074075E-2</v>
      </c>
      <c r="R157" s="5"/>
      <c r="S157" s="5">
        <v>1.5347222222222222E-2</v>
      </c>
      <c r="T157" s="5">
        <v>1.3888888888888889E-4</v>
      </c>
      <c r="U157" s="5">
        <v>5.5555555555555556E-4</v>
      </c>
      <c r="V157" s="5"/>
      <c r="W157" s="5">
        <v>1.8171296296296297E-3</v>
      </c>
    </row>
    <row r="158" spans="1:23" x14ac:dyDescent="0.25">
      <c r="A158" s="2">
        <v>46237</v>
      </c>
      <c r="B158" s="3" t="s">
        <v>166</v>
      </c>
      <c r="C158" s="3" t="s">
        <v>167</v>
      </c>
      <c r="D158" s="3" t="s">
        <v>146</v>
      </c>
      <c r="E158" s="3" t="s">
        <v>79</v>
      </c>
      <c r="F158" s="3" t="s">
        <v>147</v>
      </c>
      <c r="G158" s="4" t="s">
        <v>106</v>
      </c>
      <c r="H158" s="4">
        <v>9</v>
      </c>
      <c r="I158" s="5">
        <v>0.25284722222222222</v>
      </c>
      <c r="J158" s="5">
        <v>1.7372685185185185E-2</v>
      </c>
      <c r="K158" s="5">
        <f t="shared" si="4"/>
        <v>1.9302983539094651E-3</v>
      </c>
      <c r="L158" s="5">
        <v>4.7673611111111111E-2</v>
      </c>
      <c r="M158" s="6">
        <f t="shared" si="5"/>
        <v>0.18854710244438341</v>
      </c>
      <c r="N158" s="5">
        <v>5.6365740740740742E-3</v>
      </c>
      <c r="O158" s="5">
        <v>1.4004629629629629E-2</v>
      </c>
      <c r="P158" s="5"/>
      <c r="Q158" s="5">
        <v>7.1875000000000003E-3</v>
      </c>
      <c r="R158" s="5">
        <v>2.5578703703703705E-3</v>
      </c>
      <c r="S158" s="5">
        <v>5.0925925925925921E-4</v>
      </c>
      <c r="T158" s="5">
        <v>1.5324074074074073E-2</v>
      </c>
      <c r="U158" s="5">
        <v>9.2592592592592588E-5</v>
      </c>
      <c r="V158" s="5"/>
      <c r="W158" s="5">
        <v>2.3495370370370371E-3</v>
      </c>
    </row>
    <row r="159" spans="1:23" x14ac:dyDescent="0.25">
      <c r="A159" s="2">
        <v>46237</v>
      </c>
      <c r="B159" s="3" t="s">
        <v>659</v>
      </c>
      <c r="C159" s="3" t="s">
        <v>660</v>
      </c>
      <c r="D159" s="3" t="s">
        <v>100</v>
      </c>
      <c r="E159" s="3" t="s">
        <v>31</v>
      </c>
      <c r="F159" s="3" t="s">
        <v>32</v>
      </c>
      <c r="G159" s="4" t="s">
        <v>33</v>
      </c>
      <c r="H159" s="4">
        <v>20</v>
      </c>
      <c r="I159" s="5">
        <v>0.26377314814814817</v>
      </c>
      <c r="J159" s="5">
        <v>0.11556712962962963</v>
      </c>
      <c r="K159" s="5">
        <f t="shared" si="4"/>
        <v>5.7783564814814815E-3</v>
      </c>
      <c r="L159" s="5">
        <v>0.19548611111111111</v>
      </c>
      <c r="M159" s="6">
        <f t="shared" si="5"/>
        <v>0.74111452391399735</v>
      </c>
      <c r="N159" s="5">
        <v>9.3865740740740732E-3</v>
      </c>
      <c r="O159" s="5">
        <v>1.4953703703703703E-2</v>
      </c>
      <c r="P159" s="5"/>
      <c r="Q159" s="5"/>
      <c r="R159" s="5"/>
      <c r="S159" s="5">
        <v>1.6458333333333332E-2</v>
      </c>
      <c r="T159" s="5">
        <v>1.0995370370370371E-3</v>
      </c>
      <c r="U159" s="5">
        <v>6.9444444444444447E-4</v>
      </c>
      <c r="V159" s="5"/>
      <c r="W159" s="5">
        <v>0.15287037037037038</v>
      </c>
    </row>
    <row r="160" spans="1:23" x14ac:dyDescent="0.25">
      <c r="A160" s="2">
        <v>46237</v>
      </c>
      <c r="B160" s="3" t="s">
        <v>90</v>
      </c>
      <c r="C160" s="3" t="s">
        <v>91</v>
      </c>
      <c r="D160" s="3" t="s">
        <v>78</v>
      </c>
      <c r="E160" s="3" t="s">
        <v>79</v>
      </c>
      <c r="F160" s="3" t="s">
        <v>80</v>
      </c>
      <c r="G160" s="4" t="s">
        <v>81</v>
      </c>
      <c r="H160" s="4">
        <v>0</v>
      </c>
      <c r="I160" s="5">
        <v>0.3513310185185185</v>
      </c>
      <c r="J160" s="5">
        <v>0</v>
      </c>
      <c r="K160" s="5">
        <f t="shared" si="4"/>
        <v>0</v>
      </c>
      <c r="L160" s="5">
        <v>3.0833333333333334E-2</v>
      </c>
      <c r="M160" s="6">
        <f t="shared" si="5"/>
        <v>8.7761489046285626E-2</v>
      </c>
      <c r="N160" s="5">
        <v>1.1134259259259259E-2</v>
      </c>
      <c r="O160" s="5">
        <v>9.3749999999999997E-3</v>
      </c>
      <c r="P160" s="5"/>
      <c r="Q160" s="5"/>
      <c r="R160" s="5">
        <v>9.8726851851851857E-3</v>
      </c>
      <c r="S160" s="5"/>
      <c r="T160" s="5">
        <v>1.6203703703703703E-4</v>
      </c>
      <c r="U160" s="5">
        <v>2.6620370370370372E-4</v>
      </c>
      <c r="V160" s="5"/>
      <c r="W160" s="5"/>
    </row>
    <row r="161" spans="1:23" x14ac:dyDescent="0.25">
      <c r="A161" s="2">
        <v>46237</v>
      </c>
      <c r="B161" s="3" t="s">
        <v>254</v>
      </c>
      <c r="C161" s="3" t="s">
        <v>528</v>
      </c>
      <c r="D161" s="3" t="s">
        <v>233</v>
      </c>
      <c r="E161" s="3" t="s">
        <v>31</v>
      </c>
      <c r="F161" s="3" t="s">
        <v>32</v>
      </c>
      <c r="G161" s="4" t="s">
        <v>106</v>
      </c>
      <c r="H161" s="4">
        <v>25</v>
      </c>
      <c r="I161" s="5">
        <v>0.26520833333333332</v>
      </c>
      <c r="J161" s="5">
        <v>0.13108796296296296</v>
      </c>
      <c r="K161" s="5">
        <f t="shared" si="4"/>
        <v>5.2435185185185189E-3</v>
      </c>
      <c r="L161" s="5">
        <v>6.3032407407407412E-2</v>
      </c>
      <c r="M161" s="6">
        <f t="shared" si="5"/>
        <v>0.23767129265950951</v>
      </c>
      <c r="N161" s="5">
        <v>9.0509259259259258E-3</v>
      </c>
      <c r="O161" s="5">
        <v>1.3020833333333334E-2</v>
      </c>
      <c r="P161" s="5"/>
      <c r="Q161" s="5">
        <v>1.5405092592592592E-2</v>
      </c>
      <c r="R161" s="5"/>
      <c r="S161" s="5">
        <v>1.4236111111111111E-2</v>
      </c>
      <c r="T161" s="5">
        <v>9.7106481481481488E-3</v>
      </c>
      <c r="U161" s="5">
        <v>1.5740740740740741E-3</v>
      </c>
      <c r="V161" s="5"/>
      <c r="W161" s="5"/>
    </row>
    <row r="162" spans="1:23" x14ac:dyDescent="0.25">
      <c r="A162" s="2">
        <v>46237</v>
      </c>
      <c r="B162" s="3" t="s">
        <v>201</v>
      </c>
      <c r="C162" s="3" t="s">
        <v>545</v>
      </c>
      <c r="D162" s="3" t="s">
        <v>601</v>
      </c>
      <c r="E162" s="3" t="s">
        <v>31</v>
      </c>
      <c r="F162" s="3" t="s">
        <v>600</v>
      </c>
      <c r="G162" s="4" t="s">
        <v>33</v>
      </c>
      <c r="H162" s="4">
        <v>25</v>
      </c>
      <c r="I162" s="5">
        <v>0.25819444444444445</v>
      </c>
      <c r="J162" s="5">
        <v>6.5393518518518517E-2</v>
      </c>
      <c r="K162" s="5">
        <f t="shared" si="4"/>
        <v>2.6157407407407405E-3</v>
      </c>
      <c r="L162" s="5">
        <v>5.9444444444444446E-2</v>
      </c>
      <c r="M162" s="6">
        <f t="shared" si="5"/>
        <v>0.23023130715438409</v>
      </c>
      <c r="N162" s="5">
        <v>3.7499999999999999E-3</v>
      </c>
      <c r="O162" s="5">
        <v>9.3749999999999997E-3</v>
      </c>
      <c r="P162" s="5">
        <v>4.4201388888888887E-2</v>
      </c>
      <c r="Q162" s="5"/>
      <c r="R162" s="5"/>
      <c r="S162" s="5"/>
      <c r="T162" s="5">
        <v>2.1180555555555558E-3</v>
      </c>
      <c r="U162" s="5"/>
      <c r="V162" s="5"/>
      <c r="W162" s="5"/>
    </row>
    <row r="163" spans="1:23" x14ac:dyDescent="0.25">
      <c r="A163" s="2">
        <v>46237</v>
      </c>
      <c r="B163" s="3" t="s">
        <v>168</v>
      </c>
      <c r="C163" s="3" t="s">
        <v>520</v>
      </c>
      <c r="D163" s="3" t="s">
        <v>274</v>
      </c>
      <c r="E163" s="3" t="s">
        <v>79</v>
      </c>
      <c r="F163" s="3" t="s">
        <v>147</v>
      </c>
      <c r="G163" s="4" t="s">
        <v>33</v>
      </c>
      <c r="H163" s="4">
        <v>22</v>
      </c>
      <c r="I163" s="5">
        <v>0.26093749999999999</v>
      </c>
      <c r="J163" s="5">
        <v>5.8171296296296297E-2</v>
      </c>
      <c r="K163" s="5">
        <f t="shared" si="4"/>
        <v>2.6441498316498316E-3</v>
      </c>
      <c r="L163" s="5">
        <v>4.6932870370370368E-2</v>
      </c>
      <c r="M163" s="6">
        <f t="shared" si="5"/>
        <v>0.17986249722776668</v>
      </c>
      <c r="N163" s="5">
        <v>8.611111111111111E-3</v>
      </c>
      <c r="O163" s="5">
        <v>1.6863425925925928E-2</v>
      </c>
      <c r="P163" s="5"/>
      <c r="Q163" s="5">
        <v>5.5092592592592589E-3</v>
      </c>
      <c r="R163" s="5"/>
      <c r="S163" s="5">
        <v>1.5057870370370371E-2</v>
      </c>
      <c r="T163" s="5">
        <v>2.7777777777777778E-4</v>
      </c>
      <c r="U163" s="5">
        <v>2.6620370370370372E-4</v>
      </c>
      <c r="V163" s="5"/>
      <c r="W163" s="5"/>
    </row>
    <row r="164" spans="1:23" x14ac:dyDescent="0.25">
      <c r="A164" s="2">
        <v>46237</v>
      </c>
      <c r="B164" s="3" t="s">
        <v>170</v>
      </c>
      <c r="C164" s="3" t="s">
        <v>521</v>
      </c>
      <c r="D164" s="3" t="s">
        <v>146</v>
      </c>
      <c r="E164" s="3" t="s">
        <v>79</v>
      </c>
      <c r="F164" s="3" t="s">
        <v>147</v>
      </c>
      <c r="G164" s="4" t="s">
        <v>106</v>
      </c>
      <c r="H164" s="4">
        <v>16</v>
      </c>
      <c r="I164" s="5">
        <v>0.26226851851851851</v>
      </c>
      <c r="J164" s="5">
        <v>6.8391203703703704E-2</v>
      </c>
      <c r="K164" s="5">
        <f t="shared" si="4"/>
        <v>4.2744502314814815E-3</v>
      </c>
      <c r="L164" s="5">
        <v>3.9097222222222221E-2</v>
      </c>
      <c r="M164" s="6">
        <f t="shared" si="5"/>
        <v>0.14907325684024714</v>
      </c>
      <c r="N164" s="5">
        <v>3.9351851851851848E-3</v>
      </c>
      <c r="O164" s="5">
        <v>1.4398148148148148E-2</v>
      </c>
      <c r="P164" s="5"/>
      <c r="Q164" s="5">
        <v>6.9444444444444447E-4</v>
      </c>
      <c r="R164" s="5"/>
      <c r="S164" s="5">
        <v>1.5104166666666667E-2</v>
      </c>
      <c r="T164" s="5">
        <v>1.7361111111111112E-4</v>
      </c>
      <c r="U164" s="5">
        <v>4.6990740740740743E-3</v>
      </c>
      <c r="V164" s="5"/>
      <c r="W164" s="5"/>
    </row>
    <row r="165" spans="1:23" x14ac:dyDescent="0.25">
      <c r="A165" s="2">
        <v>46237</v>
      </c>
      <c r="B165" s="3" t="s">
        <v>92</v>
      </c>
      <c r="C165" s="3" t="s">
        <v>93</v>
      </c>
      <c r="D165" s="3" t="s">
        <v>78</v>
      </c>
      <c r="E165" s="3" t="s">
        <v>79</v>
      </c>
      <c r="F165" s="3" t="s">
        <v>80</v>
      </c>
      <c r="G165" s="4" t="s">
        <v>81</v>
      </c>
      <c r="H165" s="4">
        <v>0</v>
      </c>
      <c r="I165" s="5">
        <v>0.34430555555555553</v>
      </c>
      <c r="J165" s="5">
        <v>0</v>
      </c>
      <c r="K165" s="5">
        <f t="shared" si="4"/>
        <v>0</v>
      </c>
      <c r="L165" s="5">
        <v>0.34430555555555553</v>
      </c>
      <c r="M165" s="6">
        <f t="shared" si="5"/>
        <v>1</v>
      </c>
      <c r="N165" s="5"/>
      <c r="O165" s="5"/>
      <c r="P165" s="5"/>
      <c r="Q165" s="5"/>
      <c r="R165" s="5"/>
      <c r="S165" s="5"/>
      <c r="T165" s="5">
        <v>0.34430555555555553</v>
      </c>
      <c r="U165" s="5"/>
      <c r="V165" s="5"/>
      <c r="W165" s="5"/>
    </row>
    <row r="166" spans="1:23" x14ac:dyDescent="0.25">
      <c r="A166" s="2">
        <v>46237</v>
      </c>
      <c r="B166" s="3" t="s">
        <v>94</v>
      </c>
      <c r="C166" s="3" t="s">
        <v>95</v>
      </c>
      <c r="D166" s="3" t="s">
        <v>78</v>
      </c>
      <c r="E166" s="3" t="s">
        <v>79</v>
      </c>
      <c r="F166" s="3" t="s">
        <v>80</v>
      </c>
      <c r="G166" s="4" t="s">
        <v>81</v>
      </c>
      <c r="H166" s="4">
        <v>0</v>
      </c>
      <c r="I166" s="5">
        <v>0.31114583333333334</v>
      </c>
      <c r="J166" s="5">
        <v>0</v>
      </c>
      <c r="K166" s="5">
        <f t="shared" si="4"/>
        <v>0</v>
      </c>
      <c r="L166" s="5">
        <v>8.0127314814814818E-2</v>
      </c>
      <c r="M166" s="6">
        <f t="shared" si="5"/>
        <v>0.25752334188892612</v>
      </c>
      <c r="N166" s="5"/>
      <c r="O166" s="5"/>
      <c r="P166" s="5"/>
      <c r="Q166" s="5"/>
      <c r="R166" s="5">
        <v>8.0127314814814818E-2</v>
      </c>
      <c r="S166" s="5"/>
      <c r="T166" s="5"/>
      <c r="U166" s="5"/>
      <c r="V166" s="5"/>
      <c r="W166" s="5"/>
    </row>
    <row r="167" spans="1:23" x14ac:dyDescent="0.25">
      <c r="A167" s="2">
        <v>46237</v>
      </c>
      <c r="B167" s="3" t="s">
        <v>293</v>
      </c>
      <c r="C167" s="3" t="s">
        <v>543</v>
      </c>
      <c r="D167" s="3" t="s">
        <v>104</v>
      </c>
      <c r="E167" s="3" t="s">
        <v>31</v>
      </c>
      <c r="F167" s="3" t="s">
        <v>600</v>
      </c>
      <c r="G167" s="4" t="s">
        <v>106</v>
      </c>
      <c r="H167" s="4">
        <v>35</v>
      </c>
      <c r="I167" s="5">
        <v>0.25666666666666665</v>
      </c>
      <c r="J167" s="5">
        <v>9.1701388888888888E-2</v>
      </c>
      <c r="K167" s="5">
        <f t="shared" si="4"/>
        <v>2.6200396825396825E-3</v>
      </c>
      <c r="L167" s="5">
        <v>0.11233796296296296</v>
      </c>
      <c r="M167" s="6">
        <f t="shared" si="5"/>
        <v>0.43768037518037517</v>
      </c>
      <c r="N167" s="5">
        <v>1.173611111111111E-2</v>
      </c>
      <c r="O167" s="5">
        <v>1.4143518518518519E-2</v>
      </c>
      <c r="P167" s="5"/>
      <c r="Q167" s="5"/>
      <c r="R167" s="5">
        <v>3.1597222222222222E-3</v>
      </c>
      <c r="S167" s="5">
        <v>1.8020833333333333E-2</v>
      </c>
      <c r="T167" s="5">
        <v>1.2129629629629629E-2</v>
      </c>
      <c r="U167" s="5">
        <v>8.1018518518518516E-5</v>
      </c>
      <c r="V167" s="5"/>
      <c r="W167" s="5">
        <v>5.3067129629629631E-2</v>
      </c>
    </row>
    <row r="168" spans="1:23" x14ac:dyDescent="0.25">
      <c r="A168" s="2">
        <v>46237</v>
      </c>
      <c r="B168" s="3" t="s">
        <v>606</v>
      </c>
      <c r="C168" s="3" t="s">
        <v>633</v>
      </c>
      <c r="D168" s="3" t="s">
        <v>146</v>
      </c>
      <c r="E168" s="3" t="s">
        <v>79</v>
      </c>
      <c r="F168" s="3" t="s">
        <v>147</v>
      </c>
      <c r="G168" s="4" t="s">
        <v>106</v>
      </c>
      <c r="H168" s="4">
        <v>8</v>
      </c>
      <c r="I168" s="5">
        <v>0.26171296296296298</v>
      </c>
      <c r="J168" s="5">
        <v>3.7569444444444447E-2</v>
      </c>
      <c r="K168" s="5">
        <f t="shared" si="4"/>
        <v>4.6961805555555559E-3</v>
      </c>
      <c r="L168" s="5">
        <v>8.4699074074074079E-2</v>
      </c>
      <c r="M168" s="6">
        <f t="shared" si="5"/>
        <v>0.32363346895453743</v>
      </c>
      <c r="N168" s="5">
        <v>9.432870370370371E-3</v>
      </c>
      <c r="O168" s="5">
        <v>1.8692129629629628E-2</v>
      </c>
      <c r="P168" s="5"/>
      <c r="Q168" s="5">
        <v>1.9664351851851853E-2</v>
      </c>
      <c r="R168" s="5"/>
      <c r="S168" s="5">
        <v>1.4236111111111111E-2</v>
      </c>
      <c r="T168" s="5">
        <v>1.8865740740740742E-3</v>
      </c>
      <c r="U168" s="5">
        <v>1.4849537037037038E-2</v>
      </c>
      <c r="V168" s="5"/>
      <c r="W168" s="5">
        <v>5.8796296296296296E-3</v>
      </c>
    </row>
    <row r="169" spans="1:23" x14ac:dyDescent="0.25">
      <c r="A169" s="2">
        <v>46237</v>
      </c>
      <c r="B169" s="3" t="s">
        <v>256</v>
      </c>
      <c r="C169" s="3" t="s">
        <v>529</v>
      </c>
      <c r="D169" s="3" t="s">
        <v>233</v>
      </c>
      <c r="E169" s="3" t="s">
        <v>31</v>
      </c>
      <c r="F169" s="3" t="s">
        <v>32</v>
      </c>
      <c r="G169" s="4" t="s">
        <v>106</v>
      </c>
      <c r="H169" s="4">
        <v>19</v>
      </c>
      <c r="I169" s="5">
        <v>0.25015046296296295</v>
      </c>
      <c r="J169" s="5">
        <v>0.14512731481481481</v>
      </c>
      <c r="K169" s="5">
        <f t="shared" si="4"/>
        <v>7.6382797270955162E-3</v>
      </c>
      <c r="L169" s="5">
        <v>4.4583333333333336E-2</v>
      </c>
      <c r="M169" s="6">
        <f t="shared" si="5"/>
        <v>0.17822606764447324</v>
      </c>
      <c r="N169" s="5">
        <v>5.7291666666666663E-3</v>
      </c>
      <c r="O169" s="5">
        <v>1.5856481481481482E-2</v>
      </c>
      <c r="P169" s="5"/>
      <c r="Q169" s="5"/>
      <c r="R169" s="5"/>
      <c r="S169" s="5">
        <v>1.5833333333333335E-2</v>
      </c>
      <c r="T169" s="5">
        <v>1.9675925925925926E-4</v>
      </c>
      <c r="U169" s="5">
        <v>6.9444444444444441E-3</v>
      </c>
      <c r="V169" s="5"/>
      <c r="W169" s="5"/>
    </row>
    <row r="170" spans="1:23" x14ac:dyDescent="0.25">
      <c r="A170" s="2">
        <v>46237</v>
      </c>
      <c r="B170" s="3" t="s">
        <v>612</v>
      </c>
      <c r="C170" s="3" t="s">
        <v>634</v>
      </c>
      <c r="D170" s="3" t="s">
        <v>601</v>
      </c>
      <c r="E170" s="3" t="s">
        <v>31</v>
      </c>
      <c r="F170" s="3" t="s">
        <v>105</v>
      </c>
      <c r="G170" s="4" t="s">
        <v>33</v>
      </c>
      <c r="H170" s="4">
        <v>7</v>
      </c>
      <c r="I170" s="5">
        <v>0.23771990740740739</v>
      </c>
      <c r="J170" s="5">
        <v>0.17218749999999999</v>
      </c>
      <c r="K170" s="5">
        <f t="shared" si="4"/>
        <v>2.4598214285714286E-2</v>
      </c>
      <c r="L170" s="5">
        <v>0.14800925925925926</v>
      </c>
      <c r="M170" s="6">
        <f t="shared" si="5"/>
        <v>0.62262038073908177</v>
      </c>
      <c r="N170" s="5">
        <v>9.1550925925925931E-3</v>
      </c>
      <c r="O170" s="5">
        <v>1.7569444444444443E-2</v>
      </c>
      <c r="P170" s="5"/>
      <c r="Q170" s="5"/>
      <c r="R170" s="5"/>
      <c r="S170" s="5">
        <v>1.6400462962962964E-2</v>
      </c>
      <c r="T170" s="5">
        <v>1.7719907407407406E-2</v>
      </c>
      <c r="U170" s="5"/>
      <c r="V170" s="5"/>
      <c r="W170" s="5">
        <v>8.7164351851851854E-2</v>
      </c>
    </row>
    <row r="171" spans="1:23" x14ac:dyDescent="0.25">
      <c r="A171" s="2">
        <v>46237</v>
      </c>
      <c r="B171" s="3" t="s">
        <v>258</v>
      </c>
      <c r="C171" s="3" t="s">
        <v>554</v>
      </c>
      <c r="D171" s="3" t="s">
        <v>233</v>
      </c>
      <c r="E171" s="3" t="s">
        <v>31</v>
      </c>
      <c r="F171" s="3" t="s">
        <v>32</v>
      </c>
      <c r="G171" s="4" t="s">
        <v>106</v>
      </c>
      <c r="H171" s="4">
        <v>0</v>
      </c>
      <c r="I171" s="5">
        <v>0.22245370370370371</v>
      </c>
      <c r="J171" s="5">
        <v>0</v>
      </c>
      <c r="K171" s="5">
        <f t="shared" si="4"/>
        <v>0</v>
      </c>
      <c r="L171" s="5">
        <v>0.22245370370370371</v>
      </c>
      <c r="M171" s="6">
        <f t="shared" si="5"/>
        <v>1</v>
      </c>
      <c r="N171" s="5"/>
      <c r="O171" s="5"/>
      <c r="P171" s="5"/>
      <c r="Q171" s="5"/>
      <c r="R171" s="5"/>
      <c r="S171" s="5">
        <v>1.3310185185185185E-2</v>
      </c>
      <c r="T171" s="5">
        <v>2.795138888888889E-2</v>
      </c>
      <c r="U171" s="5"/>
      <c r="V171" s="5"/>
      <c r="W171" s="5">
        <v>0.18119212962962963</v>
      </c>
    </row>
    <row r="172" spans="1:23" x14ac:dyDescent="0.25">
      <c r="A172" s="2">
        <v>46237</v>
      </c>
      <c r="B172" s="3" t="s">
        <v>661</v>
      </c>
      <c r="C172" s="3" t="s">
        <v>662</v>
      </c>
      <c r="D172" s="3" t="s">
        <v>100</v>
      </c>
      <c r="E172" s="3" t="s">
        <v>31</v>
      </c>
      <c r="F172" s="3" t="s">
        <v>32</v>
      </c>
      <c r="G172" s="4" t="s">
        <v>33</v>
      </c>
      <c r="H172" s="4">
        <v>27</v>
      </c>
      <c r="I172" s="5">
        <v>0.26465277777777779</v>
      </c>
      <c r="J172" s="5">
        <v>0.23043981481481482</v>
      </c>
      <c r="K172" s="5">
        <f t="shared" si="4"/>
        <v>8.5348079561042532E-3</v>
      </c>
      <c r="L172" s="5">
        <v>4.7789351851851854E-2</v>
      </c>
      <c r="M172" s="6">
        <f t="shared" si="5"/>
        <v>0.18057377766115629</v>
      </c>
      <c r="N172" s="5">
        <v>6.053240740740741E-3</v>
      </c>
      <c r="O172" s="5">
        <v>7.4074074074074077E-3</v>
      </c>
      <c r="P172" s="5"/>
      <c r="Q172" s="5">
        <v>2.3148148148148149E-4</v>
      </c>
      <c r="R172" s="5"/>
      <c r="S172" s="5">
        <v>1.5069444444444444E-2</v>
      </c>
      <c r="T172" s="5">
        <v>1.6736111111111111E-2</v>
      </c>
      <c r="U172" s="5">
        <v>2.2453703703703702E-3</v>
      </c>
      <c r="V172" s="5"/>
      <c r="W172" s="5"/>
    </row>
    <row r="173" spans="1:23" x14ac:dyDescent="0.25">
      <c r="A173" s="2">
        <v>46237</v>
      </c>
      <c r="B173" s="3" t="s">
        <v>663</v>
      </c>
      <c r="C173" s="3" t="s">
        <v>664</v>
      </c>
      <c r="D173" s="3" t="s">
        <v>233</v>
      </c>
      <c r="E173" s="3" t="s">
        <v>31</v>
      </c>
      <c r="F173" s="3" t="s">
        <v>32</v>
      </c>
      <c r="G173" s="4" t="s">
        <v>106</v>
      </c>
      <c r="H173" s="4">
        <v>14</v>
      </c>
      <c r="I173" s="5">
        <v>0.24324074074074073</v>
      </c>
      <c r="J173" s="5">
        <v>0.17265046296296296</v>
      </c>
      <c r="K173" s="5">
        <f t="shared" si="4"/>
        <v>1.2332175925925925E-2</v>
      </c>
      <c r="L173" s="5">
        <v>3.2233796296296295E-2</v>
      </c>
      <c r="M173" s="6">
        <f t="shared" si="5"/>
        <v>0.13251808146174343</v>
      </c>
      <c r="N173" s="5">
        <v>2.2569444444444442E-3</v>
      </c>
      <c r="O173" s="5">
        <v>7.9166666666666673E-3</v>
      </c>
      <c r="P173" s="5"/>
      <c r="Q173" s="5">
        <v>6.2500000000000001E-4</v>
      </c>
      <c r="R173" s="5"/>
      <c r="S173" s="5">
        <v>2.0636574074074075E-2</v>
      </c>
      <c r="T173" s="5">
        <v>3.3564814814814812E-4</v>
      </c>
      <c r="U173" s="5">
        <v>4.5138888888888887E-4</v>
      </c>
      <c r="V173" s="5"/>
      <c r="W173" s="5"/>
    </row>
    <row r="174" spans="1:23" x14ac:dyDescent="0.25">
      <c r="A174" s="2">
        <v>46237</v>
      </c>
      <c r="B174" s="3" t="s">
        <v>665</v>
      </c>
      <c r="C174" s="3" t="s">
        <v>666</v>
      </c>
      <c r="D174" s="3" t="s">
        <v>100</v>
      </c>
      <c r="E174" s="3" t="s">
        <v>31</v>
      </c>
      <c r="F174" s="3" t="s">
        <v>32</v>
      </c>
      <c r="G174" s="4" t="s">
        <v>33</v>
      </c>
      <c r="H174" s="4">
        <v>28</v>
      </c>
      <c r="I174" s="5">
        <v>0.25421296296296297</v>
      </c>
      <c r="J174" s="5">
        <v>0.25922453703703702</v>
      </c>
      <c r="K174" s="5">
        <f t="shared" si="4"/>
        <v>9.2580191798941787E-3</v>
      </c>
      <c r="L174" s="5">
        <v>1.4826388888888889E-2</v>
      </c>
      <c r="M174" s="6">
        <f t="shared" si="5"/>
        <v>5.832270988890912E-2</v>
      </c>
      <c r="N174" s="5"/>
      <c r="O174" s="5"/>
      <c r="P174" s="5"/>
      <c r="Q174" s="5"/>
      <c r="R174" s="5"/>
      <c r="S174" s="5">
        <v>1.3958333333333333E-2</v>
      </c>
      <c r="T174" s="5">
        <v>1.273148148148148E-4</v>
      </c>
      <c r="U174" s="5">
        <v>4.0509259259259258E-4</v>
      </c>
      <c r="V174" s="5"/>
      <c r="W174" s="5">
        <v>2.8935185185185184E-4</v>
      </c>
    </row>
    <row r="175" spans="1:23" x14ac:dyDescent="0.25">
      <c r="A175" s="2">
        <v>46237</v>
      </c>
      <c r="B175" s="3" t="s">
        <v>264</v>
      </c>
      <c r="C175" s="3" t="s">
        <v>530</v>
      </c>
      <c r="D175" s="3" t="s">
        <v>78</v>
      </c>
      <c r="E175" s="3" t="s">
        <v>79</v>
      </c>
      <c r="F175" s="3" t="s">
        <v>80</v>
      </c>
      <c r="G175" s="4" t="s">
        <v>106</v>
      </c>
      <c r="H175" s="4">
        <v>2</v>
      </c>
      <c r="I175" s="5">
        <v>0.42125000000000001</v>
      </c>
      <c r="J175" s="5">
        <v>1.8055555555555555E-3</v>
      </c>
      <c r="K175" s="5">
        <f t="shared" si="4"/>
        <v>9.0277777777777774E-4</v>
      </c>
      <c r="L175" s="5">
        <v>2.7199074074074074E-3</v>
      </c>
      <c r="M175" s="6">
        <f t="shared" si="5"/>
        <v>6.456753489394439E-3</v>
      </c>
      <c r="N175" s="5">
        <v>8.1018518518518516E-5</v>
      </c>
      <c r="O175" s="5"/>
      <c r="P175" s="5"/>
      <c r="Q175" s="5"/>
      <c r="R175" s="5"/>
      <c r="S175" s="5"/>
      <c r="T175" s="5">
        <v>2.2106481481481482E-3</v>
      </c>
      <c r="U175" s="5">
        <v>2.0833333333333335E-4</v>
      </c>
      <c r="V175" s="5"/>
      <c r="W175" s="5">
        <v>1.3888888888888889E-4</v>
      </c>
    </row>
    <row r="176" spans="1:23" x14ac:dyDescent="0.25">
      <c r="A176" s="2">
        <v>46237</v>
      </c>
      <c r="B176" s="3" t="s">
        <v>128</v>
      </c>
      <c r="C176" s="3" t="s">
        <v>555</v>
      </c>
      <c r="D176" s="3" t="s">
        <v>233</v>
      </c>
      <c r="E176" s="3" t="s">
        <v>31</v>
      </c>
      <c r="F176" s="3" t="s">
        <v>32</v>
      </c>
      <c r="G176" s="4" t="s">
        <v>106</v>
      </c>
      <c r="H176" s="4">
        <v>39</v>
      </c>
      <c r="I176" s="5">
        <v>0.26170138888888889</v>
      </c>
      <c r="J176" s="5">
        <v>0.14332175925925925</v>
      </c>
      <c r="K176" s="5">
        <f t="shared" si="4"/>
        <v>3.6749169040835705E-3</v>
      </c>
      <c r="L176" s="5">
        <v>4.9907407407407407E-2</v>
      </c>
      <c r="M176" s="6">
        <f t="shared" si="5"/>
        <v>0.1907036398213259</v>
      </c>
      <c r="N176" s="5">
        <v>1.0775462962962962E-2</v>
      </c>
      <c r="O176" s="5">
        <v>1.8437499999999999E-2</v>
      </c>
      <c r="P176" s="5"/>
      <c r="Q176" s="5"/>
      <c r="R176" s="5"/>
      <c r="S176" s="5">
        <v>1.7534722222222222E-2</v>
      </c>
      <c r="T176" s="5">
        <v>1.3310185185185185E-3</v>
      </c>
      <c r="U176" s="5">
        <v>1.8171296296296297E-3</v>
      </c>
      <c r="V176" s="5"/>
      <c r="W176" s="5"/>
    </row>
    <row r="177" spans="1:23" x14ac:dyDescent="0.25">
      <c r="A177" s="2">
        <v>46237</v>
      </c>
      <c r="B177" s="3" t="s">
        <v>178</v>
      </c>
      <c r="C177" s="3" t="s">
        <v>522</v>
      </c>
      <c r="D177" s="3" t="s">
        <v>146</v>
      </c>
      <c r="E177" s="3" t="s">
        <v>79</v>
      </c>
      <c r="F177" s="3" t="s">
        <v>147</v>
      </c>
      <c r="G177" s="4" t="s">
        <v>106</v>
      </c>
      <c r="H177" s="4">
        <v>11</v>
      </c>
      <c r="I177" s="5">
        <v>0.26495370370370369</v>
      </c>
      <c r="J177" s="5">
        <v>3.142361111111111E-2</v>
      </c>
      <c r="K177" s="5">
        <f t="shared" si="4"/>
        <v>2.8566919191919189E-3</v>
      </c>
      <c r="L177" s="5">
        <v>5.6493055555555553E-2</v>
      </c>
      <c r="M177" s="6">
        <f t="shared" si="5"/>
        <v>0.21321859164773721</v>
      </c>
      <c r="N177" s="5">
        <v>6.4120370370370373E-3</v>
      </c>
      <c r="O177" s="5">
        <v>1.7106481481481483E-2</v>
      </c>
      <c r="P177" s="5"/>
      <c r="Q177" s="5">
        <v>9.9421296296296289E-3</v>
      </c>
      <c r="R177" s="5"/>
      <c r="S177" s="5">
        <v>1.7349537037037038E-2</v>
      </c>
      <c r="T177" s="5">
        <v>4.6296296296296294E-5</v>
      </c>
      <c r="U177" s="5">
        <v>3.9930555555555552E-3</v>
      </c>
      <c r="V177" s="5"/>
      <c r="W177" s="5">
        <v>1.5509259259259259E-3</v>
      </c>
    </row>
    <row r="178" spans="1:23" x14ac:dyDescent="0.25">
      <c r="A178" s="2">
        <v>46237</v>
      </c>
      <c r="B178" s="3" t="s">
        <v>266</v>
      </c>
      <c r="C178" s="3" t="s">
        <v>531</v>
      </c>
      <c r="D178" s="3" t="s">
        <v>233</v>
      </c>
      <c r="E178" s="3" t="s">
        <v>31</v>
      </c>
      <c r="F178" s="3" t="s">
        <v>32</v>
      </c>
      <c r="G178" s="4" t="s">
        <v>106</v>
      </c>
      <c r="H178" s="4">
        <v>0</v>
      </c>
      <c r="I178" s="5">
        <v>0.19623842592592591</v>
      </c>
      <c r="J178" s="5">
        <v>0</v>
      </c>
      <c r="K178" s="5">
        <f t="shared" si="4"/>
        <v>0</v>
      </c>
      <c r="L178" s="5">
        <v>0.19623842592592591</v>
      </c>
      <c r="M178" s="6">
        <f t="shared" si="5"/>
        <v>1</v>
      </c>
      <c r="N178" s="5"/>
      <c r="O178" s="5">
        <v>2.0775462962962964E-2</v>
      </c>
      <c r="P178" s="5"/>
      <c r="Q178" s="5"/>
      <c r="R178" s="5"/>
      <c r="S178" s="5">
        <v>1.3900462962962963E-2</v>
      </c>
      <c r="T178" s="5">
        <v>5.4398148148148144E-4</v>
      </c>
      <c r="U178" s="5"/>
      <c r="V178" s="5"/>
      <c r="W178" s="5">
        <v>0.16101851851851851</v>
      </c>
    </row>
    <row r="179" spans="1:23" x14ac:dyDescent="0.25">
      <c r="A179" s="2">
        <v>46237</v>
      </c>
      <c r="B179" s="3" t="s">
        <v>297</v>
      </c>
      <c r="C179" s="3" t="s">
        <v>667</v>
      </c>
      <c r="D179" s="3" t="s">
        <v>104</v>
      </c>
      <c r="E179" s="3" t="s">
        <v>31</v>
      </c>
      <c r="F179" s="3" t="s">
        <v>105</v>
      </c>
      <c r="G179" s="4" t="s">
        <v>106</v>
      </c>
      <c r="H179" s="4">
        <v>21</v>
      </c>
      <c r="I179" s="5">
        <v>0.24775462962962963</v>
      </c>
      <c r="J179" s="5">
        <v>0.32450231481481484</v>
      </c>
      <c r="K179" s="5">
        <f t="shared" si="4"/>
        <v>1.5452491181657849E-2</v>
      </c>
      <c r="L179" s="5">
        <v>6.7789351851851851E-2</v>
      </c>
      <c r="M179" s="6">
        <f t="shared" si="5"/>
        <v>0.27361487433429876</v>
      </c>
      <c r="N179" s="5">
        <v>1.7638888888888888E-2</v>
      </c>
      <c r="O179" s="5">
        <v>2.0092592592592592E-2</v>
      </c>
      <c r="P179" s="5"/>
      <c r="Q179" s="5"/>
      <c r="R179" s="5"/>
      <c r="S179" s="5">
        <v>1.511574074074074E-2</v>
      </c>
      <c r="T179" s="5">
        <v>5.4398148148148144E-4</v>
      </c>
      <c r="U179" s="5">
        <v>8.1018518518518516E-5</v>
      </c>
      <c r="V179" s="5"/>
      <c r="W179" s="5">
        <v>1.4317129629629629E-2</v>
      </c>
    </row>
    <row r="180" spans="1:23" x14ac:dyDescent="0.25">
      <c r="A180" s="2">
        <v>46237</v>
      </c>
      <c r="B180" s="3" t="s">
        <v>207</v>
      </c>
      <c r="C180" s="3" t="s">
        <v>566</v>
      </c>
      <c r="D180" s="3" t="s">
        <v>274</v>
      </c>
      <c r="E180" s="3" t="s">
        <v>79</v>
      </c>
      <c r="F180" s="3" t="s">
        <v>147</v>
      </c>
      <c r="G180" s="4" t="s">
        <v>33</v>
      </c>
      <c r="H180" s="4">
        <v>21</v>
      </c>
      <c r="I180" s="5">
        <v>0.2590972222222222</v>
      </c>
      <c r="J180" s="5">
        <v>5.8819444444444445E-2</v>
      </c>
      <c r="K180" s="5">
        <f t="shared" si="4"/>
        <v>2.8009259259259259E-3</v>
      </c>
      <c r="L180" s="5">
        <v>4.5925925925925926E-2</v>
      </c>
      <c r="M180" s="6">
        <f t="shared" si="5"/>
        <v>0.17725364066827481</v>
      </c>
      <c r="N180" s="5">
        <v>2.0949074074074073E-3</v>
      </c>
      <c r="O180" s="5">
        <v>1.2870370370370371E-2</v>
      </c>
      <c r="P180" s="5"/>
      <c r="Q180" s="5">
        <v>1.4606481481481481E-2</v>
      </c>
      <c r="R180" s="5"/>
      <c r="S180" s="5">
        <v>1.4872685185185185E-2</v>
      </c>
      <c r="T180" s="5">
        <v>6.9444444444444444E-5</v>
      </c>
      <c r="U180" s="5">
        <v>1.3888888888888889E-3</v>
      </c>
      <c r="V180" s="5"/>
      <c r="W180" s="5"/>
    </row>
    <row r="181" spans="1:23" x14ac:dyDescent="0.25">
      <c r="A181" s="2">
        <v>46237</v>
      </c>
      <c r="B181" s="3" t="s">
        <v>614</v>
      </c>
      <c r="C181" s="3" t="s">
        <v>635</v>
      </c>
      <c r="D181" s="3" t="s">
        <v>601</v>
      </c>
      <c r="E181" s="3" t="s">
        <v>31</v>
      </c>
      <c r="F181" s="3" t="s">
        <v>105</v>
      </c>
      <c r="G181" s="4" t="s">
        <v>33</v>
      </c>
      <c r="H181" s="4">
        <v>9</v>
      </c>
      <c r="I181" s="5">
        <v>0.21373842592592593</v>
      </c>
      <c r="J181" s="5">
        <v>0.20038194444444443</v>
      </c>
      <c r="K181" s="5">
        <f t="shared" si="4"/>
        <v>2.2264660493827158E-2</v>
      </c>
      <c r="L181" s="5">
        <v>0.12237268518518518</v>
      </c>
      <c r="M181" s="6">
        <f t="shared" si="5"/>
        <v>0.57253479179076183</v>
      </c>
      <c r="N181" s="5">
        <v>1.273148148148148E-4</v>
      </c>
      <c r="O181" s="5">
        <v>1.5543981481481482E-2</v>
      </c>
      <c r="P181" s="5"/>
      <c r="Q181" s="5"/>
      <c r="R181" s="5"/>
      <c r="S181" s="5">
        <v>1.4178240740740741E-2</v>
      </c>
      <c r="T181" s="5">
        <v>2.1875000000000002E-3</v>
      </c>
      <c r="U181" s="5"/>
      <c r="V181" s="5"/>
      <c r="W181" s="5">
        <v>9.0335648148148151E-2</v>
      </c>
    </row>
    <row r="182" spans="1:23" x14ac:dyDescent="0.25">
      <c r="A182" s="2">
        <v>46237</v>
      </c>
      <c r="B182" s="3" t="s">
        <v>96</v>
      </c>
      <c r="C182" s="3" t="s">
        <v>97</v>
      </c>
      <c r="D182" s="3" t="s">
        <v>78</v>
      </c>
      <c r="E182" s="3" t="s">
        <v>79</v>
      </c>
      <c r="F182" s="3" t="s">
        <v>80</v>
      </c>
      <c r="G182" s="4" t="s">
        <v>81</v>
      </c>
      <c r="H182" s="4">
        <v>0</v>
      </c>
      <c r="I182" s="5">
        <v>0.34431712962962963</v>
      </c>
      <c r="J182" s="5">
        <v>0</v>
      </c>
      <c r="K182" s="5">
        <f t="shared" si="4"/>
        <v>0</v>
      </c>
      <c r="L182" s="5">
        <v>9.52662037037037E-2</v>
      </c>
      <c r="M182" s="6">
        <f t="shared" si="5"/>
        <v>0.27668156912837405</v>
      </c>
      <c r="N182" s="5">
        <v>8.5868055555555559E-2</v>
      </c>
      <c r="O182" s="5"/>
      <c r="P182" s="5"/>
      <c r="Q182" s="5"/>
      <c r="R182" s="5"/>
      <c r="S182" s="5">
        <v>9.3287037037037036E-3</v>
      </c>
      <c r="T182" s="5">
        <v>6.9444444444444444E-5</v>
      </c>
      <c r="U182" s="5"/>
      <c r="V182" s="5"/>
      <c r="W182" s="5"/>
    </row>
    <row r="183" spans="1:23" x14ac:dyDescent="0.25">
      <c r="A183" s="2">
        <v>46237</v>
      </c>
      <c r="B183" s="3" t="s">
        <v>180</v>
      </c>
      <c r="C183" s="3" t="s">
        <v>523</v>
      </c>
      <c r="D183" s="3" t="s">
        <v>146</v>
      </c>
      <c r="E183" s="3" t="s">
        <v>79</v>
      </c>
      <c r="F183" s="3" t="s">
        <v>147</v>
      </c>
      <c r="G183" s="4" t="s">
        <v>106</v>
      </c>
      <c r="H183" s="4">
        <v>14</v>
      </c>
      <c r="I183" s="5">
        <v>0.26194444444444442</v>
      </c>
      <c r="J183" s="5">
        <v>7.1678240740740737E-2</v>
      </c>
      <c r="K183" s="5">
        <f t="shared" si="4"/>
        <v>5.1198743386243386E-3</v>
      </c>
      <c r="L183" s="5">
        <v>3.6469907407407409E-2</v>
      </c>
      <c r="M183" s="6">
        <f t="shared" si="5"/>
        <v>0.13922764227642279</v>
      </c>
      <c r="N183" s="5">
        <v>4.0625000000000001E-3</v>
      </c>
      <c r="O183" s="5">
        <v>1.607638888888889E-2</v>
      </c>
      <c r="P183" s="5"/>
      <c r="Q183" s="5"/>
      <c r="R183" s="5"/>
      <c r="S183" s="5">
        <v>1.4826388888888889E-2</v>
      </c>
      <c r="T183" s="5">
        <v>5.7870370370370373E-5</v>
      </c>
      <c r="U183" s="5">
        <v>1.4467592592592592E-3</v>
      </c>
      <c r="V183" s="5"/>
      <c r="W183" s="5"/>
    </row>
    <row r="184" spans="1:23" x14ac:dyDescent="0.25">
      <c r="A184" s="2">
        <v>46237</v>
      </c>
      <c r="B184" s="3" t="s">
        <v>615</v>
      </c>
      <c r="C184" s="3" t="s">
        <v>636</v>
      </c>
      <c r="D184" s="3" t="s">
        <v>601</v>
      </c>
      <c r="E184" s="3" t="s">
        <v>31</v>
      </c>
      <c r="F184" s="3" t="s">
        <v>105</v>
      </c>
      <c r="G184" s="4" t="s">
        <v>33</v>
      </c>
      <c r="H184" s="4">
        <v>11</v>
      </c>
      <c r="I184" s="5">
        <v>0.22074074074074074</v>
      </c>
      <c r="J184" s="5">
        <v>0.17571759259259259</v>
      </c>
      <c r="K184" s="5">
        <f t="shared" si="4"/>
        <v>1.5974326599326599E-2</v>
      </c>
      <c r="L184" s="5">
        <v>0.14862268518518518</v>
      </c>
      <c r="M184" s="6">
        <f t="shared" si="5"/>
        <v>0.67329068791946312</v>
      </c>
      <c r="N184" s="5">
        <v>6.122685185185185E-3</v>
      </c>
      <c r="O184" s="5">
        <v>1.4004629629629629E-2</v>
      </c>
      <c r="P184" s="5"/>
      <c r="Q184" s="5"/>
      <c r="R184" s="5"/>
      <c r="S184" s="5">
        <v>1.3148148148148148E-2</v>
      </c>
      <c r="T184" s="5">
        <v>9.837962962962962E-4</v>
      </c>
      <c r="U184" s="5"/>
      <c r="V184" s="5"/>
      <c r="W184" s="5">
        <v>0.11436342592592592</v>
      </c>
    </row>
    <row r="185" spans="1:23" x14ac:dyDescent="0.25">
      <c r="A185" s="2">
        <v>46237</v>
      </c>
      <c r="B185" s="3" t="s">
        <v>616</v>
      </c>
      <c r="C185" s="3" t="s">
        <v>637</v>
      </c>
      <c r="D185" s="3" t="s">
        <v>601</v>
      </c>
      <c r="E185" s="3" t="s">
        <v>31</v>
      </c>
      <c r="F185" s="3" t="s">
        <v>105</v>
      </c>
      <c r="G185" s="4" t="s">
        <v>33</v>
      </c>
      <c r="H185" s="4">
        <v>8</v>
      </c>
      <c r="I185" s="5">
        <v>0.23061342592592593</v>
      </c>
      <c r="J185" s="5">
        <v>0.11347222222222222</v>
      </c>
      <c r="K185" s="5">
        <f t="shared" si="4"/>
        <v>1.4184027777777778E-2</v>
      </c>
      <c r="L185" s="5">
        <v>0.16653935185185184</v>
      </c>
      <c r="M185" s="6">
        <f t="shared" si="5"/>
        <v>0.72215809284818067</v>
      </c>
      <c r="N185" s="5"/>
      <c r="O185" s="5">
        <v>7.4305555555555557E-3</v>
      </c>
      <c r="P185" s="5"/>
      <c r="Q185" s="5">
        <v>2.0671296296296295E-2</v>
      </c>
      <c r="R185" s="5"/>
      <c r="S185" s="5">
        <v>1.4016203703703704E-2</v>
      </c>
      <c r="T185" s="5">
        <v>1.1226851851851851E-3</v>
      </c>
      <c r="U185" s="5">
        <v>5.7870370370370373E-5</v>
      </c>
      <c r="V185" s="5"/>
      <c r="W185" s="5">
        <v>0.12324074074074073</v>
      </c>
    </row>
    <row r="186" spans="1:23" x14ac:dyDescent="0.25">
      <c r="A186" s="2">
        <v>46237</v>
      </c>
      <c r="B186" s="3" t="s">
        <v>209</v>
      </c>
      <c r="C186" s="3" t="s">
        <v>567</v>
      </c>
      <c r="D186" s="3" t="s">
        <v>601</v>
      </c>
      <c r="E186" s="3" t="s">
        <v>31</v>
      </c>
      <c r="F186" s="3" t="s">
        <v>105</v>
      </c>
      <c r="G186" s="4" t="s">
        <v>33</v>
      </c>
      <c r="H186" s="4">
        <v>8</v>
      </c>
      <c r="I186" s="5">
        <v>0.23651620370370371</v>
      </c>
      <c r="J186" s="5">
        <v>0.14381944444444444</v>
      </c>
      <c r="K186" s="5">
        <f t="shared" si="4"/>
        <v>1.7977430555555556E-2</v>
      </c>
      <c r="L186" s="5">
        <v>0.1413888888888889</v>
      </c>
      <c r="M186" s="6">
        <f t="shared" si="5"/>
        <v>0.59779789576706632</v>
      </c>
      <c r="N186" s="5">
        <v>2.4421296296296296E-3</v>
      </c>
      <c r="O186" s="5">
        <v>8.3796296296296292E-3</v>
      </c>
      <c r="P186" s="5"/>
      <c r="Q186" s="5"/>
      <c r="R186" s="5"/>
      <c r="S186" s="5">
        <v>2.5277777777777777E-2</v>
      </c>
      <c r="T186" s="5">
        <v>3.0497685185185187E-2</v>
      </c>
      <c r="U186" s="5"/>
      <c r="V186" s="5"/>
      <c r="W186" s="5">
        <v>7.4791666666666673E-2</v>
      </c>
    </row>
    <row r="187" spans="1:23" x14ac:dyDescent="0.25">
      <c r="A187" s="2">
        <v>46237</v>
      </c>
      <c r="B187" s="3" t="s">
        <v>60</v>
      </c>
      <c r="C187" s="3" t="s">
        <v>510</v>
      </c>
      <c r="D187" s="3" t="s">
        <v>100</v>
      </c>
      <c r="E187" s="3" t="s">
        <v>31</v>
      </c>
      <c r="F187" s="3" t="s">
        <v>32</v>
      </c>
      <c r="G187" s="4" t="s">
        <v>33</v>
      </c>
      <c r="H187" s="4">
        <v>42</v>
      </c>
      <c r="I187" s="5">
        <v>0.2654050925925926</v>
      </c>
      <c r="J187" s="5">
        <v>0.24966435185185185</v>
      </c>
      <c r="K187" s="5">
        <f t="shared" si="4"/>
        <v>5.9443893298059963E-3</v>
      </c>
      <c r="L187" s="5">
        <v>4.4270833333333336E-2</v>
      </c>
      <c r="M187" s="6">
        <f t="shared" si="5"/>
        <v>0.16680476211242423</v>
      </c>
      <c r="N187" s="5">
        <v>1.2847222222222223E-3</v>
      </c>
      <c r="O187" s="5">
        <v>2.7893518518518519E-2</v>
      </c>
      <c r="P187" s="5"/>
      <c r="Q187" s="5">
        <v>1.4918981481481481E-2</v>
      </c>
      <c r="R187" s="5"/>
      <c r="S187" s="5"/>
      <c r="T187" s="5">
        <v>6.9444444444444444E-5</v>
      </c>
      <c r="U187" s="5"/>
      <c r="V187" s="5"/>
      <c r="W187" s="5"/>
    </row>
    <row r="188" spans="1:23" x14ac:dyDescent="0.25">
      <c r="A188" s="2">
        <v>46237</v>
      </c>
      <c r="B188" s="3" t="s">
        <v>132</v>
      </c>
      <c r="C188" s="3" t="s">
        <v>512</v>
      </c>
      <c r="D188" s="3" t="s">
        <v>104</v>
      </c>
      <c r="E188" s="3" t="s">
        <v>31</v>
      </c>
      <c r="F188" s="3" t="s">
        <v>105</v>
      </c>
      <c r="G188" s="4" t="s">
        <v>106</v>
      </c>
      <c r="H188" s="4">
        <v>16</v>
      </c>
      <c r="I188" s="5">
        <v>0.25715277777777779</v>
      </c>
      <c r="J188" s="5">
        <v>0.27469907407407407</v>
      </c>
      <c r="K188" s="5">
        <f t="shared" si="4"/>
        <v>1.7168692129629629E-2</v>
      </c>
      <c r="L188" s="5">
        <v>6.7199074074074078E-2</v>
      </c>
      <c r="M188" s="6">
        <f t="shared" si="5"/>
        <v>0.26131965073363939</v>
      </c>
      <c r="N188" s="5">
        <v>5.4976851851851853E-3</v>
      </c>
      <c r="O188" s="5">
        <v>1.4988425925925926E-2</v>
      </c>
      <c r="P188" s="5"/>
      <c r="Q188" s="5"/>
      <c r="R188" s="5"/>
      <c r="S188" s="5">
        <v>1.4988425925925926E-2</v>
      </c>
      <c r="T188" s="5">
        <v>1.2662037037037038E-2</v>
      </c>
      <c r="U188" s="5">
        <v>1.0844907407407407E-2</v>
      </c>
      <c r="V188" s="5"/>
      <c r="W188" s="5">
        <v>8.2175925925925923E-3</v>
      </c>
    </row>
    <row r="189" spans="1:23" x14ac:dyDescent="0.25">
      <c r="A189" s="2">
        <v>46237</v>
      </c>
      <c r="B189" s="3" t="s">
        <v>134</v>
      </c>
      <c r="C189" s="3" t="s">
        <v>560</v>
      </c>
      <c r="D189" s="3" t="s">
        <v>104</v>
      </c>
      <c r="E189" s="3" t="s">
        <v>31</v>
      </c>
      <c r="F189" s="3" t="s">
        <v>105</v>
      </c>
      <c r="G189" s="4" t="s">
        <v>106</v>
      </c>
      <c r="H189" s="4">
        <v>17</v>
      </c>
      <c r="I189" s="5">
        <v>0.26245370370370369</v>
      </c>
      <c r="J189" s="5">
        <v>0.26353009259259258</v>
      </c>
      <c r="K189" s="5">
        <f t="shared" si="4"/>
        <v>1.5501770152505446E-2</v>
      </c>
      <c r="L189" s="5">
        <v>7.3506944444444444E-2</v>
      </c>
      <c r="M189" s="6">
        <f t="shared" si="5"/>
        <v>0.28007585112012701</v>
      </c>
      <c r="N189" s="5">
        <v>6.053240740740741E-3</v>
      </c>
      <c r="O189" s="5">
        <v>1.4212962962962964E-2</v>
      </c>
      <c r="P189" s="5"/>
      <c r="Q189" s="5"/>
      <c r="R189" s="5">
        <v>2.9398148148148148E-3</v>
      </c>
      <c r="S189" s="5">
        <v>1.170138888888889E-2</v>
      </c>
      <c r="T189" s="5">
        <v>1.2060185185185186E-2</v>
      </c>
      <c r="U189" s="5">
        <v>5.6018518518518518E-3</v>
      </c>
      <c r="V189" s="5"/>
      <c r="W189" s="5">
        <v>1.4722222222222222E-2</v>
      </c>
    </row>
    <row r="190" spans="1:23" x14ac:dyDescent="0.25">
      <c r="A190" s="2">
        <v>46237</v>
      </c>
      <c r="B190" s="3" t="s">
        <v>211</v>
      </c>
      <c r="C190" s="3" t="s">
        <v>546</v>
      </c>
      <c r="D190" s="3" t="s">
        <v>104</v>
      </c>
      <c r="E190" s="3" t="s">
        <v>31</v>
      </c>
      <c r="F190" s="3" t="s">
        <v>105</v>
      </c>
      <c r="G190" s="4" t="s">
        <v>106</v>
      </c>
      <c r="H190" s="4">
        <v>9</v>
      </c>
      <c r="I190" s="5">
        <v>0.25905092592592593</v>
      </c>
      <c r="J190" s="5">
        <v>0.19905092592592594</v>
      </c>
      <c r="K190" s="5">
        <f t="shared" si="4"/>
        <v>2.2116769547325103E-2</v>
      </c>
      <c r="L190" s="5">
        <v>5.3020833333333336E-2</v>
      </c>
      <c r="M190" s="6">
        <f t="shared" si="5"/>
        <v>0.20467339826646413</v>
      </c>
      <c r="N190" s="5"/>
      <c r="O190" s="5">
        <v>1.7743055555555557E-2</v>
      </c>
      <c r="P190" s="5">
        <v>7.2222222222222219E-3</v>
      </c>
      <c r="Q190" s="5"/>
      <c r="R190" s="5"/>
      <c r="S190" s="5">
        <v>1.2951388888888889E-2</v>
      </c>
      <c r="T190" s="5">
        <v>8.1018518518518516E-5</v>
      </c>
      <c r="U190" s="5">
        <v>1.5023148148148148E-2</v>
      </c>
      <c r="V190" s="5"/>
      <c r="W190" s="5"/>
    </row>
    <row r="191" spans="1:23" x14ac:dyDescent="0.25">
      <c r="A191" s="2">
        <v>46237</v>
      </c>
      <c r="B191" s="3" t="s">
        <v>618</v>
      </c>
      <c r="C191" s="3" t="s">
        <v>639</v>
      </c>
      <c r="D191" s="3" t="s">
        <v>601</v>
      </c>
      <c r="E191" s="3" t="s">
        <v>31</v>
      </c>
      <c r="F191" s="3" t="s">
        <v>105</v>
      </c>
      <c r="G191" s="4" t="s">
        <v>33</v>
      </c>
      <c r="H191" s="4">
        <v>1</v>
      </c>
      <c r="I191" s="5">
        <v>5.7256944444444444E-2</v>
      </c>
      <c r="J191" s="5">
        <v>4.103009259259259E-2</v>
      </c>
      <c r="K191" s="5">
        <f t="shared" si="4"/>
        <v>4.103009259259259E-2</v>
      </c>
      <c r="L191" s="5">
        <v>3.3229166666666664E-2</v>
      </c>
      <c r="M191" s="6">
        <f t="shared" si="5"/>
        <v>0.58035172832019399</v>
      </c>
      <c r="N191" s="5"/>
      <c r="O191" s="5"/>
      <c r="P191" s="5"/>
      <c r="Q191" s="5"/>
      <c r="R191" s="5"/>
      <c r="S191" s="5"/>
      <c r="T191" s="5">
        <v>2.3032407407407407E-3</v>
      </c>
      <c r="U191" s="5"/>
      <c r="V191" s="5"/>
      <c r="W191" s="5">
        <v>3.0925925925925926E-2</v>
      </c>
    </row>
    <row r="192" spans="1:23" x14ac:dyDescent="0.25">
      <c r="A192" s="2">
        <v>46237</v>
      </c>
      <c r="B192" s="3" t="s">
        <v>501</v>
      </c>
      <c r="C192" s="3" t="s">
        <v>524</v>
      </c>
      <c r="D192" s="3" t="s">
        <v>274</v>
      </c>
      <c r="E192" s="3" t="s">
        <v>79</v>
      </c>
      <c r="F192" s="3" t="s">
        <v>147</v>
      </c>
      <c r="G192" s="4" t="s">
        <v>33</v>
      </c>
      <c r="H192" s="4">
        <v>18</v>
      </c>
      <c r="I192" s="5">
        <v>0.26634259259259258</v>
      </c>
      <c r="J192" s="5">
        <v>7.2581018518518517E-2</v>
      </c>
      <c r="K192" s="5">
        <f t="shared" si="4"/>
        <v>4.0322788065843621E-3</v>
      </c>
      <c r="L192" s="5">
        <v>3.3900462962962966E-2</v>
      </c>
      <c r="M192" s="6">
        <f t="shared" si="5"/>
        <v>0.12728141839040502</v>
      </c>
      <c r="N192" s="5"/>
      <c r="O192" s="5">
        <v>1.1689814814814814E-2</v>
      </c>
      <c r="P192" s="5"/>
      <c r="Q192" s="5">
        <v>5.3125000000000004E-3</v>
      </c>
      <c r="R192" s="5"/>
      <c r="S192" s="5">
        <v>1.4074074074074074E-2</v>
      </c>
      <c r="T192" s="5">
        <v>1.8865740740740742E-3</v>
      </c>
      <c r="U192" s="5">
        <v>3.7037037037037035E-4</v>
      </c>
      <c r="V192" s="5"/>
      <c r="W192" s="5"/>
    </row>
    <row r="193" spans="1:23" x14ac:dyDescent="0.25">
      <c r="A193" s="2">
        <v>46237</v>
      </c>
      <c r="B193" s="3" t="s">
        <v>213</v>
      </c>
      <c r="C193" s="3" t="s">
        <v>572</v>
      </c>
      <c r="D193" s="3" t="s">
        <v>601</v>
      </c>
      <c r="E193" s="3" t="s">
        <v>31</v>
      </c>
      <c r="F193" s="3" t="s">
        <v>105</v>
      </c>
      <c r="G193" s="4" t="s">
        <v>33</v>
      </c>
      <c r="H193" s="4">
        <v>7</v>
      </c>
      <c r="I193" s="5">
        <v>0.2495138888888889</v>
      </c>
      <c r="J193" s="5">
        <v>0.1711574074074074</v>
      </c>
      <c r="K193" s="5">
        <f t="shared" si="4"/>
        <v>2.4451058201058199E-2</v>
      </c>
      <c r="L193" s="5">
        <v>0.16343750000000001</v>
      </c>
      <c r="M193" s="6">
        <f t="shared" si="5"/>
        <v>0.65502365711104926</v>
      </c>
      <c r="N193" s="5">
        <v>5.8564814814814816E-3</v>
      </c>
      <c r="O193" s="5">
        <v>2.2291666666666668E-2</v>
      </c>
      <c r="P193" s="5"/>
      <c r="Q193" s="5"/>
      <c r="R193" s="5"/>
      <c r="S193" s="5">
        <v>1.4988425925925926E-2</v>
      </c>
      <c r="T193" s="5">
        <v>1.0763888888888889E-3</v>
      </c>
      <c r="U193" s="5">
        <v>6.9444444444444444E-5</v>
      </c>
      <c r="V193" s="5"/>
      <c r="W193" s="5">
        <v>0.11915509259259259</v>
      </c>
    </row>
    <row r="194" spans="1:23" x14ac:dyDescent="0.25">
      <c r="A194" s="2">
        <v>46237</v>
      </c>
      <c r="B194" s="3" t="s">
        <v>215</v>
      </c>
      <c r="C194" s="3" t="s">
        <v>547</v>
      </c>
      <c r="D194" s="3" t="s">
        <v>601</v>
      </c>
      <c r="E194" s="3" t="s">
        <v>31</v>
      </c>
      <c r="F194" s="3" t="s">
        <v>105</v>
      </c>
      <c r="G194" s="4" t="s">
        <v>33</v>
      </c>
      <c r="H194" s="4">
        <v>14</v>
      </c>
      <c r="I194" s="5">
        <v>0.2379050925925926</v>
      </c>
      <c r="J194" s="5">
        <v>0.24922453703703704</v>
      </c>
      <c r="K194" s="5">
        <f t="shared" si="4"/>
        <v>1.7801752645502645E-2</v>
      </c>
      <c r="L194" s="5">
        <v>0.1119212962962963</v>
      </c>
      <c r="M194" s="6">
        <f t="shared" si="5"/>
        <v>0.47044514716613961</v>
      </c>
      <c r="N194" s="5">
        <v>1.5671296296296298E-2</v>
      </c>
      <c r="O194" s="5">
        <v>2.0798611111111111E-2</v>
      </c>
      <c r="P194" s="5">
        <v>1.0590277777777778E-2</v>
      </c>
      <c r="Q194" s="5"/>
      <c r="R194" s="5">
        <v>1.1018518518518518E-2</v>
      </c>
      <c r="S194" s="5">
        <v>1.443287037037037E-2</v>
      </c>
      <c r="T194" s="5">
        <v>2.8935185185185184E-4</v>
      </c>
      <c r="U194" s="5">
        <v>2.4305555555555555E-4</v>
      </c>
      <c r="V194" s="5"/>
      <c r="W194" s="5">
        <v>3.8877314814814816E-2</v>
      </c>
    </row>
    <row r="195" spans="1:23" x14ac:dyDescent="0.25">
      <c r="A195" s="2">
        <v>46237</v>
      </c>
      <c r="B195" s="3" t="s">
        <v>619</v>
      </c>
      <c r="C195" s="3" t="s">
        <v>640</v>
      </c>
      <c r="D195" s="3" t="s">
        <v>601</v>
      </c>
      <c r="E195" s="3" t="s">
        <v>31</v>
      </c>
      <c r="F195" s="3" t="s">
        <v>105</v>
      </c>
      <c r="G195" s="4" t="s">
        <v>33</v>
      </c>
      <c r="H195" s="4">
        <v>9</v>
      </c>
      <c r="I195" s="5">
        <v>0.22293981481481481</v>
      </c>
      <c r="J195" s="5">
        <v>0.2117013888888889</v>
      </c>
      <c r="K195" s="5">
        <f t="shared" si="4"/>
        <v>2.3522376543209877E-2</v>
      </c>
      <c r="L195" s="5">
        <v>0.10962962962962963</v>
      </c>
      <c r="M195" s="6">
        <f t="shared" si="5"/>
        <v>0.4917454054615305</v>
      </c>
      <c r="N195" s="5">
        <v>1.4976851851851852E-2</v>
      </c>
      <c r="O195" s="5">
        <v>8.9930555555555562E-3</v>
      </c>
      <c r="P195" s="5"/>
      <c r="Q195" s="5"/>
      <c r="R195" s="5"/>
      <c r="S195" s="5">
        <v>1.3333333333333334E-2</v>
      </c>
      <c r="T195" s="5">
        <v>3.2407407407407406E-4</v>
      </c>
      <c r="U195" s="5">
        <v>1.9675925925925926E-4</v>
      </c>
      <c r="V195" s="5"/>
      <c r="W195" s="5">
        <v>7.1805555555555553E-2</v>
      </c>
    </row>
    <row r="196" spans="1:23" x14ac:dyDescent="0.25">
      <c r="A196" s="2">
        <v>46237</v>
      </c>
      <c r="B196" s="3" t="s">
        <v>668</v>
      </c>
      <c r="C196" s="3" t="s">
        <v>669</v>
      </c>
      <c r="D196" s="3" t="s">
        <v>233</v>
      </c>
      <c r="E196" s="3" t="s">
        <v>31</v>
      </c>
      <c r="F196" s="3" t="s">
        <v>32</v>
      </c>
      <c r="G196" s="4" t="s">
        <v>106</v>
      </c>
      <c r="H196" s="4">
        <v>30</v>
      </c>
      <c r="I196" s="5">
        <v>0.26313657407407409</v>
      </c>
      <c r="J196" s="5">
        <v>0.16410879629629629</v>
      </c>
      <c r="K196" s="5">
        <f t="shared" si="4"/>
        <v>5.4702932098765434E-3</v>
      </c>
      <c r="L196" s="5">
        <v>4.1851851851851848E-2</v>
      </c>
      <c r="M196" s="6">
        <f t="shared" si="5"/>
        <v>0.15904992302617108</v>
      </c>
      <c r="N196" s="5"/>
      <c r="O196" s="5">
        <v>1.4687499999999999E-2</v>
      </c>
      <c r="P196" s="5"/>
      <c r="Q196" s="5"/>
      <c r="R196" s="5"/>
      <c r="S196" s="5">
        <v>1.4016203703703704E-2</v>
      </c>
      <c r="T196" s="5">
        <v>1.1585648148148149E-2</v>
      </c>
      <c r="U196" s="5">
        <v>1.5393518518518519E-3</v>
      </c>
      <c r="V196" s="5"/>
      <c r="W196" s="5"/>
    </row>
    <row r="197" spans="1:23" x14ac:dyDescent="0.25">
      <c r="A197" s="2">
        <v>46237</v>
      </c>
      <c r="B197" s="3" t="s">
        <v>744</v>
      </c>
      <c r="C197" s="3" t="s">
        <v>670</v>
      </c>
      <c r="D197" s="3" t="s">
        <v>100</v>
      </c>
      <c r="E197" s="3" t="s">
        <v>31</v>
      </c>
      <c r="F197" s="3" t="s">
        <v>32</v>
      </c>
      <c r="G197" s="4" t="s">
        <v>33</v>
      </c>
      <c r="H197" s="4">
        <v>29</v>
      </c>
      <c r="I197" s="5">
        <v>0.26248842592592592</v>
      </c>
      <c r="J197" s="5">
        <v>0.22244212962962964</v>
      </c>
      <c r="K197" s="5">
        <f t="shared" si="4"/>
        <v>7.6704182630906777E-3</v>
      </c>
      <c r="L197" s="5">
        <v>4.8935185185185186E-2</v>
      </c>
      <c r="M197" s="6">
        <f t="shared" si="5"/>
        <v>0.1864279730146832</v>
      </c>
      <c r="N197" s="5">
        <v>1.0173611111111111E-2</v>
      </c>
      <c r="O197" s="5">
        <v>1.425925925925926E-2</v>
      </c>
      <c r="P197" s="5"/>
      <c r="Q197" s="5"/>
      <c r="R197" s="5">
        <v>4.2129629629629626E-3</v>
      </c>
      <c r="S197" s="5">
        <v>1.4178240740740741E-2</v>
      </c>
      <c r="T197" s="5">
        <v>4.2824074074074075E-4</v>
      </c>
      <c r="U197" s="5">
        <v>5.6365740740740742E-3</v>
      </c>
      <c r="V197" s="5"/>
      <c r="W197" s="5"/>
    </row>
    <row r="198" spans="1:23" x14ac:dyDescent="0.25">
      <c r="A198" s="2">
        <v>46237</v>
      </c>
      <c r="B198" s="3" t="s">
        <v>219</v>
      </c>
      <c r="C198" s="3" t="s">
        <v>548</v>
      </c>
      <c r="D198" s="3" t="s">
        <v>104</v>
      </c>
      <c r="E198" s="3" t="s">
        <v>31</v>
      </c>
      <c r="F198" s="3" t="s">
        <v>105</v>
      </c>
      <c r="G198" s="4" t="s">
        <v>106</v>
      </c>
      <c r="H198" s="4">
        <v>19</v>
      </c>
      <c r="I198" s="5">
        <v>0.26327546296296295</v>
      </c>
      <c r="J198" s="5">
        <v>0.27539351851851851</v>
      </c>
      <c r="K198" s="5">
        <f t="shared" si="4"/>
        <v>1.4494395711500975E-2</v>
      </c>
      <c r="L198" s="5">
        <v>6.5127314814814818E-2</v>
      </c>
      <c r="M198" s="6">
        <f t="shared" si="5"/>
        <v>0.24737327999296613</v>
      </c>
      <c r="N198" s="5">
        <v>1.0601851851851852E-2</v>
      </c>
      <c r="O198" s="5">
        <v>2.0891203703703703E-2</v>
      </c>
      <c r="P198" s="5">
        <v>3.5879629629629629E-3</v>
      </c>
      <c r="Q198" s="5"/>
      <c r="R198" s="5"/>
      <c r="S198" s="5">
        <v>1.494212962962963E-2</v>
      </c>
      <c r="T198" s="5">
        <v>1.4004629629629629E-3</v>
      </c>
      <c r="U198" s="5">
        <v>5.6134259259259262E-3</v>
      </c>
      <c r="V198" s="5"/>
      <c r="W198" s="5">
        <v>8.0555555555555554E-3</v>
      </c>
    </row>
    <row r="199" spans="1:23" x14ac:dyDescent="0.25">
      <c r="A199" s="2">
        <v>46237</v>
      </c>
      <c r="B199" s="3" t="s">
        <v>305</v>
      </c>
      <c r="C199" s="3" t="s">
        <v>306</v>
      </c>
      <c r="D199" s="3" t="s">
        <v>100</v>
      </c>
      <c r="E199" s="3" t="s">
        <v>31</v>
      </c>
      <c r="F199" s="3" t="s">
        <v>32</v>
      </c>
      <c r="G199" s="4" t="s">
        <v>33</v>
      </c>
      <c r="H199" s="4">
        <v>54</v>
      </c>
      <c r="I199" s="5">
        <v>0.26291666666666669</v>
      </c>
      <c r="J199" s="5">
        <v>0.3004398148148148</v>
      </c>
      <c r="K199" s="5">
        <f t="shared" si="4"/>
        <v>5.563700274348422E-3</v>
      </c>
      <c r="L199" s="5">
        <v>4.6157407407407404E-2</v>
      </c>
      <c r="M199" s="6">
        <f t="shared" si="5"/>
        <v>0.17555907730234194</v>
      </c>
      <c r="N199" s="5">
        <v>1.1655092592592592E-2</v>
      </c>
      <c r="O199" s="5">
        <v>1.5497685185185186E-2</v>
      </c>
      <c r="P199" s="5"/>
      <c r="Q199" s="5"/>
      <c r="R199" s="5"/>
      <c r="S199" s="5">
        <v>1.5625E-2</v>
      </c>
      <c r="T199" s="5">
        <v>1.3888888888888889E-4</v>
      </c>
      <c r="U199" s="5"/>
      <c r="V199" s="5"/>
      <c r="W199" s="5">
        <v>3.2407407407407406E-3</v>
      </c>
    </row>
    <row r="200" spans="1:23" x14ac:dyDescent="0.25">
      <c r="A200" s="2">
        <v>46237</v>
      </c>
      <c r="B200" s="3" t="s">
        <v>620</v>
      </c>
      <c r="C200" s="3" t="s">
        <v>641</v>
      </c>
      <c r="D200" s="3" t="s">
        <v>601</v>
      </c>
      <c r="E200" s="3" t="s">
        <v>31</v>
      </c>
      <c r="F200" s="3" t="s">
        <v>105</v>
      </c>
      <c r="G200" s="4" t="s">
        <v>33</v>
      </c>
      <c r="H200" s="4">
        <v>13</v>
      </c>
      <c r="I200" s="5">
        <v>0.24063657407407407</v>
      </c>
      <c r="J200" s="5">
        <v>0.23354166666666668</v>
      </c>
      <c r="K200" s="5">
        <f t="shared" si="4"/>
        <v>1.7964743589743589E-2</v>
      </c>
      <c r="L200" s="5">
        <v>0.14937500000000001</v>
      </c>
      <c r="M200" s="6">
        <f t="shared" si="5"/>
        <v>0.62074936270501668</v>
      </c>
      <c r="N200" s="5">
        <v>1.9097222222222224E-2</v>
      </c>
      <c r="O200" s="5">
        <v>7.3379629629629628E-3</v>
      </c>
      <c r="P200" s="5"/>
      <c r="Q200" s="5">
        <v>1.119212962962963E-2</v>
      </c>
      <c r="R200" s="5"/>
      <c r="S200" s="5">
        <v>1.0474537037037037E-2</v>
      </c>
      <c r="T200" s="5">
        <v>8.9467592592592585E-3</v>
      </c>
      <c r="U200" s="5">
        <v>5.6041666666666663E-2</v>
      </c>
      <c r="V200" s="5"/>
      <c r="W200" s="5">
        <v>3.6284722222222225E-2</v>
      </c>
    </row>
    <row r="201" spans="1:23" x14ac:dyDescent="0.25">
      <c r="A201" s="2">
        <v>46237</v>
      </c>
      <c r="B201" s="3" t="s">
        <v>138</v>
      </c>
      <c r="C201" s="3" t="s">
        <v>556</v>
      </c>
      <c r="D201" s="3" t="s">
        <v>104</v>
      </c>
      <c r="E201" s="3" t="s">
        <v>31</v>
      </c>
      <c r="F201" s="3" t="s">
        <v>105</v>
      </c>
      <c r="G201" s="4" t="s">
        <v>106</v>
      </c>
      <c r="H201" s="4">
        <v>16</v>
      </c>
      <c r="I201" s="5">
        <v>0.23188657407407406</v>
      </c>
      <c r="J201" s="5">
        <v>0.19341435185185185</v>
      </c>
      <c r="K201" s="5">
        <f t="shared" si="4"/>
        <v>1.2088396990740741E-2</v>
      </c>
      <c r="L201" s="5">
        <v>9.0810185185185188E-2</v>
      </c>
      <c r="M201" s="6">
        <f t="shared" si="5"/>
        <v>0.39161467431994013</v>
      </c>
      <c r="N201" s="5">
        <v>6.2615740740740739E-3</v>
      </c>
      <c r="O201" s="5">
        <v>1.7534722222222222E-2</v>
      </c>
      <c r="P201" s="5"/>
      <c r="Q201" s="5"/>
      <c r="R201" s="5">
        <v>4.1666666666666666E-3</v>
      </c>
      <c r="S201" s="5">
        <v>1.681712962962963E-2</v>
      </c>
      <c r="T201" s="5">
        <v>9.5833333333333326E-3</v>
      </c>
      <c r="U201" s="5">
        <v>1.4074074074074074E-2</v>
      </c>
      <c r="V201" s="5"/>
      <c r="W201" s="5">
        <v>2.2361111111111109E-2</v>
      </c>
    </row>
    <row r="202" spans="1:23" x14ac:dyDescent="0.25">
      <c r="A202" s="2">
        <v>46237</v>
      </c>
      <c r="B202" s="3" t="s">
        <v>276</v>
      </c>
      <c r="C202" s="3" t="s">
        <v>532</v>
      </c>
      <c r="D202" s="3" t="s">
        <v>233</v>
      </c>
      <c r="E202" s="3" t="s">
        <v>31</v>
      </c>
      <c r="F202" s="3" t="s">
        <v>32</v>
      </c>
      <c r="G202" s="4" t="s">
        <v>106</v>
      </c>
      <c r="H202" s="4">
        <v>41</v>
      </c>
      <c r="I202" s="5">
        <v>0.26269675925925928</v>
      </c>
      <c r="J202" s="5">
        <v>0.13099537037037037</v>
      </c>
      <c r="K202" s="5">
        <f t="shared" si="4"/>
        <v>3.1950090334236674E-3</v>
      </c>
      <c r="L202" s="5">
        <v>5.3506944444444447E-2</v>
      </c>
      <c r="M202" s="6">
        <f t="shared" si="5"/>
        <v>0.2036833061638102</v>
      </c>
      <c r="N202" s="5">
        <v>8.9236111111111113E-3</v>
      </c>
      <c r="O202" s="5">
        <v>1.863425925925926E-2</v>
      </c>
      <c r="P202" s="5"/>
      <c r="Q202" s="5"/>
      <c r="R202" s="5"/>
      <c r="S202" s="5">
        <v>1.4722222222222222E-2</v>
      </c>
      <c r="T202" s="5">
        <v>1.0810185185185185E-2</v>
      </c>
      <c r="U202" s="5">
        <v>1.3888888888888889E-4</v>
      </c>
      <c r="V202" s="5"/>
      <c r="W202" s="5">
        <v>2.7777777777777778E-4</v>
      </c>
    </row>
    <row r="203" spans="1:23" x14ac:dyDescent="0.25">
      <c r="A203" s="2">
        <v>46237</v>
      </c>
      <c r="B203" s="3" t="s">
        <v>278</v>
      </c>
      <c r="C203" s="3" t="s">
        <v>533</v>
      </c>
      <c r="D203" s="3" t="s">
        <v>233</v>
      </c>
      <c r="E203" s="3" t="s">
        <v>31</v>
      </c>
      <c r="F203" s="3" t="s">
        <v>32</v>
      </c>
      <c r="G203" s="4" t="s">
        <v>106</v>
      </c>
      <c r="H203" s="4">
        <v>29</v>
      </c>
      <c r="I203" s="5">
        <v>0.26671296296296299</v>
      </c>
      <c r="J203" s="5">
        <v>0.13844907407407409</v>
      </c>
      <c r="K203" s="5">
        <f t="shared" si="4"/>
        <v>4.774106002554279E-3</v>
      </c>
      <c r="L203" s="5">
        <v>3.4664351851851849E-2</v>
      </c>
      <c r="M203" s="6">
        <f t="shared" si="5"/>
        <v>0.12996875542440547</v>
      </c>
      <c r="N203" s="5">
        <v>3.4375E-3</v>
      </c>
      <c r="O203" s="5">
        <v>1.4143518518518519E-2</v>
      </c>
      <c r="P203" s="5"/>
      <c r="Q203" s="5"/>
      <c r="R203" s="5"/>
      <c r="S203" s="5">
        <v>1.4965277777777777E-2</v>
      </c>
      <c r="T203" s="5">
        <v>2.1180555555555558E-3</v>
      </c>
      <c r="U203" s="5"/>
      <c r="V203" s="5"/>
      <c r="W203" s="5"/>
    </row>
    <row r="204" spans="1:23" x14ac:dyDescent="0.25">
      <c r="A204" s="2">
        <v>46237</v>
      </c>
      <c r="B204" s="3" t="s">
        <v>313</v>
      </c>
      <c r="C204" s="3" t="s">
        <v>511</v>
      </c>
      <c r="D204" s="3" t="s">
        <v>78</v>
      </c>
      <c r="E204" s="3" t="s">
        <v>79</v>
      </c>
      <c r="F204" s="3" t="s">
        <v>80</v>
      </c>
      <c r="G204" s="4" t="s">
        <v>81</v>
      </c>
      <c r="H204" s="4">
        <v>2</v>
      </c>
      <c r="I204" s="5">
        <v>0.24265046296296297</v>
      </c>
      <c r="J204" s="5">
        <v>4.4444444444444444E-3</v>
      </c>
      <c r="K204" s="5">
        <f t="shared" si="4"/>
        <v>2.2222222222222222E-3</v>
      </c>
      <c r="L204" s="5">
        <v>1.2662037037037038E-2</v>
      </c>
      <c r="M204" s="6">
        <f t="shared" si="5"/>
        <v>5.21822084426425E-2</v>
      </c>
      <c r="N204" s="5"/>
      <c r="O204" s="5"/>
      <c r="P204" s="5"/>
      <c r="Q204" s="5"/>
      <c r="R204" s="5"/>
      <c r="S204" s="5">
        <v>1.2453703703703703E-2</v>
      </c>
      <c r="T204" s="5">
        <v>1.5046296296296297E-4</v>
      </c>
      <c r="U204" s="5">
        <v>5.7870370370370373E-5</v>
      </c>
      <c r="V204" s="5"/>
      <c r="W204" s="5"/>
    </row>
    <row r="205" spans="1:23" x14ac:dyDescent="0.25">
      <c r="A205" s="2">
        <v>46237</v>
      </c>
      <c r="B205" s="3" t="s">
        <v>673</v>
      </c>
      <c r="C205" s="3" t="s">
        <v>674</v>
      </c>
      <c r="D205" s="3" t="s">
        <v>104</v>
      </c>
      <c r="E205" s="3" t="s">
        <v>31</v>
      </c>
      <c r="F205" s="3" t="s">
        <v>105</v>
      </c>
      <c r="G205" s="4" t="s">
        <v>106</v>
      </c>
      <c r="H205" s="4">
        <v>14</v>
      </c>
      <c r="I205" s="5">
        <v>0.25037037037037035</v>
      </c>
      <c r="J205" s="5">
        <v>0.19850694444444444</v>
      </c>
      <c r="K205" s="5">
        <f t="shared" si="4"/>
        <v>1.417906746031746E-2</v>
      </c>
      <c r="L205" s="5">
        <v>0.13590277777777779</v>
      </c>
      <c r="M205" s="6">
        <f t="shared" si="5"/>
        <v>0.54280695266272194</v>
      </c>
      <c r="N205" s="5">
        <v>8.4837962962962966E-3</v>
      </c>
      <c r="O205" s="5">
        <v>1.6226851851851853E-2</v>
      </c>
      <c r="P205" s="5"/>
      <c r="Q205" s="5"/>
      <c r="R205" s="5"/>
      <c r="S205" s="5">
        <v>1.5775462962962963E-2</v>
      </c>
      <c r="T205" s="5">
        <v>6.9444444444444444E-5</v>
      </c>
      <c r="U205" s="5">
        <v>1.7592592592592592E-3</v>
      </c>
      <c r="V205" s="5"/>
      <c r="W205" s="5">
        <v>9.3587962962962956E-2</v>
      </c>
    </row>
    <row r="206" spans="1:23" x14ac:dyDescent="0.25">
      <c r="A206" s="2">
        <v>46237</v>
      </c>
      <c r="B206" s="3" t="s">
        <v>225</v>
      </c>
      <c r="C206" s="3" t="s">
        <v>549</v>
      </c>
      <c r="D206" s="3" t="s">
        <v>601</v>
      </c>
      <c r="E206" s="3" t="s">
        <v>31</v>
      </c>
      <c r="F206" s="3" t="s">
        <v>105</v>
      </c>
      <c r="G206" s="4" t="s">
        <v>33</v>
      </c>
      <c r="H206" s="4">
        <v>13</v>
      </c>
      <c r="I206" s="5">
        <v>0.2568171296296296</v>
      </c>
      <c r="J206" s="5">
        <v>0.34709490740740739</v>
      </c>
      <c r="K206" s="5">
        <f t="shared" si="4"/>
        <v>2.6699608262108262E-2</v>
      </c>
      <c r="L206" s="5">
        <v>5.1712962962962961E-2</v>
      </c>
      <c r="M206" s="6">
        <f t="shared" si="5"/>
        <v>0.20136103474694669</v>
      </c>
      <c r="N206" s="5">
        <v>3.9814814814814817E-3</v>
      </c>
      <c r="O206" s="5">
        <v>7.2106481481481483E-3</v>
      </c>
      <c r="P206" s="5"/>
      <c r="Q206" s="5"/>
      <c r="R206" s="5"/>
      <c r="S206" s="5">
        <v>1.3738425925925926E-2</v>
      </c>
      <c r="T206" s="5">
        <v>6.9444444444444444E-5</v>
      </c>
      <c r="U206" s="5">
        <v>4.6296296296296298E-4</v>
      </c>
      <c r="V206" s="5"/>
      <c r="W206" s="5">
        <v>2.6226851851851852E-2</v>
      </c>
    </row>
    <row r="207" spans="1:23" x14ac:dyDescent="0.25">
      <c r="A207" s="2">
        <v>46237</v>
      </c>
      <c r="B207" s="3" t="s">
        <v>70</v>
      </c>
      <c r="C207" s="3" t="s">
        <v>71</v>
      </c>
      <c r="D207" s="3" t="s">
        <v>78</v>
      </c>
      <c r="E207" s="3" t="s">
        <v>79</v>
      </c>
      <c r="F207" s="3" t="s">
        <v>80</v>
      </c>
      <c r="G207" s="4" t="s">
        <v>33</v>
      </c>
      <c r="H207" s="4">
        <v>0</v>
      </c>
      <c r="I207" s="5">
        <v>0.33854166666666669</v>
      </c>
      <c r="J207" s="5">
        <v>0</v>
      </c>
      <c r="K207" s="5">
        <f t="shared" si="4"/>
        <v>0</v>
      </c>
      <c r="L207" s="5">
        <v>6.3217592592592589E-2</v>
      </c>
      <c r="M207" s="6">
        <f t="shared" si="5"/>
        <v>0.18673504273504271</v>
      </c>
      <c r="N207" s="5"/>
      <c r="O207" s="5">
        <v>4.2187500000000003E-2</v>
      </c>
      <c r="P207" s="5"/>
      <c r="Q207" s="5"/>
      <c r="R207" s="5"/>
      <c r="S207" s="5">
        <v>1.7662037037037039E-2</v>
      </c>
      <c r="T207" s="5">
        <v>2.8240740740740739E-3</v>
      </c>
      <c r="U207" s="5">
        <v>5.3240740740740744E-4</v>
      </c>
      <c r="V207" s="5"/>
      <c r="W207" s="5"/>
    </row>
    <row r="208" spans="1:23" x14ac:dyDescent="0.25">
      <c r="A208" s="2">
        <v>46237</v>
      </c>
      <c r="B208" s="3" t="s">
        <v>280</v>
      </c>
      <c r="C208" s="3" t="s">
        <v>534</v>
      </c>
      <c r="D208" s="3" t="s">
        <v>233</v>
      </c>
      <c r="E208" s="3" t="s">
        <v>31</v>
      </c>
      <c r="F208" s="3" t="s">
        <v>32</v>
      </c>
      <c r="G208" s="4" t="s">
        <v>106</v>
      </c>
      <c r="H208" s="4">
        <v>39</v>
      </c>
      <c r="I208" s="5">
        <v>0.25284722222222222</v>
      </c>
      <c r="J208" s="5">
        <v>0.11961805555555556</v>
      </c>
      <c r="K208" s="5">
        <f t="shared" si="4"/>
        <v>3.0671296296296297E-3</v>
      </c>
      <c r="L208" s="5">
        <v>3.8078703703703705E-2</v>
      </c>
      <c r="M208" s="6">
        <f t="shared" si="5"/>
        <v>0.15059965211022613</v>
      </c>
      <c r="N208" s="5">
        <v>5.5208333333333333E-3</v>
      </c>
      <c r="O208" s="5">
        <v>1.6446759259259258E-2</v>
      </c>
      <c r="P208" s="5"/>
      <c r="Q208" s="5"/>
      <c r="R208" s="5"/>
      <c r="S208" s="5">
        <v>1.59375E-2</v>
      </c>
      <c r="T208" s="5">
        <v>1.7361111111111112E-4</v>
      </c>
      <c r="U208" s="5"/>
      <c r="V208" s="5"/>
      <c r="W208" s="5"/>
    </row>
    <row r="209" spans="1:23" x14ac:dyDescent="0.25">
      <c r="A209" s="2">
        <v>46237</v>
      </c>
      <c r="B209" s="3" t="s">
        <v>299</v>
      </c>
      <c r="C209" s="3" t="s">
        <v>571</v>
      </c>
      <c r="D209" s="3" t="s">
        <v>104</v>
      </c>
      <c r="E209" s="3" t="s">
        <v>31</v>
      </c>
      <c r="F209" s="3" t="s">
        <v>105</v>
      </c>
      <c r="G209" s="4" t="s">
        <v>106</v>
      </c>
      <c r="H209" s="4">
        <v>13</v>
      </c>
      <c r="I209" s="5">
        <v>0.26898148148148149</v>
      </c>
      <c r="J209" s="5">
        <v>0.25300925925925927</v>
      </c>
      <c r="K209" s="5">
        <f t="shared" si="4"/>
        <v>1.9462250712250714E-2</v>
      </c>
      <c r="L209" s="5">
        <v>5.1770833333333335E-2</v>
      </c>
      <c r="M209" s="6">
        <f t="shared" si="5"/>
        <v>0.19246987951807229</v>
      </c>
      <c r="N209" s="5"/>
      <c r="O209" s="5">
        <v>1.3969907407407407E-2</v>
      </c>
      <c r="P209" s="5"/>
      <c r="Q209" s="5"/>
      <c r="R209" s="5"/>
      <c r="S209" s="5">
        <v>1.4502314814814815E-2</v>
      </c>
      <c r="T209" s="5">
        <v>1.1574074074074075E-4</v>
      </c>
      <c r="U209" s="5">
        <v>1.1793981481481482E-2</v>
      </c>
      <c r="V209" s="5"/>
      <c r="W209" s="5">
        <v>1.1388888888888889E-2</v>
      </c>
    </row>
    <row r="210" spans="1:23" x14ac:dyDescent="0.25">
      <c r="A210" s="2">
        <v>46237</v>
      </c>
      <c r="B210" s="3" t="s">
        <v>227</v>
      </c>
      <c r="C210" s="3" t="s">
        <v>557</v>
      </c>
      <c r="D210" s="3" t="s">
        <v>146</v>
      </c>
      <c r="E210" s="3" t="s">
        <v>79</v>
      </c>
      <c r="F210" s="3" t="s">
        <v>147</v>
      </c>
      <c r="G210" s="4" t="s">
        <v>106</v>
      </c>
      <c r="H210" s="4">
        <v>8</v>
      </c>
      <c r="I210" s="5">
        <v>0.26608796296296294</v>
      </c>
      <c r="J210" s="5">
        <v>2.9074074074074075E-2</v>
      </c>
      <c r="K210" s="5">
        <f t="shared" si="4"/>
        <v>3.6342592592592594E-3</v>
      </c>
      <c r="L210" s="5">
        <v>6.9375000000000006E-2</v>
      </c>
      <c r="M210" s="6">
        <f t="shared" si="5"/>
        <v>0.26072205306655072</v>
      </c>
      <c r="N210" s="5">
        <v>1.1493055555555555E-2</v>
      </c>
      <c r="O210" s="5">
        <v>1.7187500000000001E-2</v>
      </c>
      <c r="P210" s="5">
        <v>7.743055555555556E-3</v>
      </c>
      <c r="Q210" s="5">
        <v>2.2534722222222223E-2</v>
      </c>
      <c r="R210" s="5"/>
      <c r="S210" s="5">
        <v>9.3518518518518525E-3</v>
      </c>
      <c r="T210" s="5">
        <v>2.3148148148148149E-4</v>
      </c>
      <c r="U210" s="5">
        <v>7.7546296296296293E-4</v>
      </c>
      <c r="V210" s="5"/>
      <c r="W210" s="5"/>
    </row>
    <row r="211" spans="1:23" x14ac:dyDescent="0.25">
      <c r="A211" s="2">
        <v>46237</v>
      </c>
      <c r="B211" s="3" t="s">
        <v>282</v>
      </c>
      <c r="C211" s="3" t="s">
        <v>535</v>
      </c>
      <c r="D211" s="3" t="s">
        <v>233</v>
      </c>
      <c r="E211" s="3" t="s">
        <v>31</v>
      </c>
      <c r="F211" s="3" t="s">
        <v>32</v>
      </c>
      <c r="G211" s="4" t="s">
        <v>106</v>
      </c>
      <c r="H211" s="4">
        <v>62</v>
      </c>
      <c r="I211" s="5">
        <v>0.25888888888888889</v>
      </c>
      <c r="J211" s="5">
        <v>0.12487268518518518</v>
      </c>
      <c r="K211" s="5">
        <f t="shared" si="4"/>
        <v>2.014075567502987E-3</v>
      </c>
      <c r="L211" s="5">
        <v>4.3645833333333335E-2</v>
      </c>
      <c r="M211" s="6">
        <f t="shared" si="5"/>
        <v>0.16858905579399142</v>
      </c>
      <c r="N211" s="5">
        <v>9.0046296296296298E-3</v>
      </c>
      <c r="O211" s="5">
        <v>1.6273148148148148E-2</v>
      </c>
      <c r="P211" s="5"/>
      <c r="Q211" s="5">
        <v>2.0949074074074073E-3</v>
      </c>
      <c r="R211" s="5"/>
      <c r="S211" s="5">
        <v>1.6087962962962964E-2</v>
      </c>
      <c r="T211" s="5">
        <v>1.8518518518518518E-4</v>
      </c>
      <c r="U211" s="5"/>
      <c r="V211" s="5"/>
      <c r="W211" s="5"/>
    </row>
    <row r="212" spans="1:23" x14ac:dyDescent="0.25">
      <c r="A212" s="2">
        <v>46237</v>
      </c>
      <c r="B212" s="3" t="s">
        <v>675</v>
      </c>
      <c r="C212" s="3" t="s">
        <v>676</v>
      </c>
      <c r="D212" s="3" t="s">
        <v>104</v>
      </c>
      <c r="E212" s="3" t="s">
        <v>31</v>
      </c>
      <c r="F212" s="3" t="s">
        <v>105</v>
      </c>
      <c r="G212" s="4" t="s">
        <v>106</v>
      </c>
      <c r="H212" s="4">
        <v>10</v>
      </c>
      <c r="I212" s="5">
        <v>0.25798611111111114</v>
      </c>
      <c r="J212" s="5">
        <v>0.23590277777777777</v>
      </c>
      <c r="K212" s="5">
        <f t="shared" si="4"/>
        <v>2.3590277777777776E-2</v>
      </c>
      <c r="L212" s="5">
        <v>8.2349537037037041E-2</v>
      </c>
      <c r="M212" s="6">
        <f t="shared" si="5"/>
        <v>0.31920143562135483</v>
      </c>
      <c r="N212" s="5"/>
      <c r="O212" s="5">
        <v>1.4421296296296297E-2</v>
      </c>
      <c r="P212" s="5"/>
      <c r="Q212" s="5"/>
      <c r="R212" s="5"/>
      <c r="S212" s="5">
        <v>1.4247685185185184E-2</v>
      </c>
      <c r="T212" s="5">
        <v>1.5277777777777779E-3</v>
      </c>
      <c r="U212" s="5">
        <v>1.7476851851851852E-3</v>
      </c>
      <c r="V212" s="5"/>
      <c r="W212" s="5">
        <v>5.0405092592592592E-2</v>
      </c>
    </row>
    <row r="213" spans="1:23" x14ac:dyDescent="0.25">
      <c r="A213" s="2">
        <v>46237</v>
      </c>
      <c r="B213" s="3" t="s">
        <v>677</v>
      </c>
      <c r="C213" s="3" t="s">
        <v>678</v>
      </c>
      <c r="D213" s="3" t="s">
        <v>274</v>
      </c>
      <c r="E213" s="3" t="s">
        <v>79</v>
      </c>
      <c r="F213" s="3" t="s">
        <v>147</v>
      </c>
      <c r="G213" s="4" t="s">
        <v>33</v>
      </c>
      <c r="H213" s="4">
        <v>25</v>
      </c>
      <c r="I213" s="5">
        <v>0.26369212962962962</v>
      </c>
      <c r="J213" s="5">
        <v>6.3090277777777773E-2</v>
      </c>
      <c r="K213" s="5">
        <f t="shared" ref="K213:K276" si="6">IFERROR(J213/H213,0)</f>
        <v>2.523611111111111E-3</v>
      </c>
      <c r="L213" s="5">
        <v>4.5162037037037035E-2</v>
      </c>
      <c r="M213" s="6">
        <f t="shared" ref="M213:M276" si="7">IFERROR(L213/I213,0)</f>
        <v>0.17126805073958654</v>
      </c>
      <c r="N213" s="5">
        <v>3.7384259259259259E-3</v>
      </c>
      <c r="O213" s="5">
        <v>1.4872685185185185E-2</v>
      </c>
      <c r="P213" s="5"/>
      <c r="Q213" s="5">
        <v>1.0601851851851852E-2</v>
      </c>
      <c r="R213" s="5"/>
      <c r="S213" s="5">
        <v>1.4085648148148147E-2</v>
      </c>
      <c r="T213" s="5">
        <v>1.4004629629629629E-3</v>
      </c>
      <c r="U213" s="5">
        <v>4.3981481481481481E-4</v>
      </c>
      <c r="V213" s="5"/>
      <c r="W213" s="5"/>
    </row>
    <row r="214" spans="1:23" x14ac:dyDescent="0.25">
      <c r="A214" s="2">
        <v>46237</v>
      </c>
      <c r="B214" s="3" t="s">
        <v>679</v>
      </c>
      <c r="C214" s="3" t="s">
        <v>680</v>
      </c>
      <c r="D214" s="3" t="s">
        <v>274</v>
      </c>
      <c r="E214" s="3" t="s">
        <v>79</v>
      </c>
      <c r="F214" s="3" t="s">
        <v>147</v>
      </c>
      <c r="G214" s="4" t="s">
        <v>33</v>
      </c>
      <c r="H214" s="4">
        <v>21</v>
      </c>
      <c r="I214" s="5">
        <v>0.26140046296296299</v>
      </c>
      <c r="J214" s="5">
        <v>5.7118055555555554E-2</v>
      </c>
      <c r="K214" s="5">
        <f t="shared" si="6"/>
        <v>2.7199074074074074E-3</v>
      </c>
      <c r="L214" s="5">
        <v>5.4618055555555559E-2</v>
      </c>
      <c r="M214" s="6">
        <f t="shared" si="7"/>
        <v>0.20894398937347797</v>
      </c>
      <c r="N214" s="5">
        <v>9.479166666666667E-3</v>
      </c>
      <c r="O214" s="5">
        <v>3.0439814814814815E-2</v>
      </c>
      <c r="P214" s="5"/>
      <c r="Q214" s="5">
        <v>1.4027777777777778E-2</v>
      </c>
      <c r="R214" s="5"/>
      <c r="S214" s="5">
        <v>6.018518518518519E-4</v>
      </c>
      <c r="T214" s="5">
        <v>6.9444444444444444E-5</v>
      </c>
      <c r="U214" s="5"/>
      <c r="V214" s="5"/>
      <c r="W214" s="5"/>
    </row>
    <row r="215" spans="1:23" x14ac:dyDescent="0.25">
      <c r="A215" s="2">
        <v>46238</v>
      </c>
      <c r="B215" s="3" t="s">
        <v>186</v>
      </c>
      <c r="C215" s="3" t="s">
        <v>562</v>
      </c>
      <c r="D215" s="3" t="s">
        <v>78</v>
      </c>
      <c r="E215" s="3" t="s">
        <v>79</v>
      </c>
      <c r="F215" s="3" t="s">
        <v>80</v>
      </c>
      <c r="G215" s="4" t="s">
        <v>33</v>
      </c>
      <c r="H215" s="4">
        <v>3</v>
      </c>
      <c r="I215" s="5">
        <v>0.30253472222222222</v>
      </c>
      <c r="J215" s="5">
        <v>7.6041666666666671E-3</v>
      </c>
      <c r="K215" s="5">
        <f t="shared" si="6"/>
        <v>2.5347222222222225E-3</v>
      </c>
      <c r="L215" s="5">
        <v>0.11115740740740741</v>
      </c>
      <c r="M215" s="6">
        <f t="shared" si="7"/>
        <v>0.36742032977543138</v>
      </c>
      <c r="N215" s="5">
        <v>1.0960648148148148E-2</v>
      </c>
      <c r="O215" s="5">
        <v>1.4907407407407407E-2</v>
      </c>
      <c r="P215" s="5"/>
      <c r="Q215" s="5"/>
      <c r="R215" s="5"/>
      <c r="S215" s="5">
        <v>1.3935185185185186E-2</v>
      </c>
      <c r="T215" s="5">
        <v>6.9444444444444444E-5</v>
      </c>
      <c r="U215" s="5">
        <v>1.1574074074074075E-4</v>
      </c>
      <c r="V215" s="5"/>
      <c r="W215" s="5">
        <v>7.1168981481481486E-2</v>
      </c>
    </row>
    <row r="216" spans="1:23" x14ac:dyDescent="0.25">
      <c r="A216" s="2">
        <v>46238</v>
      </c>
      <c r="B216" s="3" t="s">
        <v>643</v>
      </c>
      <c r="C216" s="3" t="s">
        <v>644</v>
      </c>
      <c r="D216" s="3" t="s">
        <v>233</v>
      </c>
      <c r="E216" s="3" t="s">
        <v>31</v>
      </c>
      <c r="F216" s="3" t="s">
        <v>32</v>
      </c>
      <c r="G216" s="4" t="s">
        <v>106</v>
      </c>
      <c r="H216" s="4">
        <v>23</v>
      </c>
      <c r="I216" s="5">
        <v>0.26042824074074072</v>
      </c>
      <c r="J216" s="5">
        <v>0.16446759259259258</v>
      </c>
      <c r="K216" s="5">
        <f t="shared" si="6"/>
        <v>7.1507648953301126E-3</v>
      </c>
      <c r="L216" s="5">
        <v>3.9629629629629633E-2</v>
      </c>
      <c r="M216" s="6">
        <f t="shared" si="7"/>
        <v>0.1521710146215724</v>
      </c>
      <c r="N216" s="5">
        <v>2.1990740740740742E-3</v>
      </c>
      <c r="O216" s="5">
        <v>1.4398148148148148E-2</v>
      </c>
      <c r="P216" s="5"/>
      <c r="Q216" s="5">
        <v>6.7476851851851856E-3</v>
      </c>
      <c r="R216" s="5"/>
      <c r="S216" s="5">
        <v>1.3888888888888888E-2</v>
      </c>
      <c r="T216" s="5">
        <v>1.8518518518518518E-4</v>
      </c>
      <c r="U216" s="5">
        <v>2.1643518518518518E-3</v>
      </c>
      <c r="V216" s="5"/>
      <c r="W216" s="5"/>
    </row>
    <row r="217" spans="1:23" x14ac:dyDescent="0.25">
      <c r="A217" s="2">
        <v>46238</v>
      </c>
      <c r="B217" s="3" t="s">
        <v>193</v>
      </c>
      <c r="C217" s="3" t="s">
        <v>563</v>
      </c>
      <c r="D217" s="3" t="s">
        <v>274</v>
      </c>
      <c r="E217" s="3" t="s">
        <v>79</v>
      </c>
      <c r="F217" s="3" t="s">
        <v>147</v>
      </c>
      <c r="G217" s="4" t="s">
        <v>33</v>
      </c>
      <c r="H217" s="4">
        <v>23</v>
      </c>
      <c r="I217" s="5">
        <v>0.25649305555555557</v>
      </c>
      <c r="J217" s="5">
        <v>0.10039351851851852</v>
      </c>
      <c r="K217" s="5">
        <f t="shared" si="6"/>
        <v>4.3649355877616747E-3</v>
      </c>
      <c r="L217" s="5">
        <v>2.9131944444444443E-2</v>
      </c>
      <c r="M217" s="6">
        <f t="shared" si="7"/>
        <v>0.11357790713415458</v>
      </c>
      <c r="N217" s="5"/>
      <c r="O217" s="5">
        <v>1.3935185185185186E-2</v>
      </c>
      <c r="P217" s="5"/>
      <c r="Q217" s="5"/>
      <c r="R217" s="5"/>
      <c r="S217" s="5">
        <v>1.3969907407407407E-2</v>
      </c>
      <c r="T217" s="5">
        <v>4.7453703703703704E-4</v>
      </c>
      <c r="U217" s="5">
        <v>6.9444444444444447E-4</v>
      </c>
      <c r="V217" s="5"/>
      <c r="W217" s="5"/>
    </row>
    <row r="218" spans="1:23" x14ac:dyDescent="0.25">
      <c r="A218" s="2">
        <v>46238</v>
      </c>
      <c r="B218" s="3" t="s">
        <v>231</v>
      </c>
      <c r="C218" s="3" t="s">
        <v>525</v>
      </c>
      <c r="D218" s="3" t="s">
        <v>233</v>
      </c>
      <c r="E218" s="3" t="s">
        <v>31</v>
      </c>
      <c r="F218" s="3" t="s">
        <v>32</v>
      </c>
      <c r="G218" s="4" t="s">
        <v>106</v>
      </c>
      <c r="H218" s="4">
        <v>33</v>
      </c>
      <c r="I218" s="5">
        <v>0.25877314814814817</v>
      </c>
      <c r="J218" s="5">
        <v>0.17288194444444444</v>
      </c>
      <c r="K218" s="5">
        <f t="shared" si="6"/>
        <v>5.2388468013468007E-3</v>
      </c>
      <c r="L218" s="5">
        <v>4.2141203703703702E-2</v>
      </c>
      <c r="M218" s="6">
        <f t="shared" si="7"/>
        <v>0.16284998658198405</v>
      </c>
      <c r="N218" s="5">
        <v>1.8055555555555555E-3</v>
      </c>
      <c r="O218" s="5">
        <v>1.4212962962962964E-2</v>
      </c>
      <c r="P218" s="5"/>
      <c r="Q218" s="5"/>
      <c r="R218" s="5"/>
      <c r="S218" s="5">
        <v>1.3518518518518518E-2</v>
      </c>
      <c r="T218" s="5">
        <v>1.1087962962962963E-2</v>
      </c>
      <c r="U218" s="5">
        <v>1.5162037037037036E-3</v>
      </c>
      <c r="V218" s="5"/>
      <c r="W218" s="5"/>
    </row>
    <row r="219" spans="1:23" x14ac:dyDescent="0.25">
      <c r="A219" s="2">
        <v>46238</v>
      </c>
      <c r="B219" s="3" t="s">
        <v>148</v>
      </c>
      <c r="C219" s="3" t="s">
        <v>513</v>
      </c>
      <c r="D219" s="3" t="s">
        <v>104</v>
      </c>
      <c r="E219" s="3" t="s">
        <v>31</v>
      </c>
      <c r="F219" s="3" t="s">
        <v>105</v>
      </c>
      <c r="G219" s="4" t="s">
        <v>106</v>
      </c>
      <c r="H219" s="4">
        <v>19</v>
      </c>
      <c r="I219" s="5">
        <v>0.2530324074074074</v>
      </c>
      <c r="J219" s="5">
        <v>0.22578703703703704</v>
      </c>
      <c r="K219" s="5">
        <f t="shared" si="6"/>
        <v>1.1883528265107213E-2</v>
      </c>
      <c r="L219" s="5">
        <v>8.9293981481481488E-2</v>
      </c>
      <c r="M219" s="6">
        <f t="shared" si="7"/>
        <v>0.35289543500137227</v>
      </c>
      <c r="N219" s="5">
        <v>4.4791666666666669E-3</v>
      </c>
      <c r="O219" s="5">
        <v>1.6215277777777776E-2</v>
      </c>
      <c r="P219" s="5"/>
      <c r="Q219" s="5">
        <v>2.3321759259259261E-2</v>
      </c>
      <c r="R219" s="5"/>
      <c r="S219" s="5">
        <v>1.5358796296296296E-2</v>
      </c>
      <c r="T219" s="5">
        <v>1.1597222222222222E-2</v>
      </c>
      <c r="U219" s="5">
        <v>3.6226851851851854E-3</v>
      </c>
      <c r="V219" s="5"/>
      <c r="W219" s="5">
        <v>1.4652777777777778E-2</v>
      </c>
    </row>
    <row r="220" spans="1:23" x14ac:dyDescent="0.25">
      <c r="A220" s="2">
        <v>46238</v>
      </c>
      <c r="B220" s="3" t="s">
        <v>82</v>
      </c>
      <c r="C220" s="3" t="s">
        <v>83</v>
      </c>
      <c r="D220" s="3" t="s">
        <v>78</v>
      </c>
      <c r="E220" s="3" t="s">
        <v>79</v>
      </c>
      <c r="F220" s="3" t="s">
        <v>80</v>
      </c>
      <c r="G220" s="4" t="s">
        <v>81</v>
      </c>
      <c r="H220" s="4">
        <v>0</v>
      </c>
      <c r="I220" s="5">
        <v>0</v>
      </c>
      <c r="J220" s="5">
        <v>0</v>
      </c>
      <c r="K220" s="5">
        <f t="shared" si="6"/>
        <v>0</v>
      </c>
      <c r="L220" s="5">
        <v>0</v>
      </c>
      <c r="M220" s="6">
        <f t="shared" si="7"/>
        <v>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25">
      <c r="A221" s="2">
        <v>46238</v>
      </c>
      <c r="B221" s="3" t="s">
        <v>234</v>
      </c>
      <c r="C221" s="3" t="s">
        <v>550</v>
      </c>
      <c r="D221" s="3" t="s">
        <v>233</v>
      </c>
      <c r="E221" s="3" t="s">
        <v>31</v>
      </c>
      <c r="F221" s="3" t="s">
        <v>32</v>
      </c>
      <c r="G221" s="4" t="s">
        <v>106</v>
      </c>
      <c r="H221" s="4">
        <v>0</v>
      </c>
      <c r="I221" s="5">
        <v>3.4027777777777776E-3</v>
      </c>
      <c r="J221" s="5">
        <v>0</v>
      </c>
      <c r="K221" s="5">
        <f t="shared" si="6"/>
        <v>0</v>
      </c>
      <c r="L221" s="5">
        <v>3.3796296296296296E-3</v>
      </c>
      <c r="M221" s="6">
        <f t="shared" si="7"/>
        <v>0.99319727891156462</v>
      </c>
      <c r="N221" s="5"/>
      <c r="O221" s="5"/>
      <c r="P221" s="5"/>
      <c r="Q221" s="5"/>
      <c r="R221" s="5"/>
      <c r="S221" s="5"/>
      <c r="T221" s="5">
        <v>3.3796296296296296E-3</v>
      </c>
      <c r="U221" s="5"/>
      <c r="V221" s="5"/>
      <c r="W221" s="5"/>
    </row>
    <row r="222" spans="1:23" x14ac:dyDescent="0.25">
      <c r="A222" s="2">
        <v>46238</v>
      </c>
      <c r="B222" s="3" t="s">
        <v>34</v>
      </c>
      <c r="C222" s="3" t="s">
        <v>505</v>
      </c>
      <c r="D222" s="3" t="s">
        <v>233</v>
      </c>
      <c r="E222" s="3" t="s">
        <v>31</v>
      </c>
      <c r="F222" s="3" t="s">
        <v>32</v>
      </c>
      <c r="G222" s="4" t="s">
        <v>106</v>
      </c>
      <c r="H222" s="4">
        <v>43</v>
      </c>
      <c r="I222" s="5">
        <v>0.25444444444444442</v>
      </c>
      <c r="J222" s="5">
        <v>0.15293981481481481</v>
      </c>
      <c r="K222" s="5">
        <f t="shared" si="6"/>
        <v>3.5567398794142976E-3</v>
      </c>
      <c r="L222" s="5">
        <v>5.4467592592592595E-2</v>
      </c>
      <c r="M222" s="6">
        <f t="shared" si="7"/>
        <v>0.21406477438136831</v>
      </c>
      <c r="N222" s="5">
        <v>4.0740740740740737E-3</v>
      </c>
      <c r="O222" s="5">
        <v>1.3495370370370371E-2</v>
      </c>
      <c r="P222" s="5"/>
      <c r="Q222" s="5"/>
      <c r="R222" s="5"/>
      <c r="S222" s="5">
        <v>1.3472222222222222E-2</v>
      </c>
      <c r="T222" s="5">
        <v>9.5023148148148141E-3</v>
      </c>
      <c r="U222" s="5">
        <v>1.3923611111111111E-2</v>
      </c>
      <c r="V222" s="5"/>
      <c r="W222" s="5"/>
    </row>
    <row r="223" spans="1:23" x14ac:dyDescent="0.25">
      <c r="A223" s="2">
        <v>46238</v>
      </c>
      <c r="B223" s="3" t="s">
        <v>493</v>
      </c>
      <c r="C223" s="3" t="s">
        <v>569</v>
      </c>
      <c r="D223" s="3" t="s">
        <v>104</v>
      </c>
      <c r="E223" s="3" t="s">
        <v>31</v>
      </c>
      <c r="F223" s="3" t="s">
        <v>105</v>
      </c>
      <c r="G223" s="4" t="s">
        <v>106</v>
      </c>
      <c r="H223" s="4">
        <v>19</v>
      </c>
      <c r="I223" s="5">
        <v>0.25633101851851853</v>
      </c>
      <c r="J223" s="5">
        <v>0.22144675925925925</v>
      </c>
      <c r="K223" s="5">
        <f t="shared" si="6"/>
        <v>1.1655092592592592E-2</v>
      </c>
      <c r="L223" s="5">
        <v>8.3807870370370366E-2</v>
      </c>
      <c r="M223" s="6">
        <f t="shared" si="7"/>
        <v>0.32695173161150493</v>
      </c>
      <c r="N223" s="5">
        <v>1.3541666666666667E-2</v>
      </c>
      <c r="O223" s="5">
        <v>1.8900462962962963E-2</v>
      </c>
      <c r="P223" s="5">
        <v>3.3101851851851851E-3</v>
      </c>
      <c r="Q223" s="5"/>
      <c r="R223" s="5">
        <v>1.2106481481481482E-2</v>
      </c>
      <c r="S223" s="5">
        <v>1.5081018518518518E-2</v>
      </c>
      <c r="T223" s="5">
        <v>1.0069444444444444E-3</v>
      </c>
      <c r="U223" s="5">
        <v>7.7546296296296293E-4</v>
      </c>
      <c r="V223" s="5"/>
      <c r="W223" s="5">
        <v>1.9050925925925926E-2</v>
      </c>
    </row>
    <row r="224" spans="1:23" x14ac:dyDescent="0.25">
      <c r="A224" s="2">
        <v>46238</v>
      </c>
      <c r="B224" s="3" t="s">
        <v>236</v>
      </c>
      <c r="C224" s="3" t="s">
        <v>551</v>
      </c>
      <c r="D224" s="3" t="s">
        <v>233</v>
      </c>
      <c r="E224" s="3" t="s">
        <v>31</v>
      </c>
      <c r="F224" s="3" t="s">
        <v>32</v>
      </c>
      <c r="G224" s="4" t="s">
        <v>106</v>
      </c>
      <c r="H224" s="4">
        <v>15</v>
      </c>
      <c r="I224" s="5">
        <v>0.2979398148148148</v>
      </c>
      <c r="J224" s="5">
        <v>7.7476851851851852E-2</v>
      </c>
      <c r="K224" s="5">
        <f t="shared" si="6"/>
        <v>5.1651234567901237E-3</v>
      </c>
      <c r="L224" s="5">
        <v>0.21739583333333334</v>
      </c>
      <c r="M224" s="6">
        <f t="shared" si="7"/>
        <v>0.72966358480304572</v>
      </c>
      <c r="N224" s="5">
        <v>1.5509259259259259E-2</v>
      </c>
      <c r="O224" s="5">
        <v>2.3148148148148147E-3</v>
      </c>
      <c r="P224" s="5"/>
      <c r="Q224" s="5"/>
      <c r="R224" s="5"/>
      <c r="S224" s="5">
        <v>1.1840277777777778E-2</v>
      </c>
      <c r="T224" s="5">
        <v>1.0300925925925926E-3</v>
      </c>
      <c r="U224" s="5">
        <v>7.0601851851851847E-4</v>
      </c>
      <c r="V224" s="5"/>
      <c r="W224" s="5">
        <v>0.1859837962962963</v>
      </c>
    </row>
    <row r="225" spans="1:23" x14ac:dyDescent="0.25">
      <c r="A225" s="2">
        <v>46238</v>
      </c>
      <c r="B225" s="3" t="s">
        <v>238</v>
      </c>
      <c r="C225" s="3" t="s">
        <v>526</v>
      </c>
      <c r="D225" s="3" t="s">
        <v>233</v>
      </c>
      <c r="E225" s="3" t="s">
        <v>31</v>
      </c>
      <c r="F225" s="3" t="s">
        <v>32</v>
      </c>
      <c r="G225" s="4" t="s">
        <v>106</v>
      </c>
      <c r="H225" s="4">
        <v>0</v>
      </c>
      <c r="I225" s="5">
        <v>0.21709490740740742</v>
      </c>
      <c r="J225" s="5">
        <v>0</v>
      </c>
      <c r="K225" s="5">
        <f t="shared" si="6"/>
        <v>0</v>
      </c>
      <c r="L225" s="5">
        <v>0.21612268518518518</v>
      </c>
      <c r="M225" s="6">
        <f t="shared" si="7"/>
        <v>0.99552167190915386</v>
      </c>
      <c r="N225" s="5"/>
      <c r="O225" s="5"/>
      <c r="P225" s="5"/>
      <c r="Q225" s="5"/>
      <c r="R225" s="5"/>
      <c r="S225" s="5">
        <v>1.3553240740740741E-2</v>
      </c>
      <c r="T225" s="5">
        <v>2.8935185185185184E-4</v>
      </c>
      <c r="U225" s="5"/>
      <c r="V225" s="5"/>
      <c r="W225" s="5">
        <v>0.20228009259259258</v>
      </c>
    </row>
    <row r="226" spans="1:23" x14ac:dyDescent="0.25">
      <c r="A226" s="2">
        <v>46238</v>
      </c>
      <c r="B226" s="3" t="s">
        <v>608</v>
      </c>
      <c r="C226" s="3" t="s">
        <v>631</v>
      </c>
      <c r="D226" s="3" t="s">
        <v>601</v>
      </c>
      <c r="E226" s="3" t="s">
        <v>31</v>
      </c>
      <c r="F226" s="3" t="s">
        <v>105</v>
      </c>
      <c r="G226" s="4" t="s">
        <v>33</v>
      </c>
      <c r="H226" s="4">
        <v>13</v>
      </c>
      <c r="I226" s="5">
        <v>0.25288194444444445</v>
      </c>
      <c r="J226" s="5">
        <v>0.18652777777777776</v>
      </c>
      <c r="K226" s="5">
        <f t="shared" si="6"/>
        <v>1.4348290598290597E-2</v>
      </c>
      <c r="L226" s="5">
        <v>0.1572337962962963</v>
      </c>
      <c r="M226" s="6">
        <f t="shared" si="7"/>
        <v>0.62176758661723652</v>
      </c>
      <c r="N226" s="5"/>
      <c r="O226" s="5">
        <v>7.3842592592592597E-3</v>
      </c>
      <c r="P226" s="5"/>
      <c r="Q226" s="5"/>
      <c r="R226" s="5"/>
      <c r="S226" s="5">
        <v>1.4212962962962964E-2</v>
      </c>
      <c r="T226" s="5">
        <v>1.6319444444444445E-3</v>
      </c>
      <c r="U226" s="5">
        <v>6.446759259259259E-2</v>
      </c>
      <c r="V226" s="5"/>
      <c r="W226" s="5">
        <v>6.9537037037037036E-2</v>
      </c>
    </row>
    <row r="227" spans="1:23" x14ac:dyDescent="0.25">
      <c r="A227" s="2">
        <v>46238</v>
      </c>
      <c r="B227" s="3" t="s">
        <v>307</v>
      </c>
      <c r="C227" s="3" t="s">
        <v>308</v>
      </c>
      <c r="D227" s="3" t="s">
        <v>78</v>
      </c>
      <c r="E227" s="3" t="s">
        <v>79</v>
      </c>
      <c r="F227" s="3" t="s">
        <v>80</v>
      </c>
      <c r="G227" s="4" t="s">
        <v>81</v>
      </c>
      <c r="H227" s="4">
        <v>0</v>
      </c>
      <c r="I227" s="5">
        <v>0.31370370370370371</v>
      </c>
      <c r="J227" s="5">
        <v>0</v>
      </c>
      <c r="K227" s="5">
        <f t="shared" si="6"/>
        <v>0</v>
      </c>
      <c r="L227" s="5">
        <v>0.15630787037037036</v>
      </c>
      <c r="M227" s="6">
        <f t="shared" si="7"/>
        <v>0.49826593860684765</v>
      </c>
      <c r="N227" s="5"/>
      <c r="O227" s="5"/>
      <c r="P227" s="5"/>
      <c r="Q227" s="5"/>
      <c r="R227" s="5">
        <v>3.3333333333333335E-3</v>
      </c>
      <c r="S227" s="5">
        <v>9.7916666666666673E-3</v>
      </c>
      <c r="T227" s="5"/>
      <c r="U227" s="5">
        <v>5.4398148148148144E-4</v>
      </c>
      <c r="V227" s="5"/>
      <c r="W227" s="5">
        <v>0.1425925925925926</v>
      </c>
    </row>
    <row r="228" spans="1:23" x14ac:dyDescent="0.25">
      <c r="A228" s="2">
        <v>46238</v>
      </c>
      <c r="B228" s="3" t="s">
        <v>197</v>
      </c>
      <c r="C228" s="3" t="s">
        <v>564</v>
      </c>
      <c r="D228" s="3" t="s">
        <v>601</v>
      </c>
      <c r="E228" s="3" t="s">
        <v>31</v>
      </c>
      <c r="F228" s="3" t="s">
        <v>105</v>
      </c>
      <c r="G228" s="4" t="s">
        <v>33</v>
      </c>
      <c r="H228" s="4">
        <v>6</v>
      </c>
      <c r="I228" s="5">
        <v>0.23070601851851852</v>
      </c>
      <c r="J228" s="5">
        <v>0.12003472222222222</v>
      </c>
      <c r="K228" s="5">
        <f t="shared" si="6"/>
        <v>2.0005787037037037E-2</v>
      </c>
      <c r="L228" s="5">
        <v>0.1527662037037037</v>
      </c>
      <c r="M228" s="6">
        <f t="shared" si="7"/>
        <v>0.66216826368333914</v>
      </c>
      <c r="N228" s="5">
        <v>8.7962962962962968E-3</v>
      </c>
      <c r="O228" s="5">
        <v>1.0613425925925925E-2</v>
      </c>
      <c r="P228" s="5"/>
      <c r="Q228" s="5">
        <v>1.8935185185185187E-2</v>
      </c>
      <c r="R228" s="5"/>
      <c r="S228" s="5">
        <v>1.3078703703703703E-2</v>
      </c>
      <c r="T228" s="5">
        <v>1.2962962962962963E-3</v>
      </c>
      <c r="U228" s="5">
        <v>2.5578703703703705E-3</v>
      </c>
      <c r="V228" s="5"/>
      <c r="W228" s="5">
        <v>9.7488425925925923E-2</v>
      </c>
    </row>
    <row r="229" spans="1:23" x14ac:dyDescent="0.25">
      <c r="A229" s="2">
        <v>46238</v>
      </c>
      <c r="B229" s="3" t="s">
        <v>150</v>
      </c>
      <c r="C229" s="3" t="s">
        <v>514</v>
      </c>
      <c r="D229" s="3" t="s">
        <v>146</v>
      </c>
      <c r="E229" s="3" t="s">
        <v>79</v>
      </c>
      <c r="F229" s="3" t="s">
        <v>147</v>
      </c>
      <c r="G229" s="4" t="s">
        <v>106</v>
      </c>
      <c r="H229" s="4">
        <v>23</v>
      </c>
      <c r="I229" s="5">
        <v>0.25971064814814815</v>
      </c>
      <c r="J229" s="5">
        <v>5.4317129629629632E-2</v>
      </c>
      <c r="K229" s="5">
        <f t="shared" si="6"/>
        <v>2.3616143317230277E-3</v>
      </c>
      <c r="L229" s="5">
        <v>3.875E-2</v>
      </c>
      <c r="M229" s="6">
        <f t="shared" si="7"/>
        <v>0.14920451000490217</v>
      </c>
      <c r="N229" s="5">
        <v>1.0763888888888889E-3</v>
      </c>
      <c r="O229" s="5">
        <v>1.4143518518518519E-2</v>
      </c>
      <c r="P229" s="5"/>
      <c r="Q229" s="5">
        <v>8.3564814814814821E-3</v>
      </c>
      <c r="R229" s="5"/>
      <c r="S229" s="5">
        <v>1.4930555555555556E-2</v>
      </c>
      <c r="T229" s="5">
        <v>6.9444444444444444E-5</v>
      </c>
      <c r="U229" s="5">
        <v>1.5046296296296297E-4</v>
      </c>
      <c r="V229" s="5"/>
      <c r="W229" s="5"/>
    </row>
    <row r="230" spans="1:23" x14ac:dyDescent="0.25">
      <c r="A230" s="2">
        <v>46238</v>
      </c>
      <c r="B230" s="3" t="s">
        <v>38</v>
      </c>
      <c r="C230" s="3" t="s">
        <v>536</v>
      </c>
      <c r="D230" s="3" t="s">
        <v>100</v>
      </c>
      <c r="E230" s="3" t="s">
        <v>31</v>
      </c>
      <c r="F230" s="3" t="s">
        <v>32</v>
      </c>
      <c r="G230" s="4" t="s">
        <v>33</v>
      </c>
      <c r="H230" s="4">
        <v>4</v>
      </c>
      <c r="I230" s="5">
        <v>0.24706018518518519</v>
      </c>
      <c r="J230" s="5">
        <v>6.1087962962962962E-2</v>
      </c>
      <c r="K230" s="5">
        <f t="shared" si="6"/>
        <v>1.527199074074074E-2</v>
      </c>
      <c r="L230" s="5">
        <v>0.19141203703703705</v>
      </c>
      <c r="M230" s="6">
        <f t="shared" si="7"/>
        <v>0.77475873699990638</v>
      </c>
      <c r="N230" s="5">
        <v>1.1446759259259259E-2</v>
      </c>
      <c r="O230" s="5">
        <v>1.4490740740740742E-2</v>
      </c>
      <c r="P230" s="5"/>
      <c r="Q230" s="5"/>
      <c r="R230" s="5"/>
      <c r="S230" s="5">
        <v>1.5335648148148149E-2</v>
      </c>
      <c r="T230" s="5">
        <v>1.8287037037037037E-3</v>
      </c>
      <c r="U230" s="5"/>
      <c r="V230" s="5"/>
      <c r="W230" s="5">
        <v>0.14831018518518518</v>
      </c>
    </row>
    <row r="231" spans="1:23" x14ac:dyDescent="0.25">
      <c r="A231" s="2">
        <v>46238</v>
      </c>
      <c r="B231" s="3" t="s">
        <v>681</v>
      </c>
      <c r="C231" s="3" t="s">
        <v>682</v>
      </c>
      <c r="D231" s="3" t="s">
        <v>601</v>
      </c>
      <c r="E231" s="3" t="s">
        <v>31</v>
      </c>
      <c r="F231" s="3" t="s">
        <v>105</v>
      </c>
      <c r="G231" s="4" t="s">
        <v>33</v>
      </c>
      <c r="H231" s="4">
        <v>9</v>
      </c>
      <c r="I231" s="5">
        <v>0.26188657407407406</v>
      </c>
      <c r="J231" s="5">
        <v>0.13886574074074073</v>
      </c>
      <c r="K231" s="5">
        <f t="shared" si="6"/>
        <v>1.5429526748971193E-2</v>
      </c>
      <c r="L231" s="5">
        <v>0.1887962962962963</v>
      </c>
      <c r="M231" s="6">
        <f t="shared" si="7"/>
        <v>0.72090864895920803</v>
      </c>
      <c r="N231" s="5">
        <v>7.9861111111111105E-3</v>
      </c>
      <c r="O231" s="5">
        <v>1.8078703703703704E-2</v>
      </c>
      <c r="P231" s="5"/>
      <c r="Q231" s="5"/>
      <c r="R231" s="5"/>
      <c r="S231" s="5">
        <v>1.3923611111111111E-2</v>
      </c>
      <c r="T231" s="5">
        <v>2.5462962962962961E-4</v>
      </c>
      <c r="U231" s="5"/>
      <c r="V231" s="5"/>
      <c r="W231" s="5">
        <v>0.14855324074074075</v>
      </c>
    </row>
    <row r="232" spans="1:23" x14ac:dyDescent="0.25">
      <c r="A232" s="2">
        <v>46238</v>
      </c>
      <c r="B232" s="3" t="s">
        <v>154</v>
      </c>
      <c r="C232" s="3" t="s">
        <v>515</v>
      </c>
      <c r="D232" s="3" t="s">
        <v>146</v>
      </c>
      <c r="E232" s="3" t="s">
        <v>79</v>
      </c>
      <c r="F232" s="3" t="s">
        <v>147</v>
      </c>
      <c r="G232" s="4" t="s">
        <v>106</v>
      </c>
      <c r="H232" s="4">
        <v>24</v>
      </c>
      <c r="I232" s="5">
        <v>0.26324074074074072</v>
      </c>
      <c r="J232" s="5">
        <v>4.9004629629629627E-2</v>
      </c>
      <c r="K232" s="5">
        <f t="shared" si="6"/>
        <v>2.0418595679012343E-3</v>
      </c>
      <c r="L232" s="5">
        <v>4.0787037037037038E-2</v>
      </c>
      <c r="M232" s="6">
        <f t="shared" si="7"/>
        <v>0.15494196271544144</v>
      </c>
      <c r="N232" s="5">
        <v>2.3726851851851851E-3</v>
      </c>
      <c r="O232" s="5">
        <v>1.2407407407407407E-2</v>
      </c>
      <c r="P232" s="5"/>
      <c r="Q232" s="5">
        <v>5.4976851851851853E-3</v>
      </c>
      <c r="R232" s="5"/>
      <c r="S232" s="5">
        <v>1.4201388888888888E-2</v>
      </c>
      <c r="T232" s="5">
        <v>2.8935185185185184E-4</v>
      </c>
      <c r="U232" s="5">
        <v>8.3333333333333339E-4</v>
      </c>
      <c r="V232" s="5"/>
      <c r="W232" s="5">
        <v>5.092592592592593E-3</v>
      </c>
    </row>
    <row r="233" spans="1:23" x14ac:dyDescent="0.25">
      <c r="A233" s="2">
        <v>46238</v>
      </c>
      <c r="B233" s="3" t="s">
        <v>112</v>
      </c>
      <c r="C233" s="3" t="s">
        <v>570</v>
      </c>
      <c r="D233" s="3" t="s">
        <v>104</v>
      </c>
      <c r="E233" s="3" t="s">
        <v>31</v>
      </c>
      <c r="F233" s="3" t="s">
        <v>105</v>
      </c>
      <c r="G233" s="4" t="s">
        <v>106</v>
      </c>
      <c r="H233" s="4">
        <v>12</v>
      </c>
      <c r="I233" s="5">
        <v>0.23592592592592593</v>
      </c>
      <c r="J233" s="5">
        <v>0.14956018518518518</v>
      </c>
      <c r="K233" s="5">
        <f t="shared" si="6"/>
        <v>1.2463348765432099E-2</v>
      </c>
      <c r="L233" s="5">
        <v>7.4861111111111114E-2</v>
      </c>
      <c r="M233" s="6">
        <f t="shared" si="7"/>
        <v>0.31730769230769235</v>
      </c>
      <c r="N233" s="5">
        <v>2.6608796296296297E-2</v>
      </c>
      <c r="O233" s="5">
        <v>1.9618055555555555E-2</v>
      </c>
      <c r="P233" s="5"/>
      <c r="Q233" s="5">
        <v>6.9444444444444441E-3</v>
      </c>
      <c r="R233" s="5"/>
      <c r="S233" s="5">
        <v>1.3321759259259259E-2</v>
      </c>
      <c r="T233" s="5">
        <v>4.0277777777777777E-3</v>
      </c>
      <c r="U233" s="5">
        <v>4.2824074074074075E-3</v>
      </c>
      <c r="V233" s="5"/>
      <c r="W233" s="5">
        <v>2.3148148148148147E-5</v>
      </c>
    </row>
    <row r="234" spans="1:23" x14ac:dyDescent="0.25">
      <c r="A234" s="2">
        <v>46238</v>
      </c>
      <c r="B234" s="3" t="s">
        <v>42</v>
      </c>
      <c r="C234" s="3" t="s">
        <v>537</v>
      </c>
      <c r="D234" s="3" t="s">
        <v>104</v>
      </c>
      <c r="E234" s="3" t="s">
        <v>31</v>
      </c>
      <c r="F234" s="3" t="s">
        <v>105</v>
      </c>
      <c r="G234" s="4" t="s">
        <v>106</v>
      </c>
      <c r="H234" s="4">
        <v>20</v>
      </c>
      <c r="I234" s="5">
        <v>0.22839120370370369</v>
      </c>
      <c r="J234" s="5">
        <v>0.22577546296296297</v>
      </c>
      <c r="K234" s="5">
        <f t="shared" si="6"/>
        <v>1.1288773148148148E-2</v>
      </c>
      <c r="L234" s="5">
        <v>7.5173611111111108E-2</v>
      </c>
      <c r="M234" s="6">
        <f t="shared" si="7"/>
        <v>0.32914407337961787</v>
      </c>
      <c r="N234" s="5">
        <v>5.7754629629629631E-3</v>
      </c>
      <c r="O234" s="5">
        <v>1.4143518518518519E-2</v>
      </c>
      <c r="P234" s="5"/>
      <c r="Q234" s="5"/>
      <c r="R234" s="5"/>
      <c r="S234" s="5">
        <v>1.4409722222222223E-2</v>
      </c>
      <c r="T234" s="5">
        <v>3.3564814814814812E-4</v>
      </c>
      <c r="U234" s="5">
        <v>1.8981481481481482E-3</v>
      </c>
      <c r="V234" s="5"/>
      <c r="W234" s="5">
        <v>3.8564814814814816E-2</v>
      </c>
    </row>
    <row r="235" spans="1:23" x14ac:dyDescent="0.25">
      <c r="A235" s="2">
        <v>46238</v>
      </c>
      <c r="B235" s="3" t="s">
        <v>156</v>
      </c>
      <c r="C235" s="3" t="s">
        <v>516</v>
      </c>
      <c r="D235" s="3" t="s">
        <v>146</v>
      </c>
      <c r="E235" s="3" t="s">
        <v>79</v>
      </c>
      <c r="F235" s="3" t="s">
        <v>147</v>
      </c>
      <c r="G235" s="4" t="s">
        <v>106</v>
      </c>
      <c r="H235" s="4">
        <v>34</v>
      </c>
      <c r="I235" s="5">
        <v>0.27631944444444445</v>
      </c>
      <c r="J235" s="5">
        <v>4.0520833333333332E-2</v>
      </c>
      <c r="K235" s="5">
        <f t="shared" si="6"/>
        <v>1.1917892156862746E-3</v>
      </c>
      <c r="L235" s="5">
        <v>5.6354166666666664E-2</v>
      </c>
      <c r="M235" s="6">
        <f t="shared" si="7"/>
        <v>0.20394571500376976</v>
      </c>
      <c r="N235" s="5">
        <v>7.5347222222222222E-3</v>
      </c>
      <c r="O235" s="5">
        <v>1.170138888888889E-2</v>
      </c>
      <c r="P235" s="5"/>
      <c r="Q235" s="5">
        <v>8.0208333333333329E-3</v>
      </c>
      <c r="R235" s="5"/>
      <c r="S235" s="5">
        <v>1.4328703703703703E-2</v>
      </c>
      <c r="T235" s="5">
        <v>1.4768518518518519E-2</v>
      </c>
      <c r="U235" s="5"/>
      <c r="V235" s="5"/>
      <c r="W235" s="5"/>
    </row>
    <row r="236" spans="1:23" x14ac:dyDescent="0.25">
      <c r="A236" s="2">
        <v>46238</v>
      </c>
      <c r="B236" s="3" t="s">
        <v>114</v>
      </c>
      <c r="C236" s="3" t="s">
        <v>541</v>
      </c>
      <c r="D236" s="3" t="s">
        <v>104</v>
      </c>
      <c r="E236" s="3" t="s">
        <v>31</v>
      </c>
      <c r="F236" s="3" t="s">
        <v>105</v>
      </c>
      <c r="G236" s="4" t="s">
        <v>106</v>
      </c>
      <c r="H236" s="4">
        <v>15</v>
      </c>
      <c r="I236" s="5">
        <v>0.24834490740740742</v>
      </c>
      <c r="J236" s="5">
        <v>0.1973263888888889</v>
      </c>
      <c r="K236" s="5">
        <f t="shared" si="6"/>
        <v>1.3155092592592593E-2</v>
      </c>
      <c r="L236" s="5">
        <v>0.1049537037037037</v>
      </c>
      <c r="M236" s="6">
        <f t="shared" si="7"/>
        <v>0.4226126671948548</v>
      </c>
      <c r="N236" s="5">
        <v>1.3449074074074073E-2</v>
      </c>
      <c r="O236" s="5">
        <v>1.7777777777777778E-2</v>
      </c>
      <c r="P236" s="5"/>
      <c r="Q236" s="5">
        <v>1.0347222222222223E-2</v>
      </c>
      <c r="R236" s="5"/>
      <c r="S236" s="5">
        <v>1.7650462962962962E-2</v>
      </c>
      <c r="T236" s="5">
        <v>4.4756944444444446E-2</v>
      </c>
      <c r="U236" s="5">
        <v>5.5555555555555556E-4</v>
      </c>
      <c r="V236" s="5"/>
      <c r="W236" s="5">
        <v>4.1666666666666669E-4</v>
      </c>
    </row>
    <row r="237" spans="1:23" x14ac:dyDescent="0.25">
      <c r="A237" s="2">
        <v>46238</v>
      </c>
      <c r="B237" s="3" t="s">
        <v>44</v>
      </c>
      <c r="C237" s="3" t="s">
        <v>506</v>
      </c>
      <c r="D237" s="3" t="s">
        <v>100</v>
      </c>
      <c r="E237" s="3" t="s">
        <v>31</v>
      </c>
      <c r="F237" s="3" t="s">
        <v>32</v>
      </c>
      <c r="G237" s="4" t="s">
        <v>33</v>
      </c>
      <c r="H237" s="4">
        <v>25</v>
      </c>
      <c r="I237" s="5">
        <v>0.26148148148148148</v>
      </c>
      <c r="J237" s="5">
        <v>0.23005787037037037</v>
      </c>
      <c r="K237" s="5">
        <f t="shared" si="6"/>
        <v>9.2023148148148142E-3</v>
      </c>
      <c r="L237" s="5">
        <v>3.1134259259259261E-2</v>
      </c>
      <c r="M237" s="6">
        <f t="shared" si="7"/>
        <v>0.1190686968838527</v>
      </c>
      <c r="N237" s="5"/>
      <c r="O237" s="5">
        <v>1.3993055555555555E-2</v>
      </c>
      <c r="P237" s="5"/>
      <c r="Q237" s="5"/>
      <c r="R237" s="5"/>
      <c r="S237" s="5">
        <v>1.5694444444444445E-2</v>
      </c>
      <c r="T237" s="5">
        <v>4.7453703703703704E-4</v>
      </c>
      <c r="U237" s="5">
        <v>5.2083333333333333E-4</v>
      </c>
      <c r="V237" s="5"/>
      <c r="W237" s="5"/>
    </row>
    <row r="238" spans="1:23" x14ac:dyDescent="0.25">
      <c r="A238" s="2">
        <v>46238</v>
      </c>
      <c r="B238" s="3" t="s">
        <v>609</v>
      </c>
      <c r="C238" s="3" t="s">
        <v>632</v>
      </c>
      <c r="D238" s="3" t="s">
        <v>601</v>
      </c>
      <c r="E238" s="3" t="s">
        <v>31</v>
      </c>
      <c r="F238" s="3" t="s">
        <v>105</v>
      </c>
      <c r="G238" s="4" t="s">
        <v>33</v>
      </c>
      <c r="H238" s="4">
        <v>8</v>
      </c>
      <c r="I238" s="5">
        <v>0.23518518518518519</v>
      </c>
      <c r="J238" s="5">
        <v>0.10715277777777778</v>
      </c>
      <c r="K238" s="5">
        <f t="shared" si="6"/>
        <v>1.3394097222222222E-2</v>
      </c>
      <c r="L238" s="5">
        <v>0.20162037037037037</v>
      </c>
      <c r="M238" s="6">
        <f t="shared" si="7"/>
        <v>0.85728346456692905</v>
      </c>
      <c r="N238" s="5">
        <v>1.4710648148148148E-2</v>
      </c>
      <c r="O238" s="5">
        <v>2.1874999999999999E-2</v>
      </c>
      <c r="P238" s="5"/>
      <c r="Q238" s="5"/>
      <c r="R238" s="5"/>
      <c r="S238" s="5">
        <v>1.5486111111111112E-2</v>
      </c>
      <c r="T238" s="5">
        <v>5.5555555555555556E-4</v>
      </c>
      <c r="U238" s="5">
        <v>1.6736111111111111E-2</v>
      </c>
      <c r="V238" s="5"/>
      <c r="W238" s="5">
        <v>0.13225694444444444</v>
      </c>
    </row>
    <row r="239" spans="1:23" x14ac:dyDescent="0.25">
      <c r="A239" s="2">
        <v>46238</v>
      </c>
      <c r="B239" s="3" t="s">
        <v>240</v>
      </c>
      <c r="C239" s="3" t="s">
        <v>527</v>
      </c>
      <c r="D239" s="3" t="s">
        <v>233</v>
      </c>
      <c r="E239" s="3" t="s">
        <v>31</v>
      </c>
      <c r="F239" s="3" t="s">
        <v>32</v>
      </c>
      <c r="G239" s="4" t="s">
        <v>106</v>
      </c>
      <c r="H239" s="4">
        <v>0</v>
      </c>
      <c r="I239" s="5">
        <v>0.22158564814814816</v>
      </c>
      <c r="J239" s="5">
        <v>0</v>
      </c>
      <c r="K239" s="5">
        <f t="shared" si="6"/>
        <v>0</v>
      </c>
      <c r="L239" s="5">
        <v>0.21846064814814814</v>
      </c>
      <c r="M239" s="6">
        <f t="shared" si="7"/>
        <v>0.98589710107077555</v>
      </c>
      <c r="N239" s="5">
        <v>1.3368055555555555E-2</v>
      </c>
      <c r="O239" s="5">
        <v>1.3425925925925926E-2</v>
      </c>
      <c r="P239" s="5"/>
      <c r="Q239" s="5"/>
      <c r="R239" s="5"/>
      <c r="S239" s="5">
        <v>1.787037037037037E-2</v>
      </c>
      <c r="T239" s="5">
        <v>1.6620370370370369E-2</v>
      </c>
      <c r="U239" s="5"/>
      <c r="V239" s="5"/>
      <c r="W239" s="5">
        <v>0.15717592592592591</v>
      </c>
    </row>
    <row r="240" spans="1:23" x14ac:dyDescent="0.25">
      <c r="A240" s="2">
        <v>46238</v>
      </c>
      <c r="B240" s="3" t="s">
        <v>497</v>
      </c>
      <c r="C240" s="3" t="s">
        <v>498</v>
      </c>
      <c r="D240" s="3" t="s">
        <v>78</v>
      </c>
      <c r="E240" s="3" t="s">
        <v>79</v>
      </c>
      <c r="F240" s="3" t="s">
        <v>80</v>
      </c>
      <c r="G240" s="4" t="s">
        <v>81</v>
      </c>
      <c r="H240" s="4">
        <v>1</v>
      </c>
      <c r="I240" s="5">
        <v>0.34421296296296294</v>
      </c>
      <c r="J240" s="5">
        <v>2.0011574074074074E-2</v>
      </c>
      <c r="K240" s="5">
        <f t="shared" si="6"/>
        <v>2.0011574074074074E-2</v>
      </c>
      <c r="L240" s="5">
        <v>0.19642361111111112</v>
      </c>
      <c r="M240" s="6">
        <f t="shared" si="7"/>
        <v>0.57064559515803637</v>
      </c>
      <c r="N240" s="5">
        <v>2.4305555555555556E-3</v>
      </c>
      <c r="O240" s="5">
        <v>6.1574074074074074E-3</v>
      </c>
      <c r="P240" s="5"/>
      <c r="Q240" s="5"/>
      <c r="R240" s="5"/>
      <c r="S240" s="5">
        <v>4.1678240740740738E-2</v>
      </c>
      <c r="T240" s="5">
        <v>4.2824074074074075E-4</v>
      </c>
      <c r="U240" s="5"/>
      <c r="V240" s="5"/>
      <c r="W240" s="5">
        <v>0.14570601851851853</v>
      </c>
    </row>
    <row r="241" spans="1:23" x14ac:dyDescent="0.25">
      <c r="A241" s="2">
        <v>46238</v>
      </c>
      <c r="B241" s="3" t="s">
        <v>309</v>
      </c>
      <c r="C241" s="3" t="s">
        <v>310</v>
      </c>
      <c r="D241" s="3" t="s">
        <v>78</v>
      </c>
      <c r="E241" s="3" t="s">
        <v>79</v>
      </c>
      <c r="F241" s="3" t="s">
        <v>80</v>
      </c>
      <c r="G241" s="4" t="s">
        <v>81</v>
      </c>
      <c r="H241" s="4">
        <v>1</v>
      </c>
      <c r="I241" s="5">
        <v>0.35146990740740741</v>
      </c>
      <c r="J241" s="5">
        <v>1.4444444444444444E-2</v>
      </c>
      <c r="K241" s="5">
        <f t="shared" si="6"/>
        <v>1.4444444444444444E-2</v>
      </c>
      <c r="L241" s="5">
        <v>0.18753472222222223</v>
      </c>
      <c r="M241" s="6">
        <f t="shared" si="7"/>
        <v>0.53357262818190798</v>
      </c>
      <c r="N241" s="5"/>
      <c r="O241" s="5">
        <v>3.7777777777777778E-2</v>
      </c>
      <c r="P241" s="5"/>
      <c r="Q241" s="5"/>
      <c r="R241" s="5"/>
      <c r="S241" s="5">
        <v>7.3726851851851852E-3</v>
      </c>
      <c r="T241" s="5">
        <v>6.9444444444444444E-5</v>
      </c>
      <c r="U241" s="5">
        <v>1.7361111111111112E-4</v>
      </c>
      <c r="V241" s="5"/>
      <c r="W241" s="5">
        <v>0.1421412037037037</v>
      </c>
    </row>
    <row r="242" spans="1:23" x14ac:dyDescent="0.25">
      <c r="A242" s="2">
        <v>46238</v>
      </c>
      <c r="B242" s="3" t="s">
        <v>160</v>
      </c>
      <c r="C242" s="3" t="s">
        <v>544</v>
      </c>
      <c r="D242" s="3" t="s">
        <v>146</v>
      </c>
      <c r="E242" s="3" t="s">
        <v>79</v>
      </c>
      <c r="F242" s="3" t="s">
        <v>147</v>
      </c>
      <c r="G242" s="4" t="s">
        <v>106</v>
      </c>
      <c r="H242" s="4">
        <v>9</v>
      </c>
      <c r="I242" s="5">
        <v>0.21031250000000001</v>
      </c>
      <c r="J242" s="5">
        <v>2.3090277777777779E-2</v>
      </c>
      <c r="K242" s="5">
        <f t="shared" si="6"/>
        <v>2.5655864197530864E-3</v>
      </c>
      <c r="L242" s="5">
        <v>8.8217592592592597E-2</v>
      </c>
      <c r="M242" s="6">
        <f t="shared" si="7"/>
        <v>0.41945957844917725</v>
      </c>
      <c r="N242" s="5">
        <v>6.1111111111111114E-3</v>
      </c>
      <c r="O242" s="5">
        <v>1.6064814814814816E-2</v>
      </c>
      <c r="P242" s="5"/>
      <c r="Q242" s="5">
        <v>3.3333333333333335E-3</v>
      </c>
      <c r="R242" s="5"/>
      <c r="S242" s="5">
        <v>1.457175925925926E-2</v>
      </c>
      <c r="T242" s="5">
        <v>2.4537037037037036E-3</v>
      </c>
      <c r="U242" s="5">
        <v>2.8819444444444444E-3</v>
      </c>
      <c r="V242" s="5"/>
      <c r="W242" s="5">
        <v>4.266203703703704E-2</v>
      </c>
    </row>
    <row r="243" spans="1:23" x14ac:dyDescent="0.25">
      <c r="A243" s="2">
        <v>46238</v>
      </c>
      <c r="B243" s="3" t="s">
        <v>645</v>
      </c>
      <c r="C243" s="3" t="s">
        <v>646</v>
      </c>
      <c r="D243" s="3" t="s">
        <v>100</v>
      </c>
      <c r="E243" s="3" t="s">
        <v>31</v>
      </c>
      <c r="F243" s="3" t="s">
        <v>32</v>
      </c>
      <c r="G243" s="4" t="s">
        <v>33</v>
      </c>
      <c r="H243" s="4">
        <v>35</v>
      </c>
      <c r="I243" s="5">
        <v>0.2643287037037037</v>
      </c>
      <c r="J243" s="5">
        <v>0.25064814814814818</v>
      </c>
      <c r="K243" s="5">
        <f t="shared" si="6"/>
        <v>7.1613756613756619E-3</v>
      </c>
      <c r="L243" s="5">
        <v>3.7210648148148145E-2</v>
      </c>
      <c r="M243" s="6">
        <f t="shared" si="7"/>
        <v>0.14077414834924248</v>
      </c>
      <c r="N243" s="5">
        <v>6.6435185185185182E-3</v>
      </c>
      <c r="O243" s="5">
        <v>1.3402777777777777E-2</v>
      </c>
      <c r="P243" s="5"/>
      <c r="Q243" s="5"/>
      <c r="R243" s="5"/>
      <c r="S243" s="5">
        <v>1.4409722222222223E-2</v>
      </c>
      <c r="T243" s="5">
        <v>1.7708333333333332E-3</v>
      </c>
      <c r="U243" s="5">
        <v>9.4907407407407408E-4</v>
      </c>
      <c r="V243" s="5"/>
      <c r="W243" s="5"/>
    </row>
    <row r="244" spans="1:23" x14ac:dyDescent="0.25">
      <c r="A244" s="2">
        <v>46238</v>
      </c>
      <c r="B244" s="3" t="s">
        <v>120</v>
      </c>
      <c r="C244" s="3" t="s">
        <v>558</v>
      </c>
      <c r="D244" s="3" t="s">
        <v>233</v>
      </c>
      <c r="E244" s="3" t="s">
        <v>31</v>
      </c>
      <c r="F244" s="3" t="s">
        <v>32</v>
      </c>
      <c r="G244" s="4" t="s">
        <v>106</v>
      </c>
      <c r="H244" s="4">
        <v>50</v>
      </c>
      <c r="I244" s="5">
        <v>0.26030092592592591</v>
      </c>
      <c r="J244" s="5">
        <v>0.15075231481481483</v>
      </c>
      <c r="K244" s="5">
        <f t="shared" si="6"/>
        <v>3.0150462962962965E-3</v>
      </c>
      <c r="L244" s="5">
        <v>5.9108796296296298E-2</v>
      </c>
      <c r="M244" s="6">
        <f t="shared" si="7"/>
        <v>0.22707870164517566</v>
      </c>
      <c r="N244" s="5">
        <v>9.7453703703703695E-3</v>
      </c>
      <c r="O244" s="5">
        <v>1.3321759259259259E-2</v>
      </c>
      <c r="P244" s="5"/>
      <c r="Q244" s="5"/>
      <c r="R244" s="5"/>
      <c r="S244" s="5">
        <v>1.3055555555555556E-2</v>
      </c>
      <c r="T244" s="5">
        <v>1.6342592592592593E-2</v>
      </c>
      <c r="U244" s="5">
        <v>6.6435185185185182E-3</v>
      </c>
      <c r="V244" s="5"/>
      <c r="W244" s="5"/>
    </row>
    <row r="245" spans="1:23" x14ac:dyDescent="0.25">
      <c r="A245" s="2">
        <v>46238</v>
      </c>
      <c r="B245" s="3" t="s">
        <v>46</v>
      </c>
      <c r="C245" s="3" t="s">
        <v>507</v>
      </c>
      <c r="D245" s="3" t="s">
        <v>100</v>
      </c>
      <c r="E245" s="3" t="s">
        <v>31</v>
      </c>
      <c r="F245" s="3" t="s">
        <v>32</v>
      </c>
      <c r="G245" s="4" t="s">
        <v>33</v>
      </c>
      <c r="H245" s="4">
        <v>28</v>
      </c>
      <c r="I245" s="5">
        <v>0.2631134259259259</v>
      </c>
      <c r="J245" s="5">
        <v>0.22387731481481482</v>
      </c>
      <c r="K245" s="5">
        <f t="shared" si="6"/>
        <v>7.9956183862433857E-3</v>
      </c>
      <c r="L245" s="5">
        <v>2.9027777777777777E-2</v>
      </c>
      <c r="M245" s="6">
        <f t="shared" si="7"/>
        <v>0.1103241983020279</v>
      </c>
      <c r="N245" s="5"/>
      <c r="O245" s="5">
        <v>1.3993055555555555E-2</v>
      </c>
      <c r="P245" s="5"/>
      <c r="Q245" s="5"/>
      <c r="R245" s="5"/>
      <c r="S245" s="5">
        <v>1.3888888888888888E-2</v>
      </c>
      <c r="T245" s="5">
        <v>1.8518518518518518E-4</v>
      </c>
      <c r="U245" s="5">
        <v>9.1435185185185185E-4</v>
      </c>
      <c r="V245" s="5"/>
      <c r="W245" s="5"/>
    </row>
    <row r="246" spans="1:23" x14ac:dyDescent="0.25">
      <c r="A246" s="2">
        <v>46238</v>
      </c>
      <c r="B246" s="3" t="s">
        <v>287</v>
      </c>
      <c r="C246" s="3" t="s">
        <v>542</v>
      </c>
      <c r="D246" s="3" t="s">
        <v>104</v>
      </c>
      <c r="E246" s="3" t="s">
        <v>31</v>
      </c>
      <c r="F246" s="3" t="s">
        <v>105</v>
      </c>
      <c r="G246" s="4" t="s">
        <v>106</v>
      </c>
      <c r="H246" s="4">
        <v>9</v>
      </c>
      <c r="I246" s="5">
        <v>0.21679398148148149</v>
      </c>
      <c r="J246" s="5">
        <v>0.15732638888888889</v>
      </c>
      <c r="K246" s="5">
        <f t="shared" si="6"/>
        <v>1.748070987654321E-2</v>
      </c>
      <c r="L246" s="5">
        <v>9.1562500000000005E-2</v>
      </c>
      <c r="M246" s="6">
        <f t="shared" si="7"/>
        <v>0.42234797928567613</v>
      </c>
      <c r="N246" s="5">
        <v>1.3287037037037036E-2</v>
      </c>
      <c r="O246" s="5">
        <v>2.0925925925925924E-2</v>
      </c>
      <c r="P246" s="5"/>
      <c r="Q246" s="5"/>
      <c r="R246" s="5">
        <v>8.472222222222223E-3</v>
      </c>
      <c r="S246" s="5">
        <v>1.7361111111111112E-2</v>
      </c>
      <c r="T246" s="5">
        <v>2.5462962962962965E-3</v>
      </c>
      <c r="U246" s="5">
        <v>1.0300925925925926E-3</v>
      </c>
      <c r="V246" s="5"/>
      <c r="W246" s="5">
        <v>2.7939814814814813E-2</v>
      </c>
    </row>
    <row r="247" spans="1:23" x14ac:dyDescent="0.25">
      <c r="A247" s="2">
        <v>46238</v>
      </c>
      <c r="B247" s="3" t="s">
        <v>499</v>
      </c>
      <c r="C247" s="3" t="s">
        <v>517</v>
      </c>
      <c r="D247" s="3" t="s">
        <v>146</v>
      </c>
      <c r="E247" s="3" t="s">
        <v>79</v>
      </c>
      <c r="F247" s="3" t="s">
        <v>147</v>
      </c>
      <c r="G247" s="4" t="s">
        <v>106</v>
      </c>
      <c r="H247" s="4">
        <v>12</v>
      </c>
      <c r="I247" s="5">
        <v>0.25123842592592593</v>
      </c>
      <c r="J247" s="5">
        <v>6.2337962962962963E-2</v>
      </c>
      <c r="K247" s="5">
        <f t="shared" si="6"/>
        <v>5.19483024691358E-3</v>
      </c>
      <c r="L247" s="5">
        <v>5.1296296296296298E-2</v>
      </c>
      <c r="M247" s="6">
        <f t="shared" si="7"/>
        <v>0.20417376883033123</v>
      </c>
      <c r="N247" s="5">
        <v>2.9282407407407408E-3</v>
      </c>
      <c r="O247" s="5">
        <v>1.4710648148148148E-2</v>
      </c>
      <c r="P247" s="5">
        <v>6.3078703703703708E-3</v>
      </c>
      <c r="Q247" s="5">
        <v>8.819444444444444E-3</v>
      </c>
      <c r="R247" s="5"/>
      <c r="S247" s="5">
        <v>1.3969907407407407E-2</v>
      </c>
      <c r="T247" s="5">
        <v>1.6203703703703703E-4</v>
      </c>
      <c r="U247" s="5">
        <v>1.1342592592592593E-3</v>
      </c>
      <c r="V247" s="5"/>
      <c r="W247" s="5">
        <v>3.2175925925925926E-3</v>
      </c>
    </row>
    <row r="248" spans="1:23" x14ac:dyDescent="0.25">
      <c r="A248" s="2">
        <v>46238</v>
      </c>
      <c r="B248" s="3" t="s">
        <v>647</v>
      </c>
      <c r="C248" s="3" t="s">
        <v>648</v>
      </c>
      <c r="D248" s="3" t="s">
        <v>233</v>
      </c>
      <c r="E248" s="3" t="s">
        <v>31</v>
      </c>
      <c r="F248" s="3" t="s">
        <v>32</v>
      </c>
      <c r="G248" s="4" t="s">
        <v>106</v>
      </c>
      <c r="H248" s="4">
        <v>38</v>
      </c>
      <c r="I248" s="5">
        <v>0.2646296296296296</v>
      </c>
      <c r="J248" s="5">
        <v>0.17093749999999999</v>
      </c>
      <c r="K248" s="5">
        <f t="shared" si="6"/>
        <v>4.4983552631578947E-3</v>
      </c>
      <c r="L248" s="5">
        <v>4.7997685185185185E-2</v>
      </c>
      <c r="M248" s="6">
        <f t="shared" si="7"/>
        <v>0.18137683694891535</v>
      </c>
      <c r="N248" s="5">
        <v>9.3518518518518525E-3</v>
      </c>
      <c r="O248" s="5">
        <v>1.5995370370370372E-2</v>
      </c>
      <c r="P248" s="5">
        <v>1.3541666666666667E-3</v>
      </c>
      <c r="Q248" s="5">
        <v>7.9745370370370369E-3</v>
      </c>
      <c r="R248" s="5"/>
      <c r="S248" s="5">
        <v>1.2962962962962963E-2</v>
      </c>
      <c r="T248" s="5">
        <v>1.3888888888888889E-4</v>
      </c>
      <c r="U248" s="5">
        <v>2.0833333333333335E-4</v>
      </c>
      <c r="V248" s="5"/>
      <c r="W248" s="5"/>
    </row>
    <row r="249" spans="1:23" x14ac:dyDescent="0.25">
      <c r="A249" s="2">
        <v>46238</v>
      </c>
      <c r="B249" s="3" t="s">
        <v>649</v>
      </c>
      <c r="C249" s="3" t="s">
        <v>650</v>
      </c>
      <c r="D249" s="3" t="s">
        <v>104</v>
      </c>
      <c r="E249" s="3" t="s">
        <v>31</v>
      </c>
      <c r="F249" s="3" t="s">
        <v>105</v>
      </c>
      <c r="G249" s="4" t="s">
        <v>106</v>
      </c>
      <c r="H249" s="4">
        <v>14</v>
      </c>
      <c r="I249" s="5">
        <v>0.26645833333333335</v>
      </c>
      <c r="J249" s="5">
        <v>0.20501157407407408</v>
      </c>
      <c r="K249" s="5">
        <f t="shared" si="6"/>
        <v>1.4643683862433863E-2</v>
      </c>
      <c r="L249" s="5">
        <v>0.10472222222222222</v>
      </c>
      <c r="M249" s="6">
        <f t="shared" si="7"/>
        <v>0.39301537659629915</v>
      </c>
      <c r="N249" s="5">
        <v>5.5555555555555556E-4</v>
      </c>
      <c r="O249" s="5">
        <v>1.3564814814814814E-2</v>
      </c>
      <c r="P249" s="5"/>
      <c r="Q249" s="5"/>
      <c r="R249" s="5"/>
      <c r="S249" s="5">
        <v>1.3310185185185185E-2</v>
      </c>
      <c r="T249" s="5">
        <v>5.7870370370370373E-5</v>
      </c>
      <c r="U249" s="5">
        <v>1.4004629629629629E-2</v>
      </c>
      <c r="V249" s="5"/>
      <c r="W249" s="5">
        <v>6.3217592592592589E-2</v>
      </c>
    </row>
    <row r="250" spans="1:23" x14ac:dyDescent="0.25">
      <c r="A250" s="2">
        <v>46238</v>
      </c>
      <c r="B250" s="3" t="s">
        <v>651</v>
      </c>
      <c r="C250" s="3" t="s">
        <v>652</v>
      </c>
      <c r="D250" s="3" t="s">
        <v>100</v>
      </c>
      <c r="E250" s="3" t="s">
        <v>31</v>
      </c>
      <c r="F250" s="3" t="s">
        <v>32</v>
      </c>
      <c r="G250" s="4" t="s">
        <v>33</v>
      </c>
      <c r="H250" s="4">
        <v>17</v>
      </c>
      <c r="I250" s="5">
        <v>0.25765046296296296</v>
      </c>
      <c r="J250" s="5">
        <v>0.21438657407407408</v>
      </c>
      <c r="K250" s="5">
        <f t="shared" si="6"/>
        <v>1.261097494553377E-2</v>
      </c>
      <c r="L250" s="5">
        <v>3.6921296296296299E-2</v>
      </c>
      <c r="M250" s="6">
        <f t="shared" si="7"/>
        <v>0.14329994160190468</v>
      </c>
      <c r="N250" s="5">
        <v>9.0277777777777769E-3</v>
      </c>
      <c r="O250" s="5">
        <v>8.3217592592592596E-3</v>
      </c>
      <c r="P250" s="5"/>
      <c r="Q250" s="5"/>
      <c r="R250" s="5"/>
      <c r="S250" s="5">
        <v>1.9293981481481481E-2</v>
      </c>
      <c r="T250" s="5">
        <v>2.7777777777777778E-4</v>
      </c>
      <c r="U250" s="5"/>
      <c r="V250" s="5"/>
      <c r="W250" s="5"/>
    </row>
    <row r="251" spans="1:23" x14ac:dyDescent="0.25">
      <c r="A251" s="2">
        <v>46238</v>
      </c>
      <c r="B251" s="3" t="s">
        <v>48</v>
      </c>
      <c r="C251" s="3" t="s">
        <v>508</v>
      </c>
      <c r="D251" s="3" t="s">
        <v>100</v>
      </c>
      <c r="E251" s="3" t="s">
        <v>31</v>
      </c>
      <c r="F251" s="3" t="s">
        <v>32</v>
      </c>
      <c r="G251" s="4" t="s">
        <v>33</v>
      </c>
      <c r="H251" s="4">
        <v>36</v>
      </c>
      <c r="I251" s="5">
        <v>0.26417824074074076</v>
      </c>
      <c r="J251" s="5">
        <v>0.18666666666666668</v>
      </c>
      <c r="K251" s="5">
        <f t="shared" si="6"/>
        <v>5.185185185185185E-3</v>
      </c>
      <c r="L251" s="5">
        <v>6.9155092592592587E-2</v>
      </c>
      <c r="M251" s="6">
        <f t="shared" si="7"/>
        <v>0.26177437020810512</v>
      </c>
      <c r="N251" s="5">
        <v>4.4212962962962964E-3</v>
      </c>
      <c r="O251" s="5">
        <v>1.5625E-2</v>
      </c>
      <c r="P251" s="5"/>
      <c r="Q251" s="5"/>
      <c r="R251" s="5"/>
      <c r="S251" s="5">
        <v>1.3923611111111111E-2</v>
      </c>
      <c r="T251" s="5">
        <v>2.1759259259259258E-3</v>
      </c>
      <c r="U251" s="5">
        <v>6.9444444444444444E-5</v>
      </c>
      <c r="V251" s="5"/>
      <c r="W251" s="5">
        <v>3.2500000000000001E-2</v>
      </c>
    </row>
    <row r="252" spans="1:23" x14ac:dyDescent="0.25">
      <c r="A252" s="2">
        <v>46238</v>
      </c>
      <c r="B252" s="3" t="s">
        <v>50</v>
      </c>
      <c r="C252" s="3" t="s">
        <v>538</v>
      </c>
      <c r="D252" s="3" t="s">
        <v>100</v>
      </c>
      <c r="E252" s="3" t="s">
        <v>31</v>
      </c>
      <c r="F252" s="3" t="s">
        <v>32</v>
      </c>
      <c r="G252" s="4" t="s">
        <v>33</v>
      </c>
      <c r="H252" s="4">
        <v>14</v>
      </c>
      <c r="I252" s="5">
        <v>0.26221064814814815</v>
      </c>
      <c r="J252" s="5">
        <v>8.987268518518518E-2</v>
      </c>
      <c r="K252" s="5">
        <f t="shared" si="6"/>
        <v>6.4194775132275133E-3</v>
      </c>
      <c r="L252" s="5">
        <v>0.18024305555555556</v>
      </c>
      <c r="M252" s="6">
        <f t="shared" si="7"/>
        <v>0.68739792540278088</v>
      </c>
      <c r="N252" s="5">
        <v>9.3634259259259261E-3</v>
      </c>
      <c r="O252" s="5">
        <v>7.6504629629629631E-3</v>
      </c>
      <c r="P252" s="5"/>
      <c r="Q252" s="5"/>
      <c r="R252" s="5"/>
      <c r="S252" s="5">
        <v>1.4814814814814815E-2</v>
      </c>
      <c r="T252" s="5">
        <v>3.1250000000000001E-4</v>
      </c>
      <c r="U252" s="5">
        <v>8.7962962962962962E-4</v>
      </c>
      <c r="V252" s="5"/>
      <c r="W252" s="5">
        <v>0.14721064814814816</v>
      </c>
    </row>
    <row r="253" spans="1:23" x14ac:dyDescent="0.25">
      <c r="A253" s="2">
        <v>46238</v>
      </c>
      <c r="B253" s="3" t="s">
        <v>242</v>
      </c>
      <c r="C253" s="3" t="s">
        <v>603</v>
      </c>
      <c r="D253" s="3" t="s">
        <v>233</v>
      </c>
      <c r="E253" s="3" t="s">
        <v>31</v>
      </c>
      <c r="F253" s="3" t="s">
        <v>32</v>
      </c>
      <c r="G253" s="4" t="s">
        <v>106</v>
      </c>
      <c r="H253" s="4">
        <v>34</v>
      </c>
      <c r="I253" s="5">
        <v>0.26437500000000003</v>
      </c>
      <c r="J253" s="5">
        <v>0.23059027777777777</v>
      </c>
      <c r="K253" s="5">
        <f t="shared" si="6"/>
        <v>6.7820669934640521E-3</v>
      </c>
      <c r="L253" s="5">
        <v>2.5115740740740741E-3</v>
      </c>
      <c r="M253" s="6">
        <f t="shared" si="7"/>
        <v>9.5000437790035887E-3</v>
      </c>
      <c r="N253" s="5"/>
      <c r="O253" s="5"/>
      <c r="P253" s="5"/>
      <c r="Q253" s="5"/>
      <c r="R253" s="5"/>
      <c r="S253" s="5"/>
      <c r="T253" s="5">
        <v>6.9444444444444444E-5</v>
      </c>
      <c r="U253" s="5">
        <v>2.3611111111111111E-3</v>
      </c>
      <c r="V253" s="5"/>
      <c r="W253" s="5">
        <v>3.4722222222222222E-5</v>
      </c>
    </row>
    <row r="254" spans="1:23" x14ac:dyDescent="0.25">
      <c r="A254" s="2">
        <v>46238</v>
      </c>
      <c r="B254" s="3" t="s">
        <v>248</v>
      </c>
      <c r="C254" s="3" t="s">
        <v>249</v>
      </c>
      <c r="D254" s="3" t="s">
        <v>78</v>
      </c>
      <c r="E254" s="3" t="s">
        <v>79</v>
      </c>
      <c r="F254" s="3" t="s">
        <v>80</v>
      </c>
      <c r="G254" s="4" t="s">
        <v>81</v>
      </c>
      <c r="H254" s="4">
        <v>1</v>
      </c>
      <c r="I254" s="5">
        <v>0.33440972222222221</v>
      </c>
      <c r="J254" s="5">
        <v>3.6689814814814814E-2</v>
      </c>
      <c r="K254" s="5">
        <f t="shared" si="6"/>
        <v>3.6689814814814814E-2</v>
      </c>
      <c r="L254" s="5">
        <v>0.21283564814814815</v>
      </c>
      <c r="M254" s="6">
        <f t="shared" si="7"/>
        <v>0.63645173571453295</v>
      </c>
      <c r="N254" s="5"/>
      <c r="O254" s="5"/>
      <c r="P254" s="5"/>
      <c r="Q254" s="5"/>
      <c r="R254" s="5"/>
      <c r="S254" s="5"/>
      <c r="T254" s="5">
        <v>1.1574074074074075E-4</v>
      </c>
      <c r="U254" s="5">
        <v>0.21269675925925927</v>
      </c>
      <c r="V254" s="5"/>
      <c r="W254" s="5"/>
    </row>
    <row r="255" spans="1:23" x14ac:dyDescent="0.25">
      <c r="A255" s="2">
        <v>46238</v>
      </c>
      <c r="B255" s="3" t="s">
        <v>289</v>
      </c>
      <c r="C255" s="3" t="s">
        <v>559</v>
      </c>
      <c r="D255" s="3" t="s">
        <v>104</v>
      </c>
      <c r="E255" s="3" t="s">
        <v>31</v>
      </c>
      <c r="F255" s="3" t="s">
        <v>105</v>
      </c>
      <c r="G255" s="4" t="s">
        <v>106</v>
      </c>
      <c r="H255" s="4">
        <v>17</v>
      </c>
      <c r="I255" s="5">
        <v>0.29652777777777778</v>
      </c>
      <c r="J255" s="5">
        <v>0.25056712962962963</v>
      </c>
      <c r="K255" s="5">
        <f t="shared" si="6"/>
        <v>1.4739242919389979E-2</v>
      </c>
      <c r="L255" s="5">
        <v>0.10142361111111112</v>
      </c>
      <c r="M255" s="6">
        <f t="shared" si="7"/>
        <v>0.34203747072599533</v>
      </c>
      <c r="N255" s="5">
        <v>1.7280092592592593E-2</v>
      </c>
      <c r="O255" s="5">
        <v>2.3217592592592592E-2</v>
      </c>
      <c r="P255" s="5">
        <v>2.2453703703703702E-3</v>
      </c>
      <c r="Q255" s="5"/>
      <c r="R255" s="5"/>
      <c r="S255" s="5">
        <v>1.7175925925925924E-2</v>
      </c>
      <c r="T255" s="5">
        <v>1.4467592592592592E-3</v>
      </c>
      <c r="U255" s="5">
        <v>2.3703703703703703E-2</v>
      </c>
      <c r="V255" s="5"/>
      <c r="W255" s="5">
        <v>1.6331018518518519E-2</v>
      </c>
    </row>
    <row r="256" spans="1:23" x14ac:dyDescent="0.25">
      <c r="A256" s="2">
        <v>46238</v>
      </c>
      <c r="B256" s="3" t="s">
        <v>252</v>
      </c>
      <c r="C256" s="3" t="s">
        <v>553</v>
      </c>
      <c r="D256" s="3" t="s">
        <v>78</v>
      </c>
      <c r="E256" s="3" t="s">
        <v>79</v>
      </c>
      <c r="F256" s="3" t="s">
        <v>80</v>
      </c>
      <c r="G256" s="4" t="s">
        <v>81</v>
      </c>
      <c r="H256" s="4">
        <v>0</v>
      </c>
      <c r="I256" s="5">
        <v>1.2731481481481483E-3</v>
      </c>
      <c r="J256" s="5">
        <v>0</v>
      </c>
      <c r="K256" s="5">
        <f t="shared" si="6"/>
        <v>0</v>
      </c>
      <c r="L256" s="5">
        <v>0</v>
      </c>
      <c r="M256" s="6">
        <f t="shared" si="7"/>
        <v>0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25">
      <c r="A257" s="2">
        <v>46238</v>
      </c>
      <c r="B257" s="3" t="s">
        <v>500</v>
      </c>
      <c r="C257" s="3" t="s">
        <v>518</v>
      </c>
      <c r="D257" s="3" t="s">
        <v>274</v>
      </c>
      <c r="E257" s="3" t="s">
        <v>79</v>
      </c>
      <c r="F257" s="3" t="s">
        <v>147</v>
      </c>
      <c r="G257" s="4" t="s">
        <v>33</v>
      </c>
      <c r="H257" s="4">
        <v>28</v>
      </c>
      <c r="I257" s="5">
        <v>0.26686342592592593</v>
      </c>
      <c r="J257" s="5">
        <v>9.9675925925925932E-2</v>
      </c>
      <c r="K257" s="5">
        <f t="shared" si="6"/>
        <v>3.5598544973544977E-3</v>
      </c>
      <c r="L257" s="5">
        <v>4.0370370370370369E-2</v>
      </c>
      <c r="M257" s="6">
        <f t="shared" si="7"/>
        <v>0.1512772693758945</v>
      </c>
      <c r="N257" s="5"/>
      <c r="O257" s="5">
        <v>2.4097222222222221E-2</v>
      </c>
      <c r="P257" s="5"/>
      <c r="Q257" s="5">
        <v>1.0532407407407407E-3</v>
      </c>
      <c r="R257" s="5"/>
      <c r="S257" s="5">
        <v>1.474537037037037E-2</v>
      </c>
      <c r="T257" s="5">
        <v>2.8935185185185184E-4</v>
      </c>
      <c r="U257" s="5">
        <v>1.7361111111111112E-4</v>
      </c>
      <c r="V257" s="5"/>
      <c r="W257" s="5"/>
    </row>
    <row r="258" spans="1:23" x14ac:dyDescent="0.25">
      <c r="A258" s="2">
        <v>46238</v>
      </c>
      <c r="B258" s="3" t="s">
        <v>683</v>
      </c>
      <c r="C258" s="3" t="s">
        <v>684</v>
      </c>
      <c r="D258" s="3" t="s">
        <v>233</v>
      </c>
      <c r="E258" s="3" t="s">
        <v>31</v>
      </c>
      <c r="F258" s="3" t="s">
        <v>32</v>
      </c>
      <c r="G258" s="4" t="s">
        <v>106</v>
      </c>
      <c r="H258" s="4">
        <v>24</v>
      </c>
      <c r="I258" s="5">
        <v>0.26545138888888886</v>
      </c>
      <c r="J258" s="5">
        <v>0.18094907407407407</v>
      </c>
      <c r="K258" s="5">
        <f t="shared" si="6"/>
        <v>7.5395447530864192E-3</v>
      </c>
      <c r="L258" s="5">
        <v>5.5057870370370368E-2</v>
      </c>
      <c r="M258" s="6">
        <f t="shared" si="7"/>
        <v>0.20741225201656857</v>
      </c>
      <c r="N258" s="5">
        <v>3.6111111111111109E-3</v>
      </c>
      <c r="O258" s="5">
        <v>2.1273148148148149E-2</v>
      </c>
      <c r="P258" s="5"/>
      <c r="Q258" s="5">
        <v>1.3993055555555555E-2</v>
      </c>
      <c r="R258" s="5"/>
      <c r="S258" s="5"/>
      <c r="T258" s="5">
        <v>1.273148148148148E-4</v>
      </c>
      <c r="U258" s="5">
        <v>1.6053240740740739E-2</v>
      </c>
      <c r="V258" s="5"/>
      <c r="W258" s="5"/>
    </row>
    <row r="259" spans="1:23" x14ac:dyDescent="0.25">
      <c r="A259" s="2">
        <v>46238</v>
      </c>
      <c r="B259" s="3" t="s">
        <v>653</v>
      </c>
      <c r="C259" s="3" t="s">
        <v>654</v>
      </c>
      <c r="D259" s="3" t="s">
        <v>100</v>
      </c>
      <c r="E259" s="3" t="s">
        <v>31</v>
      </c>
      <c r="F259" s="3" t="s">
        <v>32</v>
      </c>
      <c r="G259" s="4" t="s">
        <v>33</v>
      </c>
      <c r="H259" s="4">
        <v>30</v>
      </c>
      <c r="I259" s="5">
        <v>0.2258449074074074</v>
      </c>
      <c r="J259" s="5">
        <v>0.18229166666666666</v>
      </c>
      <c r="K259" s="5">
        <f t="shared" si="6"/>
        <v>6.076388888888889E-3</v>
      </c>
      <c r="L259" s="5">
        <v>5.2557870370370373E-2</v>
      </c>
      <c r="M259" s="6">
        <f t="shared" si="7"/>
        <v>0.23271665043816944</v>
      </c>
      <c r="N259" s="5">
        <v>8.9236111111111113E-3</v>
      </c>
      <c r="O259" s="5">
        <v>1.4791666666666667E-2</v>
      </c>
      <c r="P259" s="5"/>
      <c r="Q259" s="5"/>
      <c r="R259" s="5">
        <v>9.3981481481481485E-3</v>
      </c>
      <c r="S259" s="5">
        <v>1.4583333333333334E-2</v>
      </c>
      <c r="T259" s="5">
        <v>1.7476851851851852E-3</v>
      </c>
      <c r="U259" s="5">
        <v>2.9398148148148148E-3</v>
      </c>
      <c r="V259" s="5"/>
      <c r="W259" s="5"/>
    </row>
    <row r="260" spans="1:23" x14ac:dyDescent="0.25">
      <c r="A260" s="2">
        <v>46238</v>
      </c>
      <c r="B260" s="3" t="s">
        <v>52</v>
      </c>
      <c r="C260" s="3" t="s">
        <v>509</v>
      </c>
      <c r="D260" s="3" t="s">
        <v>100</v>
      </c>
      <c r="E260" s="3" t="s">
        <v>31</v>
      </c>
      <c r="F260" s="3" t="s">
        <v>32</v>
      </c>
      <c r="G260" s="4" t="s">
        <v>33</v>
      </c>
      <c r="H260" s="4">
        <v>9</v>
      </c>
      <c r="I260" s="5">
        <v>0.2320949074074074</v>
      </c>
      <c r="J260" s="5">
        <v>5.3171296296296293E-2</v>
      </c>
      <c r="K260" s="5">
        <f t="shared" si="6"/>
        <v>5.9079218106995882E-3</v>
      </c>
      <c r="L260" s="5">
        <v>0.19019675925925925</v>
      </c>
      <c r="M260" s="6">
        <f t="shared" si="7"/>
        <v>0.81947838228693959</v>
      </c>
      <c r="N260" s="5"/>
      <c r="O260" s="5">
        <v>1.4282407407407407E-2</v>
      </c>
      <c r="P260" s="5"/>
      <c r="Q260" s="5"/>
      <c r="R260" s="5"/>
      <c r="S260" s="5">
        <v>1.4490740740740742E-2</v>
      </c>
      <c r="T260" s="5">
        <v>3.2407407407407406E-4</v>
      </c>
      <c r="U260" s="5"/>
      <c r="V260" s="5"/>
      <c r="W260" s="5">
        <v>0.16109953703703703</v>
      </c>
    </row>
    <row r="261" spans="1:23" x14ac:dyDescent="0.25">
      <c r="A261" s="2">
        <v>46238</v>
      </c>
      <c r="B261" s="3" t="s">
        <v>164</v>
      </c>
      <c r="C261" s="3" t="s">
        <v>519</v>
      </c>
      <c r="D261" s="3" t="s">
        <v>146</v>
      </c>
      <c r="E261" s="3" t="s">
        <v>79</v>
      </c>
      <c r="F261" s="3" t="s">
        <v>147</v>
      </c>
      <c r="G261" s="4" t="s">
        <v>106</v>
      </c>
      <c r="H261" s="4">
        <v>23</v>
      </c>
      <c r="I261" s="5">
        <v>0.26480324074074074</v>
      </c>
      <c r="J261" s="5">
        <v>8.9398148148148143E-2</v>
      </c>
      <c r="K261" s="5">
        <f t="shared" si="6"/>
        <v>3.8868760064412235E-3</v>
      </c>
      <c r="L261" s="5">
        <v>3.0451388888888889E-2</v>
      </c>
      <c r="M261" s="6">
        <f t="shared" si="7"/>
        <v>0.11499628480265746</v>
      </c>
      <c r="N261" s="5"/>
      <c r="O261" s="5">
        <v>1.3171296296296296E-2</v>
      </c>
      <c r="P261" s="5"/>
      <c r="Q261" s="5">
        <v>2.3958333333333331E-3</v>
      </c>
      <c r="R261" s="5"/>
      <c r="S261" s="5">
        <v>1.3981481481481482E-2</v>
      </c>
      <c r="T261" s="5">
        <v>1.8518518518518518E-4</v>
      </c>
      <c r="U261" s="5">
        <v>6.4814814814814813E-4</v>
      </c>
      <c r="V261" s="5"/>
      <c r="W261" s="5"/>
    </row>
    <row r="262" spans="1:23" x14ac:dyDescent="0.25">
      <c r="A262" s="2">
        <v>46238</v>
      </c>
      <c r="B262" s="3" t="s">
        <v>655</v>
      </c>
      <c r="C262" s="3" t="s">
        <v>656</v>
      </c>
      <c r="D262" s="3" t="s">
        <v>100</v>
      </c>
      <c r="E262" s="3" t="s">
        <v>31</v>
      </c>
      <c r="F262" s="3" t="s">
        <v>32</v>
      </c>
      <c r="G262" s="4" t="s">
        <v>33</v>
      </c>
      <c r="H262" s="4">
        <v>25</v>
      </c>
      <c r="I262" s="5">
        <v>0.26192129629629629</v>
      </c>
      <c r="J262" s="5">
        <v>0.21592592592592594</v>
      </c>
      <c r="K262" s="5">
        <f t="shared" si="6"/>
        <v>8.6370370370370368E-3</v>
      </c>
      <c r="L262" s="5">
        <v>3.2384259259259258E-2</v>
      </c>
      <c r="M262" s="6">
        <f t="shared" si="7"/>
        <v>0.12364118426866991</v>
      </c>
      <c r="N262" s="5">
        <v>4.8379629629629632E-3</v>
      </c>
      <c r="O262" s="5">
        <v>1.306712962962963E-2</v>
      </c>
      <c r="P262" s="5"/>
      <c r="Q262" s="5"/>
      <c r="R262" s="5"/>
      <c r="S262" s="5">
        <v>1.357638888888889E-2</v>
      </c>
      <c r="T262" s="5">
        <v>1.273148148148148E-4</v>
      </c>
      <c r="U262" s="5">
        <v>7.6388888888888893E-4</v>
      </c>
      <c r="V262" s="5"/>
      <c r="W262" s="5"/>
    </row>
    <row r="263" spans="1:23" x14ac:dyDescent="0.25">
      <c r="A263" s="2">
        <v>46238</v>
      </c>
      <c r="B263" s="3" t="s">
        <v>657</v>
      </c>
      <c r="C263" s="3" t="s">
        <v>658</v>
      </c>
      <c r="D263" s="3" t="s">
        <v>274</v>
      </c>
      <c r="E263" s="3" t="s">
        <v>79</v>
      </c>
      <c r="F263" s="3" t="s">
        <v>147</v>
      </c>
      <c r="G263" s="4" t="s">
        <v>33</v>
      </c>
      <c r="H263" s="4">
        <v>19</v>
      </c>
      <c r="I263" s="5">
        <v>0.26021990740740741</v>
      </c>
      <c r="J263" s="5">
        <v>7.9270833333333332E-2</v>
      </c>
      <c r="K263" s="5">
        <f t="shared" si="6"/>
        <v>4.1721491228070172E-3</v>
      </c>
      <c r="L263" s="5">
        <v>4.5185185185185182E-2</v>
      </c>
      <c r="M263" s="6">
        <f t="shared" si="7"/>
        <v>0.17364230752123824</v>
      </c>
      <c r="N263" s="5">
        <v>1.2893518518518518E-2</v>
      </c>
      <c r="O263" s="5">
        <v>1.3981481481481482E-2</v>
      </c>
      <c r="P263" s="5"/>
      <c r="Q263" s="5"/>
      <c r="R263" s="5">
        <v>2.650462962962963E-3</v>
      </c>
      <c r="S263" s="5">
        <v>1.4930555555555556E-2</v>
      </c>
      <c r="T263" s="5">
        <v>5.7870370370370373E-5</v>
      </c>
      <c r="U263" s="5">
        <v>6.7129629629629625E-4</v>
      </c>
      <c r="V263" s="5"/>
      <c r="W263" s="5"/>
    </row>
    <row r="264" spans="1:23" x14ac:dyDescent="0.25">
      <c r="A264" s="2">
        <v>46238</v>
      </c>
      <c r="B264" s="3" t="s">
        <v>166</v>
      </c>
      <c r="C264" s="3" t="s">
        <v>167</v>
      </c>
      <c r="D264" s="3" t="s">
        <v>146</v>
      </c>
      <c r="E264" s="3" t="s">
        <v>79</v>
      </c>
      <c r="F264" s="3" t="s">
        <v>147</v>
      </c>
      <c r="G264" s="4" t="s">
        <v>106</v>
      </c>
      <c r="H264" s="4">
        <v>0</v>
      </c>
      <c r="I264" s="5">
        <v>4.8495370370370368E-3</v>
      </c>
      <c r="J264" s="5">
        <v>0</v>
      </c>
      <c r="K264" s="5">
        <f t="shared" si="6"/>
        <v>0</v>
      </c>
      <c r="L264" s="5">
        <v>1.1574074074074075E-4</v>
      </c>
      <c r="M264" s="6">
        <f t="shared" si="7"/>
        <v>2.3866348448687354E-2</v>
      </c>
      <c r="N264" s="5"/>
      <c r="O264" s="5"/>
      <c r="P264" s="5"/>
      <c r="Q264" s="5"/>
      <c r="R264" s="5"/>
      <c r="S264" s="5"/>
      <c r="T264" s="5">
        <v>1.1574074074074075E-4</v>
      </c>
      <c r="U264" s="5"/>
      <c r="V264" s="5"/>
      <c r="W264" s="5"/>
    </row>
    <row r="265" spans="1:23" x14ac:dyDescent="0.25">
      <c r="A265" s="2">
        <v>46238</v>
      </c>
      <c r="B265" s="3" t="s">
        <v>659</v>
      </c>
      <c r="C265" s="3" t="s">
        <v>660</v>
      </c>
      <c r="D265" s="3" t="s">
        <v>100</v>
      </c>
      <c r="E265" s="3" t="s">
        <v>31</v>
      </c>
      <c r="F265" s="3" t="s">
        <v>32</v>
      </c>
      <c r="G265" s="4" t="s">
        <v>33</v>
      </c>
      <c r="H265" s="4">
        <v>2</v>
      </c>
      <c r="I265" s="5">
        <v>0.13724537037037038</v>
      </c>
      <c r="J265" s="5">
        <v>1.9837962962962963E-2</v>
      </c>
      <c r="K265" s="5">
        <f t="shared" si="6"/>
        <v>9.9189814814814817E-3</v>
      </c>
      <c r="L265" s="5">
        <v>0.11403935185185185</v>
      </c>
      <c r="M265" s="6">
        <f t="shared" si="7"/>
        <v>0.83091583740934383</v>
      </c>
      <c r="N265" s="5">
        <v>5.2893518518518515E-3</v>
      </c>
      <c r="O265" s="5"/>
      <c r="P265" s="5"/>
      <c r="Q265" s="5"/>
      <c r="R265" s="5"/>
      <c r="S265" s="5">
        <v>1.53125E-2</v>
      </c>
      <c r="T265" s="5">
        <v>2.6620370370370372E-4</v>
      </c>
      <c r="U265" s="5"/>
      <c r="V265" s="5"/>
      <c r="W265" s="5">
        <v>9.3171296296296294E-2</v>
      </c>
    </row>
    <row r="266" spans="1:23" x14ac:dyDescent="0.25">
      <c r="A266" s="2">
        <v>46238</v>
      </c>
      <c r="B266" s="3" t="s">
        <v>254</v>
      </c>
      <c r="C266" s="3" t="s">
        <v>528</v>
      </c>
      <c r="D266" s="3" t="s">
        <v>233</v>
      </c>
      <c r="E266" s="3" t="s">
        <v>31</v>
      </c>
      <c r="F266" s="3" t="s">
        <v>32</v>
      </c>
      <c r="G266" s="4" t="s">
        <v>106</v>
      </c>
      <c r="H266" s="4">
        <v>35</v>
      </c>
      <c r="I266" s="5">
        <v>0.26564814814814813</v>
      </c>
      <c r="J266" s="5">
        <v>0.14184027777777777</v>
      </c>
      <c r="K266" s="5">
        <f t="shared" si="6"/>
        <v>4.0525793650793649E-3</v>
      </c>
      <c r="L266" s="5">
        <v>5.7083333333333333E-2</v>
      </c>
      <c r="M266" s="6">
        <f t="shared" si="7"/>
        <v>0.21488323457650751</v>
      </c>
      <c r="N266" s="5">
        <v>1.3182870370370371E-2</v>
      </c>
      <c r="O266" s="5">
        <v>9.5949074074074079E-3</v>
      </c>
      <c r="P266" s="5"/>
      <c r="Q266" s="5">
        <v>1.0416666666666666E-2</v>
      </c>
      <c r="R266" s="5"/>
      <c r="S266" s="5">
        <v>1.3252314814814814E-2</v>
      </c>
      <c r="T266" s="5">
        <v>7.3379629629629628E-3</v>
      </c>
      <c r="U266" s="5">
        <v>3.2060185185185186E-3</v>
      </c>
      <c r="V266" s="5"/>
      <c r="W266" s="5"/>
    </row>
    <row r="267" spans="1:23" x14ac:dyDescent="0.25">
      <c r="A267" s="2">
        <v>46238</v>
      </c>
      <c r="B267" s="3" t="s">
        <v>201</v>
      </c>
      <c r="C267" s="3" t="s">
        <v>545</v>
      </c>
      <c r="D267" s="3" t="s">
        <v>601</v>
      </c>
      <c r="E267" s="3" t="s">
        <v>31</v>
      </c>
      <c r="F267" s="3" t="s">
        <v>600</v>
      </c>
      <c r="G267" s="4" t="s">
        <v>33</v>
      </c>
      <c r="H267" s="4">
        <v>31</v>
      </c>
      <c r="I267" s="5">
        <v>0.25266203703703705</v>
      </c>
      <c r="J267" s="5">
        <v>4.6273148148148147E-2</v>
      </c>
      <c r="K267" s="5">
        <f t="shared" si="6"/>
        <v>1.4926821983273595E-3</v>
      </c>
      <c r="L267" s="5">
        <v>6.9930555555555551E-2</v>
      </c>
      <c r="M267" s="6">
        <f t="shared" si="7"/>
        <v>0.27677508016491065</v>
      </c>
      <c r="N267" s="5">
        <v>1.3506944444444445E-2</v>
      </c>
      <c r="O267" s="5"/>
      <c r="P267" s="5">
        <v>2.1979166666666668E-2</v>
      </c>
      <c r="Q267" s="5"/>
      <c r="R267" s="5"/>
      <c r="S267" s="5">
        <v>1.9918981481481482E-2</v>
      </c>
      <c r="T267" s="5">
        <v>1.0995370370370371E-3</v>
      </c>
      <c r="U267" s="5">
        <v>1.3414351851851853E-2</v>
      </c>
      <c r="V267" s="5"/>
      <c r="W267" s="5"/>
    </row>
    <row r="268" spans="1:23" x14ac:dyDescent="0.25">
      <c r="A268" s="2">
        <v>46238</v>
      </c>
      <c r="B268" s="3" t="s">
        <v>168</v>
      </c>
      <c r="C268" s="3" t="s">
        <v>520</v>
      </c>
      <c r="D268" s="3" t="s">
        <v>274</v>
      </c>
      <c r="E268" s="3" t="s">
        <v>79</v>
      </c>
      <c r="F268" s="3" t="s">
        <v>147</v>
      </c>
      <c r="G268" s="4" t="s">
        <v>33</v>
      </c>
      <c r="H268" s="4">
        <v>25</v>
      </c>
      <c r="I268" s="5">
        <v>0.28627314814814814</v>
      </c>
      <c r="J268" s="5">
        <v>7.5671296296296292E-2</v>
      </c>
      <c r="K268" s="5">
        <f t="shared" si="6"/>
        <v>3.0268518518518518E-3</v>
      </c>
      <c r="L268" s="5">
        <v>4.2685185185185187E-2</v>
      </c>
      <c r="M268" s="6">
        <f t="shared" si="7"/>
        <v>0.14910649308643972</v>
      </c>
      <c r="N268" s="5">
        <v>7.3379629629629628E-3</v>
      </c>
      <c r="O268" s="5">
        <v>8.0439814814814818E-3</v>
      </c>
      <c r="P268" s="5"/>
      <c r="Q268" s="5">
        <v>1.2731481481481483E-3</v>
      </c>
      <c r="R268" s="5">
        <v>9.1550925925925931E-3</v>
      </c>
      <c r="S268" s="5">
        <v>1.6296296296296295E-2</v>
      </c>
      <c r="T268" s="5">
        <v>1.7361111111111112E-4</v>
      </c>
      <c r="U268" s="5">
        <v>3.3564814814814812E-4</v>
      </c>
      <c r="V268" s="5"/>
      <c r="W268" s="5"/>
    </row>
    <row r="269" spans="1:23" x14ac:dyDescent="0.25">
      <c r="A269" s="2">
        <v>46238</v>
      </c>
      <c r="B269" s="3" t="s">
        <v>170</v>
      </c>
      <c r="C269" s="3" t="s">
        <v>521</v>
      </c>
      <c r="D269" s="3" t="s">
        <v>146</v>
      </c>
      <c r="E269" s="3" t="s">
        <v>79</v>
      </c>
      <c r="F269" s="3" t="s">
        <v>147</v>
      </c>
      <c r="G269" s="4" t="s">
        <v>106</v>
      </c>
      <c r="H269" s="4">
        <v>18</v>
      </c>
      <c r="I269" s="5">
        <v>0.26368055555555553</v>
      </c>
      <c r="J269" s="5">
        <v>7.96412037037037E-2</v>
      </c>
      <c r="K269" s="5">
        <f t="shared" si="6"/>
        <v>4.4245113168724275E-3</v>
      </c>
      <c r="L269" s="5">
        <v>4.116898148148148E-2</v>
      </c>
      <c r="M269" s="6">
        <f t="shared" si="7"/>
        <v>0.15613203406197876</v>
      </c>
      <c r="N269" s="5">
        <v>6.8171296296296296E-3</v>
      </c>
      <c r="O269" s="5">
        <v>1.5069444444444444E-2</v>
      </c>
      <c r="P269" s="5"/>
      <c r="Q269" s="5">
        <v>4.5601851851851853E-3</v>
      </c>
      <c r="R269" s="5"/>
      <c r="S269" s="5">
        <v>1.3900462962962963E-2</v>
      </c>
      <c r="T269" s="5">
        <v>1.3888888888888889E-4</v>
      </c>
      <c r="U269" s="5">
        <v>6.3657407407407413E-4</v>
      </c>
      <c r="V269" s="5"/>
      <c r="W269" s="5"/>
    </row>
    <row r="270" spans="1:23" x14ac:dyDescent="0.25">
      <c r="A270" s="2">
        <v>46238</v>
      </c>
      <c r="B270" s="3" t="s">
        <v>94</v>
      </c>
      <c r="C270" s="3" t="s">
        <v>95</v>
      </c>
      <c r="D270" s="3" t="s">
        <v>78</v>
      </c>
      <c r="E270" s="3" t="s">
        <v>79</v>
      </c>
      <c r="F270" s="3" t="s">
        <v>80</v>
      </c>
      <c r="G270" s="4" t="s">
        <v>81</v>
      </c>
      <c r="H270" s="4">
        <v>0</v>
      </c>
      <c r="I270" s="5">
        <v>0.32422453703703702</v>
      </c>
      <c r="J270" s="5">
        <v>0</v>
      </c>
      <c r="K270" s="5">
        <f t="shared" si="6"/>
        <v>0</v>
      </c>
      <c r="L270" s="5">
        <v>0.19885416666666667</v>
      </c>
      <c r="M270" s="6">
        <f t="shared" si="7"/>
        <v>0.61332238603505518</v>
      </c>
      <c r="N270" s="5"/>
      <c r="O270" s="5"/>
      <c r="P270" s="5"/>
      <c r="Q270" s="5"/>
      <c r="R270" s="5">
        <v>0.19885416666666667</v>
      </c>
      <c r="S270" s="5"/>
      <c r="T270" s="5"/>
      <c r="U270" s="5"/>
      <c r="V270" s="5"/>
      <c r="W270" s="5"/>
    </row>
    <row r="271" spans="1:23" x14ac:dyDescent="0.25">
      <c r="A271" s="2">
        <v>46238</v>
      </c>
      <c r="B271" s="3" t="s">
        <v>293</v>
      </c>
      <c r="C271" s="3" t="s">
        <v>543</v>
      </c>
      <c r="D271" s="3" t="s">
        <v>104</v>
      </c>
      <c r="E271" s="3" t="s">
        <v>31</v>
      </c>
      <c r="F271" s="3" t="s">
        <v>600</v>
      </c>
      <c r="G271" s="4" t="s">
        <v>106</v>
      </c>
      <c r="H271" s="4">
        <v>14</v>
      </c>
      <c r="I271" s="5">
        <v>0.24283564814814815</v>
      </c>
      <c r="J271" s="5">
        <v>9.6655092592592598E-2</v>
      </c>
      <c r="K271" s="5">
        <f t="shared" si="6"/>
        <v>6.9039351851851857E-3</v>
      </c>
      <c r="L271" s="5">
        <v>0.14425925925925925</v>
      </c>
      <c r="M271" s="6">
        <f t="shared" si="7"/>
        <v>0.59406129355130832</v>
      </c>
      <c r="N271" s="5">
        <v>9.2245370370370363E-3</v>
      </c>
      <c r="O271" s="5">
        <v>3.0173611111111109E-2</v>
      </c>
      <c r="P271" s="5"/>
      <c r="Q271" s="5"/>
      <c r="R271" s="5"/>
      <c r="S271" s="5"/>
      <c r="T271" s="5">
        <v>1.7361111111111112E-4</v>
      </c>
      <c r="U271" s="5">
        <v>1.2962962962962963E-3</v>
      </c>
      <c r="V271" s="5"/>
      <c r="W271" s="5">
        <v>0.10339120370370371</v>
      </c>
    </row>
    <row r="272" spans="1:23" x14ac:dyDescent="0.25">
      <c r="A272" s="2">
        <v>46238</v>
      </c>
      <c r="B272" s="3" t="s">
        <v>606</v>
      </c>
      <c r="C272" s="3" t="s">
        <v>633</v>
      </c>
      <c r="D272" s="3" t="s">
        <v>146</v>
      </c>
      <c r="E272" s="3" t="s">
        <v>79</v>
      </c>
      <c r="F272" s="3" t="s">
        <v>147</v>
      </c>
      <c r="G272" s="4" t="s">
        <v>106</v>
      </c>
      <c r="H272" s="4">
        <v>15</v>
      </c>
      <c r="I272" s="5">
        <v>0.2633449074074074</v>
      </c>
      <c r="J272" s="5">
        <v>6.8379629629629624E-2</v>
      </c>
      <c r="K272" s="5">
        <f t="shared" si="6"/>
        <v>4.5586419753086416E-3</v>
      </c>
      <c r="L272" s="5">
        <v>5.9432870370370372E-2</v>
      </c>
      <c r="M272" s="6">
        <f t="shared" si="7"/>
        <v>0.22568452511756693</v>
      </c>
      <c r="N272" s="5">
        <v>8.1712962962962963E-3</v>
      </c>
      <c r="O272" s="5">
        <v>1.4768518518518519E-2</v>
      </c>
      <c r="P272" s="5"/>
      <c r="Q272" s="5"/>
      <c r="R272" s="5"/>
      <c r="S272" s="5">
        <v>1.4108796296296296E-2</v>
      </c>
      <c r="T272" s="5">
        <v>1.0069444444444444E-3</v>
      </c>
      <c r="U272" s="5">
        <v>1.525462962962963E-2</v>
      </c>
      <c r="V272" s="5"/>
      <c r="W272" s="5">
        <v>6.122685185185185E-3</v>
      </c>
    </row>
    <row r="273" spans="1:23" x14ac:dyDescent="0.25">
      <c r="A273" s="2">
        <v>46238</v>
      </c>
      <c r="B273" s="3" t="s">
        <v>256</v>
      </c>
      <c r="C273" s="3" t="s">
        <v>529</v>
      </c>
      <c r="D273" s="3" t="s">
        <v>233</v>
      </c>
      <c r="E273" s="3" t="s">
        <v>31</v>
      </c>
      <c r="F273" s="3" t="s">
        <v>32</v>
      </c>
      <c r="G273" s="4" t="s">
        <v>106</v>
      </c>
      <c r="H273" s="4">
        <v>27</v>
      </c>
      <c r="I273" s="5">
        <v>0.22687499999999999</v>
      </c>
      <c r="J273" s="5">
        <v>0.1193287037037037</v>
      </c>
      <c r="K273" s="5">
        <f t="shared" si="6"/>
        <v>4.4195816186556923E-3</v>
      </c>
      <c r="L273" s="5">
        <v>6.2743055555555552E-2</v>
      </c>
      <c r="M273" s="6">
        <f t="shared" si="7"/>
        <v>0.27655341291704927</v>
      </c>
      <c r="N273" s="5">
        <v>1.6354166666666666E-2</v>
      </c>
      <c r="O273" s="5">
        <v>9.3287037037037036E-3</v>
      </c>
      <c r="P273" s="5"/>
      <c r="Q273" s="5"/>
      <c r="R273" s="5"/>
      <c r="S273" s="5">
        <v>1.7592592592592594E-2</v>
      </c>
      <c r="T273" s="5">
        <v>2.9050925925925928E-3</v>
      </c>
      <c r="U273" s="5">
        <v>1.2037037037037037E-2</v>
      </c>
      <c r="V273" s="5"/>
      <c r="W273" s="5">
        <v>3.9930555555555552E-3</v>
      </c>
    </row>
    <row r="274" spans="1:23" x14ac:dyDescent="0.25">
      <c r="A274" s="2">
        <v>46238</v>
      </c>
      <c r="B274" s="3" t="s">
        <v>612</v>
      </c>
      <c r="C274" s="3" t="s">
        <v>634</v>
      </c>
      <c r="D274" s="3" t="s">
        <v>601</v>
      </c>
      <c r="E274" s="3" t="s">
        <v>31</v>
      </c>
      <c r="F274" s="3" t="s">
        <v>105</v>
      </c>
      <c r="G274" s="4" t="s">
        <v>33</v>
      </c>
      <c r="H274" s="4">
        <v>11</v>
      </c>
      <c r="I274" s="5">
        <v>0.20866898148148147</v>
      </c>
      <c r="J274" s="5">
        <v>0.11891203703703704</v>
      </c>
      <c r="K274" s="5">
        <f t="shared" si="6"/>
        <v>1.0810185185185185E-2</v>
      </c>
      <c r="L274" s="5">
        <v>0.16778935185185184</v>
      </c>
      <c r="M274" s="6">
        <f t="shared" si="7"/>
        <v>0.80409340506961002</v>
      </c>
      <c r="N274" s="5">
        <v>1.1643518518518518E-2</v>
      </c>
      <c r="O274" s="5">
        <v>1.0532407407407407E-2</v>
      </c>
      <c r="P274" s="5"/>
      <c r="Q274" s="5"/>
      <c r="R274" s="5"/>
      <c r="S274" s="5">
        <v>2.1365740740740741E-2</v>
      </c>
      <c r="T274" s="5">
        <v>8.7962962962962962E-4</v>
      </c>
      <c r="U274" s="5"/>
      <c r="V274" s="5"/>
      <c r="W274" s="5">
        <v>0.12336805555555555</v>
      </c>
    </row>
    <row r="275" spans="1:23" x14ac:dyDescent="0.25">
      <c r="A275" s="2">
        <v>46238</v>
      </c>
      <c r="B275" s="3" t="s">
        <v>258</v>
      </c>
      <c r="C275" s="3" t="s">
        <v>554</v>
      </c>
      <c r="D275" s="3" t="s">
        <v>233</v>
      </c>
      <c r="E275" s="3" t="s">
        <v>31</v>
      </c>
      <c r="F275" s="3" t="s">
        <v>32</v>
      </c>
      <c r="G275" s="4" t="s">
        <v>106</v>
      </c>
      <c r="H275" s="4">
        <v>2</v>
      </c>
      <c r="I275" s="5">
        <v>0.19136574074074075</v>
      </c>
      <c r="J275" s="5">
        <v>1.0138888888888888E-2</v>
      </c>
      <c r="K275" s="5">
        <f t="shared" si="6"/>
        <v>5.0694444444444441E-3</v>
      </c>
      <c r="L275" s="5">
        <v>0.17829861111111112</v>
      </c>
      <c r="M275" s="6">
        <f t="shared" si="7"/>
        <v>0.93171646304584488</v>
      </c>
      <c r="N275" s="5"/>
      <c r="O275" s="5"/>
      <c r="P275" s="5"/>
      <c r="Q275" s="5"/>
      <c r="R275" s="5"/>
      <c r="S275" s="5">
        <v>8.3680555555555557E-3</v>
      </c>
      <c r="T275" s="5">
        <v>3.9351851851851852E-4</v>
      </c>
      <c r="U275" s="5"/>
      <c r="V275" s="5"/>
      <c r="W275" s="5">
        <v>0.16953703703703704</v>
      </c>
    </row>
    <row r="276" spans="1:23" x14ac:dyDescent="0.25">
      <c r="A276" s="2">
        <v>46238</v>
      </c>
      <c r="B276" s="3" t="s">
        <v>661</v>
      </c>
      <c r="C276" s="3" t="s">
        <v>662</v>
      </c>
      <c r="D276" s="3" t="s">
        <v>100</v>
      </c>
      <c r="E276" s="3" t="s">
        <v>31</v>
      </c>
      <c r="F276" s="3" t="s">
        <v>32</v>
      </c>
      <c r="G276" s="4" t="s">
        <v>33</v>
      </c>
      <c r="H276" s="4">
        <v>24</v>
      </c>
      <c r="I276" s="5">
        <v>0.24479166666666666</v>
      </c>
      <c r="J276" s="5">
        <v>0.18738425925925925</v>
      </c>
      <c r="K276" s="5">
        <f t="shared" si="6"/>
        <v>7.8076774691358021E-3</v>
      </c>
      <c r="L276" s="5">
        <v>4.5254629629629631E-2</v>
      </c>
      <c r="M276" s="6">
        <f t="shared" si="7"/>
        <v>0.18486997635933808</v>
      </c>
      <c r="N276" s="5">
        <v>2.9282407407407408E-3</v>
      </c>
      <c r="O276" s="5">
        <v>1.755787037037037E-2</v>
      </c>
      <c r="P276" s="5"/>
      <c r="Q276" s="5"/>
      <c r="R276" s="5">
        <v>4.6296296296296298E-4</v>
      </c>
      <c r="S276" s="5">
        <v>1.1458333333333333E-3</v>
      </c>
      <c r="T276" s="5">
        <v>1.9884259259259258E-2</v>
      </c>
      <c r="U276" s="5">
        <v>1.5972222222222223E-3</v>
      </c>
      <c r="V276" s="5"/>
      <c r="W276" s="5">
        <v>1.6782407407407408E-3</v>
      </c>
    </row>
    <row r="277" spans="1:23" x14ac:dyDescent="0.25">
      <c r="A277" s="2">
        <v>46238</v>
      </c>
      <c r="B277" s="3" t="s">
        <v>663</v>
      </c>
      <c r="C277" s="3" t="s">
        <v>664</v>
      </c>
      <c r="D277" s="3" t="s">
        <v>233</v>
      </c>
      <c r="E277" s="3" t="s">
        <v>31</v>
      </c>
      <c r="F277" s="3" t="s">
        <v>32</v>
      </c>
      <c r="G277" s="4" t="s">
        <v>106</v>
      </c>
      <c r="H277" s="4">
        <v>27</v>
      </c>
      <c r="I277" s="5">
        <v>0.24726851851851853</v>
      </c>
      <c r="J277" s="5">
        <v>0.18554398148148149</v>
      </c>
      <c r="K277" s="5">
        <f t="shared" ref="K277:K321" si="8">IFERROR(J277/H277,0)</f>
        <v>6.8719993141289444E-3</v>
      </c>
      <c r="L277" s="5">
        <v>4.3078703703703702E-2</v>
      </c>
      <c r="M277" s="6">
        <f t="shared" ref="M277:M321" si="9">IFERROR(L277/I277,0)</f>
        <v>0.17421831117768208</v>
      </c>
      <c r="N277" s="5">
        <v>4.409722222222222E-3</v>
      </c>
      <c r="O277" s="5">
        <v>1.7002314814814814E-2</v>
      </c>
      <c r="P277" s="5"/>
      <c r="Q277" s="5"/>
      <c r="R277" s="5"/>
      <c r="S277" s="5">
        <v>1.7962962962962962E-2</v>
      </c>
      <c r="T277" s="5">
        <v>1.3888888888888889E-4</v>
      </c>
      <c r="U277" s="5">
        <v>7.7546296296296293E-4</v>
      </c>
      <c r="V277" s="5"/>
      <c r="W277" s="5">
        <v>2.7893518518518519E-3</v>
      </c>
    </row>
    <row r="278" spans="1:23" x14ac:dyDescent="0.25">
      <c r="A278" s="2">
        <v>46238</v>
      </c>
      <c r="B278" s="3" t="s">
        <v>665</v>
      </c>
      <c r="C278" s="3" t="s">
        <v>666</v>
      </c>
      <c r="D278" s="3" t="s">
        <v>100</v>
      </c>
      <c r="E278" s="3" t="s">
        <v>31</v>
      </c>
      <c r="F278" s="3" t="s">
        <v>32</v>
      </c>
      <c r="G278" s="4" t="s">
        <v>33</v>
      </c>
      <c r="H278" s="4">
        <v>35</v>
      </c>
      <c r="I278" s="5">
        <v>0.26026620370370368</v>
      </c>
      <c r="J278" s="5">
        <v>0.20539351851851853</v>
      </c>
      <c r="K278" s="5">
        <f t="shared" si="8"/>
        <v>5.8683862433862441E-3</v>
      </c>
      <c r="L278" s="5">
        <v>3.1539351851851853E-2</v>
      </c>
      <c r="M278" s="6">
        <f t="shared" si="9"/>
        <v>0.1211811268733046</v>
      </c>
      <c r="N278" s="5"/>
      <c r="O278" s="5">
        <v>1.412037037037037E-2</v>
      </c>
      <c r="P278" s="5"/>
      <c r="Q278" s="5"/>
      <c r="R278" s="5"/>
      <c r="S278" s="5">
        <v>1.3946759259259259E-2</v>
      </c>
      <c r="T278" s="5">
        <v>1.0763888888888889E-3</v>
      </c>
      <c r="U278" s="5">
        <v>2.1412037037037038E-3</v>
      </c>
      <c r="V278" s="5"/>
      <c r="W278" s="5"/>
    </row>
    <row r="279" spans="1:23" x14ac:dyDescent="0.25">
      <c r="A279" s="2">
        <v>46238</v>
      </c>
      <c r="B279" s="3" t="s">
        <v>264</v>
      </c>
      <c r="C279" s="3" t="s">
        <v>530</v>
      </c>
      <c r="D279" s="3" t="s">
        <v>78</v>
      </c>
      <c r="E279" s="3" t="s">
        <v>79</v>
      </c>
      <c r="F279" s="3" t="s">
        <v>80</v>
      </c>
      <c r="G279" s="4" t="s">
        <v>106</v>
      </c>
      <c r="H279" s="4">
        <v>0</v>
      </c>
      <c r="I279" s="5">
        <v>1.3888888888888889E-3</v>
      </c>
      <c r="J279" s="5">
        <v>0</v>
      </c>
      <c r="K279" s="5">
        <f t="shared" si="8"/>
        <v>0</v>
      </c>
      <c r="L279" s="5">
        <v>6.9444444444444444E-5</v>
      </c>
      <c r="M279" s="6">
        <f t="shared" si="9"/>
        <v>4.9999999999999996E-2</v>
      </c>
      <c r="N279" s="5"/>
      <c r="O279" s="5"/>
      <c r="P279" s="5"/>
      <c r="Q279" s="5"/>
      <c r="R279" s="5">
        <v>6.9444444444444444E-5</v>
      </c>
      <c r="S279" s="5"/>
      <c r="T279" s="5"/>
      <c r="U279" s="5"/>
      <c r="V279" s="5"/>
      <c r="W279" s="5"/>
    </row>
    <row r="280" spans="1:23" x14ac:dyDescent="0.25">
      <c r="A280" s="2">
        <v>46238</v>
      </c>
      <c r="B280" s="3" t="s">
        <v>128</v>
      </c>
      <c r="C280" s="3" t="s">
        <v>555</v>
      </c>
      <c r="D280" s="3" t="s">
        <v>233</v>
      </c>
      <c r="E280" s="3" t="s">
        <v>31</v>
      </c>
      <c r="F280" s="3" t="s">
        <v>32</v>
      </c>
      <c r="G280" s="4" t="s">
        <v>106</v>
      </c>
      <c r="H280" s="4">
        <v>43</v>
      </c>
      <c r="I280" s="5">
        <v>0.23663194444444444</v>
      </c>
      <c r="J280" s="5">
        <v>0.17618055555555556</v>
      </c>
      <c r="K280" s="5">
        <f t="shared" si="8"/>
        <v>4.0972222222222226E-3</v>
      </c>
      <c r="L280" s="5">
        <v>4.4085648148148152E-2</v>
      </c>
      <c r="M280" s="6">
        <f t="shared" si="9"/>
        <v>0.18630471998043532</v>
      </c>
      <c r="N280" s="5">
        <v>9.4444444444444445E-3</v>
      </c>
      <c r="O280" s="5">
        <v>1.6018518518518519E-2</v>
      </c>
      <c r="P280" s="5"/>
      <c r="Q280" s="5"/>
      <c r="R280" s="5"/>
      <c r="S280" s="5">
        <v>1.5057870370370371E-2</v>
      </c>
      <c r="T280" s="5">
        <v>3.2407407407407406E-3</v>
      </c>
      <c r="U280" s="5">
        <v>3.0092592592592595E-4</v>
      </c>
      <c r="V280" s="5"/>
      <c r="W280" s="5"/>
    </row>
    <row r="281" spans="1:23" x14ac:dyDescent="0.25">
      <c r="A281" s="2">
        <v>46238</v>
      </c>
      <c r="B281" s="3" t="s">
        <v>178</v>
      </c>
      <c r="C281" s="3" t="s">
        <v>522</v>
      </c>
      <c r="D281" s="3" t="s">
        <v>146</v>
      </c>
      <c r="E281" s="3" t="s">
        <v>79</v>
      </c>
      <c r="F281" s="3" t="s">
        <v>147</v>
      </c>
      <c r="G281" s="4" t="s">
        <v>106</v>
      </c>
      <c r="H281" s="4">
        <v>17</v>
      </c>
      <c r="I281" s="5">
        <v>0.25906249999999997</v>
      </c>
      <c r="J281" s="5">
        <v>5.7372685185185186E-2</v>
      </c>
      <c r="K281" s="5">
        <f t="shared" si="8"/>
        <v>3.3748638344226582E-3</v>
      </c>
      <c r="L281" s="5">
        <v>4.3032407407407408E-2</v>
      </c>
      <c r="M281" s="6">
        <f t="shared" si="9"/>
        <v>0.16610820712147614</v>
      </c>
      <c r="N281" s="5">
        <v>6.3888888888888893E-3</v>
      </c>
      <c r="O281" s="5">
        <v>1.3460648148148149E-2</v>
      </c>
      <c r="P281" s="5">
        <v>4.8495370370370368E-3</v>
      </c>
      <c r="Q281" s="5">
        <v>3.9583333333333337E-3</v>
      </c>
      <c r="R281" s="5"/>
      <c r="S281" s="5">
        <v>1.3819444444444445E-2</v>
      </c>
      <c r="T281" s="5">
        <v>6.9444444444444444E-5</v>
      </c>
      <c r="U281" s="5">
        <v>4.6296296296296298E-4</v>
      </c>
      <c r="V281" s="5"/>
      <c r="W281" s="5"/>
    </row>
    <row r="282" spans="1:23" x14ac:dyDescent="0.25">
      <c r="A282" s="2">
        <v>46238</v>
      </c>
      <c r="B282" s="3" t="s">
        <v>266</v>
      </c>
      <c r="C282" s="3" t="s">
        <v>531</v>
      </c>
      <c r="D282" s="3" t="s">
        <v>233</v>
      </c>
      <c r="E282" s="3" t="s">
        <v>31</v>
      </c>
      <c r="F282" s="3" t="s">
        <v>32</v>
      </c>
      <c r="G282" s="4" t="s">
        <v>106</v>
      </c>
      <c r="H282" s="4">
        <v>0</v>
      </c>
      <c r="I282" s="5">
        <v>0.24221064814814816</v>
      </c>
      <c r="J282" s="5">
        <v>0</v>
      </c>
      <c r="K282" s="5">
        <f t="shared" si="8"/>
        <v>0</v>
      </c>
      <c r="L282" s="5">
        <v>0.24221064814814816</v>
      </c>
      <c r="M282" s="6">
        <f t="shared" si="9"/>
        <v>1</v>
      </c>
      <c r="N282" s="5"/>
      <c r="O282" s="5">
        <v>1.2731481481481481E-2</v>
      </c>
      <c r="P282" s="5"/>
      <c r="Q282" s="5"/>
      <c r="R282" s="5"/>
      <c r="S282" s="5">
        <v>1.4513888888888889E-2</v>
      </c>
      <c r="T282" s="5">
        <v>5.5555555555555556E-4</v>
      </c>
      <c r="U282" s="5"/>
      <c r="V282" s="5"/>
      <c r="W282" s="5">
        <v>0.21440972222222221</v>
      </c>
    </row>
    <row r="283" spans="1:23" x14ac:dyDescent="0.25">
      <c r="A283" s="2">
        <v>46238</v>
      </c>
      <c r="B283" s="3" t="s">
        <v>297</v>
      </c>
      <c r="C283" s="3" t="s">
        <v>667</v>
      </c>
      <c r="D283" s="3" t="s">
        <v>104</v>
      </c>
      <c r="E283" s="3" t="s">
        <v>31</v>
      </c>
      <c r="F283" s="3" t="s">
        <v>105</v>
      </c>
      <c r="G283" s="4" t="s">
        <v>106</v>
      </c>
      <c r="H283" s="4">
        <v>26</v>
      </c>
      <c r="I283" s="5">
        <v>0.24119212962962963</v>
      </c>
      <c r="J283" s="5">
        <v>0.2910300925925926</v>
      </c>
      <c r="K283" s="5">
        <f t="shared" si="8"/>
        <v>1.11934650997151E-2</v>
      </c>
      <c r="L283" s="5">
        <v>6.653935185185185E-2</v>
      </c>
      <c r="M283" s="6">
        <f t="shared" si="9"/>
        <v>0.27587696146648111</v>
      </c>
      <c r="N283" s="5">
        <v>1.9398148148148147E-2</v>
      </c>
      <c r="O283" s="5">
        <v>1.6574074074074074E-2</v>
      </c>
      <c r="P283" s="5"/>
      <c r="Q283" s="5"/>
      <c r="R283" s="5"/>
      <c r="S283" s="5">
        <v>1.7118055555555556E-2</v>
      </c>
      <c r="T283" s="5">
        <v>4.6064814814814814E-3</v>
      </c>
      <c r="U283" s="5">
        <v>3.4722222222222224E-4</v>
      </c>
      <c r="V283" s="5"/>
      <c r="W283" s="5">
        <v>8.4953703703703701E-3</v>
      </c>
    </row>
    <row r="284" spans="1:23" x14ac:dyDescent="0.25">
      <c r="A284" s="2">
        <v>46238</v>
      </c>
      <c r="B284" s="3" t="s">
        <v>207</v>
      </c>
      <c r="C284" s="3" t="s">
        <v>566</v>
      </c>
      <c r="D284" s="3" t="s">
        <v>274</v>
      </c>
      <c r="E284" s="3" t="s">
        <v>79</v>
      </c>
      <c r="F284" s="3" t="s">
        <v>147</v>
      </c>
      <c r="G284" s="4" t="s">
        <v>33</v>
      </c>
      <c r="H284" s="4">
        <v>25</v>
      </c>
      <c r="I284" s="5">
        <v>0.26422453703703702</v>
      </c>
      <c r="J284" s="5">
        <v>0.10488425925925926</v>
      </c>
      <c r="K284" s="5">
        <f t="shared" si="8"/>
        <v>4.1953703703703701E-3</v>
      </c>
      <c r="L284" s="5">
        <v>3.3541666666666664E-2</v>
      </c>
      <c r="M284" s="6">
        <f t="shared" si="9"/>
        <v>0.12694379955319987</v>
      </c>
      <c r="N284" s="5">
        <v>1.712962962962963E-3</v>
      </c>
      <c r="O284" s="5">
        <v>1.5486111111111112E-2</v>
      </c>
      <c r="P284" s="5"/>
      <c r="Q284" s="5"/>
      <c r="R284" s="5"/>
      <c r="S284" s="5">
        <v>1.4166666666666666E-2</v>
      </c>
      <c r="T284" s="5">
        <v>5.7870370370370373E-5</v>
      </c>
      <c r="U284" s="5">
        <v>2.0370370370370369E-3</v>
      </c>
      <c r="V284" s="5"/>
      <c r="W284" s="5"/>
    </row>
    <row r="285" spans="1:23" x14ac:dyDescent="0.25">
      <c r="A285" s="2">
        <v>46238</v>
      </c>
      <c r="B285" s="3" t="s">
        <v>614</v>
      </c>
      <c r="C285" s="3" t="s">
        <v>635</v>
      </c>
      <c r="D285" s="3" t="s">
        <v>601</v>
      </c>
      <c r="E285" s="3" t="s">
        <v>31</v>
      </c>
      <c r="F285" s="3" t="s">
        <v>105</v>
      </c>
      <c r="G285" s="4" t="s">
        <v>33</v>
      </c>
      <c r="H285" s="4">
        <v>14</v>
      </c>
      <c r="I285" s="5">
        <v>0.19739583333333333</v>
      </c>
      <c r="J285" s="5">
        <v>0.16218750000000001</v>
      </c>
      <c r="K285" s="5">
        <f t="shared" si="8"/>
        <v>1.1584821428571429E-2</v>
      </c>
      <c r="L285" s="5">
        <v>0.1399074074074074</v>
      </c>
      <c r="M285" s="6">
        <f t="shared" si="9"/>
        <v>0.70876575784227491</v>
      </c>
      <c r="N285" s="5"/>
      <c r="O285" s="5">
        <v>4.0277777777777777E-3</v>
      </c>
      <c r="P285" s="5"/>
      <c r="Q285" s="5"/>
      <c r="R285" s="5"/>
      <c r="S285" s="5">
        <v>1.7916666666666668E-2</v>
      </c>
      <c r="T285" s="5">
        <v>1.2453703703703703E-2</v>
      </c>
      <c r="U285" s="5"/>
      <c r="V285" s="5"/>
      <c r="W285" s="5">
        <v>0.10550925925925926</v>
      </c>
    </row>
    <row r="286" spans="1:23" x14ac:dyDescent="0.25">
      <c r="A286" s="2">
        <v>46238</v>
      </c>
      <c r="B286" s="3" t="s">
        <v>96</v>
      </c>
      <c r="C286" s="3" t="s">
        <v>97</v>
      </c>
      <c r="D286" s="3" t="s">
        <v>78</v>
      </c>
      <c r="E286" s="3" t="s">
        <v>79</v>
      </c>
      <c r="F286" s="3" t="s">
        <v>80</v>
      </c>
      <c r="G286" s="4" t="s">
        <v>81</v>
      </c>
      <c r="H286" s="4">
        <v>0</v>
      </c>
      <c r="I286" s="5">
        <v>0.32087962962962963</v>
      </c>
      <c r="J286" s="5">
        <v>0</v>
      </c>
      <c r="K286" s="5">
        <f t="shared" si="8"/>
        <v>0</v>
      </c>
      <c r="L286" s="5">
        <v>0.22787037037037036</v>
      </c>
      <c r="M286" s="6">
        <f t="shared" si="9"/>
        <v>0.71014283653152499</v>
      </c>
      <c r="N286" s="5">
        <v>1.7199074074074075E-2</v>
      </c>
      <c r="O286" s="5">
        <v>0.21055555555555555</v>
      </c>
      <c r="P286" s="5"/>
      <c r="Q286" s="5"/>
      <c r="R286" s="5"/>
      <c r="S286" s="5"/>
      <c r="T286" s="5">
        <v>1.1574074074074075E-4</v>
      </c>
      <c r="U286" s="5"/>
      <c r="V286" s="5"/>
      <c r="W286" s="5"/>
    </row>
    <row r="287" spans="1:23" x14ac:dyDescent="0.25">
      <c r="A287" s="2">
        <v>46238</v>
      </c>
      <c r="B287" s="3" t="s">
        <v>180</v>
      </c>
      <c r="C287" s="3" t="s">
        <v>523</v>
      </c>
      <c r="D287" s="3" t="s">
        <v>146</v>
      </c>
      <c r="E287" s="3" t="s">
        <v>79</v>
      </c>
      <c r="F287" s="3" t="s">
        <v>147</v>
      </c>
      <c r="G287" s="4" t="s">
        <v>106</v>
      </c>
      <c r="H287" s="4">
        <v>8</v>
      </c>
      <c r="I287" s="5">
        <v>0.22968749999999999</v>
      </c>
      <c r="J287" s="5">
        <v>4.3194444444444445E-2</v>
      </c>
      <c r="K287" s="5">
        <f t="shared" si="8"/>
        <v>5.3993055555555556E-3</v>
      </c>
      <c r="L287" s="5">
        <v>8.3368055555555556E-2</v>
      </c>
      <c r="M287" s="6">
        <f t="shared" si="9"/>
        <v>0.36296296296296299</v>
      </c>
      <c r="N287" s="5">
        <v>3.3796296296296296E-3</v>
      </c>
      <c r="O287" s="5">
        <v>1.4560185185185185E-2</v>
      </c>
      <c r="P287" s="5"/>
      <c r="Q287" s="5">
        <v>6.7939814814814816E-3</v>
      </c>
      <c r="R287" s="5"/>
      <c r="S287" s="5">
        <v>1.4502314814814815E-2</v>
      </c>
      <c r="T287" s="5">
        <v>1.1574074074074075E-4</v>
      </c>
      <c r="U287" s="5"/>
      <c r="V287" s="5"/>
      <c r="W287" s="5">
        <v>4.4016203703703703E-2</v>
      </c>
    </row>
    <row r="288" spans="1:23" x14ac:dyDescent="0.25">
      <c r="A288" s="2">
        <v>46238</v>
      </c>
      <c r="B288" s="3" t="s">
        <v>615</v>
      </c>
      <c r="C288" s="3" t="s">
        <v>636</v>
      </c>
      <c r="D288" s="3" t="s">
        <v>601</v>
      </c>
      <c r="E288" s="3" t="s">
        <v>31</v>
      </c>
      <c r="F288" s="3" t="s">
        <v>105</v>
      </c>
      <c r="G288" s="4" t="s">
        <v>33</v>
      </c>
      <c r="H288" s="4">
        <v>10</v>
      </c>
      <c r="I288" s="5">
        <v>0.25812499999999999</v>
      </c>
      <c r="J288" s="5">
        <v>0.16648148148148148</v>
      </c>
      <c r="K288" s="5">
        <f t="shared" si="8"/>
        <v>1.6648148148148148E-2</v>
      </c>
      <c r="L288" s="5">
        <v>0.17776620370370369</v>
      </c>
      <c r="M288" s="6">
        <f t="shared" si="9"/>
        <v>0.68868262936059543</v>
      </c>
      <c r="N288" s="5">
        <v>5.6365740740740742E-3</v>
      </c>
      <c r="O288" s="5">
        <v>1.5428240740740741E-2</v>
      </c>
      <c r="P288" s="5"/>
      <c r="Q288" s="5"/>
      <c r="R288" s="5"/>
      <c r="S288" s="5">
        <v>1.4189814814814815E-2</v>
      </c>
      <c r="T288" s="5">
        <v>1.3888888888888889E-4</v>
      </c>
      <c r="U288" s="5"/>
      <c r="V288" s="5"/>
      <c r="W288" s="5">
        <v>0.14237268518518517</v>
      </c>
    </row>
    <row r="289" spans="1:23" x14ac:dyDescent="0.25">
      <c r="A289" s="2">
        <v>46238</v>
      </c>
      <c r="B289" s="3" t="s">
        <v>616</v>
      </c>
      <c r="C289" s="3" t="s">
        <v>637</v>
      </c>
      <c r="D289" s="3" t="s">
        <v>601</v>
      </c>
      <c r="E289" s="3" t="s">
        <v>31</v>
      </c>
      <c r="F289" s="3" t="s">
        <v>105</v>
      </c>
      <c r="G289" s="4" t="s">
        <v>33</v>
      </c>
      <c r="H289" s="4">
        <v>4</v>
      </c>
      <c r="I289" s="5">
        <v>0.22289351851851852</v>
      </c>
      <c r="J289" s="5">
        <v>7.6226851851851851E-2</v>
      </c>
      <c r="K289" s="5">
        <f t="shared" si="8"/>
        <v>1.9056712962962963E-2</v>
      </c>
      <c r="L289" s="5">
        <v>0.17759259259259258</v>
      </c>
      <c r="M289" s="6">
        <f t="shared" si="9"/>
        <v>0.79675978813999371</v>
      </c>
      <c r="N289" s="5">
        <v>2.8819444444444444E-3</v>
      </c>
      <c r="O289" s="5">
        <v>1.6909722222222222E-2</v>
      </c>
      <c r="P289" s="5"/>
      <c r="Q289" s="5"/>
      <c r="R289" s="5"/>
      <c r="S289" s="5">
        <v>1.4513888888888889E-2</v>
      </c>
      <c r="T289" s="5">
        <v>3.4722222222222224E-4</v>
      </c>
      <c r="U289" s="5">
        <v>1.3888888888888889E-3</v>
      </c>
      <c r="V289" s="5"/>
      <c r="W289" s="5">
        <v>0.14155092592592591</v>
      </c>
    </row>
    <row r="290" spans="1:23" x14ac:dyDescent="0.25">
      <c r="A290" s="2">
        <v>46238</v>
      </c>
      <c r="B290" s="3" t="s">
        <v>209</v>
      </c>
      <c r="C290" s="3" t="s">
        <v>567</v>
      </c>
      <c r="D290" s="3" t="s">
        <v>601</v>
      </c>
      <c r="E290" s="3" t="s">
        <v>31</v>
      </c>
      <c r="F290" s="3" t="s">
        <v>105</v>
      </c>
      <c r="G290" s="4" t="s">
        <v>33</v>
      </c>
      <c r="H290" s="4">
        <v>8</v>
      </c>
      <c r="I290" s="5">
        <v>0.25307870370370372</v>
      </c>
      <c r="J290" s="5">
        <v>0.11342592592592593</v>
      </c>
      <c r="K290" s="5">
        <f t="shared" si="8"/>
        <v>1.4178240740740741E-2</v>
      </c>
      <c r="L290" s="5">
        <v>0.17591435185185186</v>
      </c>
      <c r="M290" s="6">
        <f t="shared" si="9"/>
        <v>0.69509741150644833</v>
      </c>
      <c r="N290" s="5"/>
      <c r="O290" s="5">
        <v>9.6412037037037039E-3</v>
      </c>
      <c r="P290" s="5"/>
      <c r="Q290" s="5"/>
      <c r="R290" s="5"/>
      <c r="S290" s="5">
        <v>1.462962962962963E-2</v>
      </c>
      <c r="T290" s="5">
        <v>1.8564814814814815E-2</v>
      </c>
      <c r="U290" s="5">
        <v>2.1643518518518518E-3</v>
      </c>
      <c r="V290" s="5"/>
      <c r="W290" s="5">
        <v>0.13091435185185185</v>
      </c>
    </row>
    <row r="291" spans="1:23" x14ac:dyDescent="0.25">
      <c r="A291" s="2">
        <v>46238</v>
      </c>
      <c r="B291" s="3" t="s">
        <v>60</v>
      </c>
      <c r="C291" s="3" t="s">
        <v>510</v>
      </c>
      <c r="D291" s="3" t="s">
        <v>100</v>
      </c>
      <c r="E291" s="3" t="s">
        <v>31</v>
      </c>
      <c r="F291" s="3" t="s">
        <v>32</v>
      </c>
      <c r="G291" s="4" t="s">
        <v>33</v>
      </c>
      <c r="H291" s="4">
        <v>50</v>
      </c>
      <c r="I291" s="5">
        <v>0.31505787037037036</v>
      </c>
      <c r="J291" s="5">
        <v>0.29979166666666668</v>
      </c>
      <c r="K291" s="5">
        <f t="shared" si="8"/>
        <v>5.9958333333333339E-3</v>
      </c>
      <c r="L291" s="5">
        <v>3.1643518518518515E-2</v>
      </c>
      <c r="M291" s="6">
        <f t="shared" si="9"/>
        <v>0.10043716248484626</v>
      </c>
      <c r="N291" s="5"/>
      <c r="O291" s="5">
        <v>1.3518518518518518E-2</v>
      </c>
      <c r="P291" s="5"/>
      <c r="Q291" s="5">
        <v>3.0439814814814813E-3</v>
      </c>
      <c r="R291" s="5"/>
      <c r="S291" s="5">
        <v>1.3761574074074074E-2</v>
      </c>
      <c r="T291" s="5">
        <v>2.0833333333333335E-4</v>
      </c>
      <c r="U291" s="5">
        <v>9.3749999999999997E-4</v>
      </c>
      <c r="V291" s="5"/>
      <c r="W291" s="5"/>
    </row>
    <row r="292" spans="1:23" x14ac:dyDescent="0.25">
      <c r="A292" s="2">
        <v>46238</v>
      </c>
      <c r="B292" s="3" t="s">
        <v>132</v>
      </c>
      <c r="C292" s="3" t="s">
        <v>512</v>
      </c>
      <c r="D292" s="3" t="s">
        <v>104</v>
      </c>
      <c r="E292" s="3" t="s">
        <v>31</v>
      </c>
      <c r="F292" s="3" t="s">
        <v>105</v>
      </c>
      <c r="G292" s="4" t="s">
        <v>106</v>
      </c>
      <c r="H292" s="4">
        <v>15</v>
      </c>
      <c r="I292" s="5">
        <v>0.25721064814814815</v>
      </c>
      <c r="J292" s="5">
        <v>0.24031250000000001</v>
      </c>
      <c r="K292" s="5">
        <f t="shared" si="8"/>
        <v>1.6020833333333335E-2</v>
      </c>
      <c r="L292" s="5">
        <v>7.4733796296296298E-2</v>
      </c>
      <c r="M292" s="6">
        <f t="shared" si="9"/>
        <v>0.29055483058092968</v>
      </c>
      <c r="N292" s="5">
        <v>4.8611111111111112E-3</v>
      </c>
      <c r="O292" s="5">
        <v>1.5601851851851851E-2</v>
      </c>
      <c r="P292" s="5"/>
      <c r="Q292" s="5"/>
      <c r="R292" s="5"/>
      <c r="S292" s="5">
        <v>1.4756944444444444E-2</v>
      </c>
      <c r="T292" s="5">
        <v>1.7916666666666668E-2</v>
      </c>
      <c r="U292" s="5">
        <v>9.9074074074074082E-3</v>
      </c>
      <c r="V292" s="5"/>
      <c r="W292" s="5">
        <v>1.1689814814814814E-2</v>
      </c>
    </row>
    <row r="293" spans="1:23" x14ac:dyDescent="0.25">
      <c r="A293" s="2">
        <v>46238</v>
      </c>
      <c r="B293" s="3" t="s">
        <v>134</v>
      </c>
      <c r="C293" s="3" t="s">
        <v>560</v>
      </c>
      <c r="D293" s="3" t="s">
        <v>104</v>
      </c>
      <c r="E293" s="3" t="s">
        <v>31</v>
      </c>
      <c r="F293" s="3" t="s">
        <v>105</v>
      </c>
      <c r="G293" s="4" t="s">
        <v>106</v>
      </c>
      <c r="H293" s="4">
        <v>21</v>
      </c>
      <c r="I293" s="5">
        <v>0.25734953703703706</v>
      </c>
      <c r="J293" s="5">
        <v>0.26056712962962963</v>
      </c>
      <c r="K293" s="5">
        <f t="shared" si="8"/>
        <v>1.2407958553791888E-2</v>
      </c>
      <c r="L293" s="5">
        <v>4.5324074074074072E-2</v>
      </c>
      <c r="M293" s="6">
        <f t="shared" si="9"/>
        <v>0.17611873172925566</v>
      </c>
      <c r="N293" s="5">
        <v>6.4004629629629628E-3</v>
      </c>
      <c r="O293" s="5">
        <v>1.4375000000000001E-2</v>
      </c>
      <c r="P293" s="5"/>
      <c r="Q293" s="5">
        <v>7.2800925925925923E-3</v>
      </c>
      <c r="R293" s="5"/>
      <c r="S293" s="5">
        <v>1.2673611111111111E-2</v>
      </c>
      <c r="T293" s="5">
        <v>1.1689814814814816E-3</v>
      </c>
      <c r="U293" s="5">
        <v>6.8287037037037036E-4</v>
      </c>
      <c r="V293" s="5"/>
      <c r="W293" s="5">
        <v>2.7199074074074074E-3</v>
      </c>
    </row>
    <row r="294" spans="1:23" x14ac:dyDescent="0.25">
      <c r="A294" s="2">
        <v>46238</v>
      </c>
      <c r="B294" s="3" t="s">
        <v>211</v>
      </c>
      <c r="C294" s="3" t="s">
        <v>546</v>
      </c>
      <c r="D294" s="3" t="s">
        <v>104</v>
      </c>
      <c r="E294" s="3" t="s">
        <v>31</v>
      </c>
      <c r="F294" s="3" t="s">
        <v>105</v>
      </c>
      <c r="G294" s="4" t="s">
        <v>106</v>
      </c>
      <c r="H294" s="4">
        <v>13</v>
      </c>
      <c r="I294" s="5">
        <v>0.26258101851851851</v>
      </c>
      <c r="J294" s="5">
        <v>0.20282407407407407</v>
      </c>
      <c r="K294" s="5">
        <f t="shared" si="8"/>
        <v>1.5601851851851851E-2</v>
      </c>
      <c r="L294" s="5">
        <v>6.4340277777777774E-2</v>
      </c>
      <c r="M294" s="6">
        <f t="shared" si="9"/>
        <v>0.2450301935028871</v>
      </c>
      <c r="N294" s="5">
        <v>7.5810185185185182E-3</v>
      </c>
      <c r="O294" s="5">
        <v>5.8333333333333336E-3</v>
      </c>
      <c r="P294" s="5">
        <v>3.1018518518518518E-2</v>
      </c>
      <c r="Q294" s="5"/>
      <c r="R294" s="5"/>
      <c r="S294" s="5"/>
      <c r="T294" s="5">
        <v>1.273148148148148E-4</v>
      </c>
      <c r="U294" s="5">
        <v>1.6967592592592593E-2</v>
      </c>
      <c r="V294" s="5"/>
      <c r="W294" s="5">
        <v>2.7893518518518519E-3</v>
      </c>
    </row>
    <row r="295" spans="1:23" x14ac:dyDescent="0.25">
      <c r="A295" s="2">
        <v>46238</v>
      </c>
      <c r="B295" s="3" t="s">
        <v>617</v>
      </c>
      <c r="C295" s="3" t="s">
        <v>638</v>
      </c>
      <c r="D295" s="3" t="s">
        <v>601</v>
      </c>
      <c r="E295" s="3" t="s">
        <v>31</v>
      </c>
      <c r="F295" s="3" t="s">
        <v>105</v>
      </c>
      <c r="G295" s="4" t="s">
        <v>33</v>
      </c>
      <c r="H295" s="4">
        <v>5</v>
      </c>
      <c r="I295" s="5">
        <v>0.23646990740740742</v>
      </c>
      <c r="J295" s="5">
        <v>0.12263888888888889</v>
      </c>
      <c r="K295" s="5">
        <f t="shared" si="8"/>
        <v>2.452777777777778E-2</v>
      </c>
      <c r="L295" s="5">
        <v>0.1577662037037037</v>
      </c>
      <c r="M295" s="6">
        <f t="shared" si="9"/>
        <v>0.66717243404630211</v>
      </c>
      <c r="N295" s="5"/>
      <c r="O295" s="5">
        <v>1.3055555555555556E-2</v>
      </c>
      <c r="P295" s="5"/>
      <c r="Q295" s="5"/>
      <c r="R295" s="5"/>
      <c r="S295" s="5">
        <v>1.6516203703703703E-2</v>
      </c>
      <c r="T295" s="5">
        <v>7.3495370370370372E-3</v>
      </c>
      <c r="U295" s="5"/>
      <c r="V295" s="5"/>
      <c r="W295" s="5">
        <v>0.1208449074074074</v>
      </c>
    </row>
    <row r="296" spans="1:23" x14ac:dyDescent="0.25">
      <c r="A296" s="2">
        <v>46238</v>
      </c>
      <c r="B296" s="3" t="s">
        <v>136</v>
      </c>
      <c r="C296" s="3" t="s">
        <v>561</v>
      </c>
      <c r="D296" s="3" t="s">
        <v>104</v>
      </c>
      <c r="E296" s="3" t="s">
        <v>31</v>
      </c>
      <c r="F296" s="3" t="s">
        <v>105</v>
      </c>
      <c r="G296" s="4" t="s">
        <v>106</v>
      </c>
      <c r="H296" s="4">
        <v>16</v>
      </c>
      <c r="I296" s="5">
        <v>0.26541666666666669</v>
      </c>
      <c r="J296" s="5">
        <v>0.28749999999999998</v>
      </c>
      <c r="K296" s="5">
        <f t="shared" si="8"/>
        <v>1.7968749999999999E-2</v>
      </c>
      <c r="L296" s="5">
        <v>4.6099537037037036E-2</v>
      </c>
      <c r="M296" s="6">
        <f t="shared" si="9"/>
        <v>0.17368742368742368</v>
      </c>
      <c r="N296" s="5">
        <v>3.2175925925925926E-3</v>
      </c>
      <c r="O296" s="5">
        <v>1.5787037037037037E-2</v>
      </c>
      <c r="P296" s="5"/>
      <c r="Q296" s="5"/>
      <c r="R296" s="5"/>
      <c r="S296" s="5">
        <v>1.4641203703703703E-2</v>
      </c>
      <c r="T296" s="5">
        <v>2.7430555555555554E-3</v>
      </c>
      <c r="U296" s="5">
        <v>1.238425925925926E-3</v>
      </c>
      <c r="V296" s="5"/>
      <c r="W296" s="5">
        <v>8.472222222222223E-3</v>
      </c>
    </row>
    <row r="297" spans="1:23" x14ac:dyDescent="0.25">
      <c r="A297" s="2">
        <v>46238</v>
      </c>
      <c r="B297" s="3" t="s">
        <v>618</v>
      </c>
      <c r="C297" s="3" t="s">
        <v>639</v>
      </c>
      <c r="D297" s="3" t="s">
        <v>601</v>
      </c>
      <c r="E297" s="3" t="s">
        <v>31</v>
      </c>
      <c r="F297" s="3" t="s">
        <v>105</v>
      </c>
      <c r="G297" s="4" t="s">
        <v>33</v>
      </c>
      <c r="H297" s="4">
        <v>5</v>
      </c>
      <c r="I297" s="5">
        <v>0.2204861111111111</v>
      </c>
      <c r="J297" s="5">
        <v>0.10055555555555555</v>
      </c>
      <c r="K297" s="5">
        <f t="shared" si="8"/>
        <v>2.0111111111111111E-2</v>
      </c>
      <c r="L297" s="5">
        <v>0.15530092592592593</v>
      </c>
      <c r="M297" s="6">
        <f t="shared" si="9"/>
        <v>0.70435695538057741</v>
      </c>
      <c r="N297" s="5"/>
      <c r="O297" s="5">
        <v>2.2141203703703705E-2</v>
      </c>
      <c r="P297" s="5"/>
      <c r="Q297" s="5"/>
      <c r="R297" s="5"/>
      <c r="S297" s="5">
        <v>1.7800925925925925E-2</v>
      </c>
      <c r="T297" s="5">
        <v>2.9166666666666668E-3</v>
      </c>
      <c r="U297" s="5"/>
      <c r="V297" s="5"/>
      <c r="W297" s="5">
        <v>0.11244212962962963</v>
      </c>
    </row>
    <row r="298" spans="1:23" x14ac:dyDescent="0.25">
      <c r="A298" s="2">
        <v>46238</v>
      </c>
      <c r="B298" s="3" t="s">
        <v>501</v>
      </c>
      <c r="C298" s="3" t="s">
        <v>524</v>
      </c>
      <c r="D298" s="3" t="s">
        <v>274</v>
      </c>
      <c r="E298" s="3" t="s">
        <v>79</v>
      </c>
      <c r="F298" s="3" t="s">
        <v>147</v>
      </c>
      <c r="G298" s="4" t="s">
        <v>33</v>
      </c>
      <c r="H298" s="4">
        <v>26</v>
      </c>
      <c r="I298" s="5">
        <v>0.26319444444444445</v>
      </c>
      <c r="J298" s="5">
        <v>8.8275462962962958E-2</v>
      </c>
      <c r="K298" s="5">
        <f t="shared" si="8"/>
        <v>3.395210113960114E-3</v>
      </c>
      <c r="L298" s="5">
        <v>3.8032407407407411E-2</v>
      </c>
      <c r="M298" s="6">
        <f t="shared" si="9"/>
        <v>0.14450307827616535</v>
      </c>
      <c r="N298" s="5">
        <v>7.1759259259259259E-4</v>
      </c>
      <c r="O298" s="5">
        <v>1.4768518518518519E-2</v>
      </c>
      <c r="P298" s="5"/>
      <c r="Q298" s="5"/>
      <c r="R298" s="5"/>
      <c r="S298" s="5">
        <v>1.4189814814814815E-2</v>
      </c>
      <c r="T298" s="5">
        <v>7.7083333333333335E-3</v>
      </c>
      <c r="U298" s="5">
        <v>6.018518518518519E-4</v>
      </c>
      <c r="V298" s="5"/>
      <c r="W298" s="5"/>
    </row>
    <row r="299" spans="1:23" x14ac:dyDescent="0.25">
      <c r="A299" s="2">
        <v>46238</v>
      </c>
      <c r="B299" s="3" t="s">
        <v>213</v>
      </c>
      <c r="C299" s="3" t="s">
        <v>572</v>
      </c>
      <c r="D299" s="3" t="s">
        <v>601</v>
      </c>
      <c r="E299" s="3" t="s">
        <v>31</v>
      </c>
      <c r="F299" s="3" t="s">
        <v>105</v>
      </c>
      <c r="G299" s="4" t="s">
        <v>33</v>
      </c>
      <c r="H299" s="4">
        <v>8</v>
      </c>
      <c r="I299" s="5">
        <v>0.23716435185185186</v>
      </c>
      <c r="J299" s="5">
        <v>0.11597222222222223</v>
      </c>
      <c r="K299" s="5">
        <f t="shared" si="8"/>
        <v>1.4496527777777778E-2</v>
      </c>
      <c r="L299" s="5">
        <v>0.18916666666666668</v>
      </c>
      <c r="M299" s="6">
        <f t="shared" si="9"/>
        <v>0.79761846664389247</v>
      </c>
      <c r="N299" s="5">
        <v>1.2048611111111111E-2</v>
      </c>
      <c r="O299" s="5">
        <v>7.7546296296296295E-3</v>
      </c>
      <c r="P299" s="5"/>
      <c r="Q299" s="5"/>
      <c r="R299" s="5"/>
      <c r="S299" s="5">
        <v>1.2222222222222223E-2</v>
      </c>
      <c r="T299" s="5">
        <v>4.1666666666666669E-4</v>
      </c>
      <c r="U299" s="5">
        <v>3.3796296296296296E-3</v>
      </c>
      <c r="V299" s="5"/>
      <c r="W299" s="5">
        <v>0.15334490740740742</v>
      </c>
    </row>
    <row r="300" spans="1:23" x14ac:dyDescent="0.25">
      <c r="A300" s="2">
        <v>46238</v>
      </c>
      <c r="B300" s="3" t="s">
        <v>215</v>
      </c>
      <c r="C300" s="3" t="s">
        <v>547</v>
      </c>
      <c r="D300" s="3" t="s">
        <v>601</v>
      </c>
      <c r="E300" s="3" t="s">
        <v>31</v>
      </c>
      <c r="F300" s="3" t="s">
        <v>105</v>
      </c>
      <c r="G300" s="4" t="s">
        <v>33</v>
      </c>
      <c r="H300" s="4">
        <v>17</v>
      </c>
      <c r="I300" s="5">
        <v>0.22042824074074074</v>
      </c>
      <c r="J300" s="5">
        <v>0.21424768518518519</v>
      </c>
      <c r="K300" s="5">
        <f t="shared" si="8"/>
        <v>1.2602805010893246E-2</v>
      </c>
      <c r="L300" s="5">
        <v>0.12633101851851852</v>
      </c>
      <c r="M300" s="6">
        <f t="shared" si="9"/>
        <v>0.57311630349173015</v>
      </c>
      <c r="N300" s="5">
        <v>1.2268518518518518E-3</v>
      </c>
      <c r="O300" s="5">
        <v>2.2731481481481481E-2</v>
      </c>
      <c r="P300" s="5">
        <v>2.3726851851851851E-3</v>
      </c>
      <c r="Q300" s="5"/>
      <c r="R300" s="5"/>
      <c r="S300" s="5">
        <v>1.457175925925926E-2</v>
      </c>
      <c r="T300" s="5">
        <v>8.1365740740740738E-3</v>
      </c>
      <c r="U300" s="5"/>
      <c r="V300" s="5"/>
      <c r="W300" s="5">
        <v>7.7291666666666661E-2</v>
      </c>
    </row>
    <row r="301" spans="1:23" x14ac:dyDescent="0.25">
      <c r="A301" s="2">
        <v>46238</v>
      </c>
      <c r="B301" s="3" t="s">
        <v>619</v>
      </c>
      <c r="C301" s="3" t="s">
        <v>640</v>
      </c>
      <c r="D301" s="3" t="s">
        <v>601</v>
      </c>
      <c r="E301" s="3" t="s">
        <v>31</v>
      </c>
      <c r="F301" s="3" t="s">
        <v>105</v>
      </c>
      <c r="G301" s="4" t="s">
        <v>33</v>
      </c>
      <c r="H301" s="4">
        <v>14</v>
      </c>
      <c r="I301" s="5">
        <v>0.24331018518518518</v>
      </c>
      <c r="J301" s="5">
        <v>0.18805555555555556</v>
      </c>
      <c r="K301" s="5">
        <f t="shared" si="8"/>
        <v>1.3432539682539683E-2</v>
      </c>
      <c r="L301" s="5">
        <v>0.17521990740740739</v>
      </c>
      <c r="M301" s="6">
        <f t="shared" si="9"/>
        <v>0.72015031871372837</v>
      </c>
      <c r="N301" s="5">
        <v>2.5578703703703705E-3</v>
      </c>
      <c r="O301" s="5">
        <v>9.432870370370371E-3</v>
      </c>
      <c r="P301" s="5"/>
      <c r="Q301" s="5"/>
      <c r="R301" s="5"/>
      <c r="S301" s="5"/>
      <c r="T301" s="5">
        <v>3.5879629629629629E-4</v>
      </c>
      <c r="U301" s="5">
        <v>1.9675925925925926E-4</v>
      </c>
      <c r="V301" s="5"/>
      <c r="W301" s="5">
        <v>0.16267361111111112</v>
      </c>
    </row>
    <row r="302" spans="1:23" x14ac:dyDescent="0.25">
      <c r="A302" s="2">
        <v>46238</v>
      </c>
      <c r="B302" s="3" t="s">
        <v>668</v>
      </c>
      <c r="C302" s="3" t="s">
        <v>669</v>
      </c>
      <c r="D302" s="3" t="s">
        <v>233</v>
      </c>
      <c r="E302" s="3" t="s">
        <v>31</v>
      </c>
      <c r="F302" s="3" t="s">
        <v>32</v>
      </c>
      <c r="G302" s="4" t="s">
        <v>106</v>
      </c>
      <c r="H302" s="4">
        <v>40</v>
      </c>
      <c r="I302" s="5">
        <v>0.26237268518518519</v>
      </c>
      <c r="J302" s="5">
        <v>0.17092592592592593</v>
      </c>
      <c r="K302" s="5">
        <f t="shared" si="8"/>
        <v>4.2731481481481483E-3</v>
      </c>
      <c r="L302" s="5">
        <v>4.553240740740741E-2</v>
      </c>
      <c r="M302" s="6">
        <f t="shared" si="9"/>
        <v>0.17354095901892452</v>
      </c>
      <c r="N302" s="5">
        <v>1.2025462962962963E-2</v>
      </c>
      <c r="O302" s="5">
        <v>2.1006944444444446E-2</v>
      </c>
      <c r="P302" s="5"/>
      <c r="Q302" s="5"/>
      <c r="R302" s="5"/>
      <c r="S302" s="5">
        <v>4.1666666666666669E-4</v>
      </c>
      <c r="T302" s="5">
        <v>1.0856481481481481E-2</v>
      </c>
      <c r="U302" s="5">
        <v>1.2268518518518518E-3</v>
      </c>
      <c r="V302" s="5"/>
      <c r="W302" s="5"/>
    </row>
    <row r="303" spans="1:23" x14ac:dyDescent="0.25">
      <c r="A303" s="2">
        <v>46238</v>
      </c>
      <c r="B303" s="3" t="s">
        <v>744</v>
      </c>
      <c r="C303" s="3" t="s">
        <v>670</v>
      </c>
      <c r="D303" s="3" t="s">
        <v>100</v>
      </c>
      <c r="E303" s="3" t="s">
        <v>31</v>
      </c>
      <c r="F303" s="3" t="s">
        <v>32</v>
      </c>
      <c r="G303" s="4" t="s">
        <v>33</v>
      </c>
      <c r="H303" s="4">
        <v>33</v>
      </c>
      <c r="I303" s="5">
        <v>0.26004629629629628</v>
      </c>
      <c r="J303" s="5">
        <v>0.19296296296296298</v>
      </c>
      <c r="K303" s="5">
        <f t="shared" si="8"/>
        <v>5.8473625140291812E-3</v>
      </c>
      <c r="L303" s="5">
        <v>6.446759259259259E-2</v>
      </c>
      <c r="M303" s="6">
        <f t="shared" si="9"/>
        <v>0.24790813601566675</v>
      </c>
      <c r="N303" s="5">
        <v>1.2199074074074074E-2</v>
      </c>
      <c r="O303" s="5">
        <v>1.3981481481481482E-2</v>
      </c>
      <c r="P303" s="5"/>
      <c r="Q303" s="5"/>
      <c r="R303" s="5">
        <v>8.518518518518519E-3</v>
      </c>
      <c r="S303" s="5">
        <v>1.3946759259259259E-2</v>
      </c>
      <c r="T303" s="5">
        <v>4.1666666666666669E-4</v>
      </c>
      <c r="U303" s="5">
        <v>1.5393518518518518E-2</v>
      </c>
      <c r="V303" s="5"/>
      <c r="W303" s="5"/>
    </row>
    <row r="304" spans="1:23" x14ac:dyDescent="0.25">
      <c r="A304" s="2">
        <v>46238</v>
      </c>
      <c r="B304" s="3" t="s">
        <v>219</v>
      </c>
      <c r="C304" s="3" t="s">
        <v>548</v>
      </c>
      <c r="D304" s="3" t="s">
        <v>104</v>
      </c>
      <c r="E304" s="3" t="s">
        <v>31</v>
      </c>
      <c r="F304" s="3" t="s">
        <v>105</v>
      </c>
      <c r="G304" s="4" t="s">
        <v>106</v>
      </c>
      <c r="H304" s="4">
        <v>17</v>
      </c>
      <c r="I304" s="5">
        <v>0.24256944444444445</v>
      </c>
      <c r="J304" s="5">
        <v>0.17534722222222221</v>
      </c>
      <c r="K304" s="5">
        <f t="shared" si="8"/>
        <v>1.0314542483660131E-2</v>
      </c>
      <c r="L304" s="5">
        <v>6.4270833333333333E-2</v>
      </c>
      <c r="M304" s="6">
        <f t="shared" si="9"/>
        <v>0.26495848840538216</v>
      </c>
      <c r="N304" s="5">
        <v>1.1180555555555555E-2</v>
      </c>
      <c r="O304" s="5">
        <v>1.5972222222222221E-2</v>
      </c>
      <c r="P304" s="5">
        <v>4.9189814814814816E-3</v>
      </c>
      <c r="Q304" s="5">
        <v>1.1678240740740741E-2</v>
      </c>
      <c r="R304" s="5"/>
      <c r="S304" s="5">
        <v>1.5243055555555555E-2</v>
      </c>
      <c r="T304" s="5">
        <v>1.4467592592592592E-3</v>
      </c>
      <c r="U304" s="5">
        <v>3.8078703703703703E-3</v>
      </c>
      <c r="V304" s="5"/>
      <c r="W304" s="5"/>
    </row>
    <row r="305" spans="1:23" x14ac:dyDescent="0.25">
      <c r="A305" s="2">
        <v>46238</v>
      </c>
      <c r="B305" s="3" t="s">
        <v>305</v>
      </c>
      <c r="C305" s="3" t="s">
        <v>306</v>
      </c>
      <c r="D305" s="3" t="s">
        <v>100</v>
      </c>
      <c r="E305" s="3" t="s">
        <v>31</v>
      </c>
      <c r="F305" s="3" t="s">
        <v>32</v>
      </c>
      <c r="G305" s="4" t="s">
        <v>33</v>
      </c>
      <c r="H305" s="4">
        <v>44</v>
      </c>
      <c r="I305" s="5">
        <v>0.26087962962962963</v>
      </c>
      <c r="J305" s="5">
        <v>0.22738425925925926</v>
      </c>
      <c r="K305" s="5">
        <f t="shared" si="8"/>
        <v>5.1678240740740738E-3</v>
      </c>
      <c r="L305" s="5">
        <v>4.7164351851851853E-2</v>
      </c>
      <c r="M305" s="6">
        <f t="shared" si="9"/>
        <v>0.18078970718722273</v>
      </c>
      <c r="N305" s="5">
        <v>1.2673611111111111E-2</v>
      </c>
      <c r="O305" s="5">
        <v>1.607638888888889E-2</v>
      </c>
      <c r="P305" s="5"/>
      <c r="Q305" s="5"/>
      <c r="R305" s="5"/>
      <c r="S305" s="5">
        <v>1.8333333333333333E-2</v>
      </c>
      <c r="T305" s="5">
        <v>8.1018518518518516E-5</v>
      </c>
      <c r="U305" s="5"/>
      <c r="V305" s="5"/>
      <c r="W305" s="5"/>
    </row>
    <row r="306" spans="1:23" x14ac:dyDescent="0.25">
      <c r="A306" s="2">
        <v>46238</v>
      </c>
      <c r="B306" s="3" t="s">
        <v>620</v>
      </c>
      <c r="C306" s="3" t="s">
        <v>641</v>
      </c>
      <c r="D306" s="3" t="s">
        <v>601</v>
      </c>
      <c r="E306" s="3" t="s">
        <v>31</v>
      </c>
      <c r="F306" s="3" t="s">
        <v>105</v>
      </c>
      <c r="G306" s="4" t="s">
        <v>33</v>
      </c>
      <c r="H306" s="4">
        <v>9</v>
      </c>
      <c r="I306" s="5">
        <v>0.24069444444444443</v>
      </c>
      <c r="J306" s="5">
        <v>0.12261574074074075</v>
      </c>
      <c r="K306" s="5">
        <f t="shared" si="8"/>
        <v>1.3623971193415638E-2</v>
      </c>
      <c r="L306" s="5">
        <v>0.17409722222222221</v>
      </c>
      <c r="M306" s="6">
        <f t="shared" si="9"/>
        <v>0.72331217541834969</v>
      </c>
      <c r="N306" s="5">
        <v>2.6840277777777779E-2</v>
      </c>
      <c r="O306" s="5">
        <v>1.5324074074074073E-2</v>
      </c>
      <c r="P306" s="5"/>
      <c r="Q306" s="5"/>
      <c r="R306" s="5"/>
      <c r="S306" s="5">
        <v>1.425925925925926E-2</v>
      </c>
      <c r="T306" s="5">
        <v>4.4791666666666669E-3</v>
      </c>
      <c r="U306" s="5">
        <v>1.8437499999999999E-2</v>
      </c>
      <c r="V306" s="5"/>
      <c r="W306" s="5">
        <v>9.4756944444444449E-2</v>
      </c>
    </row>
    <row r="307" spans="1:23" x14ac:dyDescent="0.25">
      <c r="A307" s="2">
        <v>46238</v>
      </c>
      <c r="B307" s="3" t="s">
        <v>138</v>
      </c>
      <c r="C307" s="3" t="s">
        <v>556</v>
      </c>
      <c r="D307" s="3" t="s">
        <v>104</v>
      </c>
      <c r="E307" s="3" t="s">
        <v>31</v>
      </c>
      <c r="F307" s="3" t="s">
        <v>105</v>
      </c>
      <c r="G307" s="4" t="s">
        <v>106</v>
      </c>
      <c r="H307" s="4">
        <v>23</v>
      </c>
      <c r="I307" s="5">
        <v>0.25104166666666666</v>
      </c>
      <c r="J307" s="5">
        <v>0.28293981481481484</v>
      </c>
      <c r="K307" s="5">
        <f t="shared" si="8"/>
        <v>1.2301731078904993E-2</v>
      </c>
      <c r="L307" s="5">
        <v>7.6793981481481477E-2</v>
      </c>
      <c r="M307" s="6">
        <f t="shared" si="9"/>
        <v>0.30590133702166894</v>
      </c>
      <c r="N307" s="5">
        <v>2.3125E-2</v>
      </c>
      <c r="O307" s="5">
        <v>7.3495370370370372E-3</v>
      </c>
      <c r="P307" s="5">
        <v>9.780092592592592E-3</v>
      </c>
      <c r="Q307" s="5">
        <v>1.0243055555555556E-2</v>
      </c>
      <c r="R307" s="5"/>
      <c r="S307" s="5">
        <v>1.5370370370370371E-2</v>
      </c>
      <c r="T307" s="5">
        <v>4.2939814814814811E-3</v>
      </c>
      <c r="U307" s="5">
        <v>4.3981481481481481E-4</v>
      </c>
      <c r="V307" s="5"/>
      <c r="W307" s="5">
        <v>6.1805555555555555E-3</v>
      </c>
    </row>
    <row r="308" spans="1:23" x14ac:dyDescent="0.25">
      <c r="A308" s="2">
        <v>46238</v>
      </c>
      <c r="B308" s="3" t="s">
        <v>276</v>
      </c>
      <c r="C308" s="3" t="s">
        <v>532</v>
      </c>
      <c r="D308" s="3" t="s">
        <v>233</v>
      </c>
      <c r="E308" s="3" t="s">
        <v>31</v>
      </c>
      <c r="F308" s="3" t="s">
        <v>32</v>
      </c>
      <c r="G308" s="4" t="s">
        <v>106</v>
      </c>
      <c r="H308" s="4">
        <v>48</v>
      </c>
      <c r="I308" s="5">
        <v>0.26204861111111111</v>
      </c>
      <c r="J308" s="5">
        <v>0.12770833333333334</v>
      </c>
      <c r="K308" s="5">
        <f t="shared" si="8"/>
        <v>2.6605902777777778E-3</v>
      </c>
      <c r="L308" s="5">
        <v>6.1400462962962962E-2</v>
      </c>
      <c r="M308" s="6">
        <f t="shared" si="9"/>
        <v>0.23430943862903583</v>
      </c>
      <c r="N308" s="5">
        <v>1.1909722222222223E-2</v>
      </c>
      <c r="O308" s="5">
        <v>1.357638888888889E-2</v>
      </c>
      <c r="P308" s="5"/>
      <c r="Q308" s="5"/>
      <c r="R308" s="5"/>
      <c r="S308" s="5">
        <v>9.8148148148148144E-3</v>
      </c>
      <c r="T308" s="5">
        <v>2.5590277777777778E-2</v>
      </c>
      <c r="U308" s="5">
        <v>4.9768518518518521E-4</v>
      </c>
      <c r="V308" s="5"/>
      <c r="W308" s="5"/>
    </row>
    <row r="309" spans="1:23" x14ac:dyDescent="0.25">
      <c r="A309" s="2">
        <v>46238</v>
      </c>
      <c r="B309" s="3" t="s">
        <v>278</v>
      </c>
      <c r="C309" s="3" t="s">
        <v>533</v>
      </c>
      <c r="D309" s="3" t="s">
        <v>233</v>
      </c>
      <c r="E309" s="3" t="s">
        <v>31</v>
      </c>
      <c r="F309" s="3" t="s">
        <v>32</v>
      </c>
      <c r="G309" s="4" t="s">
        <v>106</v>
      </c>
      <c r="H309" s="4">
        <v>28</v>
      </c>
      <c r="I309" s="5">
        <v>0.26708333333333334</v>
      </c>
      <c r="J309" s="5">
        <v>0.18296296296296297</v>
      </c>
      <c r="K309" s="5">
        <f t="shared" si="8"/>
        <v>6.5343915343915341E-3</v>
      </c>
      <c r="L309" s="5">
        <v>3.9942129629629633E-2</v>
      </c>
      <c r="M309" s="6">
        <f t="shared" si="9"/>
        <v>0.14954931530594559</v>
      </c>
      <c r="N309" s="5">
        <v>7.3148148148148148E-3</v>
      </c>
      <c r="O309" s="5">
        <v>1.5289351851851853E-2</v>
      </c>
      <c r="P309" s="5"/>
      <c r="Q309" s="5"/>
      <c r="R309" s="5"/>
      <c r="S309" s="5">
        <v>1.4722222222222222E-2</v>
      </c>
      <c r="T309" s="5">
        <v>2.6157407407407405E-3</v>
      </c>
      <c r="U309" s="5"/>
      <c r="V309" s="5"/>
      <c r="W309" s="5"/>
    </row>
    <row r="310" spans="1:23" x14ac:dyDescent="0.25">
      <c r="A310" s="2">
        <v>46238</v>
      </c>
      <c r="B310" s="3" t="s">
        <v>313</v>
      </c>
      <c r="C310" s="3" t="s">
        <v>511</v>
      </c>
      <c r="D310" s="3" t="s">
        <v>78</v>
      </c>
      <c r="E310" s="3" t="s">
        <v>79</v>
      </c>
      <c r="F310" s="3" t="s">
        <v>80</v>
      </c>
      <c r="G310" s="4" t="s">
        <v>81</v>
      </c>
      <c r="H310" s="4">
        <v>0</v>
      </c>
      <c r="I310" s="5">
        <v>0.20582175925925925</v>
      </c>
      <c r="J310" s="5">
        <v>0</v>
      </c>
      <c r="K310" s="5">
        <f t="shared" si="8"/>
        <v>0</v>
      </c>
      <c r="L310" s="5">
        <v>2.7777777777777776E-2</v>
      </c>
      <c r="M310" s="6">
        <f t="shared" si="9"/>
        <v>0.13496035539560255</v>
      </c>
      <c r="N310" s="5">
        <v>5.37037037037037E-3</v>
      </c>
      <c r="O310" s="5">
        <v>1.3680555555555555E-2</v>
      </c>
      <c r="P310" s="5"/>
      <c r="Q310" s="5"/>
      <c r="R310" s="5"/>
      <c r="S310" s="5">
        <v>8.472222222222223E-3</v>
      </c>
      <c r="T310" s="5">
        <v>1.1574074074074075E-4</v>
      </c>
      <c r="U310" s="5">
        <v>1.1574074074074075E-4</v>
      </c>
      <c r="V310" s="5"/>
      <c r="W310" s="5"/>
    </row>
    <row r="311" spans="1:23" x14ac:dyDescent="0.25">
      <c r="A311" s="2">
        <v>46238</v>
      </c>
      <c r="B311" s="3" t="s">
        <v>673</v>
      </c>
      <c r="C311" s="3" t="s">
        <v>674</v>
      </c>
      <c r="D311" s="3" t="s">
        <v>104</v>
      </c>
      <c r="E311" s="3" t="s">
        <v>31</v>
      </c>
      <c r="F311" s="3" t="s">
        <v>105</v>
      </c>
      <c r="G311" s="4" t="s">
        <v>106</v>
      </c>
      <c r="H311" s="4">
        <v>13</v>
      </c>
      <c r="I311" s="5">
        <v>0.26396990740740739</v>
      </c>
      <c r="J311" s="5">
        <v>0.18185185185185185</v>
      </c>
      <c r="K311" s="5">
        <f t="shared" si="8"/>
        <v>1.3988603988603989E-2</v>
      </c>
      <c r="L311" s="5">
        <v>0.13445601851851852</v>
      </c>
      <c r="M311" s="6">
        <f t="shared" si="9"/>
        <v>0.50936116104704698</v>
      </c>
      <c r="N311" s="5"/>
      <c r="O311" s="5">
        <v>1.6469907407407409E-2</v>
      </c>
      <c r="P311" s="5"/>
      <c r="Q311" s="5"/>
      <c r="R311" s="5"/>
      <c r="S311" s="5">
        <v>1.5196759259259259E-2</v>
      </c>
      <c r="T311" s="5">
        <v>5.7870370370370373E-5</v>
      </c>
      <c r="U311" s="5">
        <v>5.37037037037037E-3</v>
      </c>
      <c r="V311" s="5"/>
      <c r="W311" s="5">
        <v>9.7361111111111107E-2</v>
      </c>
    </row>
    <row r="312" spans="1:23" x14ac:dyDescent="0.25">
      <c r="A312" s="2">
        <v>46238</v>
      </c>
      <c r="B312" s="3" t="s">
        <v>225</v>
      </c>
      <c r="C312" s="3" t="s">
        <v>549</v>
      </c>
      <c r="D312" s="3" t="s">
        <v>601</v>
      </c>
      <c r="E312" s="3" t="s">
        <v>31</v>
      </c>
      <c r="F312" s="3" t="s">
        <v>105</v>
      </c>
      <c r="G312" s="4" t="s">
        <v>33</v>
      </c>
      <c r="H312" s="4">
        <v>12</v>
      </c>
      <c r="I312" s="5">
        <v>0.25373842592592594</v>
      </c>
      <c r="J312" s="5">
        <v>0.25709490740740742</v>
      </c>
      <c r="K312" s="5">
        <f t="shared" si="8"/>
        <v>2.1424575617283951E-2</v>
      </c>
      <c r="L312" s="5">
        <v>7.1608796296296295E-2</v>
      </c>
      <c r="M312" s="6">
        <f t="shared" si="9"/>
        <v>0.28221502531587828</v>
      </c>
      <c r="N312" s="5">
        <v>4.4212962962962964E-3</v>
      </c>
      <c r="O312" s="5">
        <v>8.3796296296296292E-3</v>
      </c>
      <c r="P312" s="5"/>
      <c r="Q312" s="5"/>
      <c r="R312" s="5"/>
      <c r="S312" s="5">
        <v>1.4641203703703703E-2</v>
      </c>
      <c r="T312" s="5">
        <v>5.7870370370370373E-5</v>
      </c>
      <c r="U312" s="5">
        <v>1.7592592592592592E-3</v>
      </c>
      <c r="V312" s="5"/>
      <c r="W312" s="5">
        <v>4.2326388888888886E-2</v>
      </c>
    </row>
    <row r="313" spans="1:23" x14ac:dyDescent="0.25">
      <c r="A313" s="2">
        <v>46238</v>
      </c>
      <c r="B313" s="3" t="s">
        <v>70</v>
      </c>
      <c r="C313" s="3" t="s">
        <v>71</v>
      </c>
      <c r="D313" s="3" t="s">
        <v>78</v>
      </c>
      <c r="E313" s="3" t="s">
        <v>79</v>
      </c>
      <c r="F313" s="3" t="s">
        <v>80</v>
      </c>
      <c r="G313" s="4" t="s">
        <v>33</v>
      </c>
      <c r="H313" s="4">
        <v>0</v>
      </c>
      <c r="I313" s="5">
        <v>0.28664351851851849</v>
      </c>
      <c r="J313" s="5">
        <v>0</v>
      </c>
      <c r="K313" s="5">
        <f t="shared" si="8"/>
        <v>0</v>
      </c>
      <c r="L313" s="5">
        <v>0.19083333333333333</v>
      </c>
      <c r="M313" s="6">
        <f t="shared" si="9"/>
        <v>0.66575143341678111</v>
      </c>
      <c r="N313" s="5"/>
      <c r="O313" s="5">
        <v>4.1597222222222223E-2</v>
      </c>
      <c r="P313" s="5"/>
      <c r="Q313" s="5"/>
      <c r="R313" s="5"/>
      <c r="S313" s="5"/>
      <c r="T313" s="5">
        <v>1.0416666666666667E-4</v>
      </c>
      <c r="U313" s="5">
        <v>2.6041666666666665E-3</v>
      </c>
      <c r="V313" s="5"/>
      <c r="W313" s="5">
        <v>0.14652777777777778</v>
      </c>
    </row>
    <row r="314" spans="1:23" x14ac:dyDescent="0.25">
      <c r="A314" s="2">
        <v>46238</v>
      </c>
      <c r="B314" s="3" t="s">
        <v>280</v>
      </c>
      <c r="C314" s="3" t="s">
        <v>534</v>
      </c>
      <c r="D314" s="3" t="s">
        <v>233</v>
      </c>
      <c r="E314" s="3" t="s">
        <v>31</v>
      </c>
      <c r="F314" s="3" t="s">
        <v>32</v>
      </c>
      <c r="G314" s="4" t="s">
        <v>106</v>
      </c>
      <c r="H314" s="4">
        <v>35</v>
      </c>
      <c r="I314" s="5">
        <v>0.2606134259259259</v>
      </c>
      <c r="J314" s="5">
        <v>0.13879629629629631</v>
      </c>
      <c r="K314" s="5">
        <f t="shared" si="8"/>
        <v>3.9656084656084657E-3</v>
      </c>
      <c r="L314" s="5">
        <v>5.0983796296296298E-2</v>
      </c>
      <c r="M314" s="6">
        <f t="shared" si="9"/>
        <v>0.19562996846826844</v>
      </c>
      <c r="N314" s="5">
        <v>4.4791666666666669E-3</v>
      </c>
      <c r="O314" s="5">
        <v>1.96875E-2</v>
      </c>
      <c r="P314" s="5"/>
      <c r="Q314" s="5"/>
      <c r="R314" s="5"/>
      <c r="S314" s="5">
        <v>1.5497685185185186E-2</v>
      </c>
      <c r="T314" s="5">
        <v>4.363425925925926E-3</v>
      </c>
      <c r="U314" s="5">
        <v>3.9351851851851852E-4</v>
      </c>
      <c r="V314" s="5"/>
      <c r="W314" s="5">
        <v>6.5624999999999998E-3</v>
      </c>
    </row>
    <row r="315" spans="1:23" x14ac:dyDescent="0.25">
      <c r="A315" s="2">
        <v>46238</v>
      </c>
      <c r="B315" s="3" t="s">
        <v>299</v>
      </c>
      <c r="C315" s="3" t="s">
        <v>571</v>
      </c>
      <c r="D315" s="3" t="s">
        <v>104</v>
      </c>
      <c r="E315" s="3" t="s">
        <v>31</v>
      </c>
      <c r="F315" s="3" t="s">
        <v>105</v>
      </c>
      <c r="G315" s="4" t="s">
        <v>106</v>
      </c>
      <c r="H315" s="4">
        <v>16</v>
      </c>
      <c r="I315" s="5">
        <v>0.25437500000000002</v>
      </c>
      <c r="J315" s="5">
        <v>0.24384259259259258</v>
      </c>
      <c r="K315" s="5">
        <f t="shared" si="8"/>
        <v>1.5240162037037036E-2</v>
      </c>
      <c r="L315" s="5">
        <v>6.008101851851852E-2</v>
      </c>
      <c r="M315" s="6">
        <f t="shared" si="9"/>
        <v>0.23619073619073619</v>
      </c>
      <c r="N315" s="5"/>
      <c r="O315" s="5">
        <v>1.4872685185185185E-2</v>
      </c>
      <c r="P315" s="5"/>
      <c r="Q315" s="5"/>
      <c r="R315" s="5"/>
      <c r="S315" s="5">
        <v>1.1655092592592592E-2</v>
      </c>
      <c r="T315" s="5">
        <v>6.9444444444444444E-5</v>
      </c>
      <c r="U315" s="5">
        <v>2.0127314814814813E-2</v>
      </c>
      <c r="V315" s="5"/>
      <c r="W315" s="5">
        <v>1.3333333333333334E-2</v>
      </c>
    </row>
    <row r="316" spans="1:23" x14ac:dyDescent="0.25">
      <c r="A316" s="2">
        <v>46238</v>
      </c>
      <c r="B316" s="3" t="s">
        <v>598</v>
      </c>
      <c r="C316" s="3" t="s">
        <v>598</v>
      </c>
      <c r="D316" s="3" t="s">
        <v>284</v>
      </c>
      <c r="E316" s="3"/>
      <c r="F316" s="3"/>
      <c r="G316" s="4"/>
      <c r="H316" s="4">
        <v>17</v>
      </c>
      <c r="I316" s="5">
        <v>0</v>
      </c>
      <c r="J316" s="5">
        <v>1.9675925925925926E-4</v>
      </c>
      <c r="K316" s="5">
        <f t="shared" si="8"/>
        <v>1.1574074074074073E-5</v>
      </c>
      <c r="L316" s="5">
        <v>0</v>
      </c>
      <c r="M316" s="6">
        <f t="shared" si="9"/>
        <v>0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25">
      <c r="A317" s="2">
        <v>46238</v>
      </c>
      <c r="B317" s="3" t="s">
        <v>227</v>
      </c>
      <c r="C317" s="3" t="s">
        <v>557</v>
      </c>
      <c r="D317" s="3" t="s">
        <v>146</v>
      </c>
      <c r="E317" s="3" t="s">
        <v>79</v>
      </c>
      <c r="F317" s="3" t="s">
        <v>147</v>
      </c>
      <c r="G317" s="4" t="s">
        <v>106</v>
      </c>
      <c r="H317" s="4">
        <v>11</v>
      </c>
      <c r="I317" s="5">
        <v>0.28238425925925925</v>
      </c>
      <c r="J317" s="5">
        <v>5.4027777777777779E-2</v>
      </c>
      <c r="K317" s="5">
        <f t="shared" si="8"/>
        <v>4.911616161616162E-3</v>
      </c>
      <c r="L317" s="5">
        <v>4.2777777777777776E-2</v>
      </c>
      <c r="M317" s="6">
        <f t="shared" si="9"/>
        <v>0.151487826871055</v>
      </c>
      <c r="N317" s="5">
        <v>5.0578703703703706E-3</v>
      </c>
      <c r="O317" s="5">
        <v>6.9907407407407409E-3</v>
      </c>
      <c r="P317" s="5">
        <v>4.2013888888888891E-3</v>
      </c>
      <c r="Q317" s="5">
        <v>1.0567129629629629E-2</v>
      </c>
      <c r="R317" s="5"/>
      <c r="S317" s="5">
        <v>1.4456018518518519E-2</v>
      </c>
      <c r="T317" s="5">
        <v>9.2592592592592588E-5</v>
      </c>
      <c r="U317" s="5">
        <v>1.3078703703703703E-3</v>
      </c>
      <c r="V317" s="5"/>
      <c r="W317" s="5"/>
    </row>
    <row r="318" spans="1:23" x14ac:dyDescent="0.25">
      <c r="A318" s="2">
        <v>46238</v>
      </c>
      <c r="B318" s="3" t="s">
        <v>282</v>
      </c>
      <c r="C318" s="3" t="s">
        <v>535</v>
      </c>
      <c r="D318" s="3" t="s">
        <v>233</v>
      </c>
      <c r="E318" s="3" t="s">
        <v>31</v>
      </c>
      <c r="F318" s="3" t="s">
        <v>32</v>
      </c>
      <c r="G318" s="4" t="s">
        <v>106</v>
      </c>
      <c r="H318" s="4">
        <v>57</v>
      </c>
      <c r="I318" s="5">
        <v>0.24255787037037038</v>
      </c>
      <c r="J318" s="5">
        <v>0.14679398148148148</v>
      </c>
      <c r="K318" s="5">
        <f t="shared" si="8"/>
        <v>2.5753330084470434E-3</v>
      </c>
      <c r="L318" s="5">
        <v>4.2256944444444444E-2</v>
      </c>
      <c r="M318" s="6">
        <f t="shared" si="9"/>
        <v>0.17421386648852411</v>
      </c>
      <c r="N318" s="5">
        <v>6.6319444444444446E-3</v>
      </c>
      <c r="O318" s="5">
        <v>1.7928240740740741E-2</v>
      </c>
      <c r="P318" s="5"/>
      <c r="Q318" s="5"/>
      <c r="R318" s="5"/>
      <c r="S318" s="5">
        <v>1.5520833333333333E-2</v>
      </c>
      <c r="T318" s="5">
        <v>1.8171296296296297E-3</v>
      </c>
      <c r="U318" s="5">
        <v>3.4722222222222224E-4</v>
      </c>
      <c r="V318" s="5"/>
      <c r="W318" s="5"/>
    </row>
    <row r="319" spans="1:23" x14ac:dyDescent="0.25">
      <c r="A319" s="2">
        <v>46238</v>
      </c>
      <c r="B319" s="3" t="s">
        <v>675</v>
      </c>
      <c r="C319" s="3" t="s">
        <v>676</v>
      </c>
      <c r="D319" s="3" t="s">
        <v>104</v>
      </c>
      <c r="E319" s="3" t="s">
        <v>31</v>
      </c>
      <c r="F319" s="3" t="s">
        <v>105</v>
      </c>
      <c r="G319" s="4" t="s">
        <v>106</v>
      </c>
      <c r="H319" s="4">
        <v>12</v>
      </c>
      <c r="I319" s="5">
        <v>0.26503472222222224</v>
      </c>
      <c r="J319" s="5">
        <v>0.23034722222222223</v>
      </c>
      <c r="K319" s="5">
        <f t="shared" si="8"/>
        <v>1.9195601851851853E-2</v>
      </c>
      <c r="L319" s="5">
        <v>9.0578703703703703E-2</v>
      </c>
      <c r="M319" s="6">
        <f t="shared" si="9"/>
        <v>0.34176164898030481</v>
      </c>
      <c r="N319" s="5"/>
      <c r="O319" s="5">
        <v>1.4317129629629629E-2</v>
      </c>
      <c r="P319" s="5"/>
      <c r="Q319" s="5"/>
      <c r="R319" s="5"/>
      <c r="S319" s="5">
        <v>1.3634259259259259E-2</v>
      </c>
      <c r="T319" s="5">
        <v>2.0833333333333335E-4</v>
      </c>
      <c r="U319" s="5">
        <v>1.3425925925925925E-3</v>
      </c>
      <c r="V319" s="5"/>
      <c r="W319" s="5">
        <v>6.1076388888888888E-2</v>
      </c>
    </row>
    <row r="320" spans="1:23" x14ac:dyDescent="0.25">
      <c r="A320" s="2">
        <v>46238</v>
      </c>
      <c r="B320" s="3" t="s">
        <v>677</v>
      </c>
      <c r="C320" s="3" t="s">
        <v>678</v>
      </c>
      <c r="D320" s="3" t="s">
        <v>274</v>
      </c>
      <c r="E320" s="3" t="s">
        <v>79</v>
      </c>
      <c r="F320" s="3" t="s">
        <v>147</v>
      </c>
      <c r="G320" s="4" t="s">
        <v>33</v>
      </c>
      <c r="H320" s="4">
        <v>33</v>
      </c>
      <c r="I320" s="5">
        <v>0.26266203703703705</v>
      </c>
      <c r="J320" s="5">
        <v>7.5995370370370366E-2</v>
      </c>
      <c r="K320" s="5">
        <f t="shared" si="8"/>
        <v>2.3028900112233444E-3</v>
      </c>
      <c r="L320" s="5">
        <v>3.2604166666666663E-2</v>
      </c>
      <c r="M320" s="6">
        <f t="shared" si="9"/>
        <v>0.12412972591874502</v>
      </c>
      <c r="N320" s="5">
        <v>2.1412037037037038E-3</v>
      </c>
      <c r="O320" s="5">
        <v>1.5729166666666666E-2</v>
      </c>
      <c r="P320" s="5"/>
      <c r="Q320" s="5"/>
      <c r="R320" s="5"/>
      <c r="S320" s="5">
        <v>1.3958333333333333E-2</v>
      </c>
      <c r="T320" s="5">
        <v>6.9444444444444444E-5</v>
      </c>
      <c r="U320" s="5">
        <v>6.5972222222222224E-4</v>
      </c>
      <c r="V320" s="5"/>
      <c r="W320" s="5"/>
    </row>
    <row r="321" spans="1:23" x14ac:dyDescent="0.25">
      <c r="A321" s="2">
        <v>46238</v>
      </c>
      <c r="B321" s="3" t="s">
        <v>679</v>
      </c>
      <c r="C321" s="3" t="s">
        <v>680</v>
      </c>
      <c r="D321" s="3" t="s">
        <v>274</v>
      </c>
      <c r="E321" s="3" t="s">
        <v>79</v>
      </c>
      <c r="F321" s="3" t="s">
        <v>147</v>
      </c>
      <c r="G321" s="4" t="s">
        <v>33</v>
      </c>
      <c r="H321" s="4">
        <v>33</v>
      </c>
      <c r="I321" s="5">
        <v>0.24662037037037038</v>
      </c>
      <c r="J321" s="5">
        <v>7.7523148148148147E-2</v>
      </c>
      <c r="K321" s="5">
        <f t="shared" si="8"/>
        <v>2.3491863075196409E-3</v>
      </c>
      <c r="L321" s="5">
        <v>3.30787037037037E-2</v>
      </c>
      <c r="M321" s="6">
        <f t="shared" si="9"/>
        <v>0.13412802703210061</v>
      </c>
      <c r="N321" s="5">
        <v>2.662037037037037E-3</v>
      </c>
      <c r="O321" s="5">
        <v>1.6053240740740739E-2</v>
      </c>
      <c r="P321" s="5"/>
      <c r="Q321" s="5"/>
      <c r="R321" s="5"/>
      <c r="S321" s="5">
        <v>1.4050925925925927E-2</v>
      </c>
      <c r="T321" s="5">
        <v>1.9675925925925926E-4</v>
      </c>
      <c r="U321" s="5"/>
      <c r="V321" s="5"/>
      <c r="W321" s="5"/>
    </row>
    <row r="322" spans="1:23" x14ac:dyDescent="0.25">
      <c r="A322" s="2">
        <v>46239</v>
      </c>
      <c r="B322" s="3" t="s">
        <v>186</v>
      </c>
      <c r="C322" s="3" t="s">
        <v>562</v>
      </c>
      <c r="D322" s="3" t="s">
        <v>78</v>
      </c>
      <c r="E322" s="3" t="s">
        <v>79</v>
      </c>
      <c r="F322" s="3" t="s">
        <v>80</v>
      </c>
      <c r="G322" s="4" t="s">
        <v>33</v>
      </c>
      <c r="H322" s="4">
        <v>8</v>
      </c>
      <c r="I322" s="5">
        <v>0.26620370370370372</v>
      </c>
      <c r="J322" s="5">
        <v>3.4421296296296297E-2</v>
      </c>
      <c r="K322" s="5">
        <f t="shared" ref="K322:K385" si="10">IFERROR(J322/H322,0)</f>
        <v>4.3026620370370371E-3</v>
      </c>
      <c r="L322" s="5">
        <v>4.0393518518518516E-2</v>
      </c>
      <c r="M322" s="6">
        <f t="shared" ref="M322:M385" si="11">IFERROR(L322/I322,0)</f>
        <v>0.1517391304347826</v>
      </c>
      <c r="N322" s="5">
        <v>6.7013888888888887E-3</v>
      </c>
      <c r="O322" s="5">
        <v>1.7164351851851851E-2</v>
      </c>
      <c r="P322" s="5"/>
      <c r="Q322" s="5"/>
      <c r="R322" s="5"/>
      <c r="S322" s="5">
        <v>1.6041666666666666E-2</v>
      </c>
      <c r="T322" s="5">
        <v>6.9444444444444444E-5</v>
      </c>
      <c r="U322" s="5">
        <v>4.0509259259259258E-4</v>
      </c>
      <c r="V322" s="5"/>
      <c r="W322" s="5"/>
    </row>
    <row r="323" spans="1:23" x14ac:dyDescent="0.25">
      <c r="A323" s="2">
        <v>46239</v>
      </c>
      <c r="B323" s="3" t="s">
        <v>643</v>
      </c>
      <c r="C323" s="3" t="s">
        <v>644</v>
      </c>
      <c r="D323" s="3" t="s">
        <v>233</v>
      </c>
      <c r="E323" s="3" t="s">
        <v>31</v>
      </c>
      <c r="F323" s="3" t="s">
        <v>32</v>
      </c>
      <c r="G323" s="4" t="s">
        <v>106</v>
      </c>
      <c r="H323" s="4">
        <v>13</v>
      </c>
      <c r="I323" s="5">
        <v>0.24538194444444444</v>
      </c>
      <c r="J323" s="5">
        <v>8.773148148148148E-2</v>
      </c>
      <c r="K323" s="5">
        <f t="shared" si="10"/>
        <v>6.7485754985754983E-3</v>
      </c>
      <c r="L323" s="5">
        <v>8.324074074074074E-2</v>
      </c>
      <c r="M323" s="6">
        <f t="shared" si="11"/>
        <v>0.33922928163765859</v>
      </c>
      <c r="N323" s="5">
        <v>1.9212962962962964E-3</v>
      </c>
      <c r="O323" s="5">
        <v>1.2615740740740742E-2</v>
      </c>
      <c r="P323" s="5">
        <v>3.8310185185185183E-3</v>
      </c>
      <c r="Q323" s="5">
        <v>4.853009259259259E-2</v>
      </c>
      <c r="R323" s="5"/>
      <c r="S323" s="5">
        <v>1.4652777777777778E-2</v>
      </c>
      <c r="T323" s="5">
        <v>5.9027777777777778E-4</v>
      </c>
      <c r="U323" s="5">
        <v>1.0648148148148149E-3</v>
      </c>
      <c r="V323" s="5"/>
      <c r="W323" s="5"/>
    </row>
    <row r="324" spans="1:23" x14ac:dyDescent="0.25">
      <c r="A324" s="2">
        <v>46239</v>
      </c>
      <c r="B324" s="3" t="s">
        <v>193</v>
      </c>
      <c r="C324" s="3" t="s">
        <v>563</v>
      </c>
      <c r="D324" s="3" t="s">
        <v>274</v>
      </c>
      <c r="E324" s="3" t="s">
        <v>79</v>
      </c>
      <c r="F324" s="3" t="s">
        <v>147</v>
      </c>
      <c r="G324" s="4" t="s">
        <v>33</v>
      </c>
      <c r="H324" s="4">
        <v>20</v>
      </c>
      <c r="I324" s="5">
        <v>0.26138888888888889</v>
      </c>
      <c r="J324" s="5">
        <v>7.9351851851851854E-2</v>
      </c>
      <c r="K324" s="5">
        <f t="shared" si="10"/>
        <v>3.9675925925925929E-3</v>
      </c>
      <c r="L324" s="5">
        <v>3.4363425925925929E-2</v>
      </c>
      <c r="M324" s="6">
        <f t="shared" si="11"/>
        <v>0.13146475380800568</v>
      </c>
      <c r="N324" s="5"/>
      <c r="O324" s="5">
        <v>1.3912037037037037E-2</v>
      </c>
      <c r="P324" s="5"/>
      <c r="Q324" s="5">
        <v>5.9490740740740745E-3</v>
      </c>
      <c r="R324" s="5"/>
      <c r="S324" s="5">
        <v>1.3969907407407407E-2</v>
      </c>
      <c r="T324" s="5">
        <v>5.7870370370370373E-5</v>
      </c>
      <c r="U324" s="5">
        <v>4.5138888888888887E-4</v>
      </c>
      <c r="V324" s="5"/>
      <c r="W324" s="5"/>
    </row>
    <row r="325" spans="1:23" x14ac:dyDescent="0.25">
      <c r="A325" s="2">
        <v>46239</v>
      </c>
      <c r="B325" s="3" t="s">
        <v>148</v>
      </c>
      <c r="C325" s="3" t="s">
        <v>513</v>
      </c>
      <c r="D325" s="3" t="s">
        <v>104</v>
      </c>
      <c r="E325" s="3" t="s">
        <v>31</v>
      </c>
      <c r="F325" s="3" t="s">
        <v>105</v>
      </c>
      <c r="G325" s="4" t="s">
        <v>106</v>
      </c>
      <c r="H325" s="4">
        <v>10</v>
      </c>
      <c r="I325" s="5">
        <v>0.19681712962962963</v>
      </c>
      <c r="J325" s="5">
        <v>0.14827546296296296</v>
      </c>
      <c r="K325" s="5">
        <f t="shared" si="10"/>
        <v>1.4827546296296295E-2</v>
      </c>
      <c r="L325" s="5">
        <v>8.5289351851851852E-2</v>
      </c>
      <c r="M325" s="6">
        <f t="shared" si="11"/>
        <v>0.43334313437224348</v>
      </c>
      <c r="N325" s="5"/>
      <c r="O325" s="5">
        <v>7.9166666666666673E-3</v>
      </c>
      <c r="P325" s="5"/>
      <c r="Q325" s="5"/>
      <c r="R325" s="5"/>
      <c r="S325" s="5">
        <v>1.525462962962963E-2</v>
      </c>
      <c r="T325" s="5">
        <v>6.0185185185185185E-3</v>
      </c>
      <c r="U325" s="5">
        <v>4.2824074074074075E-4</v>
      </c>
      <c r="V325" s="5"/>
      <c r="W325" s="5">
        <v>5.5659722222222222E-2</v>
      </c>
    </row>
    <row r="326" spans="1:23" x14ac:dyDescent="0.25">
      <c r="A326" s="2">
        <v>46239</v>
      </c>
      <c r="B326" s="3" t="s">
        <v>82</v>
      </c>
      <c r="C326" s="3" t="s">
        <v>83</v>
      </c>
      <c r="D326" s="3" t="s">
        <v>78</v>
      </c>
      <c r="E326" s="3" t="s">
        <v>79</v>
      </c>
      <c r="F326" s="3" t="s">
        <v>80</v>
      </c>
      <c r="G326" s="4" t="s">
        <v>81</v>
      </c>
      <c r="H326" s="4">
        <v>0</v>
      </c>
      <c r="I326" s="5">
        <v>0.27202546296296298</v>
      </c>
      <c r="J326" s="5">
        <v>0</v>
      </c>
      <c r="K326" s="5">
        <f t="shared" si="10"/>
        <v>0</v>
      </c>
      <c r="L326" s="5">
        <v>0.18505787037037036</v>
      </c>
      <c r="M326" s="6">
        <f t="shared" si="11"/>
        <v>0.68029613240862863</v>
      </c>
      <c r="N326" s="5"/>
      <c r="O326" s="5"/>
      <c r="P326" s="5"/>
      <c r="Q326" s="5"/>
      <c r="R326" s="5"/>
      <c r="S326" s="5">
        <v>0.12140046296296296</v>
      </c>
      <c r="T326" s="5">
        <v>6.3645833333333332E-2</v>
      </c>
      <c r="U326" s="5"/>
      <c r="V326" s="5"/>
      <c r="W326" s="5"/>
    </row>
    <row r="327" spans="1:23" x14ac:dyDescent="0.25">
      <c r="A327" s="2">
        <v>46239</v>
      </c>
      <c r="B327" s="3" t="s">
        <v>234</v>
      </c>
      <c r="C327" s="3" t="s">
        <v>550</v>
      </c>
      <c r="D327" s="3" t="s">
        <v>233</v>
      </c>
      <c r="E327" s="3" t="s">
        <v>31</v>
      </c>
      <c r="F327" s="3" t="s">
        <v>32</v>
      </c>
      <c r="G327" s="4" t="s">
        <v>106</v>
      </c>
      <c r="H327" s="4">
        <v>58</v>
      </c>
      <c r="I327" s="5">
        <v>0.27031250000000001</v>
      </c>
      <c r="J327" s="5">
        <v>0.15671296296296297</v>
      </c>
      <c r="K327" s="5">
        <f t="shared" si="10"/>
        <v>2.701947637292465E-3</v>
      </c>
      <c r="L327" s="5">
        <v>4.3310185185185188E-2</v>
      </c>
      <c r="M327" s="6">
        <f t="shared" si="11"/>
        <v>0.16022265039606079</v>
      </c>
      <c r="N327" s="5">
        <v>8.3796296296296292E-3</v>
      </c>
      <c r="O327" s="5">
        <v>1.3981481481481482E-2</v>
      </c>
      <c r="P327" s="5"/>
      <c r="Q327" s="5">
        <v>4.6296296296296294E-5</v>
      </c>
      <c r="R327" s="5"/>
      <c r="S327" s="5">
        <v>1.4583333333333334E-2</v>
      </c>
      <c r="T327" s="5">
        <v>6.3194444444444444E-3</v>
      </c>
      <c r="U327" s="5"/>
      <c r="V327" s="5"/>
      <c r="W327" s="5"/>
    </row>
    <row r="328" spans="1:23" x14ac:dyDescent="0.25">
      <c r="A328" s="2">
        <v>46239</v>
      </c>
      <c r="B328" s="3" t="s">
        <v>34</v>
      </c>
      <c r="C328" s="3" t="s">
        <v>505</v>
      </c>
      <c r="D328" s="3" t="s">
        <v>233</v>
      </c>
      <c r="E328" s="3" t="s">
        <v>31</v>
      </c>
      <c r="F328" s="3" t="s">
        <v>32</v>
      </c>
      <c r="G328" s="4" t="s">
        <v>106</v>
      </c>
      <c r="H328" s="4">
        <v>38</v>
      </c>
      <c r="I328" s="5">
        <v>0.26081018518518517</v>
      </c>
      <c r="J328" s="5">
        <v>0.17737268518518517</v>
      </c>
      <c r="K328" s="5">
        <f t="shared" si="10"/>
        <v>4.6677022417153996E-3</v>
      </c>
      <c r="L328" s="5">
        <v>4.3657407407407409E-2</v>
      </c>
      <c r="M328" s="6">
        <f t="shared" si="11"/>
        <v>0.1673914972929795</v>
      </c>
      <c r="N328" s="5">
        <v>2.1180555555555558E-3</v>
      </c>
      <c r="O328" s="5">
        <v>1.3958333333333333E-2</v>
      </c>
      <c r="P328" s="5"/>
      <c r="Q328" s="5"/>
      <c r="R328" s="5"/>
      <c r="S328" s="5">
        <v>1.3530092592592592E-2</v>
      </c>
      <c r="T328" s="5">
        <v>1.2256944444444445E-2</v>
      </c>
      <c r="U328" s="5">
        <v>1.1574074074074075E-4</v>
      </c>
      <c r="V328" s="5"/>
      <c r="W328" s="5"/>
    </row>
    <row r="329" spans="1:23" x14ac:dyDescent="0.25">
      <c r="A329" s="2">
        <v>46239</v>
      </c>
      <c r="B329" s="3" t="s">
        <v>493</v>
      </c>
      <c r="C329" s="3" t="s">
        <v>569</v>
      </c>
      <c r="D329" s="3" t="s">
        <v>104</v>
      </c>
      <c r="E329" s="3" t="s">
        <v>31</v>
      </c>
      <c r="F329" s="3" t="s">
        <v>105</v>
      </c>
      <c r="G329" s="4" t="s">
        <v>106</v>
      </c>
      <c r="H329" s="4">
        <v>26</v>
      </c>
      <c r="I329" s="5">
        <v>0.25185185185185183</v>
      </c>
      <c r="J329" s="5">
        <v>0.29354166666666665</v>
      </c>
      <c r="K329" s="5">
        <f t="shared" si="10"/>
        <v>1.1290064102564102E-2</v>
      </c>
      <c r="L329" s="5">
        <v>4.9398148148148149E-2</v>
      </c>
      <c r="M329" s="6">
        <f t="shared" si="11"/>
        <v>0.19613970588235297</v>
      </c>
      <c r="N329" s="5">
        <v>1.0231481481481482E-2</v>
      </c>
      <c r="O329" s="5">
        <v>1.8981481481481481E-2</v>
      </c>
      <c r="P329" s="5"/>
      <c r="Q329" s="5"/>
      <c r="R329" s="5"/>
      <c r="S329" s="5">
        <v>1.6168981481481482E-2</v>
      </c>
      <c r="T329" s="5">
        <v>8.1018518518518516E-5</v>
      </c>
      <c r="U329" s="5">
        <v>2.9745370370370373E-3</v>
      </c>
      <c r="V329" s="5"/>
      <c r="W329" s="5">
        <v>9.1435185185185185E-4</v>
      </c>
    </row>
    <row r="330" spans="1:23" x14ac:dyDescent="0.25">
      <c r="A330" s="2">
        <v>46239</v>
      </c>
      <c r="B330" s="3" t="s">
        <v>236</v>
      </c>
      <c r="C330" s="3" t="s">
        <v>551</v>
      </c>
      <c r="D330" s="3" t="s">
        <v>233</v>
      </c>
      <c r="E330" s="3" t="s">
        <v>31</v>
      </c>
      <c r="F330" s="3" t="s">
        <v>32</v>
      </c>
      <c r="G330" s="4" t="s">
        <v>106</v>
      </c>
      <c r="H330" s="4">
        <v>5</v>
      </c>
      <c r="I330" s="5">
        <v>0.235625</v>
      </c>
      <c r="J330" s="5">
        <v>2.1678240740740741E-2</v>
      </c>
      <c r="K330" s="5">
        <f t="shared" si="10"/>
        <v>4.3356481481481484E-3</v>
      </c>
      <c r="L330" s="5">
        <v>0.20569444444444446</v>
      </c>
      <c r="M330" s="6">
        <f t="shared" si="11"/>
        <v>0.87297376952549377</v>
      </c>
      <c r="N330" s="5">
        <v>3.4375E-3</v>
      </c>
      <c r="O330" s="5">
        <v>7.2337962962962963E-3</v>
      </c>
      <c r="P330" s="5"/>
      <c r="Q330" s="5"/>
      <c r="R330" s="5"/>
      <c r="S330" s="5"/>
      <c r="T330" s="5">
        <v>5.8217592592592592E-3</v>
      </c>
      <c r="U330" s="5"/>
      <c r="V330" s="5"/>
      <c r="W330" s="5">
        <v>0.18920138888888888</v>
      </c>
    </row>
    <row r="331" spans="1:23" x14ac:dyDescent="0.25">
      <c r="A331" s="2">
        <v>46239</v>
      </c>
      <c r="B331" s="3" t="s">
        <v>238</v>
      </c>
      <c r="C331" s="3" t="s">
        <v>526</v>
      </c>
      <c r="D331" s="3" t="s">
        <v>233</v>
      </c>
      <c r="E331" s="3" t="s">
        <v>31</v>
      </c>
      <c r="F331" s="3" t="s">
        <v>32</v>
      </c>
      <c r="G331" s="4" t="s">
        <v>106</v>
      </c>
      <c r="H331" s="4">
        <v>3</v>
      </c>
      <c r="I331" s="5">
        <v>0.21773148148148147</v>
      </c>
      <c r="J331" s="5">
        <v>2.3252314814814816E-2</v>
      </c>
      <c r="K331" s="5">
        <f t="shared" si="10"/>
        <v>7.7507716049382723E-3</v>
      </c>
      <c r="L331" s="5">
        <v>0.19562499999999999</v>
      </c>
      <c r="M331" s="6">
        <f t="shared" si="11"/>
        <v>0.89846906230065915</v>
      </c>
      <c r="N331" s="5"/>
      <c r="O331" s="5"/>
      <c r="P331" s="5"/>
      <c r="Q331" s="5"/>
      <c r="R331" s="5"/>
      <c r="S331" s="5">
        <v>1.2592592592592593E-2</v>
      </c>
      <c r="T331" s="5">
        <v>4.5138888888888887E-4</v>
      </c>
      <c r="U331" s="5"/>
      <c r="V331" s="5"/>
      <c r="W331" s="5">
        <v>0.18258101851851852</v>
      </c>
    </row>
    <row r="332" spans="1:23" x14ac:dyDescent="0.25">
      <c r="A332" s="2">
        <v>46239</v>
      </c>
      <c r="B332" s="3" t="s">
        <v>608</v>
      </c>
      <c r="C332" s="3" t="s">
        <v>631</v>
      </c>
      <c r="D332" s="3" t="s">
        <v>601</v>
      </c>
      <c r="E332" s="3" t="s">
        <v>31</v>
      </c>
      <c r="F332" s="3" t="s">
        <v>105</v>
      </c>
      <c r="G332" s="4" t="s">
        <v>33</v>
      </c>
      <c r="H332" s="4">
        <v>12</v>
      </c>
      <c r="I332" s="5">
        <v>0.25101851851851853</v>
      </c>
      <c r="J332" s="5">
        <v>0.24277777777777779</v>
      </c>
      <c r="K332" s="5">
        <f t="shared" si="10"/>
        <v>2.0231481481481482E-2</v>
      </c>
      <c r="L332" s="5">
        <v>0.12635416666666666</v>
      </c>
      <c r="M332" s="6">
        <f t="shared" si="11"/>
        <v>0.50336591663592767</v>
      </c>
      <c r="N332" s="5"/>
      <c r="O332" s="5">
        <v>1.2280092592592592E-2</v>
      </c>
      <c r="P332" s="5"/>
      <c r="Q332" s="5"/>
      <c r="R332" s="5"/>
      <c r="S332" s="5">
        <v>1.4513888888888889E-2</v>
      </c>
      <c r="T332" s="5">
        <v>1.0185185185185184E-3</v>
      </c>
      <c r="U332" s="5">
        <v>5.0520833333333334E-2</v>
      </c>
      <c r="V332" s="5"/>
      <c r="W332" s="5">
        <v>4.8020833333333332E-2</v>
      </c>
    </row>
    <row r="333" spans="1:23" x14ac:dyDescent="0.25">
      <c r="A333" s="2">
        <v>46239</v>
      </c>
      <c r="B333" s="3" t="s">
        <v>307</v>
      </c>
      <c r="C333" s="3" t="s">
        <v>308</v>
      </c>
      <c r="D333" s="3" t="s">
        <v>78</v>
      </c>
      <c r="E333" s="3" t="s">
        <v>79</v>
      </c>
      <c r="F333" s="3" t="s">
        <v>80</v>
      </c>
      <c r="G333" s="4" t="s">
        <v>81</v>
      </c>
      <c r="H333" s="4">
        <v>0</v>
      </c>
      <c r="I333" s="5">
        <v>0.34</v>
      </c>
      <c r="J333" s="5">
        <v>0</v>
      </c>
      <c r="K333" s="5">
        <f t="shared" si="10"/>
        <v>0</v>
      </c>
      <c r="L333" s="5">
        <v>4.6944444444444441E-2</v>
      </c>
      <c r="M333" s="6">
        <f t="shared" si="11"/>
        <v>0.13807189542483658</v>
      </c>
      <c r="N333" s="5"/>
      <c r="O333" s="5"/>
      <c r="P333" s="5"/>
      <c r="Q333" s="5"/>
      <c r="R333" s="5">
        <v>2.7870370370370372E-2</v>
      </c>
      <c r="S333" s="5">
        <v>7.766203703703704E-3</v>
      </c>
      <c r="T333" s="5"/>
      <c r="U333" s="5">
        <v>1.1261574074074075E-2</v>
      </c>
      <c r="V333" s="5"/>
      <c r="W333" s="5"/>
    </row>
    <row r="334" spans="1:23" x14ac:dyDescent="0.25">
      <c r="A334" s="2">
        <v>46239</v>
      </c>
      <c r="B334" s="3" t="s">
        <v>197</v>
      </c>
      <c r="C334" s="3" t="s">
        <v>564</v>
      </c>
      <c r="D334" s="3" t="s">
        <v>601</v>
      </c>
      <c r="E334" s="3" t="s">
        <v>31</v>
      </c>
      <c r="F334" s="3" t="s">
        <v>105</v>
      </c>
      <c r="G334" s="4" t="s">
        <v>33</v>
      </c>
      <c r="H334" s="4">
        <v>10</v>
      </c>
      <c r="I334" s="5">
        <v>0.26145833333333335</v>
      </c>
      <c r="J334" s="5">
        <v>0.15241898148148147</v>
      </c>
      <c r="K334" s="5">
        <f t="shared" si="10"/>
        <v>1.5241898148148147E-2</v>
      </c>
      <c r="L334" s="5">
        <v>0.16120370370370371</v>
      </c>
      <c r="M334" s="6">
        <f t="shared" si="11"/>
        <v>0.61655599822930496</v>
      </c>
      <c r="N334" s="5"/>
      <c r="O334" s="5">
        <v>8.4004629629629624E-2</v>
      </c>
      <c r="P334" s="5"/>
      <c r="Q334" s="5">
        <v>1.4780092592592593E-2</v>
      </c>
      <c r="R334" s="5"/>
      <c r="S334" s="5">
        <v>1.636574074074074E-2</v>
      </c>
      <c r="T334" s="5">
        <v>3.9351851851851852E-4</v>
      </c>
      <c r="U334" s="5">
        <v>2.6562499999999999E-2</v>
      </c>
      <c r="V334" s="5"/>
      <c r="W334" s="5">
        <v>1.9097222222222224E-2</v>
      </c>
    </row>
    <row r="335" spans="1:23" x14ac:dyDescent="0.25">
      <c r="A335" s="2">
        <v>46239</v>
      </c>
      <c r="B335" s="3" t="s">
        <v>150</v>
      </c>
      <c r="C335" s="3" t="s">
        <v>514</v>
      </c>
      <c r="D335" s="3" t="s">
        <v>146</v>
      </c>
      <c r="E335" s="3" t="s">
        <v>79</v>
      </c>
      <c r="F335" s="3" t="s">
        <v>147</v>
      </c>
      <c r="G335" s="4" t="s">
        <v>106</v>
      </c>
      <c r="H335" s="4">
        <v>17</v>
      </c>
      <c r="I335" s="5">
        <v>0.26150462962962961</v>
      </c>
      <c r="J335" s="5">
        <v>5.7893518518518518E-2</v>
      </c>
      <c r="K335" s="5">
        <f t="shared" si="10"/>
        <v>3.4055010893246189E-3</v>
      </c>
      <c r="L335" s="5">
        <v>7.4282407407407408E-2</v>
      </c>
      <c r="M335" s="6">
        <f t="shared" si="11"/>
        <v>0.28405771443746131</v>
      </c>
      <c r="N335" s="5"/>
      <c r="O335" s="5">
        <v>1.3553240740740741E-2</v>
      </c>
      <c r="P335" s="5"/>
      <c r="Q335" s="5"/>
      <c r="R335" s="5"/>
      <c r="S335" s="5">
        <v>1.3425925925925926E-2</v>
      </c>
      <c r="T335" s="5">
        <v>1.8518518518518518E-4</v>
      </c>
      <c r="U335" s="5">
        <v>2.7777777777777778E-4</v>
      </c>
      <c r="V335" s="5"/>
      <c r="W335" s="5">
        <v>4.6793981481481478E-2</v>
      </c>
    </row>
    <row r="336" spans="1:23" x14ac:dyDescent="0.25">
      <c r="A336" s="2">
        <v>46239</v>
      </c>
      <c r="B336" s="3" t="s">
        <v>38</v>
      </c>
      <c r="C336" s="3" t="s">
        <v>536</v>
      </c>
      <c r="D336" s="3" t="s">
        <v>100</v>
      </c>
      <c r="E336" s="3" t="s">
        <v>31</v>
      </c>
      <c r="F336" s="3" t="s">
        <v>32</v>
      </c>
      <c r="G336" s="4" t="s">
        <v>33</v>
      </c>
      <c r="H336" s="4">
        <v>4</v>
      </c>
      <c r="I336" s="5">
        <v>0.21604166666666666</v>
      </c>
      <c r="J336" s="5">
        <v>4.5266203703703704E-2</v>
      </c>
      <c r="K336" s="5">
        <f t="shared" si="10"/>
        <v>1.1316550925925926E-2</v>
      </c>
      <c r="L336" s="5">
        <v>0.17024305555555555</v>
      </c>
      <c r="M336" s="6">
        <f t="shared" si="11"/>
        <v>0.78801028608164581</v>
      </c>
      <c r="N336" s="5">
        <v>9.2013888888888892E-3</v>
      </c>
      <c r="O336" s="5">
        <v>7.2106481481481483E-3</v>
      </c>
      <c r="P336" s="5"/>
      <c r="Q336" s="5"/>
      <c r="R336" s="5"/>
      <c r="S336" s="5">
        <v>1.4108796296296296E-2</v>
      </c>
      <c r="T336" s="5">
        <v>2.638888888888889E-3</v>
      </c>
      <c r="U336" s="5"/>
      <c r="V336" s="5"/>
      <c r="W336" s="5">
        <v>0.13708333333333333</v>
      </c>
    </row>
    <row r="337" spans="1:23" x14ac:dyDescent="0.25">
      <c r="A337" s="2">
        <v>46239</v>
      </c>
      <c r="B337" s="3" t="s">
        <v>681</v>
      </c>
      <c r="C337" s="3" t="s">
        <v>682</v>
      </c>
      <c r="D337" s="3" t="s">
        <v>601</v>
      </c>
      <c r="E337" s="3" t="s">
        <v>31</v>
      </c>
      <c r="F337" s="3" t="s">
        <v>105</v>
      </c>
      <c r="G337" s="4" t="s">
        <v>33</v>
      </c>
      <c r="H337" s="4">
        <v>10</v>
      </c>
      <c r="I337" s="5">
        <v>0.23511574074074074</v>
      </c>
      <c r="J337" s="5">
        <v>0.19909722222222223</v>
      </c>
      <c r="K337" s="5">
        <f t="shared" si="10"/>
        <v>1.9909722222222224E-2</v>
      </c>
      <c r="L337" s="5">
        <v>0.13776620370370371</v>
      </c>
      <c r="M337" s="6">
        <f t="shared" si="11"/>
        <v>0.5859505759574678</v>
      </c>
      <c r="N337" s="5">
        <v>5.3356481481481484E-3</v>
      </c>
      <c r="O337" s="5">
        <v>1.3912037037037037E-2</v>
      </c>
      <c r="P337" s="5"/>
      <c r="Q337" s="5">
        <v>8.7847222222222215E-3</v>
      </c>
      <c r="R337" s="5"/>
      <c r="S337" s="5">
        <v>1.3715277777777778E-2</v>
      </c>
      <c r="T337" s="5">
        <v>9.2592592592592588E-5</v>
      </c>
      <c r="U337" s="5">
        <v>5.0462962962962966E-2</v>
      </c>
      <c r="V337" s="5"/>
      <c r="W337" s="5">
        <v>4.5462962962962962E-2</v>
      </c>
    </row>
    <row r="338" spans="1:23" x14ac:dyDescent="0.25">
      <c r="A338" s="2">
        <v>46239</v>
      </c>
      <c r="B338" s="3" t="s">
        <v>154</v>
      </c>
      <c r="C338" s="3" t="s">
        <v>515</v>
      </c>
      <c r="D338" s="3" t="s">
        <v>146</v>
      </c>
      <c r="E338" s="3" t="s">
        <v>79</v>
      </c>
      <c r="F338" s="3" t="s">
        <v>147</v>
      </c>
      <c r="G338" s="4" t="s">
        <v>106</v>
      </c>
      <c r="H338" s="4">
        <v>17</v>
      </c>
      <c r="I338" s="5">
        <v>0.26400462962962962</v>
      </c>
      <c r="J338" s="5">
        <v>3.6342592592592593E-2</v>
      </c>
      <c r="K338" s="5">
        <f t="shared" si="10"/>
        <v>2.1377995642701524E-3</v>
      </c>
      <c r="L338" s="5">
        <v>4.6307870370370367E-2</v>
      </c>
      <c r="M338" s="6">
        <f t="shared" si="11"/>
        <v>0.17540552389302938</v>
      </c>
      <c r="N338" s="5">
        <v>6.076388888888889E-3</v>
      </c>
      <c r="O338" s="5">
        <v>1.3657407407407408E-2</v>
      </c>
      <c r="P338" s="5"/>
      <c r="Q338" s="5">
        <v>9.1898148148148156E-3</v>
      </c>
      <c r="R338" s="5"/>
      <c r="S338" s="5">
        <v>1.4699074074074074E-2</v>
      </c>
      <c r="T338" s="5">
        <v>2.3148148148148149E-4</v>
      </c>
      <c r="U338" s="5">
        <v>2.2453703703703702E-3</v>
      </c>
      <c r="V338" s="5"/>
      <c r="W338" s="5"/>
    </row>
    <row r="339" spans="1:23" x14ac:dyDescent="0.25">
      <c r="A339" s="2">
        <v>46239</v>
      </c>
      <c r="B339" s="3" t="s">
        <v>112</v>
      </c>
      <c r="C339" s="3" t="s">
        <v>570</v>
      </c>
      <c r="D339" s="3" t="s">
        <v>104</v>
      </c>
      <c r="E339" s="3" t="s">
        <v>31</v>
      </c>
      <c r="F339" s="3" t="s">
        <v>105</v>
      </c>
      <c r="G339" s="4" t="s">
        <v>106</v>
      </c>
      <c r="H339" s="4">
        <v>10</v>
      </c>
      <c r="I339" s="5">
        <v>0.24763888888888888</v>
      </c>
      <c r="J339" s="5">
        <v>0.17038194444444443</v>
      </c>
      <c r="K339" s="5">
        <f t="shared" si="10"/>
        <v>1.7038194444444443E-2</v>
      </c>
      <c r="L339" s="5">
        <v>8.5289351851851852E-2</v>
      </c>
      <c r="M339" s="6">
        <f t="shared" si="11"/>
        <v>0.3444101701252571</v>
      </c>
      <c r="N339" s="5">
        <v>2.6898148148148147E-2</v>
      </c>
      <c r="O339" s="5">
        <v>1.2962962962962963E-2</v>
      </c>
      <c r="P339" s="5">
        <v>3.2708333333333332E-2</v>
      </c>
      <c r="Q339" s="5">
        <v>5.3587962962962964E-3</v>
      </c>
      <c r="R339" s="5"/>
      <c r="S339" s="5"/>
      <c r="T339" s="5">
        <v>2.9861111111111113E-3</v>
      </c>
      <c r="U339" s="5">
        <v>2.7662037037037039E-3</v>
      </c>
      <c r="V339" s="5"/>
      <c r="W339" s="5">
        <v>1.6087962962962963E-3</v>
      </c>
    </row>
    <row r="340" spans="1:23" x14ac:dyDescent="0.25">
      <c r="A340" s="2">
        <v>46239</v>
      </c>
      <c r="B340" s="3" t="s">
        <v>42</v>
      </c>
      <c r="C340" s="3" t="s">
        <v>537</v>
      </c>
      <c r="D340" s="3" t="s">
        <v>104</v>
      </c>
      <c r="E340" s="3" t="s">
        <v>31</v>
      </c>
      <c r="F340" s="3" t="s">
        <v>105</v>
      </c>
      <c r="G340" s="4" t="s">
        <v>106</v>
      </c>
      <c r="H340" s="4">
        <v>9</v>
      </c>
      <c r="I340" s="5">
        <v>0.20629629629629628</v>
      </c>
      <c r="J340" s="5">
        <v>0.13299768518518518</v>
      </c>
      <c r="K340" s="5">
        <f t="shared" si="10"/>
        <v>1.4777520576131686E-2</v>
      </c>
      <c r="L340" s="5">
        <v>0.10357638888888888</v>
      </c>
      <c r="M340" s="6">
        <f t="shared" si="11"/>
        <v>0.50207585278276479</v>
      </c>
      <c r="N340" s="5">
        <v>7.0254629629629634E-3</v>
      </c>
      <c r="O340" s="5">
        <v>1.3935185185185186E-2</v>
      </c>
      <c r="P340" s="5"/>
      <c r="Q340" s="5"/>
      <c r="R340" s="5"/>
      <c r="S340" s="5">
        <v>1.4201388888888888E-2</v>
      </c>
      <c r="T340" s="5">
        <v>5.2083333333333333E-4</v>
      </c>
      <c r="U340" s="5">
        <v>4.0509259259259258E-4</v>
      </c>
      <c r="V340" s="5"/>
      <c r="W340" s="5">
        <v>6.7488425925925924E-2</v>
      </c>
    </row>
    <row r="341" spans="1:23" x14ac:dyDescent="0.25">
      <c r="A341" s="2">
        <v>46239</v>
      </c>
      <c r="B341" s="3" t="s">
        <v>156</v>
      </c>
      <c r="C341" s="3" t="s">
        <v>516</v>
      </c>
      <c r="D341" s="3" t="s">
        <v>146</v>
      </c>
      <c r="E341" s="3" t="s">
        <v>79</v>
      </c>
      <c r="F341" s="3" t="s">
        <v>147</v>
      </c>
      <c r="G341" s="4" t="s">
        <v>106</v>
      </c>
      <c r="H341" s="4">
        <v>18</v>
      </c>
      <c r="I341" s="5">
        <v>0.27614583333333331</v>
      </c>
      <c r="J341" s="5">
        <v>5.9050925925925923E-2</v>
      </c>
      <c r="K341" s="5">
        <f t="shared" si="10"/>
        <v>3.2806069958847737E-3</v>
      </c>
      <c r="L341" s="5">
        <v>4.2268518518518518E-2</v>
      </c>
      <c r="M341" s="6">
        <f t="shared" si="11"/>
        <v>0.15306592899953897</v>
      </c>
      <c r="N341" s="5"/>
      <c r="O341" s="5">
        <v>1.4791666666666667E-2</v>
      </c>
      <c r="P341" s="5"/>
      <c r="Q341" s="5">
        <v>5.1041666666666666E-3</v>
      </c>
      <c r="R341" s="5"/>
      <c r="S341" s="5">
        <v>1.2083333333333333E-2</v>
      </c>
      <c r="T341" s="5">
        <v>9.0162037037037034E-3</v>
      </c>
      <c r="U341" s="5">
        <v>1.2268518518518518E-3</v>
      </c>
      <c r="V341" s="5"/>
      <c r="W341" s="5"/>
    </row>
    <row r="342" spans="1:23" x14ac:dyDescent="0.25">
      <c r="A342" s="2">
        <v>46239</v>
      </c>
      <c r="B342" s="3" t="s">
        <v>114</v>
      </c>
      <c r="C342" s="3" t="s">
        <v>541</v>
      </c>
      <c r="D342" s="3" t="s">
        <v>104</v>
      </c>
      <c r="E342" s="3" t="s">
        <v>31</v>
      </c>
      <c r="F342" s="3" t="s">
        <v>105</v>
      </c>
      <c r="G342" s="4" t="s">
        <v>106</v>
      </c>
      <c r="H342" s="4">
        <v>17</v>
      </c>
      <c r="I342" s="5">
        <v>0.25627314814814817</v>
      </c>
      <c r="J342" s="5">
        <v>0.24692129629629631</v>
      </c>
      <c r="K342" s="5">
        <f t="shared" si="10"/>
        <v>1.4524782135076254E-2</v>
      </c>
      <c r="L342" s="5">
        <v>0.11528935185185185</v>
      </c>
      <c r="M342" s="6">
        <f t="shared" si="11"/>
        <v>0.4498690271881492</v>
      </c>
      <c r="N342" s="5">
        <v>1.0625000000000001E-2</v>
      </c>
      <c r="O342" s="5">
        <v>1.8726851851851852E-2</v>
      </c>
      <c r="P342" s="5"/>
      <c r="Q342" s="5">
        <v>7.4537037037037037E-3</v>
      </c>
      <c r="R342" s="5"/>
      <c r="S342" s="5">
        <v>1.5891203703703703E-2</v>
      </c>
      <c r="T342" s="5">
        <v>6.2025462962962963E-2</v>
      </c>
      <c r="U342" s="5">
        <v>5.6712962962962967E-4</v>
      </c>
      <c r="V342" s="5"/>
      <c r="W342" s="5"/>
    </row>
    <row r="343" spans="1:23" x14ac:dyDescent="0.25">
      <c r="A343" s="2">
        <v>46239</v>
      </c>
      <c r="B343" s="3" t="s">
        <v>44</v>
      </c>
      <c r="C343" s="3" t="s">
        <v>506</v>
      </c>
      <c r="D343" s="3" t="s">
        <v>100</v>
      </c>
      <c r="E343" s="3" t="s">
        <v>31</v>
      </c>
      <c r="F343" s="3" t="s">
        <v>32</v>
      </c>
      <c r="G343" s="4" t="s">
        <v>33</v>
      </c>
      <c r="H343" s="4">
        <v>25</v>
      </c>
      <c r="I343" s="5">
        <v>0.26024305555555555</v>
      </c>
      <c r="J343" s="5">
        <v>0.24</v>
      </c>
      <c r="K343" s="5">
        <f t="shared" si="10"/>
        <v>9.5999999999999992E-3</v>
      </c>
      <c r="L343" s="5">
        <v>3.3564814814814818E-2</v>
      </c>
      <c r="M343" s="6">
        <f t="shared" si="11"/>
        <v>0.12897487213698022</v>
      </c>
      <c r="N343" s="5"/>
      <c r="O343" s="5">
        <v>1.4768518518518519E-2</v>
      </c>
      <c r="P343" s="5"/>
      <c r="Q343" s="5"/>
      <c r="R343" s="5"/>
      <c r="S343" s="5">
        <v>1.5949074074074074E-2</v>
      </c>
      <c r="T343" s="5">
        <v>1.3194444444444445E-3</v>
      </c>
      <c r="U343" s="5">
        <v>1.5046296296296296E-3</v>
      </c>
      <c r="V343" s="5"/>
      <c r="W343" s="5"/>
    </row>
    <row r="344" spans="1:23" x14ac:dyDescent="0.25">
      <c r="A344" s="2">
        <v>46239</v>
      </c>
      <c r="B344" s="3" t="s">
        <v>609</v>
      </c>
      <c r="C344" s="3" t="s">
        <v>632</v>
      </c>
      <c r="D344" s="3" t="s">
        <v>601</v>
      </c>
      <c r="E344" s="3" t="s">
        <v>31</v>
      </c>
      <c r="F344" s="3" t="s">
        <v>105</v>
      </c>
      <c r="G344" s="4" t="s">
        <v>33</v>
      </c>
      <c r="H344" s="4">
        <v>13</v>
      </c>
      <c r="I344" s="5">
        <v>0.21546296296296297</v>
      </c>
      <c r="J344" s="5">
        <v>0.19396990740740741</v>
      </c>
      <c r="K344" s="5">
        <f t="shared" si="10"/>
        <v>1.4920762108262108E-2</v>
      </c>
      <c r="L344" s="5">
        <v>0.14060185185185184</v>
      </c>
      <c r="M344" s="6">
        <f t="shared" si="11"/>
        <v>0.6525569402664374</v>
      </c>
      <c r="N344" s="5">
        <v>8.9583333333333338E-3</v>
      </c>
      <c r="O344" s="5">
        <v>1.2534722222222221E-2</v>
      </c>
      <c r="P344" s="5"/>
      <c r="Q344" s="5"/>
      <c r="R344" s="5"/>
      <c r="S344" s="5">
        <v>1.4849537037037038E-2</v>
      </c>
      <c r="T344" s="5">
        <v>2.7777777777777778E-4</v>
      </c>
      <c r="U344" s="5">
        <v>4.5509259259259256E-2</v>
      </c>
      <c r="V344" s="5"/>
      <c r="W344" s="5">
        <v>5.8472222222222224E-2</v>
      </c>
    </row>
    <row r="345" spans="1:23" x14ac:dyDescent="0.25">
      <c r="A345" s="2">
        <v>46239</v>
      </c>
      <c r="B345" s="3" t="s">
        <v>240</v>
      </c>
      <c r="C345" s="3" t="s">
        <v>527</v>
      </c>
      <c r="D345" s="3" t="s">
        <v>233</v>
      </c>
      <c r="E345" s="3" t="s">
        <v>31</v>
      </c>
      <c r="F345" s="3" t="s">
        <v>32</v>
      </c>
      <c r="G345" s="4" t="s">
        <v>106</v>
      </c>
      <c r="H345" s="4">
        <v>4</v>
      </c>
      <c r="I345" s="5">
        <v>0.24035879629629631</v>
      </c>
      <c r="J345" s="5">
        <v>3.8275462962962963E-2</v>
      </c>
      <c r="K345" s="5">
        <f t="shared" si="10"/>
        <v>9.5688657407407406E-3</v>
      </c>
      <c r="L345" s="5">
        <v>0.20386574074074074</v>
      </c>
      <c r="M345" s="6">
        <f t="shared" si="11"/>
        <v>0.84817258149949437</v>
      </c>
      <c r="N345" s="5">
        <v>1.1898148148148149E-2</v>
      </c>
      <c r="O345" s="5">
        <v>1.2615740740740742E-2</v>
      </c>
      <c r="P345" s="5"/>
      <c r="Q345" s="5"/>
      <c r="R345" s="5"/>
      <c r="S345" s="5">
        <v>1.3981481481481482E-2</v>
      </c>
      <c r="T345" s="5">
        <v>3.9351851851851852E-4</v>
      </c>
      <c r="U345" s="5">
        <v>5.7870370370370373E-5</v>
      </c>
      <c r="V345" s="5"/>
      <c r="W345" s="5">
        <v>0.16491898148148149</v>
      </c>
    </row>
    <row r="346" spans="1:23" x14ac:dyDescent="0.25">
      <c r="A346" s="2">
        <v>46239</v>
      </c>
      <c r="B346" s="3" t="s">
        <v>497</v>
      </c>
      <c r="C346" s="3" t="s">
        <v>498</v>
      </c>
      <c r="D346" s="3" t="s">
        <v>78</v>
      </c>
      <c r="E346" s="3" t="s">
        <v>79</v>
      </c>
      <c r="F346" s="3" t="s">
        <v>80</v>
      </c>
      <c r="G346" s="4" t="s">
        <v>81</v>
      </c>
      <c r="H346" s="4">
        <v>0</v>
      </c>
      <c r="I346" s="5">
        <v>0.34096064814814814</v>
      </c>
      <c r="J346" s="5">
        <v>0</v>
      </c>
      <c r="K346" s="5">
        <f t="shared" si="10"/>
        <v>0</v>
      </c>
      <c r="L346" s="5">
        <v>5.4583333333333331E-2</v>
      </c>
      <c r="M346" s="6">
        <f t="shared" si="11"/>
        <v>0.16008690043789672</v>
      </c>
      <c r="N346" s="5"/>
      <c r="O346" s="5">
        <v>1.2118055555555556E-2</v>
      </c>
      <c r="P346" s="5"/>
      <c r="Q346" s="5"/>
      <c r="R346" s="5"/>
      <c r="S346" s="5">
        <v>4.2118055555555554E-2</v>
      </c>
      <c r="T346" s="5">
        <v>3.2407407407407406E-4</v>
      </c>
      <c r="U346" s="5"/>
      <c r="V346" s="5"/>
      <c r="W346" s="5"/>
    </row>
    <row r="347" spans="1:23" x14ac:dyDescent="0.25">
      <c r="A347" s="2">
        <v>46239</v>
      </c>
      <c r="B347" s="3" t="s">
        <v>309</v>
      </c>
      <c r="C347" s="3" t="s">
        <v>310</v>
      </c>
      <c r="D347" s="3" t="s">
        <v>78</v>
      </c>
      <c r="E347" s="3" t="s">
        <v>79</v>
      </c>
      <c r="F347" s="3" t="s">
        <v>80</v>
      </c>
      <c r="G347" s="4" t="s">
        <v>81</v>
      </c>
      <c r="H347" s="4">
        <v>1</v>
      </c>
      <c r="I347" s="5">
        <v>0.35166666666666668</v>
      </c>
      <c r="J347" s="5">
        <v>2.5416666666666667E-2</v>
      </c>
      <c r="K347" s="5">
        <f t="shared" si="10"/>
        <v>2.5416666666666667E-2</v>
      </c>
      <c r="L347" s="5">
        <v>6.4039351851851847E-2</v>
      </c>
      <c r="M347" s="6">
        <f t="shared" si="11"/>
        <v>0.18210242232754079</v>
      </c>
      <c r="N347" s="5">
        <v>5.6597222222222222E-3</v>
      </c>
      <c r="O347" s="5">
        <v>4.1562500000000002E-2</v>
      </c>
      <c r="P347" s="5"/>
      <c r="Q347" s="5"/>
      <c r="R347" s="5"/>
      <c r="S347" s="5">
        <v>1.5775462962962963E-2</v>
      </c>
      <c r="T347" s="5">
        <v>2.7777777777777778E-4</v>
      </c>
      <c r="U347" s="5">
        <v>7.0601851851851847E-4</v>
      </c>
      <c r="V347" s="5"/>
      <c r="W347" s="5"/>
    </row>
    <row r="348" spans="1:23" x14ac:dyDescent="0.25">
      <c r="A348" s="2">
        <v>46239</v>
      </c>
      <c r="B348" s="3" t="s">
        <v>160</v>
      </c>
      <c r="C348" s="3" t="s">
        <v>544</v>
      </c>
      <c r="D348" s="3" t="s">
        <v>146</v>
      </c>
      <c r="E348" s="3" t="s">
        <v>79</v>
      </c>
      <c r="F348" s="3" t="s">
        <v>147</v>
      </c>
      <c r="G348" s="4" t="s">
        <v>106</v>
      </c>
      <c r="H348" s="4">
        <v>16</v>
      </c>
      <c r="I348" s="5">
        <v>0.26100694444444444</v>
      </c>
      <c r="J348" s="5">
        <v>3.5717592592592592E-2</v>
      </c>
      <c r="K348" s="5">
        <f t="shared" si="10"/>
        <v>2.232349537037037E-3</v>
      </c>
      <c r="L348" s="5">
        <v>7.2361111111111112E-2</v>
      </c>
      <c r="M348" s="6">
        <f t="shared" si="11"/>
        <v>0.27723825994412665</v>
      </c>
      <c r="N348" s="5">
        <v>7.9976851851851858E-3</v>
      </c>
      <c r="O348" s="5">
        <v>1.5486111111111112E-2</v>
      </c>
      <c r="P348" s="5"/>
      <c r="Q348" s="5">
        <v>2.4328703703703703E-2</v>
      </c>
      <c r="R348" s="5"/>
      <c r="S348" s="5">
        <v>1.443287037037037E-2</v>
      </c>
      <c r="T348" s="5">
        <v>2.0833333333333335E-4</v>
      </c>
      <c r="U348" s="5">
        <v>7.7199074074074071E-3</v>
      </c>
      <c r="V348" s="5"/>
      <c r="W348" s="5">
        <v>1.8171296296296297E-3</v>
      </c>
    </row>
    <row r="349" spans="1:23" x14ac:dyDescent="0.25">
      <c r="A349" s="2">
        <v>46239</v>
      </c>
      <c r="B349" s="3" t="s">
        <v>645</v>
      </c>
      <c r="C349" s="3" t="s">
        <v>646</v>
      </c>
      <c r="D349" s="3" t="s">
        <v>100</v>
      </c>
      <c r="E349" s="3" t="s">
        <v>31</v>
      </c>
      <c r="F349" s="3" t="s">
        <v>32</v>
      </c>
      <c r="G349" s="4" t="s">
        <v>33</v>
      </c>
      <c r="H349" s="4">
        <v>36</v>
      </c>
      <c r="I349" s="5">
        <v>0.2618402777777778</v>
      </c>
      <c r="J349" s="5">
        <v>0.25113425925925925</v>
      </c>
      <c r="K349" s="5">
        <f t="shared" si="10"/>
        <v>6.9759516460905346E-3</v>
      </c>
      <c r="L349" s="5">
        <v>3.2569444444444443E-2</v>
      </c>
      <c r="M349" s="6">
        <f t="shared" si="11"/>
        <v>0.12438668611589973</v>
      </c>
      <c r="N349" s="5">
        <v>4.5601851851851853E-3</v>
      </c>
      <c r="O349" s="5">
        <v>1.2592592592592593E-2</v>
      </c>
      <c r="P349" s="5"/>
      <c r="Q349" s="5"/>
      <c r="R349" s="5"/>
      <c r="S349" s="5">
        <v>1.4351851851851852E-2</v>
      </c>
      <c r="T349" s="5">
        <v>3.8194444444444446E-4</v>
      </c>
      <c r="U349" s="5">
        <v>6.4814814814814813E-4</v>
      </c>
      <c r="V349" s="5"/>
      <c r="W349" s="5"/>
    </row>
    <row r="350" spans="1:23" x14ac:dyDescent="0.25">
      <c r="A350" s="2">
        <v>46239</v>
      </c>
      <c r="B350" s="3" t="s">
        <v>120</v>
      </c>
      <c r="C350" s="3" t="s">
        <v>558</v>
      </c>
      <c r="D350" s="3" t="s">
        <v>233</v>
      </c>
      <c r="E350" s="3" t="s">
        <v>31</v>
      </c>
      <c r="F350" s="3" t="s">
        <v>32</v>
      </c>
      <c r="G350" s="4" t="s">
        <v>106</v>
      </c>
      <c r="H350" s="4">
        <v>52</v>
      </c>
      <c r="I350" s="5">
        <v>0.26228009259259261</v>
      </c>
      <c r="J350" s="5">
        <v>0.16472222222222221</v>
      </c>
      <c r="K350" s="5">
        <f t="shared" si="10"/>
        <v>3.1677350427350426E-3</v>
      </c>
      <c r="L350" s="5">
        <v>5.108796296296296E-2</v>
      </c>
      <c r="M350" s="6">
        <f t="shared" si="11"/>
        <v>0.19478399011517583</v>
      </c>
      <c r="N350" s="5">
        <v>5.7291666666666663E-3</v>
      </c>
      <c r="O350" s="5">
        <v>1.3414351851851853E-2</v>
      </c>
      <c r="P350" s="5"/>
      <c r="Q350" s="5"/>
      <c r="R350" s="5"/>
      <c r="S350" s="5">
        <v>1.2210648148148148E-2</v>
      </c>
      <c r="T350" s="5">
        <v>1.7905092592592594E-2</v>
      </c>
      <c r="U350" s="5">
        <v>1.8287037037037037E-3</v>
      </c>
      <c r="V350" s="5"/>
      <c r="W350" s="5"/>
    </row>
    <row r="351" spans="1:23" x14ac:dyDescent="0.25">
      <c r="A351" s="2">
        <v>46239</v>
      </c>
      <c r="B351" s="3" t="s">
        <v>46</v>
      </c>
      <c r="C351" s="3" t="s">
        <v>507</v>
      </c>
      <c r="D351" s="3" t="s">
        <v>100</v>
      </c>
      <c r="E351" s="3" t="s">
        <v>31</v>
      </c>
      <c r="F351" s="3" t="s">
        <v>32</v>
      </c>
      <c r="G351" s="4" t="s">
        <v>33</v>
      </c>
      <c r="H351" s="4">
        <v>30</v>
      </c>
      <c r="I351" s="5">
        <v>0.2678935185185185</v>
      </c>
      <c r="J351" s="5">
        <v>0.23185185185185186</v>
      </c>
      <c r="K351" s="5">
        <f t="shared" si="10"/>
        <v>7.7283950617283957E-3</v>
      </c>
      <c r="L351" s="5">
        <v>3.1585648148148147E-2</v>
      </c>
      <c r="M351" s="6">
        <f t="shared" si="11"/>
        <v>0.11790374146720817</v>
      </c>
      <c r="N351" s="5">
        <v>2.3379629629629631E-3</v>
      </c>
      <c r="O351" s="5">
        <v>1.4421296296296297E-2</v>
      </c>
      <c r="P351" s="5"/>
      <c r="Q351" s="5"/>
      <c r="R351" s="5"/>
      <c r="S351" s="5">
        <v>1.3888888888888888E-2</v>
      </c>
      <c r="T351" s="5">
        <v>5.7870370370370373E-5</v>
      </c>
      <c r="U351" s="5">
        <v>8.3333333333333339E-4</v>
      </c>
      <c r="V351" s="5"/>
      <c r="W351" s="5"/>
    </row>
    <row r="352" spans="1:23" x14ac:dyDescent="0.25">
      <c r="A352" s="2">
        <v>46239</v>
      </c>
      <c r="B352" s="3" t="s">
        <v>287</v>
      </c>
      <c r="C352" s="3" t="s">
        <v>542</v>
      </c>
      <c r="D352" s="3" t="s">
        <v>104</v>
      </c>
      <c r="E352" s="3" t="s">
        <v>31</v>
      </c>
      <c r="F352" s="3" t="s">
        <v>105</v>
      </c>
      <c r="G352" s="4" t="s">
        <v>106</v>
      </c>
      <c r="H352" s="4">
        <v>5</v>
      </c>
      <c r="I352" s="5">
        <v>0.1890162037037037</v>
      </c>
      <c r="J352" s="5">
        <v>7.7175925925925926E-2</v>
      </c>
      <c r="K352" s="5">
        <f t="shared" si="10"/>
        <v>1.5435185185185185E-2</v>
      </c>
      <c r="L352" s="5">
        <v>0.11540509259259259</v>
      </c>
      <c r="M352" s="6">
        <f t="shared" si="11"/>
        <v>0.61055661012797746</v>
      </c>
      <c r="N352" s="5">
        <v>1.2233796296296296E-2</v>
      </c>
      <c r="O352" s="5">
        <v>1.2847222222222222E-2</v>
      </c>
      <c r="P352" s="5"/>
      <c r="Q352" s="5"/>
      <c r="R352" s="5"/>
      <c r="S352" s="5">
        <v>1.5729166666666666E-2</v>
      </c>
      <c r="T352" s="5">
        <v>5.7407407407407407E-3</v>
      </c>
      <c r="U352" s="5">
        <v>2.7893518518518519E-3</v>
      </c>
      <c r="V352" s="5"/>
      <c r="W352" s="5">
        <v>6.6064814814814812E-2</v>
      </c>
    </row>
    <row r="353" spans="1:23" x14ac:dyDescent="0.25">
      <c r="A353" s="2">
        <v>46239</v>
      </c>
      <c r="B353" s="3" t="s">
        <v>499</v>
      </c>
      <c r="C353" s="3" t="s">
        <v>517</v>
      </c>
      <c r="D353" s="3" t="s">
        <v>146</v>
      </c>
      <c r="E353" s="3" t="s">
        <v>79</v>
      </c>
      <c r="F353" s="3" t="s">
        <v>147</v>
      </c>
      <c r="G353" s="4" t="s">
        <v>106</v>
      </c>
      <c r="H353" s="4">
        <v>10</v>
      </c>
      <c r="I353" s="5">
        <v>0.21649305555555556</v>
      </c>
      <c r="J353" s="5">
        <v>5.0972222222222224E-2</v>
      </c>
      <c r="K353" s="5">
        <f t="shared" si="10"/>
        <v>5.0972222222222226E-3</v>
      </c>
      <c r="L353" s="5">
        <v>4.9074074074074076E-2</v>
      </c>
      <c r="M353" s="6">
        <f t="shared" si="11"/>
        <v>0.22667735899492114</v>
      </c>
      <c r="N353" s="5">
        <v>3.7037037037037038E-3</v>
      </c>
      <c r="O353" s="5">
        <v>1.4768518518518519E-2</v>
      </c>
      <c r="P353" s="5">
        <v>7.5231481481481482E-4</v>
      </c>
      <c r="Q353" s="5">
        <v>4.8263888888888887E-3</v>
      </c>
      <c r="R353" s="5"/>
      <c r="S353" s="5">
        <v>1.375E-2</v>
      </c>
      <c r="T353" s="5">
        <v>6.5393518518518517E-3</v>
      </c>
      <c r="U353" s="5">
        <v>2.5925925925925925E-3</v>
      </c>
      <c r="V353" s="5"/>
      <c r="W353" s="5">
        <v>2.1064814814814813E-3</v>
      </c>
    </row>
    <row r="354" spans="1:23" x14ac:dyDescent="0.25">
      <c r="A354" s="2">
        <v>46239</v>
      </c>
      <c r="B354" s="3" t="s">
        <v>647</v>
      </c>
      <c r="C354" s="3" t="s">
        <v>648</v>
      </c>
      <c r="D354" s="3" t="s">
        <v>233</v>
      </c>
      <c r="E354" s="3" t="s">
        <v>31</v>
      </c>
      <c r="F354" s="3" t="s">
        <v>32</v>
      </c>
      <c r="G354" s="4" t="s">
        <v>106</v>
      </c>
      <c r="H354" s="4">
        <v>28</v>
      </c>
      <c r="I354" s="5">
        <v>0.24541666666666667</v>
      </c>
      <c r="J354" s="5">
        <v>9.3356481481481485E-2</v>
      </c>
      <c r="K354" s="5">
        <f t="shared" si="10"/>
        <v>3.3341600529100531E-3</v>
      </c>
      <c r="L354" s="5">
        <v>8.1747685185185187E-2</v>
      </c>
      <c r="M354" s="6">
        <f t="shared" si="11"/>
        <v>0.33309752876815696</v>
      </c>
      <c r="N354" s="5">
        <v>8.1134259259259267E-3</v>
      </c>
      <c r="O354" s="5">
        <v>1.3784722222222223E-2</v>
      </c>
      <c r="P354" s="5"/>
      <c r="Q354" s="5">
        <v>4.4849537037037035E-2</v>
      </c>
      <c r="R354" s="5"/>
      <c r="S354" s="5">
        <v>1.337962962962963E-2</v>
      </c>
      <c r="T354" s="5">
        <v>1.6203703703703703E-3</v>
      </c>
      <c r="U354" s="5"/>
      <c r="V354" s="5"/>
      <c r="W354" s="5"/>
    </row>
    <row r="355" spans="1:23" x14ac:dyDescent="0.25">
      <c r="A355" s="2">
        <v>46239</v>
      </c>
      <c r="B355" s="3" t="s">
        <v>649</v>
      </c>
      <c r="C355" s="3" t="s">
        <v>650</v>
      </c>
      <c r="D355" s="3" t="s">
        <v>104</v>
      </c>
      <c r="E355" s="3" t="s">
        <v>31</v>
      </c>
      <c r="F355" s="3" t="s">
        <v>105</v>
      </c>
      <c r="G355" s="4" t="s">
        <v>106</v>
      </c>
      <c r="H355" s="4">
        <v>12</v>
      </c>
      <c r="I355" s="5">
        <v>0.26370370370370372</v>
      </c>
      <c r="J355" s="5">
        <v>0.19259259259259259</v>
      </c>
      <c r="K355" s="5">
        <f t="shared" si="10"/>
        <v>1.6049382716049384E-2</v>
      </c>
      <c r="L355" s="5">
        <v>0.13226851851851851</v>
      </c>
      <c r="M355" s="6">
        <f t="shared" si="11"/>
        <v>0.50158005617977519</v>
      </c>
      <c r="N355" s="5">
        <v>1.0636574074074074E-2</v>
      </c>
      <c r="O355" s="5">
        <v>1.4293981481481482E-2</v>
      </c>
      <c r="P355" s="5"/>
      <c r="Q355" s="5"/>
      <c r="R355" s="5"/>
      <c r="S355" s="5">
        <v>1.6087962962962964E-2</v>
      </c>
      <c r="T355" s="5">
        <v>3.9351851851851852E-4</v>
      </c>
      <c r="U355" s="5">
        <v>3.6990740740740741E-2</v>
      </c>
      <c r="V355" s="5"/>
      <c r="W355" s="5">
        <v>5.3865740740740742E-2</v>
      </c>
    </row>
    <row r="356" spans="1:23" x14ac:dyDescent="0.25">
      <c r="A356" s="2">
        <v>46239</v>
      </c>
      <c r="B356" s="3" t="s">
        <v>651</v>
      </c>
      <c r="C356" s="3" t="s">
        <v>652</v>
      </c>
      <c r="D356" s="3" t="s">
        <v>100</v>
      </c>
      <c r="E356" s="3" t="s">
        <v>31</v>
      </c>
      <c r="F356" s="3" t="s">
        <v>32</v>
      </c>
      <c r="G356" s="4" t="s">
        <v>33</v>
      </c>
      <c r="H356" s="4">
        <v>26</v>
      </c>
      <c r="I356" s="5">
        <v>0.26219907407407406</v>
      </c>
      <c r="J356" s="5">
        <v>0.23711805555555557</v>
      </c>
      <c r="K356" s="5">
        <f t="shared" si="10"/>
        <v>9.1199252136752139E-3</v>
      </c>
      <c r="L356" s="5">
        <v>4.6319444444444448E-2</v>
      </c>
      <c r="M356" s="6">
        <f t="shared" si="11"/>
        <v>0.17665754392160327</v>
      </c>
      <c r="N356" s="5">
        <v>1.3368055555555555E-2</v>
      </c>
      <c r="O356" s="5">
        <v>1.7187500000000001E-2</v>
      </c>
      <c r="P356" s="5"/>
      <c r="Q356" s="5"/>
      <c r="R356" s="5"/>
      <c r="S356" s="5">
        <v>1.4525462962962962E-2</v>
      </c>
      <c r="T356" s="5">
        <v>2.3148148148148149E-4</v>
      </c>
      <c r="U356" s="5">
        <v>1.0069444444444444E-3</v>
      </c>
      <c r="V356" s="5"/>
      <c r="W356" s="5"/>
    </row>
    <row r="357" spans="1:23" x14ac:dyDescent="0.25">
      <c r="A357" s="2">
        <v>46239</v>
      </c>
      <c r="B357" s="3" t="s">
        <v>48</v>
      </c>
      <c r="C357" s="3" t="s">
        <v>508</v>
      </c>
      <c r="D357" s="3" t="s">
        <v>100</v>
      </c>
      <c r="E357" s="3" t="s">
        <v>31</v>
      </c>
      <c r="F357" s="3" t="s">
        <v>32</v>
      </c>
      <c r="G357" s="4" t="s">
        <v>33</v>
      </c>
      <c r="H357" s="4">
        <v>28</v>
      </c>
      <c r="I357" s="5">
        <v>0.2654050925925926</v>
      </c>
      <c r="J357" s="5">
        <v>0.21357638888888889</v>
      </c>
      <c r="K357" s="5">
        <f t="shared" si="10"/>
        <v>7.6277281746031742E-3</v>
      </c>
      <c r="L357" s="5">
        <v>6.356481481481481E-2</v>
      </c>
      <c r="M357" s="6">
        <f t="shared" si="11"/>
        <v>0.2395011120317474</v>
      </c>
      <c r="N357" s="5">
        <v>6.5162037037037037E-3</v>
      </c>
      <c r="O357" s="5">
        <v>1.4490740740740742E-2</v>
      </c>
      <c r="P357" s="5"/>
      <c r="Q357" s="5"/>
      <c r="R357" s="5">
        <v>2.3611111111111111E-3</v>
      </c>
      <c r="S357" s="5">
        <v>1.4513888888888889E-2</v>
      </c>
      <c r="T357" s="5">
        <v>9.2592592592592588E-5</v>
      </c>
      <c r="U357" s="5">
        <v>1.0416666666666667E-4</v>
      </c>
      <c r="V357" s="5"/>
      <c r="W357" s="5">
        <v>2.5474537037037039E-2</v>
      </c>
    </row>
    <row r="358" spans="1:23" x14ac:dyDescent="0.25">
      <c r="A358" s="2">
        <v>46239</v>
      </c>
      <c r="B358" s="3" t="s">
        <v>50</v>
      </c>
      <c r="C358" s="3" t="s">
        <v>538</v>
      </c>
      <c r="D358" s="3" t="s">
        <v>100</v>
      </c>
      <c r="E358" s="3" t="s">
        <v>31</v>
      </c>
      <c r="F358" s="3" t="s">
        <v>32</v>
      </c>
      <c r="G358" s="4" t="s">
        <v>33</v>
      </c>
      <c r="H358" s="4">
        <v>10</v>
      </c>
      <c r="I358" s="5">
        <v>0.22109953703703702</v>
      </c>
      <c r="J358" s="5">
        <v>4.0196759259259258E-2</v>
      </c>
      <c r="K358" s="5">
        <f t="shared" si="10"/>
        <v>4.0196759259259257E-3</v>
      </c>
      <c r="L358" s="5">
        <v>0.18099537037037036</v>
      </c>
      <c r="M358" s="6">
        <f t="shared" si="11"/>
        <v>0.81861487724441184</v>
      </c>
      <c r="N358" s="5">
        <v>9.4907407407407406E-3</v>
      </c>
      <c r="O358" s="5">
        <v>7.905092592592592E-3</v>
      </c>
      <c r="P358" s="5"/>
      <c r="Q358" s="5"/>
      <c r="R358" s="5"/>
      <c r="S358" s="5">
        <v>3.472222222222222E-3</v>
      </c>
      <c r="T358" s="5">
        <v>1.1921296296296296E-2</v>
      </c>
      <c r="U358" s="5">
        <v>1.7824074074074075E-3</v>
      </c>
      <c r="V358" s="5"/>
      <c r="W358" s="5">
        <v>0.14641203703703703</v>
      </c>
    </row>
    <row r="359" spans="1:23" x14ac:dyDescent="0.25">
      <c r="A359" s="2">
        <v>46239</v>
      </c>
      <c r="B359" s="3" t="s">
        <v>242</v>
      </c>
      <c r="C359" s="3" t="s">
        <v>603</v>
      </c>
      <c r="D359" s="3" t="s">
        <v>233</v>
      </c>
      <c r="E359" s="3" t="s">
        <v>31</v>
      </c>
      <c r="F359" s="3" t="s">
        <v>32</v>
      </c>
      <c r="G359" s="4" t="s">
        <v>106</v>
      </c>
      <c r="H359" s="4">
        <v>34</v>
      </c>
      <c r="I359" s="5">
        <v>0.23295138888888889</v>
      </c>
      <c r="J359" s="5">
        <v>0.23401620370370371</v>
      </c>
      <c r="K359" s="5">
        <f t="shared" si="10"/>
        <v>6.8828295206971677E-3</v>
      </c>
      <c r="L359" s="5">
        <v>2.2337962962962962E-3</v>
      </c>
      <c r="M359" s="6">
        <f t="shared" si="11"/>
        <v>9.5891091568539762E-3</v>
      </c>
      <c r="N359" s="5"/>
      <c r="O359" s="5"/>
      <c r="P359" s="5"/>
      <c r="Q359" s="5"/>
      <c r="R359" s="5"/>
      <c r="S359" s="5"/>
      <c r="T359" s="5">
        <v>1.0416666666666667E-4</v>
      </c>
      <c r="U359" s="5">
        <v>2.0486111111111113E-3</v>
      </c>
      <c r="V359" s="5"/>
      <c r="W359" s="5">
        <v>3.4722222222222222E-5</v>
      </c>
    </row>
    <row r="360" spans="1:23" x14ac:dyDescent="0.25">
      <c r="A360" s="2">
        <v>46239</v>
      </c>
      <c r="B360" s="3" t="s">
        <v>248</v>
      </c>
      <c r="C360" s="3" t="s">
        <v>249</v>
      </c>
      <c r="D360" s="3" t="s">
        <v>78</v>
      </c>
      <c r="E360" s="3" t="s">
        <v>79</v>
      </c>
      <c r="F360" s="3" t="s">
        <v>80</v>
      </c>
      <c r="G360" s="4" t="s">
        <v>81</v>
      </c>
      <c r="H360" s="4">
        <v>0</v>
      </c>
      <c r="I360" s="5">
        <v>0.34609953703703705</v>
      </c>
      <c r="J360" s="5">
        <v>0</v>
      </c>
      <c r="K360" s="5">
        <f t="shared" si="10"/>
        <v>0</v>
      </c>
      <c r="L360" s="5">
        <v>1.5625000000000001E-3</v>
      </c>
      <c r="M360" s="6">
        <f t="shared" si="11"/>
        <v>4.5145971976055911E-3</v>
      </c>
      <c r="N360" s="5"/>
      <c r="O360" s="5"/>
      <c r="P360" s="5"/>
      <c r="Q360" s="5"/>
      <c r="R360" s="5"/>
      <c r="S360" s="5"/>
      <c r="T360" s="5">
        <v>2.4305555555555555E-4</v>
      </c>
      <c r="U360" s="5">
        <v>1.2962962962962963E-3</v>
      </c>
      <c r="V360" s="5"/>
      <c r="W360" s="5"/>
    </row>
    <row r="361" spans="1:23" x14ac:dyDescent="0.25">
      <c r="A361" s="2">
        <v>46239</v>
      </c>
      <c r="B361" s="3" t="s">
        <v>289</v>
      </c>
      <c r="C361" s="3" t="s">
        <v>559</v>
      </c>
      <c r="D361" s="3" t="s">
        <v>104</v>
      </c>
      <c r="E361" s="3" t="s">
        <v>31</v>
      </c>
      <c r="F361" s="3" t="s">
        <v>105</v>
      </c>
      <c r="G361" s="4" t="s">
        <v>106</v>
      </c>
      <c r="H361" s="4">
        <v>7</v>
      </c>
      <c r="I361" s="5">
        <v>0.18513888888888888</v>
      </c>
      <c r="J361" s="5">
        <v>0.10836805555555555</v>
      </c>
      <c r="K361" s="5">
        <f t="shared" si="10"/>
        <v>1.5481150793650793E-2</v>
      </c>
      <c r="L361" s="5">
        <v>8.6099537037037044E-2</v>
      </c>
      <c r="M361" s="6">
        <f t="shared" si="11"/>
        <v>0.46505376344086025</v>
      </c>
      <c r="N361" s="5">
        <v>7.905092592592592E-3</v>
      </c>
      <c r="O361" s="5"/>
      <c r="P361" s="5"/>
      <c r="Q361" s="5"/>
      <c r="R361" s="5"/>
      <c r="S361" s="5"/>
      <c r="T361" s="5">
        <v>7.6504629629629631E-3</v>
      </c>
      <c r="U361" s="5">
        <v>1.3171296296296296E-2</v>
      </c>
      <c r="V361" s="5"/>
      <c r="W361" s="5">
        <v>5.7361111111111113E-2</v>
      </c>
    </row>
    <row r="362" spans="1:23" x14ac:dyDescent="0.25">
      <c r="A362" s="2">
        <v>46239</v>
      </c>
      <c r="B362" s="3" t="s">
        <v>252</v>
      </c>
      <c r="C362" s="3" t="s">
        <v>553</v>
      </c>
      <c r="D362" s="3" t="s">
        <v>78</v>
      </c>
      <c r="E362" s="3" t="s">
        <v>79</v>
      </c>
      <c r="F362" s="3" t="s">
        <v>80</v>
      </c>
      <c r="G362" s="4" t="s">
        <v>81</v>
      </c>
      <c r="H362" s="4">
        <v>1</v>
      </c>
      <c r="I362" s="5">
        <v>0.38260416666666669</v>
      </c>
      <c r="J362" s="5">
        <v>4.2476851851851851E-3</v>
      </c>
      <c r="K362" s="5">
        <f t="shared" si="10"/>
        <v>4.2476851851851851E-3</v>
      </c>
      <c r="L362" s="5">
        <v>3.3564814814814812E-4</v>
      </c>
      <c r="M362" s="6">
        <f t="shared" si="11"/>
        <v>8.7727258976918641E-4</v>
      </c>
      <c r="N362" s="5"/>
      <c r="O362" s="5"/>
      <c r="P362" s="5"/>
      <c r="Q362" s="5"/>
      <c r="R362" s="5"/>
      <c r="S362" s="5"/>
      <c r="T362" s="5">
        <v>5.7870370370370373E-5</v>
      </c>
      <c r="U362" s="5">
        <v>2.7777777777777778E-4</v>
      </c>
      <c r="V362" s="5"/>
      <c r="W362" s="5"/>
    </row>
    <row r="363" spans="1:23" x14ac:dyDescent="0.25">
      <c r="A363" s="2">
        <v>46239</v>
      </c>
      <c r="B363" s="3" t="s">
        <v>500</v>
      </c>
      <c r="C363" s="3" t="s">
        <v>518</v>
      </c>
      <c r="D363" s="3" t="s">
        <v>274</v>
      </c>
      <c r="E363" s="3" t="s">
        <v>79</v>
      </c>
      <c r="F363" s="3" t="s">
        <v>147</v>
      </c>
      <c r="G363" s="4" t="s">
        <v>33</v>
      </c>
      <c r="H363" s="4">
        <v>23</v>
      </c>
      <c r="I363" s="5">
        <v>0.3021875</v>
      </c>
      <c r="J363" s="5">
        <v>0.11828703703703704</v>
      </c>
      <c r="K363" s="5">
        <f t="shared" si="10"/>
        <v>5.1429146537842188E-3</v>
      </c>
      <c r="L363" s="5">
        <v>3.9178240740740743E-2</v>
      </c>
      <c r="M363" s="6">
        <f t="shared" si="11"/>
        <v>0.12964878011413689</v>
      </c>
      <c r="N363" s="5">
        <v>2.0717592592592593E-3</v>
      </c>
      <c r="O363" s="5">
        <v>1.3298611111111112E-2</v>
      </c>
      <c r="P363" s="5"/>
      <c r="Q363" s="5">
        <v>9.6064814814814815E-3</v>
      </c>
      <c r="R363" s="5"/>
      <c r="S363" s="5">
        <v>1.380787037037037E-2</v>
      </c>
      <c r="T363" s="5">
        <v>2.199074074074074E-4</v>
      </c>
      <c r="U363" s="5">
        <v>1.6203703703703703E-4</v>
      </c>
      <c r="V363" s="5"/>
      <c r="W363" s="5"/>
    </row>
    <row r="364" spans="1:23" x14ac:dyDescent="0.25">
      <c r="A364" s="2">
        <v>46239</v>
      </c>
      <c r="B364" s="3" t="s">
        <v>683</v>
      </c>
      <c r="C364" s="3" t="s">
        <v>684</v>
      </c>
      <c r="D364" s="3" t="s">
        <v>233</v>
      </c>
      <c r="E364" s="3" t="s">
        <v>31</v>
      </c>
      <c r="F364" s="3" t="s">
        <v>32</v>
      </c>
      <c r="G364" s="4" t="s">
        <v>106</v>
      </c>
      <c r="H364" s="4">
        <v>23</v>
      </c>
      <c r="I364" s="5">
        <v>0.25770833333333332</v>
      </c>
      <c r="J364" s="5">
        <v>0.17666666666666667</v>
      </c>
      <c r="K364" s="5">
        <f t="shared" si="10"/>
        <v>7.6811594202898549E-3</v>
      </c>
      <c r="L364" s="5">
        <v>5.7164351851851855E-2</v>
      </c>
      <c r="M364" s="6">
        <f t="shared" si="11"/>
        <v>0.22181801850354804</v>
      </c>
      <c r="N364" s="5">
        <v>9.0624999999999994E-3</v>
      </c>
      <c r="O364" s="5">
        <v>2.2326388888888889E-2</v>
      </c>
      <c r="P364" s="5"/>
      <c r="Q364" s="5"/>
      <c r="R364" s="5"/>
      <c r="S364" s="5"/>
      <c r="T364" s="5">
        <v>7.0486111111111114E-3</v>
      </c>
      <c r="U364" s="5">
        <v>1.7476851851851851E-2</v>
      </c>
      <c r="V364" s="5"/>
      <c r="W364" s="5">
        <v>1.25E-3</v>
      </c>
    </row>
    <row r="365" spans="1:23" x14ac:dyDescent="0.25">
      <c r="A365" s="2">
        <v>46239</v>
      </c>
      <c r="B365" s="3" t="s">
        <v>653</v>
      </c>
      <c r="C365" s="3" t="s">
        <v>654</v>
      </c>
      <c r="D365" s="3" t="s">
        <v>100</v>
      </c>
      <c r="E365" s="3" t="s">
        <v>31</v>
      </c>
      <c r="F365" s="3" t="s">
        <v>32</v>
      </c>
      <c r="G365" s="4" t="s">
        <v>33</v>
      </c>
      <c r="H365" s="4">
        <v>21</v>
      </c>
      <c r="I365" s="5">
        <v>0.25224537037037037</v>
      </c>
      <c r="J365" s="5">
        <v>0.20505787037037038</v>
      </c>
      <c r="K365" s="5">
        <f t="shared" si="10"/>
        <v>9.7646604938271611E-3</v>
      </c>
      <c r="L365" s="5">
        <v>3.5312499999999997E-2</v>
      </c>
      <c r="M365" s="6">
        <f t="shared" si="11"/>
        <v>0.13999265852987058</v>
      </c>
      <c r="N365" s="5">
        <v>3.3564814814814816E-3</v>
      </c>
      <c r="O365" s="5">
        <v>1.4444444444444444E-2</v>
      </c>
      <c r="P365" s="5"/>
      <c r="Q365" s="5"/>
      <c r="R365" s="5"/>
      <c r="S365" s="5">
        <v>1.4212962962962964E-2</v>
      </c>
      <c r="T365" s="5">
        <v>6.134259259259259E-4</v>
      </c>
      <c r="U365" s="5">
        <v>2.0486111111111113E-3</v>
      </c>
      <c r="V365" s="5"/>
      <c r="W365" s="5">
        <v>5.7870370370370367E-4</v>
      </c>
    </row>
    <row r="366" spans="1:23" x14ac:dyDescent="0.25">
      <c r="A366" s="2">
        <v>46239</v>
      </c>
      <c r="B366" s="3" t="s">
        <v>52</v>
      </c>
      <c r="C366" s="3" t="s">
        <v>509</v>
      </c>
      <c r="D366" s="3" t="s">
        <v>100</v>
      </c>
      <c r="E366" s="3" t="s">
        <v>31</v>
      </c>
      <c r="F366" s="3" t="s">
        <v>32</v>
      </c>
      <c r="G366" s="4" t="s">
        <v>33</v>
      </c>
      <c r="H366" s="4">
        <v>9</v>
      </c>
      <c r="I366" s="5">
        <v>0.23498842592592592</v>
      </c>
      <c r="J366" s="5">
        <v>7.391203703703704E-2</v>
      </c>
      <c r="K366" s="5">
        <f t="shared" si="10"/>
        <v>8.2124485596707826E-3</v>
      </c>
      <c r="L366" s="5">
        <v>0.17318287037037036</v>
      </c>
      <c r="M366" s="6">
        <f t="shared" si="11"/>
        <v>0.73698468206668966</v>
      </c>
      <c r="N366" s="5">
        <v>3.8773148148148148E-3</v>
      </c>
      <c r="O366" s="5">
        <v>1.4502314814814815E-2</v>
      </c>
      <c r="P366" s="5"/>
      <c r="Q366" s="5"/>
      <c r="R366" s="5"/>
      <c r="S366" s="5">
        <v>1.4421296296296297E-2</v>
      </c>
      <c r="T366" s="5">
        <v>1.9212962962962964E-3</v>
      </c>
      <c r="U366" s="5">
        <v>2.7777777777777778E-4</v>
      </c>
      <c r="V366" s="5"/>
      <c r="W366" s="5">
        <v>0.13817129629629629</v>
      </c>
    </row>
    <row r="367" spans="1:23" x14ac:dyDescent="0.25">
      <c r="A367" s="2">
        <v>46239</v>
      </c>
      <c r="B367" s="3" t="s">
        <v>164</v>
      </c>
      <c r="C367" s="3" t="s">
        <v>519</v>
      </c>
      <c r="D367" s="3" t="s">
        <v>146</v>
      </c>
      <c r="E367" s="3" t="s">
        <v>79</v>
      </c>
      <c r="F367" s="3" t="s">
        <v>147</v>
      </c>
      <c r="G367" s="4" t="s">
        <v>106</v>
      </c>
      <c r="H367" s="4">
        <v>18</v>
      </c>
      <c r="I367" s="5">
        <v>0.26627314814814818</v>
      </c>
      <c r="J367" s="5">
        <v>5.0405092592592592E-2</v>
      </c>
      <c r="K367" s="5">
        <f t="shared" si="10"/>
        <v>2.8002829218106997E-3</v>
      </c>
      <c r="L367" s="5">
        <v>2.7627314814814816E-2</v>
      </c>
      <c r="M367" s="6">
        <f t="shared" si="11"/>
        <v>0.10375554203251325</v>
      </c>
      <c r="N367" s="5"/>
      <c r="O367" s="5">
        <v>7.4768518518518517E-3</v>
      </c>
      <c r="P367" s="5">
        <v>6.5972222222222222E-3</v>
      </c>
      <c r="Q367" s="5"/>
      <c r="R367" s="5"/>
      <c r="S367" s="5">
        <v>1.2280092592592592E-2</v>
      </c>
      <c r="T367" s="5">
        <v>6.9444444444444444E-5</v>
      </c>
      <c r="U367" s="5">
        <v>1.1111111111111111E-3</v>
      </c>
      <c r="V367" s="5"/>
      <c r="W367" s="5"/>
    </row>
    <row r="368" spans="1:23" x14ac:dyDescent="0.25">
      <c r="A368" s="2">
        <v>46239</v>
      </c>
      <c r="B368" s="3" t="s">
        <v>655</v>
      </c>
      <c r="C368" s="3" t="s">
        <v>656</v>
      </c>
      <c r="D368" s="3" t="s">
        <v>100</v>
      </c>
      <c r="E368" s="3" t="s">
        <v>31</v>
      </c>
      <c r="F368" s="3" t="s">
        <v>32</v>
      </c>
      <c r="G368" s="4" t="s">
        <v>33</v>
      </c>
      <c r="H368" s="4">
        <v>26</v>
      </c>
      <c r="I368" s="5">
        <v>0.26197916666666665</v>
      </c>
      <c r="J368" s="5">
        <v>0.18623842592592593</v>
      </c>
      <c r="K368" s="5">
        <f t="shared" si="10"/>
        <v>7.1630163817663819E-3</v>
      </c>
      <c r="L368" s="5">
        <v>3.3090277777777781E-2</v>
      </c>
      <c r="M368" s="6">
        <f t="shared" si="11"/>
        <v>0.12630881378396291</v>
      </c>
      <c r="N368" s="5">
        <v>2.3958333333333331E-3</v>
      </c>
      <c r="O368" s="5">
        <v>1.3715277777777778E-2</v>
      </c>
      <c r="P368" s="5"/>
      <c r="Q368" s="5"/>
      <c r="R368" s="5"/>
      <c r="S368" s="5">
        <v>1.4884259259259259E-2</v>
      </c>
      <c r="T368" s="5">
        <v>1.273148148148148E-4</v>
      </c>
      <c r="U368" s="5">
        <v>1.9212962962962964E-3</v>
      </c>
      <c r="V368" s="5"/>
      <c r="W368" s="5"/>
    </row>
    <row r="369" spans="1:23" x14ac:dyDescent="0.25">
      <c r="A369" s="2">
        <v>46239</v>
      </c>
      <c r="B369" s="3" t="s">
        <v>657</v>
      </c>
      <c r="C369" s="3" t="s">
        <v>658</v>
      </c>
      <c r="D369" s="3" t="s">
        <v>274</v>
      </c>
      <c r="E369" s="3" t="s">
        <v>79</v>
      </c>
      <c r="F369" s="3" t="s">
        <v>147</v>
      </c>
      <c r="G369" s="4" t="s">
        <v>33</v>
      </c>
      <c r="H369" s="4">
        <v>14</v>
      </c>
      <c r="I369" s="5">
        <v>0.26233796296296297</v>
      </c>
      <c r="J369" s="5">
        <v>6.8784722222222219E-2</v>
      </c>
      <c r="K369" s="5">
        <f t="shared" si="10"/>
        <v>4.913194444444444E-3</v>
      </c>
      <c r="L369" s="5">
        <v>5.6180555555555553E-2</v>
      </c>
      <c r="M369" s="6">
        <f t="shared" si="11"/>
        <v>0.21415335745168973</v>
      </c>
      <c r="N369" s="5">
        <v>8.1481481481481474E-3</v>
      </c>
      <c r="O369" s="5">
        <v>1.7372685185185185E-2</v>
      </c>
      <c r="P369" s="5"/>
      <c r="Q369" s="5">
        <v>1.525462962962963E-2</v>
      </c>
      <c r="R369" s="5"/>
      <c r="S369" s="5">
        <v>1.4131944444444445E-2</v>
      </c>
      <c r="T369" s="5">
        <v>6.9444444444444444E-5</v>
      </c>
      <c r="U369" s="5">
        <v>5.3240740740740744E-4</v>
      </c>
      <c r="V369" s="5"/>
      <c r="W369" s="5"/>
    </row>
    <row r="370" spans="1:23" x14ac:dyDescent="0.25">
      <c r="A370" s="2">
        <v>46239</v>
      </c>
      <c r="B370" s="3" t="s">
        <v>166</v>
      </c>
      <c r="C370" s="3" t="s">
        <v>167</v>
      </c>
      <c r="D370" s="3" t="s">
        <v>146</v>
      </c>
      <c r="E370" s="3" t="s">
        <v>79</v>
      </c>
      <c r="F370" s="3" t="s">
        <v>147</v>
      </c>
      <c r="G370" s="4" t="s">
        <v>106</v>
      </c>
      <c r="H370" s="4">
        <v>23</v>
      </c>
      <c r="I370" s="5">
        <v>0.25430555555555556</v>
      </c>
      <c r="J370" s="5">
        <v>5.9537037037037034E-2</v>
      </c>
      <c r="K370" s="5">
        <f t="shared" si="10"/>
        <v>2.5885668276972623E-3</v>
      </c>
      <c r="L370" s="5">
        <v>3.6076388888888887E-2</v>
      </c>
      <c r="M370" s="6">
        <f t="shared" si="11"/>
        <v>0.14186237028945931</v>
      </c>
      <c r="N370" s="5">
        <v>3.8194444444444443E-3</v>
      </c>
      <c r="O370" s="5">
        <v>1.1817129629629629E-2</v>
      </c>
      <c r="P370" s="5"/>
      <c r="Q370" s="5">
        <v>5.7523148148148151E-3</v>
      </c>
      <c r="R370" s="5"/>
      <c r="S370" s="5">
        <v>1.3275462962962963E-2</v>
      </c>
      <c r="T370" s="5">
        <v>8.1018518518518516E-5</v>
      </c>
      <c r="U370" s="5">
        <v>7.8703703703703705E-4</v>
      </c>
      <c r="V370" s="5"/>
      <c r="W370" s="5">
        <v>5.3240740740740744E-4</v>
      </c>
    </row>
    <row r="371" spans="1:23" x14ac:dyDescent="0.25">
      <c r="A371" s="2">
        <v>46239</v>
      </c>
      <c r="B371" s="3" t="s">
        <v>659</v>
      </c>
      <c r="C371" s="3" t="s">
        <v>660</v>
      </c>
      <c r="D371" s="3" t="s">
        <v>100</v>
      </c>
      <c r="E371" s="3" t="s">
        <v>31</v>
      </c>
      <c r="F371" s="3" t="s">
        <v>32</v>
      </c>
      <c r="G371" s="4" t="s">
        <v>33</v>
      </c>
      <c r="H371" s="4">
        <v>8</v>
      </c>
      <c r="I371" s="5">
        <v>0.2399537037037037</v>
      </c>
      <c r="J371" s="5">
        <v>5.2638888888888888E-2</v>
      </c>
      <c r="K371" s="5">
        <f t="shared" si="10"/>
        <v>6.579861111111111E-3</v>
      </c>
      <c r="L371" s="5">
        <v>0.19469907407407408</v>
      </c>
      <c r="M371" s="6">
        <f t="shared" si="11"/>
        <v>0.81140266255064641</v>
      </c>
      <c r="N371" s="5">
        <v>8.1712962962962963E-3</v>
      </c>
      <c r="O371" s="5">
        <v>1.1099537037037036E-2</v>
      </c>
      <c r="P371" s="5"/>
      <c r="Q371" s="5"/>
      <c r="R371" s="5"/>
      <c r="S371" s="5">
        <v>1.6064814814814816E-2</v>
      </c>
      <c r="T371" s="5">
        <v>4.9768518518518521E-4</v>
      </c>
      <c r="U371" s="5">
        <v>2.0833333333333335E-4</v>
      </c>
      <c r="V371" s="5"/>
      <c r="W371" s="5">
        <v>0.15864583333333335</v>
      </c>
    </row>
    <row r="372" spans="1:23" x14ac:dyDescent="0.25">
      <c r="A372" s="2">
        <v>46239</v>
      </c>
      <c r="B372" s="3" t="s">
        <v>254</v>
      </c>
      <c r="C372" s="3" t="s">
        <v>528</v>
      </c>
      <c r="D372" s="3" t="s">
        <v>233</v>
      </c>
      <c r="E372" s="3" t="s">
        <v>31</v>
      </c>
      <c r="F372" s="3" t="s">
        <v>32</v>
      </c>
      <c r="G372" s="4" t="s">
        <v>106</v>
      </c>
      <c r="H372" s="4">
        <v>25</v>
      </c>
      <c r="I372" s="5">
        <v>0.26515046296296296</v>
      </c>
      <c r="J372" s="5">
        <v>0.16215277777777778</v>
      </c>
      <c r="K372" s="5">
        <f t="shared" si="10"/>
        <v>6.4861111111111118E-3</v>
      </c>
      <c r="L372" s="5">
        <v>5.5648148148148148E-2</v>
      </c>
      <c r="M372" s="6">
        <f t="shared" si="11"/>
        <v>0.20987384870574882</v>
      </c>
      <c r="N372" s="5">
        <v>1.726851851851852E-2</v>
      </c>
      <c r="O372" s="5">
        <v>1.2037037037037037E-2</v>
      </c>
      <c r="P372" s="5"/>
      <c r="Q372" s="5">
        <v>1.6666666666666668E-3</v>
      </c>
      <c r="R372" s="5"/>
      <c r="S372" s="5">
        <v>1.2962962962962963E-2</v>
      </c>
      <c r="T372" s="5">
        <v>1.0486111111111111E-2</v>
      </c>
      <c r="U372" s="5">
        <v>1.2037037037037038E-3</v>
      </c>
      <c r="V372" s="5"/>
      <c r="W372" s="5"/>
    </row>
    <row r="373" spans="1:23" x14ac:dyDescent="0.25">
      <c r="A373" s="2">
        <v>46239</v>
      </c>
      <c r="B373" s="3" t="s">
        <v>201</v>
      </c>
      <c r="C373" s="3" t="s">
        <v>545</v>
      </c>
      <c r="D373" s="3" t="s">
        <v>601</v>
      </c>
      <c r="E373" s="3" t="s">
        <v>31</v>
      </c>
      <c r="F373" s="3" t="s">
        <v>600</v>
      </c>
      <c r="G373" s="4" t="s">
        <v>33</v>
      </c>
      <c r="H373" s="4">
        <v>32</v>
      </c>
      <c r="I373" s="5">
        <v>0.24052083333333332</v>
      </c>
      <c r="J373" s="5">
        <v>7.4652777777777776E-2</v>
      </c>
      <c r="K373" s="5">
        <f t="shared" si="10"/>
        <v>2.3328993055555555E-3</v>
      </c>
      <c r="L373" s="5">
        <v>4.6956018518518522E-2</v>
      </c>
      <c r="M373" s="6">
        <f t="shared" si="11"/>
        <v>0.19522640873875177</v>
      </c>
      <c r="N373" s="5">
        <v>1.5046296296296297E-4</v>
      </c>
      <c r="O373" s="5">
        <v>2.5775462962962962E-2</v>
      </c>
      <c r="P373" s="5">
        <v>2.4305555555555555E-4</v>
      </c>
      <c r="Q373" s="5"/>
      <c r="R373" s="5"/>
      <c r="S373" s="5">
        <v>1.8090277777777778E-2</v>
      </c>
      <c r="T373" s="5">
        <v>2.6967592592592594E-3</v>
      </c>
      <c r="U373" s="5"/>
      <c r="V373" s="5"/>
      <c r="W373" s="5"/>
    </row>
    <row r="374" spans="1:23" x14ac:dyDescent="0.25">
      <c r="A374" s="2">
        <v>46239</v>
      </c>
      <c r="B374" s="3" t="s">
        <v>168</v>
      </c>
      <c r="C374" s="3" t="s">
        <v>520</v>
      </c>
      <c r="D374" s="3" t="s">
        <v>274</v>
      </c>
      <c r="E374" s="3" t="s">
        <v>79</v>
      </c>
      <c r="F374" s="3" t="s">
        <v>147</v>
      </c>
      <c r="G374" s="4" t="s">
        <v>33</v>
      </c>
      <c r="H374" s="4">
        <v>17</v>
      </c>
      <c r="I374" s="5">
        <v>0.28078703703703706</v>
      </c>
      <c r="J374" s="5">
        <v>5.3541666666666668E-2</v>
      </c>
      <c r="K374" s="5">
        <f t="shared" si="10"/>
        <v>3.1495098039215686E-3</v>
      </c>
      <c r="L374" s="5">
        <v>4.974537037037037E-2</v>
      </c>
      <c r="M374" s="6">
        <f t="shared" si="11"/>
        <v>0.17716405605935695</v>
      </c>
      <c r="N374" s="5">
        <v>9.7453703703703695E-3</v>
      </c>
      <c r="O374" s="5">
        <v>9.3749999999999997E-3</v>
      </c>
      <c r="P374" s="5"/>
      <c r="Q374" s="5">
        <v>7.1875000000000003E-3</v>
      </c>
      <c r="R374" s="5">
        <v>6.4467592592592588E-3</v>
      </c>
      <c r="S374" s="5">
        <v>1.6215277777777776E-2</v>
      </c>
      <c r="T374" s="5">
        <v>4.9768518518518521E-4</v>
      </c>
      <c r="U374" s="5"/>
      <c r="V374" s="5"/>
      <c r="W374" s="5"/>
    </row>
    <row r="375" spans="1:23" x14ac:dyDescent="0.25">
      <c r="A375" s="2">
        <v>46239</v>
      </c>
      <c r="B375" s="3" t="s">
        <v>170</v>
      </c>
      <c r="C375" s="3" t="s">
        <v>521</v>
      </c>
      <c r="D375" s="3" t="s">
        <v>146</v>
      </c>
      <c r="E375" s="3" t="s">
        <v>79</v>
      </c>
      <c r="F375" s="3" t="s">
        <v>147</v>
      </c>
      <c r="G375" s="4" t="s">
        <v>106</v>
      </c>
      <c r="H375" s="4">
        <v>12</v>
      </c>
      <c r="I375" s="5">
        <v>0.26238425925925923</v>
      </c>
      <c r="J375" s="5">
        <v>8.1111111111111106E-2</v>
      </c>
      <c r="K375" s="5">
        <f t="shared" si="10"/>
        <v>6.7592592592592591E-3</v>
      </c>
      <c r="L375" s="5">
        <v>5.6412037037037038E-2</v>
      </c>
      <c r="M375" s="6">
        <f t="shared" si="11"/>
        <v>0.21499779444199385</v>
      </c>
      <c r="N375" s="5">
        <v>1.1331018518518518E-2</v>
      </c>
      <c r="O375" s="5">
        <v>1.9351851851851853E-2</v>
      </c>
      <c r="P375" s="5"/>
      <c r="Q375" s="5">
        <v>1.0648148148148148E-2</v>
      </c>
      <c r="R375" s="5"/>
      <c r="S375" s="5">
        <v>1.3831018518518519E-2</v>
      </c>
      <c r="T375" s="5">
        <v>6.9444444444444444E-5</v>
      </c>
      <c r="U375" s="5">
        <v>1.1458333333333333E-3</v>
      </c>
      <c r="V375" s="5"/>
      <c r="W375" s="5"/>
    </row>
    <row r="376" spans="1:23" x14ac:dyDescent="0.25">
      <c r="A376" s="2">
        <v>46239</v>
      </c>
      <c r="B376" s="3" t="s">
        <v>92</v>
      </c>
      <c r="C376" s="3" t="s">
        <v>93</v>
      </c>
      <c r="D376" s="3" t="s">
        <v>78</v>
      </c>
      <c r="E376" s="3" t="s">
        <v>79</v>
      </c>
      <c r="F376" s="3" t="s">
        <v>80</v>
      </c>
      <c r="G376" s="4" t="s">
        <v>81</v>
      </c>
      <c r="H376" s="4">
        <v>0</v>
      </c>
      <c r="I376" s="5">
        <v>0</v>
      </c>
      <c r="J376" s="5">
        <v>0</v>
      </c>
      <c r="K376" s="5">
        <f t="shared" si="10"/>
        <v>0</v>
      </c>
      <c r="L376" s="5">
        <v>0</v>
      </c>
      <c r="M376" s="6">
        <f t="shared" si="11"/>
        <v>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25">
      <c r="A377" s="2">
        <v>46239</v>
      </c>
      <c r="B377" s="3" t="s">
        <v>94</v>
      </c>
      <c r="C377" s="3" t="s">
        <v>95</v>
      </c>
      <c r="D377" s="3" t="s">
        <v>78</v>
      </c>
      <c r="E377" s="3" t="s">
        <v>79</v>
      </c>
      <c r="F377" s="3" t="s">
        <v>80</v>
      </c>
      <c r="G377" s="4" t="s">
        <v>81</v>
      </c>
      <c r="H377" s="4">
        <v>0</v>
      </c>
      <c r="I377" s="5">
        <v>0.3432986111111111</v>
      </c>
      <c r="J377" s="5">
        <v>0</v>
      </c>
      <c r="K377" s="5">
        <f t="shared" si="10"/>
        <v>0</v>
      </c>
      <c r="L377" s="5">
        <v>7.9097222222222222E-2</v>
      </c>
      <c r="M377" s="6">
        <f t="shared" si="11"/>
        <v>0.23040356023060585</v>
      </c>
      <c r="N377" s="5"/>
      <c r="O377" s="5"/>
      <c r="P377" s="5"/>
      <c r="Q377" s="5"/>
      <c r="R377" s="5">
        <v>6.5625000000000003E-2</v>
      </c>
      <c r="S377" s="5">
        <v>1.3171296296296296E-2</v>
      </c>
      <c r="T377" s="5">
        <v>1.273148148148148E-4</v>
      </c>
      <c r="U377" s="5">
        <v>1.5046296296296297E-4</v>
      </c>
      <c r="V377" s="5"/>
      <c r="W377" s="5"/>
    </row>
    <row r="378" spans="1:23" x14ac:dyDescent="0.25">
      <c r="A378" s="2">
        <v>46239</v>
      </c>
      <c r="B378" s="3" t="s">
        <v>293</v>
      </c>
      <c r="C378" s="3" t="s">
        <v>543</v>
      </c>
      <c r="D378" s="3" t="s">
        <v>104</v>
      </c>
      <c r="E378" s="3" t="s">
        <v>31</v>
      </c>
      <c r="F378" s="3" t="s">
        <v>600</v>
      </c>
      <c r="G378" s="4" t="s">
        <v>106</v>
      </c>
      <c r="H378" s="4">
        <v>29</v>
      </c>
      <c r="I378" s="5">
        <v>0.24886574074074075</v>
      </c>
      <c r="J378" s="5">
        <v>0.10622685185185185</v>
      </c>
      <c r="K378" s="5">
        <f t="shared" si="10"/>
        <v>3.6629948914431673E-3</v>
      </c>
      <c r="L378" s="5">
        <v>0.12047453703703703</v>
      </c>
      <c r="M378" s="6">
        <f t="shared" si="11"/>
        <v>0.48409450283694538</v>
      </c>
      <c r="N378" s="5">
        <v>1.1307870370370371E-2</v>
      </c>
      <c r="O378" s="5">
        <v>2.105324074074074E-2</v>
      </c>
      <c r="P378" s="5"/>
      <c r="Q378" s="5"/>
      <c r="R378" s="5">
        <v>6.8287037037037036E-4</v>
      </c>
      <c r="S378" s="5">
        <v>1.8136574074074076E-2</v>
      </c>
      <c r="T378" s="5">
        <v>7.6504629629629631E-3</v>
      </c>
      <c r="U378" s="5">
        <v>2.199074074074074E-4</v>
      </c>
      <c r="V378" s="5"/>
      <c r="W378" s="5">
        <v>6.1412037037037036E-2</v>
      </c>
    </row>
    <row r="379" spans="1:23" x14ac:dyDescent="0.25">
      <c r="A379" s="2">
        <v>46239</v>
      </c>
      <c r="B379" s="3" t="s">
        <v>606</v>
      </c>
      <c r="C379" s="3" t="s">
        <v>633</v>
      </c>
      <c r="D379" s="3" t="s">
        <v>146</v>
      </c>
      <c r="E379" s="3" t="s">
        <v>79</v>
      </c>
      <c r="F379" s="3" t="s">
        <v>147</v>
      </c>
      <c r="G379" s="4" t="s">
        <v>106</v>
      </c>
      <c r="H379" s="4">
        <v>11</v>
      </c>
      <c r="I379" s="5">
        <v>0.26504629629629628</v>
      </c>
      <c r="J379" s="5">
        <v>6.8553240740740734E-2</v>
      </c>
      <c r="K379" s="5">
        <f t="shared" si="10"/>
        <v>6.2321127946127937E-3</v>
      </c>
      <c r="L379" s="5">
        <v>7.5289351851851857E-2</v>
      </c>
      <c r="M379" s="6">
        <f t="shared" si="11"/>
        <v>0.28406113537117905</v>
      </c>
      <c r="N379" s="5">
        <v>1.0543981481481482E-2</v>
      </c>
      <c r="O379" s="5">
        <v>1.5462962962962963E-2</v>
      </c>
      <c r="P379" s="5"/>
      <c r="Q379" s="5">
        <v>3.8425925925925928E-3</v>
      </c>
      <c r="R379" s="5"/>
      <c r="S379" s="5">
        <v>1.3761574074074074E-2</v>
      </c>
      <c r="T379" s="5">
        <v>2.0949074074074073E-3</v>
      </c>
      <c r="U379" s="5">
        <v>2.9513888888888888E-2</v>
      </c>
      <c r="V379" s="5"/>
      <c r="W379" s="5"/>
    </row>
    <row r="380" spans="1:23" x14ac:dyDescent="0.25">
      <c r="A380" s="2">
        <v>46239</v>
      </c>
      <c r="B380" s="3" t="s">
        <v>256</v>
      </c>
      <c r="C380" s="3" t="s">
        <v>529</v>
      </c>
      <c r="D380" s="3" t="s">
        <v>233</v>
      </c>
      <c r="E380" s="3" t="s">
        <v>31</v>
      </c>
      <c r="F380" s="3" t="s">
        <v>32</v>
      </c>
      <c r="G380" s="4" t="s">
        <v>106</v>
      </c>
      <c r="H380" s="4">
        <v>21</v>
      </c>
      <c r="I380" s="5">
        <v>0.26023148148148151</v>
      </c>
      <c r="J380" s="5">
        <v>0.15212962962962964</v>
      </c>
      <c r="K380" s="5">
        <f t="shared" si="10"/>
        <v>7.2442680776014113E-3</v>
      </c>
      <c r="L380" s="5">
        <v>5.3368055555555557E-2</v>
      </c>
      <c r="M380" s="6">
        <f t="shared" si="11"/>
        <v>0.20507916740793453</v>
      </c>
      <c r="N380" s="5">
        <v>8.4259259259259253E-3</v>
      </c>
      <c r="O380" s="5">
        <v>1.5034722222222222E-2</v>
      </c>
      <c r="P380" s="5"/>
      <c r="Q380" s="5"/>
      <c r="R380" s="5">
        <v>4.6180555555555558E-3</v>
      </c>
      <c r="S380" s="5">
        <v>1.5717592592592592E-2</v>
      </c>
      <c r="T380" s="5">
        <v>8.1018518518518516E-5</v>
      </c>
      <c r="U380" s="5">
        <v>5.0347222222222225E-3</v>
      </c>
      <c r="V380" s="5"/>
      <c r="W380" s="5">
        <v>4.43287037037037E-3</v>
      </c>
    </row>
    <row r="381" spans="1:23" x14ac:dyDescent="0.25">
      <c r="A381" s="2">
        <v>46239</v>
      </c>
      <c r="B381" s="3" t="s">
        <v>612</v>
      </c>
      <c r="C381" s="3" t="s">
        <v>634</v>
      </c>
      <c r="D381" s="3" t="s">
        <v>601</v>
      </c>
      <c r="E381" s="3" t="s">
        <v>31</v>
      </c>
      <c r="F381" s="3" t="s">
        <v>105</v>
      </c>
      <c r="G381" s="4" t="s">
        <v>33</v>
      </c>
      <c r="H381" s="4">
        <v>10</v>
      </c>
      <c r="I381" s="5">
        <v>0.25349537037037034</v>
      </c>
      <c r="J381" s="5">
        <v>0.19253472222222223</v>
      </c>
      <c r="K381" s="5">
        <f t="shared" si="10"/>
        <v>1.9253472222222224E-2</v>
      </c>
      <c r="L381" s="5">
        <v>0.15987268518518519</v>
      </c>
      <c r="M381" s="6">
        <f t="shared" si="11"/>
        <v>0.6306729978997353</v>
      </c>
      <c r="N381" s="5">
        <v>2.7291666666666665E-2</v>
      </c>
      <c r="O381" s="5">
        <v>2.6331018518518517E-2</v>
      </c>
      <c r="P381" s="5"/>
      <c r="Q381" s="5">
        <v>1.8749999999999999E-2</v>
      </c>
      <c r="R381" s="5"/>
      <c r="S381" s="5">
        <v>1.6932870370370369E-2</v>
      </c>
      <c r="T381" s="5">
        <v>1.6435185185185185E-3</v>
      </c>
      <c r="U381" s="5">
        <v>4.3437499999999997E-2</v>
      </c>
      <c r="V381" s="5"/>
      <c r="W381" s="5">
        <v>2.5486111111111112E-2</v>
      </c>
    </row>
    <row r="382" spans="1:23" x14ac:dyDescent="0.25">
      <c r="A382" s="2">
        <v>46239</v>
      </c>
      <c r="B382" s="3" t="s">
        <v>258</v>
      </c>
      <c r="C382" s="3" t="s">
        <v>554</v>
      </c>
      <c r="D382" s="3" t="s">
        <v>233</v>
      </c>
      <c r="E382" s="3" t="s">
        <v>31</v>
      </c>
      <c r="F382" s="3" t="s">
        <v>32</v>
      </c>
      <c r="G382" s="4" t="s">
        <v>106</v>
      </c>
      <c r="H382" s="4">
        <v>5</v>
      </c>
      <c r="I382" s="5">
        <v>0.1900462962962963</v>
      </c>
      <c r="J382" s="5">
        <v>5.2928240740740741E-2</v>
      </c>
      <c r="K382" s="5">
        <f t="shared" si="10"/>
        <v>1.0585648148148148E-2</v>
      </c>
      <c r="L382" s="5">
        <v>0.15329861111111112</v>
      </c>
      <c r="M382" s="6">
        <f t="shared" si="11"/>
        <v>0.80663824604141299</v>
      </c>
      <c r="N382" s="5"/>
      <c r="O382" s="5"/>
      <c r="P382" s="5"/>
      <c r="Q382" s="5"/>
      <c r="R382" s="5"/>
      <c r="S382" s="5">
        <v>1.4247685185185184E-2</v>
      </c>
      <c r="T382" s="5">
        <v>3.3564814814814812E-4</v>
      </c>
      <c r="U382" s="5"/>
      <c r="V382" s="5"/>
      <c r="W382" s="5">
        <v>0.13871527777777778</v>
      </c>
    </row>
    <row r="383" spans="1:23" x14ac:dyDescent="0.25">
      <c r="A383" s="2">
        <v>46239</v>
      </c>
      <c r="B383" s="3" t="s">
        <v>661</v>
      </c>
      <c r="C383" s="3" t="s">
        <v>662</v>
      </c>
      <c r="D383" s="3" t="s">
        <v>100</v>
      </c>
      <c r="E383" s="3" t="s">
        <v>31</v>
      </c>
      <c r="F383" s="3" t="s">
        <v>32</v>
      </c>
      <c r="G383" s="4" t="s">
        <v>33</v>
      </c>
      <c r="H383" s="4">
        <v>24</v>
      </c>
      <c r="I383" s="5">
        <v>0.26105324074074077</v>
      </c>
      <c r="J383" s="5">
        <v>0.2101851851851852</v>
      </c>
      <c r="K383" s="5">
        <f t="shared" si="10"/>
        <v>8.7577160493827171E-3</v>
      </c>
      <c r="L383" s="5">
        <v>4.3888888888888887E-2</v>
      </c>
      <c r="M383" s="6">
        <f t="shared" si="11"/>
        <v>0.16812236754599866</v>
      </c>
      <c r="N383" s="5">
        <v>1.25E-3</v>
      </c>
      <c r="O383" s="5">
        <v>1.7187500000000001E-2</v>
      </c>
      <c r="P383" s="5"/>
      <c r="Q383" s="5"/>
      <c r="R383" s="5"/>
      <c r="S383" s="5">
        <v>1.5162037037037036E-2</v>
      </c>
      <c r="T383" s="5">
        <v>4.5254629629629629E-3</v>
      </c>
      <c r="U383" s="5">
        <v>1.0300925925925926E-3</v>
      </c>
      <c r="V383" s="5"/>
      <c r="W383" s="5">
        <v>4.7106481481481478E-3</v>
      </c>
    </row>
    <row r="384" spans="1:23" x14ac:dyDescent="0.25">
      <c r="A384" s="2">
        <v>46239</v>
      </c>
      <c r="B384" s="3" t="s">
        <v>663</v>
      </c>
      <c r="C384" s="3" t="s">
        <v>664</v>
      </c>
      <c r="D384" s="3" t="s">
        <v>233</v>
      </c>
      <c r="E384" s="3" t="s">
        <v>31</v>
      </c>
      <c r="F384" s="3" t="s">
        <v>32</v>
      </c>
      <c r="G384" s="4" t="s">
        <v>106</v>
      </c>
      <c r="H384" s="4">
        <v>20</v>
      </c>
      <c r="I384" s="5">
        <v>0.24888888888888888</v>
      </c>
      <c r="J384" s="5">
        <v>0.17737268518518517</v>
      </c>
      <c r="K384" s="5">
        <f t="shared" si="10"/>
        <v>8.8686342592592584E-3</v>
      </c>
      <c r="L384" s="5">
        <v>3.3136574074074075E-2</v>
      </c>
      <c r="M384" s="6">
        <f t="shared" si="11"/>
        <v>0.13313802083333334</v>
      </c>
      <c r="N384" s="5">
        <v>5.4166666666666669E-3</v>
      </c>
      <c r="O384" s="5">
        <v>8.9930555555555562E-3</v>
      </c>
      <c r="P384" s="5"/>
      <c r="Q384" s="5"/>
      <c r="R384" s="5">
        <v>5.6712962962962967E-4</v>
      </c>
      <c r="S384" s="5">
        <v>1.4479166666666666E-2</v>
      </c>
      <c r="T384" s="5">
        <v>5.7870370370370367E-4</v>
      </c>
      <c r="U384" s="5"/>
      <c r="V384" s="5"/>
      <c r="W384" s="5">
        <v>3.1018518518518517E-3</v>
      </c>
    </row>
    <row r="385" spans="1:23" x14ac:dyDescent="0.25">
      <c r="A385" s="2">
        <v>46239</v>
      </c>
      <c r="B385" s="3" t="s">
        <v>203</v>
      </c>
      <c r="C385" s="3" t="s">
        <v>565</v>
      </c>
      <c r="D385" s="3" t="s">
        <v>601</v>
      </c>
      <c r="E385" s="3" t="s">
        <v>31</v>
      </c>
      <c r="F385" s="3" t="s">
        <v>105</v>
      </c>
      <c r="G385" s="4" t="s">
        <v>33</v>
      </c>
      <c r="H385" s="4">
        <v>7</v>
      </c>
      <c r="I385" s="5">
        <v>0.19519675925925925</v>
      </c>
      <c r="J385" s="5">
        <v>0.11488425925925926</v>
      </c>
      <c r="K385" s="5">
        <f t="shared" si="10"/>
        <v>1.6412037037037037E-2</v>
      </c>
      <c r="L385" s="5">
        <v>0.141875</v>
      </c>
      <c r="M385" s="6">
        <f t="shared" si="11"/>
        <v>0.72683071449748005</v>
      </c>
      <c r="N385" s="5"/>
      <c r="O385" s="5">
        <v>3.0358796296296297E-2</v>
      </c>
      <c r="P385" s="5"/>
      <c r="Q385" s="5"/>
      <c r="R385" s="5"/>
      <c r="S385" s="5">
        <v>1.6053240740740739E-2</v>
      </c>
      <c r="T385" s="5">
        <v>3.7037037037037035E-4</v>
      </c>
      <c r="U385" s="5">
        <v>4.565972222222222E-2</v>
      </c>
      <c r="V385" s="5"/>
      <c r="W385" s="5">
        <v>4.943287037037037E-2</v>
      </c>
    </row>
    <row r="386" spans="1:23" x14ac:dyDescent="0.25">
      <c r="A386" s="2">
        <v>46239</v>
      </c>
      <c r="B386" s="3" t="s">
        <v>665</v>
      </c>
      <c r="C386" s="3" t="s">
        <v>666</v>
      </c>
      <c r="D386" s="3" t="s">
        <v>100</v>
      </c>
      <c r="E386" s="3" t="s">
        <v>31</v>
      </c>
      <c r="F386" s="3" t="s">
        <v>32</v>
      </c>
      <c r="G386" s="4" t="s">
        <v>33</v>
      </c>
      <c r="H386" s="4">
        <v>28</v>
      </c>
      <c r="I386" s="5">
        <v>0.26418981481481479</v>
      </c>
      <c r="J386" s="5">
        <v>0.22866898148148149</v>
      </c>
      <c r="K386" s="5">
        <f t="shared" ref="K386:K449" si="12">IFERROR(J386/H386,0)</f>
        <v>8.1667493386243396E-3</v>
      </c>
      <c r="L386" s="5">
        <v>3.1863425925925927E-2</v>
      </c>
      <c r="M386" s="6">
        <f t="shared" ref="M386:M449" si="13">IFERROR(L386/I386,0)</f>
        <v>0.12060807850696575</v>
      </c>
      <c r="N386" s="5"/>
      <c r="O386" s="5">
        <v>1.412037037037037E-2</v>
      </c>
      <c r="P386" s="5"/>
      <c r="Q386" s="5">
        <v>1.25E-3</v>
      </c>
      <c r="R386" s="5"/>
      <c r="S386" s="5">
        <v>1.4224537037037037E-2</v>
      </c>
      <c r="T386" s="5">
        <v>1.6203703703703703E-4</v>
      </c>
      <c r="U386" s="5">
        <v>2.0486111111111113E-3</v>
      </c>
      <c r="V386" s="5"/>
      <c r="W386" s="5"/>
    </row>
    <row r="387" spans="1:23" x14ac:dyDescent="0.25">
      <c r="A387" s="2">
        <v>46239</v>
      </c>
      <c r="B387" s="3" t="s">
        <v>264</v>
      </c>
      <c r="C387" s="3" t="s">
        <v>530</v>
      </c>
      <c r="D387" s="3" t="s">
        <v>78</v>
      </c>
      <c r="E387" s="3" t="s">
        <v>79</v>
      </c>
      <c r="F387" s="3" t="s">
        <v>80</v>
      </c>
      <c r="G387" s="4" t="s">
        <v>106</v>
      </c>
      <c r="H387" s="4">
        <v>0</v>
      </c>
      <c r="I387" s="5">
        <v>0.30562499999999998</v>
      </c>
      <c r="J387" s="5">
        <v>0</v>
      </c>
      <c r="K387" s="5">
        <f t="shared" si="12"/>
        <v>0</v>
      </c>
      <c r="L387" s="5">
        <v>9.0277777777777774E-4</v>
      </c>
      <c r="M387" s="6">
        <f t="shared" si="13"/>
        <v>2.9538741195182915E-3</v>
      </c>
      <c r="N387" s="5"/>
      <c r="O387" s="5"/>
      <c r="P387" s="5"/>
      <c r="Q387" s="5"/>
      <c r="R387" s="5"/>
      <c r="S387" s="5"/>
      <c r="T387" s="5">
        <v>2.0833333333333335E-4</v>
      </c>
      <c r="U387" s="5">
        <v>6.2500000000000001E-4</v>
      </c>
      <c r="V387" s="5"/>
      <c r="W387" s="5"/>
    </row>
    <row r="388" spans="1:23" x14ac:dyDescent="0.25">
      <c r="A388" s="2">
        <v>46239</v>
      </c>
      <c r="B388" s="3" t="s">
        <v>128</v>
      </c>
      <c r="C388" s="3" t="s">
        <v>555</v>
      </c>
      <c r="D388" s="3" t="s">
        <v>233</v>
      </c>
      <c r="E388" s="3" t="s">
        <v>31</v>
      </c>
      <c r="F388" s="3" t="s">
        <v>32</v>
      </c>
      <c r="G388" s="4" t="s">
        <v>106</v>
      </c>
      <c r="H388" s="4">
        <v>43</v>
      </c>
      <c r="I388" s="5">
        <v>0.25171296296296297</v>
      </c>
      <c r="J388" s="5">
        <v>0.16351851851851851</v>
      </c>
      <c r="K388" s="5">
        <f t="shared" si="12"/>
        <v>3.8027562446167093E-3</v>
      </c>
      <c r="L388" s="5">
        <v>4.6006944444444448E-2</v>
      </c>
      <c r="M388" s="6">
        <f t="shared" si="13"/>
        <v>0.18277542762552879</v>
      </c>
      <c r="N388" s="5">
        <v>1.2731481481481481E-2</v>
      </c>
      <c r="O388" s="5">
        <v>1.6689814814814814E-2</v>
      </c>
      <c r="P388" s="5"/>
      <c r="Q388" s="5"/>
      <c r="R388" s="5"/>
      <c r="S388" s="5">
        <v>1.4317129629629629E-2</v>
      </c>
      <c r="T388" s="5">
        <v>9.1435185185185185E-4</v>
      </c>
      <c r="U388" s="5">
        <v>1.2847222222222223E-3</v>
      </c>
      <c r="V388" s="5"/>
      <c r="W388" s="5"/>
    </row>
    <row r="389" spans="1:23" x14ac:dyDescent="0.25">
      <c r="A389" s="2">
        <v>46239</v>
      </c>
      <c r="B389" s="3" t="s">
        <v>178</v>
      </c>
      <c r="C389" s="3" t="s">
        <v>522</v>
      </c>
      <c r="D389" s="3" t="s">
        <v>146</v>
      </c>
      <c r="E389" s="3" t="s">
        <v>79</v>
      </c>
      <c r="F389" s="3" t="s">
        <v>147</v>
      </c>
      <c r="G389" s="4" t="s">
        <v>106</v>
      </c>
      <c r="H389" s="4">
        <v>19</v>
      </c>
      <c r="I389" s="5">
        <v>0.2638888888888889</v>
      </c>
      <c r="J389" s="5">
        <v>0.10215277777777777</v>
      </c>
      <c r="K389" s="5">
        <f t="shared" si="12"/>
        <v>5.376461988304093E-3</v>
      </c>
      <c r="L389" s="5">
        <v>3.9027777777777779E-2</v>
      </c>
      <c r="M389" s="6">
        <f t="shared" si="13"/>
        <v>0.14789473684210527</v>
      </c>
      <c r="N389" s="5">
        <v>3.2986111111111111E-3</v>
      </c>
      <c r="O389" s="5">
        <v>1.4837962962962963E-2</v>
      </c>
      <c r="P389" s="5"/>
      <c r="Q389" s="5">
        <v>3.7499999999999999E-3</v>
      </c>
      <c r="R389" s="5"/>
      <c r="S389" s="5">
        <v>1.4722222222222222E-2</v>
      </c>
      <c r="T389" s="5">
        <v>1.3888888888888889E-4</v>
      </c>
      <c r="U389" s="5">
        <v>2.2453703703703702E-3</v>
      </c>
      <c r="V389" s="5"/>
      <c r="W389" s="5"/>
    </row>
    <row r="390" spans="1:23" x14ac:dyDescent="0.25">
      <c r="A390" s="2">
        <v>46239</v>
      </c>
      <c r="B390" s="3" t="s">
        <v>266</v>
      </c>
      <c r="C390" s="3" t="s">
        <v>531</v>
      </c>
      <c r="D390" s="3" t="s">
        <v>233</v>
      </c>
      <c r="E390" s="3" t="s">
        <v>31</v>
      </c>
      <c r="F390" s="3" t="s">
        <v>32</v>
      </c>
      <c r="G390" s="4" t="s">
        <v>106</v>
      </c>
      <c r="H390" s="4">
        <v>4</v>
      </c>
      <c r="I390" s="5">
        <v>0.25738425925925928</v>
      </c>
      <c r="J390" s="5">
        <v>3.3599537037037039E-2</v>
      </c>
      <c r="K390" s="5">
        <f t="shared" si="12"/>
        <v>8.3998842592592597E-3</v>
      </c>
      <c r="L390" s="5">
        <v>0.23697916666666666</v>
      </c>
      <c r="M390" s="6">
        <f t="shared" si="13"/>
        <v>0.92072128788560115</v>
      </c>
      <c r="N390" s="5"/>
      <c r="O390" s="5">
        <v>1.2743055555555556E-2</v>
      </c>
      <c r="P390" s="5"/>
      <c r="Q390" s="5"/>
      <c r="R390" s="5"/>
      <c r="S390" s="5">
        <v>1.3425925925925926E-2</v>
      </c>
      <c r="T390" s="5">
        <v>2.2106481481481482E-3</v>
      </c>
      <c r="U390" s="5"/>
      <c r="V390" s="5"/>
      <c r="W390" s="5">
        <v>0.20859953703703704</v>
      </c>
    </row>
    <row r="391" spans="1:23" x14ac:dyDescent="0.25">
      <c r="A391" s="2">
        <v>46239</v>
      </c>
      <c r="B391" s="3" t="s">
        <v>297</v>
      </c>
      <c r="C391" s="3" t="s">
        <v>667</v>
      </c>
      <c r="D391" s="3" t="s">
        <v>104</v>
      </c>
      <c r="E391" s="3" t="s">
        <v>31</v>
      </c>
      <c r="F391" s="3" t="s">
        <v>105</v>
      </c>
      <c r="G391" s="4" t="s">
        <v>106</v>
      </c>
      <c r="H391" s="4">
        <v>18</v>
      </c>
      <c r="I391" s="5">
        <v>0.24019675925925926</v>
      </c>
      <c r="J391" s="5">
        <v>0.27459490740740738</v>
      </c>
      <c r="K391" s="5">
        <f t="shared" si="12"/>
        <v>1.5255272633744855E-2</v>
      </c>
      <c r="L391" s="5">
        <v>6.9826388888888882E-2</v>
      </c>
      <c r="M391" s="6">
        <f t="shared" si="13"/>
        <v>0.29070495831927912</v>
      </c>
      <c r="N391" s="5">
        <v>1.3668981481481482E-2</v>
      </c>
      <c r="O391" s="5">
        <v>1.9618055555555555E-2</v>
      </c>
      <c r="P391" s="5"/>
      <c r="Q391" s="5"/>
      <c r="R391" s="5"/>
      <c r="S391" s="5">
        <v>1.4247685185185184E-2</v>
      </c>
      <c r="T391" s="5">
        <v>7.3958333333333333E-3</v>
      </c>
      <c r="U391" s="5">
        <v>5.7870370370370373E-5</v>
      </c>
      <c r="V391" s="5"/>
      <c r="W391" s="5">
        <v>1.4837962962962963E-2</v>
      </c>
    </row>
    <row r="392" spans="1:23" x14ac:dyDescent="0.25">
      <c r="A392" s="2">
        <v>46239</v>
      </c>
      <c r="B392" s="3" t="s">
        <v>207</v>
      </c>
      <c r="C392" s="3" t="s">
        <v>566</v>
      </c>
      <c r="D392" s="3" t="s">
        <v>274</v>
      </c>
      <c r="E392" s="3" t="s">
        <v>79</v>
      </c>
      <c r="F392" s="3" t="s">
        <v>147</v>
      </c>
      <c r="G392" s="4" t="s">
        <v>33</v>
      </c>
      <c r="H392" s="4">
        <v>12</v>
      </c>
      <c r="I392" s="5">
        <v>0.24853009259259259</v>
      </c>
      <c r="J392" s="5">
        <v>6.5937499999999996E-2</v>
      </c>
      <c r="K392" s="5">
        <f t="shared" si="12"/>
        <v>5.4947916666666661E-3</v>
      </c>
      <c r="L392" s="5">
        <v>2.7511574074074074E-2</v>
      </c>
      <c r="M392" s="6">
        <f t="shared" si="13"/>
        <v>0.11069715456619941</v>
      </c>
      <c r="N392" s="5">
        <v>5.1504629629629626E-3</v>
      </c>
      <c r="O392" s="5">
        <v>1.5277777777777777E-2</v>
      </c>
      <c r="P392" s="5"/>
      <c r="Q392" s="5">
        <v>3.2407407407407406E-3</v>
      </c>
      <c r="R392" s="5">
        <v>2.0949074074074073E-3</v>
      </c>
      <c r="S392" s="5"/>
      <c r="T392" s="5">
        <v>1.7361111111111112E-4</v>
      </c>
      <c r="U392" s="5">
        <v>9.3749999999999997E-4</v>
      </c>
      <c r="V392" s="5"/>
      <c r="W392" s="5"/>
    </row>
    <row r="393" spans="1:23" x14ac:dyDescent="0.25">
      <c r="A393" s="2">
        <v>46239</v>
      </c>
      <c r="B393" s="3" t="s">
        <v>614</v>
      </c>
      <c r="C393" s="3" t="s">
        <v>635</v>
      </c>
      <c r="D393" s="3" t="s">
        <v>601</v>
      </c>
      <c r="E393" s="3" t="s">
        <v>31</v>
      </c>
      <c r="F393" s="3" t="s">
        <v>105</v>
      </c>
      <c r="G393" s="4" t="s">
        <v>33</v>
      </c>
      <c r="H393" s="4">
        <v>13</v>
      </c>
      <c r="I393" s="5">
        <v>0.2442013888888889</v>
      </c>
      <c r="J393" s="5">
        <v>0.20396990740740742</v>
      </c>
      <c r="K393" s="5">
        <f t="shared" si="12"/>
        <v>1.5689992877492877E-2</v>
      </c>
      <c r="L393" s="5">
        <v>0.13475694444444444</v>
      </c>
      <c r="M393" s="6">
        <f t="shared" si="13"/>
        <v>0.55182710081046493</v>
      </c>
      <c r="N393" s="5"/>
      <c r="O393" s="5">
        <v>1.9699074074074074E-2</v>
      </c>
      <c r="P393" s="5"/>
      <c r="Q393" s="5"/>
      <c r="R393" s="5"/>
      <c r="S393" s="5"/>
      <c r="T393" s="5">
        <v>1.1307870370370371E-2</v>
      </c>
      <c r="U393" s="5">
        <v>3.3333333333333333E-2</v>
      </c>
      <c r="V393" s="5"/>
      <c r="W393" s="5">
        <v>7.0416666666666669E-2</v>
      </c>
    </row>
    <row r="394" spans="1:23" x14ac:dyDescent="0.25">
      <c r="A394" s="2">
        <v>46239</v>
      </c>
      <c r="B394" s="3" t="s">
        <v>96</v>
      </c>
      <c r="C394" s="3" t="s">
        <v>97</v>
      </c>
      <c r="D394" s="3" t="s">
        <v>78</v>
      </c>
      <c r="E394" s="3" t="s">
        <v>79</v>
      </c>
      <c r="F394" s="3" t="s">
        <v>80</v>
      </c>
      <c r="G394" s="4" t="s">
        <v>81</v>
      </c>
      <c r="H394" s="4">
        <v>0</v>
      </c>
      <c r="I394" s="5">
        <v>0.32347222222222222</v>
      </c>
      <c r="J394" s="5">
        <v>0</v>
      </c>
      <c r="K394" s="5">
        <f t="shared" si="12"/>
        <v>0</v>
      </c>
      <c r="L394" s="5">
        <v>0.20337962962962963</v>
      </c>
      <c r="M394" s="6">
        <f t="shared" si="13"/>
        <v>0.62873908687562619</v>
      </c>
      <c r="N394" s="5">
        <v>3.2060185185185185E-2</v>
      </c>
      <c r="O394" s="5">
        <v>7.6388888888888895E-2</v>
      </c>
      <c r="P394" s="5"/>
      <c r="Q394" s="5"/>
      <c r="R394" s="5"/>
      <c r="S394" s="5"/>
      <c r="T394" s="5">
        <v>1.273148148148148E-4</v>
      </c>
      <c r="U394" s="5"/>
      <c r="V394" s="5"/>
      <c r="W394" s="5">
        <v>9.4803240740740743E-2</v>
      </c>
    </row>
    <row r="395" spans="1:23" x14ac:dyDescent="0.25">
      <c r="A395" s="2">
        <v>46239</v>
      </c>
      <c r="B395" s="3" t="s">
        <v>180</v>
      </c>
      <c r="C395" s="3" t="s">
        <v>523</v>
      </c>
      <c r="D395" s="3" t="s">
        <v>146</v>
      </c>
      <c r="E395" s="3" t="s">
        <v>79</v>
      </c>
      <c r="F395" s="3" t="s">
        <v>147</v>
      </c>
      <c r="G395" s="4" t="s">
        <v>106</v>
      </c>
      <c r="H395" s="4">
        <v>17</v>
      </c>
      <c r="I395" s="5">
        <v>0.32966435185185183</v>
      </c>
      <c r="J395" s="5">
        <v>9.5844907407407406E-2</v>
      </c>
      <c r="K395" s="5">
        <f t="shared" si="12"/>
        <v>5.6379357298474942E-3</v>
      </c>
      <c r="L395" s="5">
        <v>5.4050925925925926E-2</v>
      </c>
      <c r="M395" s="6">
        <f t="shared" si="13"/>
        <v>0.16395744830249623</v>
      </c>
      <c r="N395" s="5">
        <v>4.6064814814814814E-3</v>
      </c>
      <c r="O395" s="5">
        <v>1.4363425925925925E-2</v>
      </c>
      <c r="P395" s="5"/>
      <c r="Q395" s="5">
        <v>1.892361111111111E-2</v>
      </c>
      <c r="R395" s="5"/>
      <c r="S395" s="5">
        <v>1.4039351851851851E-2</v>
      </c>
      <c r="T395" s="5">
        <v>2.3148148148148149E-4</v>
      </c>
      <c r="U395" s="5">
        <v>1.8634259259259259E-3</v>
      </c>
      <c r="V395" s="5"/>
      <c r="W395" s="5"/>
    </row>
    <row r="396" spans="1:23" x14ac:dyDescent="0.25">
      <c r="A396" s="2">
        <v>46239</v>
      </c>
      <c r="B396" s="3" t="s">
        <v>615</v>
      </c>
      <c r="C396" s="3" t="s">
        <v>636</v>
      </c>
      <c r="D396" s="3" t="s">
        <v>601</v>
      </c>
      <c r="E396" s="3" t="s">
        <v>31</v>
      </c>
      <c r="F396" s="3" t="s">
        <v>105</v>
      </c>
      <c r="G396" s="4" t="s">
        <v>33</v>
      </c>
      <c r="H396" s="4">
        <v>10</v>
      </c>
      <c r="I396" s="5">
        <v>0.21682870370370369</v>
      </c>
      <c r="J396" s="5">
        <v>0.13818287037037036</v>
      </c>
      <c r="K396" s="5">
        <f t="shared" si="12"/>
        <v>1.3818287037037035E-2</v>
      </c>
      <c r="L396" s="5">
        <v>0.15916666666666668</v>
      </c>
      <c r="M396" s="6">
        <f t="shared" si="13"/>
        <v>0.73406640333084239</v>
      </c>
      <c r="N396" s="5">
        <v>4.1435185185185186E-3</v>
      </c>
      <c r="O396" s="5">
        <v>1.7511574074074075E-2</v>
      </c>
      <c r="P396" s="5"/>
      <c r="Q396" s="5"/>
      <c r="R396" s="5"/>
      <c r="S396" s="5">
        <v>1.2650462962962962E-2</v>
      </c>
      <c r="T396" s="5">
        <v>9.2013888888888892E-3</v>
      </c>
      <c r="U396" s="5">
        <v>5.1273148148148151E-2</v>
      </c>
      <c r="V396" s="5"/>
      <c r="W396" s="5">
        <v>6.4386574074074068E-2</v>
      </c>
    </row>
    <row r="397" spans="1:23" x14ac:dyDescent="0.25">
      <c r="A397" s="2">
        <v>46239</v>
      </c>
      <c r="B397" s="3" t="s">
        <v>616</v>
      </c>
      <c r="C397" s="3" t="s">
        <v>637</v>
      </c>
      <c r="D397" s="3" t="s">
        <v>601</v>
      </c>
      <c r="E397" s="3" t="s">
        <v>31</v>
      </c>
      <c r="F397" s="3" t="s">
        <v>105</v>
      </c>
      <c r="G397" s="4" t="s">
        <v>33</v>
      </c>
      <c r="H397" s="4">
        <v>6</v>
      </c>
      <c r="I397" s="5">
        <v>0.20951388888888889</v>
      </c>
      <c r="J397" s="5">
        <v>9.8935185185185182E-2</v>
      </c>
      <c r="K397" s="5">
        <f t="shared" si="12"/>
        <v>1.6489197530864197E-2</v>
      </c>
      <c r="L397" s="5">
        <v>0.13599537037037038</v>
      </c>
      <c r="M397" s="6">
        <f t="shared" si="13"/>
        <v>0.64909954701137995</v>
      </c>
      <c r="N397" s="5">
        <v>4.6643518518518518E-3</v>
      </c>
      <c r="O397" s="5">
        <v>1.5231481481481481E-2</v>
      </c>
      <c r="P397" s="5"/>
      <c r="Q397" s="5"/>
      <c r="R397" s="5"/>
      <c r="S397" s="5">
        <v>1.4918981481481481E-2</v>
      </c>
      <c r="T397" s="5">
        <v>6.018518518518519E-4</v>
      </c>
      <c r="U397" s="5">
        <v>6.2986111111111118E-2</v>
      </c>
      <c r="V397" s="5"/>
      <c r="W397" s="5">
        <v>3.7592592592592594E-2</v>
      </c>
    </row>
    <row r="398" spans="1:23" x14ac:dyDescent="0.25">
      <c r="A398" s="2">
        <v>46239</v>
      </c>
      <c r="B398" s="3" t="s">
        <v>209</v>
      </c>
      <c r="C398" s="3" t="s">
        <v>567</v>
      </c>
      <c r="D398" s="3" t="s">
        <v>601</v>
      </c>
      <c r="E398" s="3" t="s">
        <v>31</v>
      </c>
      <c r="F398" s="3" t="s">
        <v>105</v>
      </c>
      <c r="G398" s="4" t="s">
        <v>33</v>
      </c>
      <c r="H398" s="4">
        <v>8</v>
      </c>
      <c r="I398" s="5">
        <v>0.24094907407407407</v>
      </c>
      <c r="J398" s="5">
        <v>0.18759259259259259</v>
      </c>
      <c r="K398" s="5">
        <f t="shared" si="12"/>
        <v>2.3449074074074074E-2</v>
      </c>
      <c r="L398" s="5">
        <v>0.10803240740740741</v>
      </c>
      <c r="M398" s="6">
        <f t="shared" si="13"/>
        <v>0.44836199442789898</v>
      </c>
      <c r="N398" s="5">
        <v>7.1643518518518514E-3</v>
      </c>
      <c r="O398" s="5">
        <v>8.1828703703703699E-3</v>
      </c>
      <c r="P398" s="5">
        <v>2.2280092592592591E-2</v>
      </c>
      <c r="Q398" s="5"/>
      <c r="R398" s="5"/>
      <c r="S398" s="5"/>
      <c r="T398" s="5">
        <v>7.013888888888889E-3</v>
      </c>
      <c r="U398" s="5">
        <v>6.33912037037037E-2</v>
      </c>
      <c r="V398" s="5"/>
      <c r="W398" s="5"/>
    </row>
    <row r="399" spans="1:23" x14ac:dyDescent="0.25">
      <c r="A399" s="2">
        <v>46239</v>
      </c>
      <c r="B399" s="3" t="s">
        <v>60</v>
      </c>
      <c r="C399" s="3" t="s">
        <v>510</v>
      </c>
      <c r="D399" s="3" t="s">
        <v>100</v>
      </c>
      <c r="E399" s="3" t="s">
        <v>31</v>
      </c>
      <c r="F399" s="3" t="s">
        <v>32</v>
      </c>
      <c r="G399" s="4" t="s">
        <v>33</v>
      </c>
      <c r="H399" s="4">
        <v>39</v>
      </c>
      <c r="I399" s="5">
        <v>0.26583333333333331</v>
      </c>
      <c r="J399" s="5">
        <v>0.25423611111111111</v>
      </c>
      <c r="K399" s="5">
        <f t="shared" si="12"/>
        <v>6.5188746438746437E-3</v>
      </c>
      <c r="L399" s="5">
        <v>3.1944444444444442E-2</v>
      </c>
      <c r="M399" s="6">
        <f t="shared" si="13"/>
        <v>0.12016718913270638</v>
      </c>
      <c r="N399" s="5">
        <v>1.8518518518518519E-3</v>
      </c>
      <c r="O399" s="5">
        <v>1.361111111111111E-2</v>
      </c>
      <c r="P399" s="5"/>
      <c r="Q399" s="5"/>
      <c r="R399" s="5"/>
      <c r="S399" s="5">
        <v>1.4317129629629629E-2</v>
      </c>
      <c r="T399" s="5">
        <v>1.273148148148148E-4</v>
      </c>
      <c r="U399" s="5">
        <v>2.0023148148148148E-3</v>
      </c>
      <c r="V399" s="5"/>
      <c r="W399" s="5"/>
    </row>
    <row r="400" spans="1:23" x14ac:dyDescent="0.25">
      <c r="A400" s="2">
        <v>46239</v>
      </c>
      <c r="B400" s="3" t="s">
        <v>132</v>
      </c>
      <c r="C400" s="3" t="s">
        <v>512</v>
      </c>
      <c r="D400" s="3" t="s">
        <v>104</v>
      </c>
      <c r="E400" s="3" t="s">
        <v>31</v>
      </c>
      <c r="F400" s="3" t="s">
        <v>105</v>
      </c>
      <c r="G400" s="4" t="s">
        <v>106</v>
      </c>
      <c r="H400" s="4">
        <v>14</v>
      </c>
      <c r="I400" s="5">
        <v>0.25219907407407405</v>
      </c>
      <c r="J400" s="5">
        <v>0.21025462962962962</v>
      </c>
      <c r="K400" s="5">
        <f t="shared" si="12"/>
        <v>1.501818783068783E-2</v>
      </c>
      <c r="L400" s="5">
        <v>7.0219907407407411E-2</v>
      </c>
      <c r="M400" s="6">
        <f t="shared" si="13"/>
        <v>0.27843047269389631</v>
      </c>
      <c r="N400" s="5">
        <v>4.0046296296296297E-3</v>
      </c>
      <c r="O400" s="5">
        <v>8.7962962962962968E-3</v>
      </c>
      <c r="P400" s="5">
        <v>1.545138888888889E-2</v>
      </c>
      <c r="Q400" s="5"/>
      <c r="R400" s="5"/>
      <c r="S400" s="5">
        <v>1.4548611111111111E-2</v>
      </c>
      <c r="T400" s="5">
        <v>1.0625000000000001E-2</v>
      </c>
      <c r="U400" s="5">
        <v>1.1481481481481481E-2</v>
      </c>
      <c r="V400" s="5"/>
      <c r="W400" s="5">
        <v>5.3125000000000004E-3</v>
      </c>
    </row>
    <row r="401" spans="1:23" x14ac:dyDescent="0.25">
      <c r="A401" s="2">
        <v>46239</v>
      </c>
      <c r="B401" s="3" t="s">
        <v>134</v>
      </c>
      <c r="C401" s="3" t="s">
        <v>560</v>
      </c>
      <c r="D401" s="3" t="s">
        <v>104</v>
      </c>
      <c r="E401" s="3" t="s">
        <v>31</v>
      </c>
      <c r="F401" s="3" t="s">
        <v>105</v>
      </c>
      <c r="G401" s="4" t="s">
        <v>106</v>
      </c>
      <c r="H401" s="4">
        <v>17</v>
      </c>
      <c r="I401" s="5">
        <v>0.26318287037037036</v>
      </c>
      <c r="J401" s="5">
        <v>0.24490740740740741</v>
      </c>
      <c r="K401" s="5">
        <f t="shared" si="12"/>
        <v>1.4406318082788671E-2</v>
      </c>
      <c r="L401" s="5">
        <v>6.0763888888888888E-2</v>
      </c>
      <c r="M401" s="6">
        <f t="shared" si="13"/>
        <v>0.23088086547341571</v>
      </c>
      <c r="N401" s="5">
        <v>1.6168981481481482E-2</v>
      </c>
      <c r="O401" s="5">
        <v>1.5104166666666667E-2</v>
      </c>
      <c r="P401" s="5">
        <v>3.1712962962962962E-3</v>
      </c>
      <c r="Q401" s="5"/>
      <c r="R401" s="5"/>
      <c r="S401" s="5">
        <v>1.1307870370370371E-2</v>
      </c>
      <c r="T401" s="5">
        <v>6.0185185185185185E-3</v>
      </c>
      <c r="U401" s="5">
        <v>5.5787037037037038E-3</v>
      </c>
      <c r="V401" s="5"/>
      <c r="W401" s="5">
        <v>3.4027777777777776E-3</v>
      </c>
    </row>
    <row r="402" spans="1:23" x14ac:dyDescent="0.25">
      <c r="A402" s="2">
        <v>46239</v>
      </c>
      <c r="B402" s="3" t="s">
        <v>211</v>
      </c>
      <c r="C402" s="3" t="s">
        <v>546</v>
      </c>
      <c r="D402" s="3" t="s">
        <v>104</v>
      </c>
      <c r="E402" s="3" t="s">
        <v>31</v>
      </c>
      <c r="F402" s="3" t="s">
        <v>105</v>
      </c>
      <c r="G402" s="4" t="s">
        <v>106</v>
      </c>
      <c r="H402" s="4">
        <v>9</v>
      </c>
      <c r="I402" s="5">
        <v>0.21635416666666665</v>
      </c>
      <c r="J402" s="5">
        <v>0.10956018518518519</v>
      </c>
      <c r="K402" s="5">
        <f t="shared" si="12"/>
        <v>1.2173353909465022E-2</v>
      </c>
      <c r="L402" s="5">
        <v>7.5543981481481476E-2</v>
      </c>
      <c r="M402" s="6">
        <f t="shared" si="13"/>
        <v>0.34916813780559569</v>
      </c>
      <c r="N402" s="5"/>
      <c r="O402" s="5">
        <v>7.4421296296296293E-3</v>
      </c>
      <c r="P402" s="5"/>
      <c r="Q402" s="5"/>
      <c r="R402" s="5"/>
      <c r="S402" s="5">
        <v>1.3773148148148149E-2</v>
      </c>
      <c r="T402" s="5">
        <v>1.9328703703703704E-3</v>
      </c>
      <c r="U402" s="5">
        <v>3.1481481481481482E-3</v>
      </c>
      <c r="V402" s="5"/>
      <c r="W402" s="5">
        <v>4.9247685185185186E-2</v>
      </c>
    </row>
    <row r="403" spans="1:23" x14ac:dyDescent="0.25">
      <c r="A403" s="2">
        <v>46239</v>
      </c>
      <c r="B403" s="3" t="s">
        <v>617</v>
      </c>
      <c r="C403" s="3" t="s">
        <v>638</v>
      </c>
      <c r="D403" s="3" t="s">
        <v>601</v>
      </c>
      <c r="E403" s="3" t="s">
        <v>31</v>
      </c>
      <c r="F403" s="3" t="s">
        <v>105</v>
      </c>
      <c r="G403" s="4" t="s">
        <v>33</v>
      </c>
      <c r="H403" s="4">
        <v>8</v>
      </c>
      <c r="I403" s="5">
        <v>0.25829861111111113</v>
      </c>
      <c r="J403" s="5">
        <v>0.21314814814814814</v>
      </c>
      <c r="K403" s="5">
        <f t="shared" si="12"/>
        <v>2.6643518518518518E-2</v>
      </c>
      <c r="L403" s="5">
        <v>0.12965277777777778</v>
      </c>
      <c r="M403" s="6">
        <f t="shared" si="13"/>
        <v>0.50194918671864497</v>
      </c>
      <c r="N403" s="5">
        <v>8.7037037037037031E-3</v>
      </c>
      <c r="O403" s="5">
        <v>1.5844907407407408E-2</v>
      </c>
      <c r="P403" s="5"/>
      <c r="Q403" s="5"/>
      <c r="R403" s="5"/>
      <c r="S403" s="5">
        <v>1.2800925925925926E-2</v>
      </c>
      <c r="T403" s="5">
        <v>6.5972222222222224E-4</v>
      </c>
      <c r="U403" s="5">
        <v>4.9560185185185186E-2</v>
      </c>
      <c r="V403" s="5"/>
      <c r="W403" s="5">
        <v>4.2083333333333334E-2</v>
      </c>
    </row>
    <row r="404" spans="1:23" x14ac:dyDescent="0.25">
      <c r="A404" s="2">
        <v>46239</v>
      </c>
      <c r="B404" s="3" t="s">
        <v>136</v>
      </c>
      <c r="C404" s="3" t="s">
        <v>561</v>
      </c>
      <c r="D404" s="3" t="s">
        <v>104</v>
      </c>
      <c r="E404" s="3" t="s">
        <v>31</v>
      </c>
      <c r="F404" s="3" t="s">
        <v>105</v>
      </c>
      <c r="G404" s="4" t="s">
        <v>106</v>
      </c>
      <c r="H404" s="4">
        <v>15</v>
      </c>
      <c r="I404" s="5">
        <v>0.26200231481481484</v>
      </c>
      <c r="J404" s="5">
        <v>0.24032407407407408</v>
      </c>
      <c r="K404" s="5">
        <f t="shared" si="12"/>
        <v>1.6021604938271605E-2</v>
      </c>
      <c r="L404" s="5">
        <v>8.324074074074074E-2</v>
      </c>
      <c r="M404" s="6">
        <f t="shared" si="13"/>
        <v>0.31770994389715951</v>
      </c>
      <c r="N404" s="5">
        <v>2.6157407407407405E-3</v>
      </c>
      <c r="O404" s="5">
        <v>1.6006944444444445E-2</v>
      </c>
      <c r="P404" s="5"/>
      <c r="Q404" s="5">
        <v>9.7685185185185184E-3</v>
      </c>
      <c r="R404" s="5"/>
      <c r="S404" s="5">
        <v>1.3900462962962963E-2</v>
      </c>
      <c r="T404" s="5">
        <v>1.6203703703703703E-4</v>
      </c>
      <c r="U404" s="5">
        <v>8.1018518518518516E-4</v>
      </c>
      <c r="V404" s="5"/>
      <c r="W404" s="5">
        <v>3.9976851851851854E-2</v>
      </c>
    </row>
    <row r="405" spans="1:23" x14ac:dyDescent="0.25">
      <c r="A405" s="2">
        <v>46239</v>
      </c>
      <c r="B405" s="3" t="s">
        <v>618</v>
      </c>
      <c r="C405" s="3" t="s">
        <v>639</v>
      </c>
      <c r="D405" s="3" t="s">
        <v>601</v>
      </c>
      <c r="E405" s="3" t="s">
        <v>31</v>
      </c>
      <c r="F405" s="3" t="s">
        <v>105</v>
      </c>
      <c r="G405" s="4" t="s">
        <v>33</v>
      </c>
      <c r="H405" s="4">
        <v>11</v>
      </c>
      <c r="I405" s="5">
        <v>0.23627314814814815</v>
      </c>
      <c r="J405" s="5">
        <v>0.16</v>
      </c>
      <c r="K405" s="5">
        <f t="shared" si="12"/>
        <v>1.4545454545454545E-2</v>
      </c>
      <c r="L405" s="5">
        <v>0.16394675925925925</v>
      </c>
      <c r="M405" s="6">
        <f t="shared" si="13"/>
        <v>0.69388654844714404</v>
      </c>
      <c r="N405" s="5">
        <v>4.1435185185185186E-3</v>
      </c>
      <c r="O405" s="5">
        <v>2.3969907407407409E-2</v>
      </c>
      <c r="P405" s="5"/>
      <c r="Q405" s="5"/>
      <c r="R405" s="5"/>
      <c r="S405" s="5">
        <v>1.7256944444444443E-2</v>
      </c>
      <c r="T405" s="5">
        <v>9.4560185185185181E-3</v>
      </c>
      <c r="U405" s="5">
        <v>9.1909722222222226E-2</v>
      </c>
      <c r="V405" s="5"/>
      <c r="W405" s="5">
        <v>1.7210648148148149E-2</v>
      </c>
    </row>
    <row r="406" spans="1:23" x14ac:dyDescent="0.25">
      <c r="A406" s="2">
        <v>46239</v>
      </c>
      <c r="B406" s="3" t="s">
        <v>501</v>
      </c>
      <c r="C406" s="3" t="s">
        <v>524</v>
      </c>
      <c r="D406" s="3" t="s">
        <v>274</v>
      </c>
      <c r="E406" s="3" t="s">
        <v>79</v>
      </c>
      <c r="F406" s="3" t="s">
        <v>147</v>
      </c>
      <c r="G406" s="4" t="s">
        <v>33</v>
      </c>
      <c r="H406" s="4">
        <v>26</v>
      </c>
      <c r="I406" s="5">
        <v>0.29920138888888886</v>
      </c>
      <c r="J406" s="5">
        <v>5.679398148148148E-2</v>
      </c>
      <c r="K406" s="5">
        <f t="shared" si="12"/>
        <v>2.184383903133903E-3</v>
      </c>
      <c r="L406" s="5">
        <v>4.1365740740740738E-2</v>
      </c>
      <c r="M406" s="6">
        <f t="shared" si="13"/>
        <v>0.1382538393098913</v>
      </c>
      <c r="N406" s="5">
        <v>5.9027777777777778E-4</v>
      </c>
      <c r="O406" s="5">
        <v>1.7569444444444443E-2</v>
      </c>
      <c r="P406" s="5"/>
      <c r="Q406" s="5">
        <v>6.7129629629629631E-3</v>
      </c>
      <c r="R406" s="5">
        <v>2.5694444444444445E-3</v>
      </c>
      <c r="S406" s="5">
        <v>1.3043981481481481E-2</v>
      </c>
      <c r="T406" s="5">
        <v>2.8935185185185184E-4</v>
      </c>
      <c r="U406" s="5">
        <v>1.3888888888888889E-4</v>
      </c>
      <c r="V406" s="5"/>
      <c r="W406" s="5"/>
    </row>
    <row r="407" spans="1:23" x14ac:dyDescent="0.25">
      <c r="A407" s="2">
        <v>46239</v>
      </c>
      <c r="B407" s="3" t="s">
        <v>213</v>
      </c>
      <c r="C407" s="3" t="s">
        <v>572</v>
      </c>
      <c r="D407" s="3" t="s">
        <v>601</v>
      </c>
      <c r="E407" s="3" t="s">
        <v>31</v>
      </c>
      <c r="F407" s="3" t="s">
        <v>105</v>
      </c>
      <c r="G407" s="4" t="s">
        <v>33</v>
      </c>
      <c r="H407" s="4">
        <v>20</v>
      </c>
      <c r="I407" s="5">
        <v>0.27886574074074072</v>
      </c>
      <c r="J407" s="5">
        <v>0.25626157407407407</v>
      </c>
      <c r="K407" s="5">
        <f t="shared" si="12"/>
        <v>1.2813078703703703E-2</v>
      </c>
      <c r="L407" s="5">
        <v>0.16875000000000001</v>
      </c>
      <c r="M407" s="6">
        <f t="shared" si="13"/>
        <v>0.60512990786087828</v>
      </c>
      <c r="N407" s="5">
        <v>1.1875E-2</v>
      </c>
      <c r="O407" s="5">
        <v>1.0937499999999999E-2</v>
      </c>
      <c r="P407" s="5"/>
      <c r="Q407" s="5">
        <v>1.7060185185185185E-2</v>
      </c>
      <c r="R407" s="5"/>
      <c r="S407" s="5">
        <v>1.7604166666666667E-2</v>
      </c>
      <c r="T407" s="5">
        <v>6.7939814814814816E-3</v>
      </c>
      <c r="U407" s="5">
        <v>4.0115740740740743E-2</v>
      </c>
      <c r="V407" s="5"/>
      <c r="W407" s="5">
        <v>6.4363425925925921E-2</v>
      </c>
    </row>
    <row r="408" spans="1:23" x14ac:dyDescent="0.25">
      <c r="A408" s="2">
        <v>46239</v>
      </c>
      <c r="B408" s="3" t="s">
        <v>215</v>
      </c>
      <c r="C408" s="3" t="s">
        <v>547</v>
      </c>
      <c r="D408" s="3" t="s">
        <v>601</v>
      </c>
      <c r="E408" s="3" t="s">
        <v>31</v>
      </c>
      <c r="F408" s="3" t="s">
        <v>105</v>
      </c>
      <c r="G408" s="4" t="s">
        <v>33</v>
      </c>
      <c r="H408" s="4">
        <v>9</v>
      </c>
      <c r="I408" s="5">
        <v>0.24224537037037036</v>
      </c>
      <c r="J408" s="5">
        <v>0.15520833333333334</v>
      </c>
      <c r="K408" s="5">
        <f t="shared" si="12"/>
        <v>1.7245370370370369E-2</v>
      </c>
      <c r="L408" s="5">
        <v>0.13464120370370369</v>
      </c>
      <c r="M408" s="6">
        <f t="shared" si="13"/>
        <v>0.55580506450071665</v>
      </c>
      <c r="N408" s="5">
        <v>7.5347222222222222E-3</v>
      </c>
      <c r="O408" s="5">
        <v>2.7025462962962963E-2</v>
      </c>
      <c r="P408" s="5"/>
      <c r="Q408" s="5"/>
      <c r="R408" s="5"/>
      <c r="S408" s="5">
        <v>2.7141203703703702E-2</v>
      </c>
      <c r="T408" s="5">
        <v>6.0416666666666665E-3</v>
      </c>
      <c r="U408" s="5">
        <v>5.5925925925925928E-2</v>
      </c>
      <c r="V408" s="5"/>
      <c r="W408" s="5">
        <v>1.0972222222222222E-2</v>
      </c>
    </row>
    <row r="409" spans="1:23" x14ac:dyDescent="0.25">
      <c r="A409" s="2">
        <v>46239</v>
      </c>
      <c r="B409" s="3" t="s">
        <v>619</v>
      </c>
      <c r="C409" s="3" t="s">
        <v>640</v>
      </c>
      <c r="D409" s="3" t="s">
        <v>601</v>
      </c>
      <c r="E409" s="3" t="s">
        <v>31</v>
      </c>
      <c r="F409" s="3" t="s">
        <v>105</v>
      </c>
      <c r="G409" s="4" t="s">
        <v>33</v>
      </c>
      <c r="H409" s="4">
        <v>9</v>
      </c>
      <c r="I409" s="5">
        <v>0.21211805555555555</v>
      </c>
      <c r="J409" s="5">
        <v>0.12883101851851853</v>
      </c>
      <c r="K409" s="5">
        <f t="shared" si="12"/>
        <v>1.4314557613168724E-2</v>
      </c>
      <c r="L409" s="5">
        <v>0.16091435185185185</v>
      </c>
      <c r="M409" s="6">
        <f t="shared" si="13"/>
        <v>0.75860751896109568</v>
      </c>
      <c r="N409" s="5"/>
      <c r="O409" s="5">
        <v>4.2708333333333331E-3</v>
      </c>
      <c r="P409" s="5"/>
      <c r="Q409" s="5"/>
      <c r="R409" s="5"/>
      <c r="S409" s="5">
        <v>2.2488425925925926E-2</v>
      </c>
      <c r="T409" s="5">
        <v>2.1759259259259258E-3</v>
      </c>
      <c r="U409" s="5">
        <v>2.3113425925925926E-2</v>
      </c>
      <c r="V409" s="5"/>
      <c r="W409" s="5">
        <v>0.10886574074074074</v>
      </c>
    </row>
    <row r="410" spans="1:23" x14ac:dyDescent="0.25">
      <c r="A410" s="2">
        <v>46239</v>
      </c>
      <c r="B410" s="3" t="s">
        <v>668</v>
      </c>
      <c r="C410" s="3" t="s">
        <v>669</v>
      </c>
      <c r="D410" s="3" t="s">
        <v>233</v>
      </c>
      <c r="E410" s="3" t="s">
        <v>31</v>
      </c>
      <c r="F410" s="3" t="s">
        <v>32</v>
      </c>
      <c r="G410" s="4" t="s">
        <v>106</v>
      </c>
      <c r="H410" s="4">
        <v>21</v>
      </c>
      <c r="I410" s="5">
        <v>0.22640046296296296</v>
      </c>
      <c r="J410" s="5">
        <v>9.0983796296296299E-2</v>
      </c>
      <c r="K410" s="5">
        <f t="shared" si="12"/>
        <v>4.3325617283950617E-3</v>
      </c>
      <c r="L410" s="5">
        <v>7.946759259259259E-2</v>
      </c>
      <c r="M410" s="6">
        <f t="shared" si="13"/>
        <v>0.35100454986963858</v>
      </c>
      <c r="N410" s="5">
        <v>2.1990740740740742E-3</v>
      </c>
      <c r="O410" s="5">
        <v>6.7824074074074071E-3</v>
      </c>
      <c r="P410" s="5"/>
      <c r="Q410" s="5">
        <v>9.479166666666667E-3</v>
      </c>
      <c r="R410" s="5"/>
      <c r="S410" s="5">
        <v>1.3113425925925926E-2</v>
      </c>
      <c r="T410" s="5">
        <v>1.1759259259259259E-2</v>
      </c>
      <c r="U410" s="5">
        <v>3.3796296296296296E-3</v>
      </c>
      <c r="V410" s="5"/>
      <c r="W410" s="5">
        <v>3.2743055555555553E-2</v>
      </c>
    </row>
    <row r="411" spans="1:23" x14ac:dyDescent="0.25">
      <c r="A411" s="2">
        <v>46239</v>
      </c>
      <c r="B411" s="3" t="s">
        <v>744</v>
      </c>
      <c r="C411" s="3" t="s">
        <v>670</v>
      </c>
      <c r="D411" s="3" t="s">
        <v>100</v>
      </c>
      <c r="E411" s="3" t="s">
        <v>31</v>
      </c>
      <c r="F411" s="3" t="s">
        <v>32</v>
      </c>
      <c r="G411" s="4" t="s">
        <v>33</v>
      </c>
      <c r="H411" s="4">
        <v>27</v>
      </c>
      <c r="I411" s="5">
        <v>0.26175925925925925</v>
      </c>
      <c r="J411" s="5">
        <v>0.20034722222222223</v>
      </c>
      <c r="K411" s="5">
        <f t="shared" si="12"/>
        <v>7.4202674897119346E-3</v>
      </c>
      <c r="L411" s="5">
        <v>5.859953703703704E-2</v>
      </c>
      <c r="M411" s="6">
        <f t="shared" si="13"/>
        <v>0.22386805801202692</v>
      </c>
      <c r="N411" s="5">
        <v>2.2754629629629628E-2</v>
      </c>
      <c r="O411" s="5">
        <v>1.4409722222222223E-2</v>
      </c>
      <c r="P411" s="5"/>
      <c r="Q411" s="5"/>
      <c r="R411" s="5"/>
      <c r="S411" s="5">
        <v>1.3993055555555555E-2</v>
      </c>
      <c r="T411" s="5">
        <v>3.8194444444444446E-4</v>
      </c>
      <c r="U411" s="5">
        <v>7.037037037037037E-3</v>
      </c>
      <c r="V411" s="5"/>
      <c r="W411" s="5"/>
    </row>
    <row r="412" spans="1:23" x14ac:dyDescent="0.25">
      <c r="A412" s="2">
        <v>46239</v>
      </c>
      <c r="B412" s="3" t="s">
        <v>219</v>
      </c>
      <c r="C412" s="3" t="s">
        <v>548</v>
      </c>
      <c r="D412" s="3" t="s">
        <v>104</v>
      </c>
      <c r="E412" s="3" t="s">
        <v>31</v>
      </c>
      <c r="F412" s="3" t="s">
        <v>105</v>
      </c>
      <c r="G412" s="4" t="s">
        <v>106</v>
      </c>
      <c r="H412" s="4">
        <v>9</v>
      </c>
      <c r="I412" s="5">
        <v>0.1922800925925926</v>
      </c>
      <c r="J412" s="5">
        <v>9.6539351851851848E-2</v>
      </c>
      <c r="K412" s="5">
        <f t="shared" si="12"/>
        <v>1.0726594650205762E-2</v>
      </c>
      <c r="L412" s="5">
        <v>9.5289351851851847E-2</v>
      </c>
      <c r="M412" s="6">
        <f t="shared" si="13"/>
        <v>0.49557575392764697</v>
      </c>
      <c r="N412" s="5">
        <v>1.0844907407407407E-2</v>
      </c>
      <c r="O412" s="5">
        <v>1.1585648148148149E-2</v>
      </c>
      <c r="P412" s="5">
        <v>3.5763888888888889E-3</v>
      </c>
      <c r="Q412" s="5"/>
      <c r="R412" s="5"/>
      <c r="S412" s="5">
        <v>1.7407407407407406E-2</v>
      </c>
      <c r="T412" s="5">
        <v>2.2685185185185187E-3</v>
      </c>
      <c r="U412" s="5"/>
      <c r="V412" s="5"/>
      <c r="W412" s="5">
        <v>4.9606481481481481E-2</v>
      </c>
    </row>
    <row r="413" spans="1:23" x14ac:dyDescent="0.25">
      <c r="A413" s="2">
        <v>46239</v>
      </c>
      <c r="B413" s="3" t="s">
        <v>305</v>
      </c>
      <c r="C413" s="3" t="s">
        <v>306</v>
      </c>
      <c r="D413" s="3" t="s">
        <v>100</v>
      </c>
      <c r="E413" s="3" t="s">
        <v>31</v>
      </c>
      <c r="F413" s="3" t="s">
        <v>32</v>
      </c>
      <c r="G413" s="4" t="s">
        <v>33</v>
      </c>
      <c r="H413" s="4">
        <v>46</v>
      </c>
      <c r="I413" s="5">
        <v>0.26266203703703705</v>
      </c>
      <c r="J413" s="5">
        <v>0.27462962962962961</v>
      </c>
      <c r="K413" s="5">
        <f t="shared" si="12"/>
        <v>5.9702093397745572E-3</v>
      </c>
      <c r="L413" s="5">
        <v>4.2604166666666665E-2</v>
      </c>
      <c r="M413" s="6">
        <f t="shared" si="13"/>
        <v>0.1622014629417467</v>
      </c>
      <c r="N413" s="5">
        <v>9.7453703703703695E-3</v>
      </c>
      <c r="O413" s="5">
        <v>1.638888888888889E-2</v>
      </c>
      <c r="P413" s="5"/>
      <c r="Q413" s="5"/>
      <c r="R413" s="5"/>
      <c r="S413" s="5">
        <v>1.6099537037037037E-2</v>
      </c>
      <c r="T413" s="5">
        <v>3.7037037037037035E-4</v>
      </c>
      <c r="U413" s="5"/>
      <c r="V413" s="5"/>
      <c r="W413" s="5"/>
    </row>
    <row r="414" spans="1:23" x14ac:dyDescent="0.25">
      <c r="A414" s="2">
        <v>46239</v>
      </c>
      <c r="B414" s="3" t="s">
        <v>620</v>
      </c>
      <c r="C414" s="3" t="s">
        <v>641</v>
      </c>
      <c r="D414" s="3" t="s">
        <v>601</v>
      </c>
      <c r="E414" s="3" t="s">
        <v>31</v>
      </c>
      <c r="F414" s="3" t="s">
        <v>105</v>
      </c>
      <c r="G414" s="4" t="s">
        <v>33</v>
      </c>
      <c r="H414" s="4">
        <v>12</v>
      </c>
      <c r="I414" s="5">
        <v>0.22755787037037037</v>
      </c>
      <c r="J414" s="5">
        <v>0.16149305555555554</v>
      </c>
      <c r="K414" s="5">
        <f t="shared" si="12"/>
        <v>1.3457754629629629E-2</v>
      </c>
      <c r="L414" s="5">
        <v>0.15979166666666667</v>
      </c>
      <c r="M414" s="6">
        <f t="shared" si="13"/>
        <v>0.7022023294847668</v>
      </c>
      <c r="N414" s="5">
        <v>7.0254629629629634E-3</v>
      </c>
      <c r="O414" s="5">
        <v>1.7453703703703704E-2</v>
      </c>
      <c r="P414" s="5"/>
      <c r="Q414" s="5"/>
      <c r="R414" s="5"/>
      <c r="S414" s="5">
        <v>1.4699074074074074E-3</v>
      </c>
      <c r="T414" s="5">
        <v>4.5787037037037036E-2</v>
      </c>
      <c r="U414" s="5">
        <v>3.7256944444444447E-2</v>
      </c>
      <c r="V414" s="5"/>
      <c r="W414" s="5">
        <v>5.0798611111111114E-2</v>
      </c>
    </row>
    <row r="415" spans="1:23" x14ac:dyDescent="0.25">
      <c r="A415" s="2">
        <v>46239</v>
      </c>
      <c r="B415" s="3" t="s">
        <v>138</v>
      </c>
      <c r="C415" s="3" t="s">
        <v>556</v>
      </c>
      <c r="D415" s="3" t="s">
        <v>104</v>
      </c>
      <c r="E415" s="3" t="s">
        <v>31</v>
      </c>
      <c r="F415" s="3" t="s">
        <v>105</v>
      </c>
      <c r="G415" s="4" t="s">
        <v>106</v>
      </c>
      <c r="H415" s="4">
        <v>22</v>
      </c>
      <c r="I415" s="5">
        <v>0.24997685185185184</v>
      </c>
      <c r="J415" s="5">
        <v>0.27988425925925925</v>
      </c>
      <c r="K415" s="5">
        <f t="shared" si="12"/>
        <v>1.2722011784511784E-2</v>
      </c>
      <c r="L415" s="5">
        <v>6.4861111111111105E-2</v>
      </c>
      <c r="M415" s="6">
        <f t="shared" si="13"/>
        <v>0.25946846930271322</v>
      </c>
      <c r="N415" s="5">
        <v>2.0694444444444446E-2</v>
      </c>
      <c r="O415" s="5">
        <v>8.4143518518518517E-3</v>
      </c>
      <c r="P415" s="5"/>
      <c r="Q415" s="5"/>
      <c r="R415" s="5">
        <v>1.0185185185185186E-2</v>
      </c>
      <c r="S415" s="5">
        <v>1.357638888888889E-2</v>
      </c>
      <c r="T415" s="5">
        <v>9.0624999999999994E-3</v>
      </c>
      <c r="U415" s="5">
        <v>5.6712962962962967E-4</v>
      </c>
      <c r="V415" s="5"/>
      <c r="W415" s="5">
        <v>2.3611111111111111E-3</v>
      </c>
    </row>
    <row r="416" spans="1:23" x14ac:dyDescent="0.25">
      <c r="A416" s="2">
        <v>46239</v>
      </c>
      <c r="B416" s="3" t="s">
        <v>276</v>
      </c>
      <c r="C416" s="3" t="s">
        <v>532</v>
      </c>
      <c r="D416" s="3" t="s">
        <v>233</v>
      </c>
      <c r="E416" s="3" t="s">
        <v>31</v>
      </c>
      <c r="F416" s="3" t="s">
        <v>32</v>
      </c>
      <c r="G416" s="4" t="s">
        <v>106</v>
      </c>
      <c r="H416" s="4">
        <v>26</v>
      </c>
      <c r="I416" s="5">
        <v>0.24767361111111111</v>
      </c>
      <c r="J416" s="5">
        <v>8.835648148148148E-2</v>
      </c>
      <c r="K416" s="5">
        <f t="shared" si="12"/>
        <v>3.3983262108262108E-3</v>
      </c>
      <c r="L416" s="5">
        <v>9.2175925925925925E-2</v>
      </c>
      <c r="M416" s="6">
        <f t="shared" si="13"/>
        <v>0.37216692368802279</v>
      </c>
      <c r="N416" s="5">
        <v>9.4560185185185181E-3</v>
      </c>
      <c r="O416" s="5">
        <v>8.1250000000000003E-3</v>
      </c>
      <c r="P416" s="5"/>
      <c r="Q416" s="5"/>
      <c r="R416" s="5"/>
      <c r="S416" s="5">
        <v>1.1261574074074075E-2</v>
      </c>
      <c r="T416" s="5">
        <v>2.1122685185185185E-2</v>
      </c>
      <c r="U416" s="5"/>
      <c r="V416" s="5"/>
      <c r="W416" s="5">
        <v>4.221064814814815E-2</v>
      </c>
    </row>
    <row r="417" spans="1:23" x14ac:dyDescent="0.25">
      <c r="A417" s="2">
        <v>46239</v>
      </c>
      <c r="B417" s="3" t="s">
        <v>278</v>
      </c>
      <c r="C417" s="3" t="s">
        <v>533</v>
      </c>
      <c r="D417" s="3" t="s">
        <v>233</v>
      </c>
      <c r="E417" s="3" t="s">
        <v>31</v>
      </c>
      <c r="F417" s="3" t="s">
        <v>32</v>
      </c>
      <c r="G417" s="4" t="s">
        <v>106</v>
      </c>
      <c r="H417" s="4">
        <v>24</v>
      </c>
      <c r="I417" s="5">
        <v>0.26526620370370368</v>
      </c>
      <c r="J417" s="5">
        <v>0.15878472222222223</v>
      </c>
      <c r="K417" s="5">
        <f t="shared" si="12"/>
        <v>6.6160300925925926E-3</v>
      </c>
      <c r="L417" s="5">
        <v>3.6249999999999998E-2</v>
      </c>
      <c r="M417" s="6">
        <f t="shared" si="13"/>
        <v>0.13665517692744011</v>
      </c>
      <c r="N417" s="5">
        <v>3.8078703703703703E-3</v>
      </c>
      <c r="O417" s="5">
        <v>1.4525462962962962E-2</v>
      </c>
      <c r="P417" s="5"/>
      <c r="Q417" s="5">
        <v>1.8287037037037037E-3</v>
      </c>
      <c r="R417" s="5"/>
      <c r="S417" s="5">
        <v>1.4722222222222222E-2</v>
      </c>
      <c r="T417" s="5">
        <v>1.3657407407407407E-3</v>
      </c>
      <c r="U417" s="5"/>
      <c r="V417" s="5"/>
      <c r="W417" s="5"/>
    </row>
    <row r="418" spans="1:23" x14ac:dyDescent="0.25">
      <c r="A418" s="2">
        <v>46239</v>
      </c>
      <c r="B418" s="3" t="s">
        <v>313</v>
      </c>
      <c r="C418" s="3" t="s">
        <v>511</v>
      </c>
      <c r="D418" s="3" t="s">
        <v>78</v>
      </c>
      <c r="E418" s="3" t="s">
        <v>79</v>
      </c>
      <c r="F418" s="3" t="s">
        <v>80</v>
      </c>
      <c r="G418" s="4" t="s">
        <v>81</v>
      </c>
      <c r="H418" s="4">
        <v>6</v>
      </c>
      <c r="I418" s="5">
        <v>0.23947916666666666</v>
      </c>
      <c r="J418" s="5">
        <v>9.479166666666667E-3</v>
      </c>
      <c r="K418" s="5">
        <f t="shared" si="12"/>
        <v>1.5798611111111111E-3</v>
      </c>
      <c r="L418" s="5">
        <v>2.2893518518518518E-2</v>
      </c>
      <c r="M418" s="6">
        <f t="shared" si="13"/>
        <v>9.5597119520564502E-2</v>
      </c>
      <c r="N418" s="5"/>
      <c r="O418" s="5">
        <v>1.8217592592592594E-2</v>
      </c>
      <c r="P418" s="5"/>
      <c r="Q418" s="5"/>
      <c r="R418" s="5"/>
      <c r="S418" s="5">
        <v>3.6689814814814814E-3</v>
      </c>
      <c r="T418" s="5">
        <v>6.9444444444444444E-5</v>
      </c>
      <c r="U418" s="5">
        <v>9.2592592592592596E-4</v>
      </c>
      <c r="V418" s="5"/>
      <c r="W418" s="5"/>
    </row>
    <row r="419" spans="1:23" x14ac:dyDescent="0.25">
      <c r="A419" s="2">
        <v>46239</v>
      </c>
      <c r="B419" s="3" t="s">
        <v>673</v>
      </c>
      <c r="C419" s="3" t="s">
        <v>674</v>
      </c>
      <c r="D419" s="3" t="s">
        <v>104</v>
      </c>
      <c r="E419" s="3" t="s">
        <v>31</v>
      </c>
      <c r="F419" s="3" t="s">
        <v>105</v>
      </c>
      <c r="G419" s="4" t="s">
        <v>106</v>
      </c>
      <c r="H419" s="4">
        <v>11</v>
      </c>
      <c r="I419" s="5">
        <v>0.25600694444444444</v>
      </c>
      <c r="J419" s="5">
        <v>0.18481481481481482</v>
      </c>
      <c r="K419" s="5">
        <f t="shared" si="12"/>
        <v>1.6801346801346803E-2</v>
      </c>
      <c r="L419" s="5">
        <v>0.11967592592592592</v>
      </c>
      <c r="M419" s="6">
        <f t="shared" si="13"/>
        <v>0.46747140467471404</v>
      </c>
      <c r="N419" s="5">
        <v>5.3587962962962964E-3</v>
      </c>
      <c r="O419" s="5">
        <v>1.5636574074074074E-2</v>
      </c>
      <c r="P419" s="5"/>
      <c r="Q419" s="5"/>
      <c r="R419" s="5"/>
      <c r="S419" s="5">
        <v>1.6157407407407409E-2</v>
      </c>
      <c r="T419" s="5">
        <v>4.6296296296296294E-5</v>
      </c>
      <c r="U419" s="5">
        <v>1.273148148148148E-4</v>
      </c>
      <c r="V419" s="5"/>
      <c r="W419" s="5">
        <v>8.2349537037037041E-2</v>
      </c>
    </row>
    <row r="420" spans="1:23" x14ac:dyDescent="0.25">
      <c r="A420" s="2">
        <v>46239</v>
      </c>
      <c r="B420" s="3" t="s">
        <v>225</v>
      </c>
      <c r="C420" s="3" t="s">
        <v>549</v>
      </c>
      <c r="D420" s="3" t="s">
        <v>601</v>
      </c>
      <c r="E420" s="3" t="s">
        <v>31</v>
      </c>
      <c r="F420" s="3" t="s">
        <v>105</v>
      </c>
      <c r="G420" s="4" t="s">
        <v>33</v>
      </c>
      <c r="H420" s="4">
        <v>9</v>
      </c>
      <c r="I420" s="5">
        <v>0.22325231481481481</v>
      </c>
      <c r="J420" s="5">
        <v>0.20053240740740741</v>
      </c>
      <c r="K420" s="5">
        <f t="shared" si="12"/>
        <v>2.2281378600823045E-2</v>
      </c>
      <c r="L420" s="5">
        <v>7.4988425925925931E-2</v>
      </c>
      <c r="M420" s="6">
        <f t="shared" si="13"/>
        <v>0.33589092228731404</v>
      </c>
      <c r="N420" s="5">
        <v>4.2708333333333331E-3</v>
      </c>
      <c r="O420" s="5">
        <v>6.1342592592592594E-3</v>
      </c>
      <c r="P420" s="5"/>
      <c r="Q420" s="5"/>
      <c r="R420" s="5"/>
      <c r="S420" s="5">
        <v>1.3506944444444445E-2</v>
      </c>
      <c r="T420" s="5">
        <v>1.3888888888888889E-4</v>
      </c>
      <c r="U420" s="5">
        <v>8.564814814814815E-3</v>
      </c>
      <c r="V420" s="5"/>
      <c r="W420" s="5">
        <v>4.234953703703704E-2</v>
      </c>
    </row>
    <row r="421" spans="1:23" x14ac:dyDescent="0.25">
      <c r="A421" s="2">
        <v>46239</v>
      </c>
      <c r="B421" s="3" t="s">
        <v>70</v>
      </c>
      <c r="C421" s="3" t="s">
        <v>71</v>
      </c>
      <c r="D421" s="3" t="s">
        <v>78</v>
      </c>
      <c r="E421" s="3" t="s">
        <v>79</v>
      </c>
      <c r="F421" s="3" t="s">
        <v>80</v>
      </c>
      <c r="G421" s="4" t="s">
        <v>33</v>
      </c>
      <c r="H421" s="4">
        <v>0</v>
      </c>
      <c r="I421" s="5">
        <v>0.34046296296296297</v>
      </c>
      <c r="J421" s="5">
        <v>0</v>
      </c>
      <c r="K421" s="5">
        <f t="shared" si="12"/>
        <v>0</v>
      </c>
      <c r="L421" s="5">
        <v>0.1315162037037037</v>
      </c>
      <c r="M421" s="6">
        <f t="shared" si="13"/>
        <v>0.38628637476203426</v>
      </c>
      <c r="N421" s="5"/>
      <c r="O421" s="5">
        <v>4.297453703703704E-2</v>
      </c>
      <c r="P421" s="5"/>
      <c r="Q421" s="5"/>
      <c r="R421" s="5"/>
      <c r="S421" s="5">
        <v>1.7638888888888888E-2</v>
      </c>
      <c r="T421" s="5">
        <v>5.5185185185185184E-2</v>
      </c>
      <c r="U421" s="5">
        <v>1.5682870370370371E-2</v>
      </c>
      <c r="V421" s="5"/>
      <c r="W421" s="5"/>
    </row>
    <row r="422" spans="1:23" x14ac:dyDescent="0.25">
      <c r="A422" s="2">
        <v>46239</v>
      </c>
      <c r="B422" s="3" t="s">
        <v>280</v>
      </c>
      <c r="C422" s="3" t="s">
        <v>534</v>
      </c>
      <c r="D422" s="3" t="s">
        <v>233</v>
      </c>
      <c r="E422" s="3" t="s">
        <v>31</v>
      </c>
      <c r="F422" s="3" t="s">
        <v>32</v>
      </c>
      <c r="G422" s="4" t="s">
        <v>106</v>
      </c>
      <c r="H422" s="4">
        <v>39</v>
      </c>
      <c r="I422" s="5">
        <v>0.25849537037037035</v>
      </c>
      <c r="J422" s="5">
        <v>0.13907407407407407</v>
      </c>
      <c r="K422" s="5">
        <f t="shared" si="12"/>
        <v>3.5660018993352327E-3</v>
      </c>
      <c r="L422" s="5">
        <v>3.667824074074074E-2</v>
      </c>
      <c r="M422" s="6">
        <f t="shared" si="13"/>
        <v>0.14189128682725891</v>
      </c>
      <c r="N422" s="5">
        <v>2.3611111111111111E-3</v>
      </c>
      <c r="O422" s="5">
        <v>1.4513888888888889E-2</v>
      </c>
      <c r="P422" s="5"/>
      <c r="Q422" s="5"/>
      <c r="R422" s="5"/>
      <c r="S422" s="5">
        <v>1.4849537037037038E-2</v>
      </c>
      <c r="T422" s="5">
        <v>4.0509259259259258E-4</v>
      </c>
      <c r="U422" s="5"/>
      <c r="V422" s="5"/>
      <c r="W422" s="5">
        <v>4.5486111111111109E-3</v>
      </c>
    </row>
    <row r="423" spans="1:23" x14ac:dyDescent="0.25">
      <c r="A423" s="2">
        <v>46239</v>
      </c>
      <c r="B423" s="3" t="s">
        <v>299</v>
      </c>
      <c r="C423" s="3" t="s">
        <v>571</v>
      </c>
      <c r="D423" s="3" t="s">
        <v>104</v>
      </c>
      <c r="E423" s="3" t="s">
        <v>31</v>
      </c>
      <c r="F423" s="3" t="s">
        <v>105</v>
      </c>
      <c r="G423" s="4" t="s">
        <v>106</v>
      </c>
      <c r="H423" s="4">
        <v>15</v>
      </c>
      <c r="I423" s="5">
        <v>0.26222222222222225</v>
      </c>
      <c r="J423" s="5">
        <v>0.25929398148148147</v>
      </c>
      <c r="K423" s="5">
        <f t="shared" si="12"/>
        <v>1.7286265432098765E-2</v>
      </c>
      <c r="L423" s="5">
        <v>7.9629629629629634E-2</v>
      </c>
      <c r="M423" s="6">
        <f t="shared" si="13"/>
        <v>0.3036723163841808</v>
      </c>
      <c r="N423" s="5">
        <v>1.8402777777777777E-3</v>
      </c>
      <c r="O423" s="5">
        <v>1.425925925925926E-2</v>
      </c>
      <c r="P423" s="5"/>
      <c r="Q423" s="5"/>
      <c r="R423" s="5"/>
      <c r="S423" s="5">
        <v>1.4826388888888889E-2</v>
      </c>
      <c r="T423" s="5">
        <v>1.273148148148148E-4</v>
      </c>
      <c r="U423" s="5">
        <v>2.1238425925925924E-2</v>
      </c>
      <c r="V423" s="5"/>
      <c r="W423" s="5">
        <v>2.7337962962962963E-2</v>
      </c>
    </row>
    <row r="424" spans="1:23" x14ac:dyDescent="0.25">
      <c r="A424" s="2">
        <v>46239</v>
      </c>
      <c r="B424" s="3" t="s">
        <v>227</v>
      </c>
      <c r="C424" s="3" t="s">
        <v>557</v>
      </c>
      <c r="D424" s="3" t="s">
        <v>146</v>
      </c>
      <c r="E424" s="3" t="s">
        <v>79</v>
      </c>
      <c r="F424" s="3" t="s">
        <v>147</v>
      </c>
      <c r="G424" s="4" t="s">
        <v>106</v>
      </c>
      <c r="H424" s="4">
        <v>11</v>
      </c>
      <c r="I424" s="5">
        <v>0.26290509259259259</v>
      </c>
      <c r="J424" s="5">
        <v>8.0810185185185179E-2</v>
      </c>
      <c r="K424" s="5">
        <f t="shared" si="12"/>
        <v>7.3463804713804707E-3</v>
      </c>
      <c r="L424" s="5">
        <v>3.5648148148148151E-2</v>
      </c>
      <c r="M424" s="6">
        <f t="shared" si="13"/>
        <v>0.13559322033898305</v>
      </c>
      <c r="N424" s="5">
        <v>6.9097222222222225E-3</v>
      </c>
      <c r="O424" s="5">
        <v>6.7939814814814816E-3</v>
      </c>
      <c r="P424" s="5">
        <v>1.1574074074074073E-5</v>
      </c>
      <c r="Q424" s="5">
        <v>3.7847222222222223E-3</v>
      </c>
      <c r="R424" s="5">
        <v>3.4027777777777776E-3</v>
      </c>
      <c r="S424" s="5">
        <v>1.3854166666666667E-2</v>
      </c>
      <c r="T424" s="5">
        <v>1.1574074074074075E-4</v>
      </c>
      <c r="U424" s="5">
        <v>7.1759259259259259E-4</v>
      </c>
      <c r="V424" s="5"/>
      <c r="W424" s="5"/>
    </row>
    <row r="425" spans="1:23" x14ac:dyDescent="0.25">
      <c r="A425" s="2">
        <v>46239</v>
      </c>
      <c r="B425" s="3" t="s">
        <v>282</v>
      </c>
      <c r="C425" s="3" t="s">
        <v>535</v>
      </c>
      <c r="D425" s="3" t="s">
        <v>233</v>
      </c>
      <c r="E425" s="3" t="s">
        <v>31</v>
      </c>
      <c r="F425" s="3" t="s">
        <v>32</v>
      </c>
      <c r="G425" s="4" t="s">
        <v>106</v>
      </c>
      <c r="H425" s="4">
        <v>30</v>
      </c>
      <c r="I425" s="5">
        <v>0.23754629629629628</v>
      </c>
      <c r="J425" s="5">
        <v>6.267361111111111E-2</v>
      </c>
      <c r="K425" s="5">
        <f t="shared" si="12"/>
        <v>2.0891203703703705E-3</v>
      </c>
      <c r="L425" s="5">
        <v>8.1215277777777775E-2</v>
      </c>
      <c r="M425" s="6">
        <f t="shared" si="13"/>
        <v>0.34189241863184566</v>
      </c>
      <c r="N425" s="5">
        <v>5.2893518518518515E-3</v>
      </c>
      <c r="O425" s="5">
        <v>1.4687499999999999E-2</v>
      </c>
      <c r="P425" s="5"/>
      <c r="Q425" s="5"/>
      <c r="R425" s="5"/>
      <c r="S425" s="5">
        <v>1.5578703703703704E-2</v>
      </c>
      <c r="T425" s="5">
        <v>3.5648148148148149E-3</v>
      </c>
      <c r="U425" s="5"/>
      <c r="V425" s="5"/>
      <c r="W425" s="5">
        <v>4.2094907407407407E-2</v>
      </c>
    </row>
    <row r="426" spans="1:23" x14ac:dyDescent="0.25">
      <c r="A426" s="2">
        <v>46239</v>
      </c>
      <c r="B426" s="3" t="s">
        <v>675</v>
      </c>
      <c r="C426" s="3" t="s">
        <v>676</v>
      </c>
      <c r="D426" s="3" t="s">
        <v>104</v>
      </c>
      <c r="E426" s="3" t="s">
        <v>31</v>
      </c>
      <c r="F426" s="3" t="s">
        <v>105</v>
      </c>
      <c r="G426" s="4" t="s">
        <v>106</v>
      </c>
      <c r="H426" s="4">
        <v>10</v>
      </c>
      <c r="I426" s="5">
        <v>0.25899305555555557</v>
      </c>
      <c r="J426" s="5">
        <v>0.26458333333333334</v>
      </c>
      <c r="K426" s="5">
        <f t="shared" si="12"/>
        <v>2.6458333333333334E-2</v>
      </c>
      <c r="L426" s="5">
        <v>4.9733796296296297E-2</v>
      </c>
      <c r="M426" s="6">
        <f t="shared" si="13"/>
        <v>0.19202752826562988</v>
      </c>
      <c r="N426" s="5"/>
      <c r="O426" s="5">
        <v>1.480324074074074E-2</v>
      </c>
      <c r="P426" s="5"/>
      <c r="Q426" s="5"/>
      <c r="R426" s="5"/>
      <c r="S426" s="5">
        <v>1.3877314814814815E-2</v>
      </c>
      <c r="T426" s="5">
        <v>6.7013888888888887E-3</v>
      </c>
      <c r="U426" s="5"/>
      <c r="V426" s="5"/>
      <c r="W426" s="5">
        <v>1.4351851851851852E-2</v>
      </c>
    </row>
    <row r="427" spans="1:23" x14ac:dyDescent="0.25">
      <c r="A427" s="2">
        <v>46239</v>
      </c>
      <c r="B427" s="3" t="s">
        <v>677</v>
      </c>
      <c r="C427" s="3" t="s">
        <v>678</v>
      </c>
      <c r="D427" s="3" t="s">
        <v>274</v>
      </c>
      <c r="E427" s="3" t="s">
        <v>79</v>
      </c>
      <c r="F427" s="3" t="s">
        <v>147</v>
      </c>
      <c r="G427" s="4" t="s">
        <v>33</v>
      </c>
      <c r="H427" s="4">
        <v>18</v>
      </c>
      <c r="I427" s="5">
        <v>0.26020833333333332</v>
      </c>
      <c r="J427" s="5">
        <v>7.6574074074074072E-2</v>
      </c>
      <c r="K427" s="5">
        <f t="shared" si="12"/>
        <v>4.2541152263374481E-3</v>
      </c>
      <c r="L427" s="5">
        <v>4.4652777777777777E-2</v>
      </c>
      <c r="M427" s="6">
        <f t="shared" si="13"/>
        <v>0.17160394982652791</v>
      </c>
      <c r="N427" s="5">
        <v>1.2627314814814815E-2</v>
      </c>
      <c r="O427" s="5">
        <v>1.4097222222222223E-2</v>
      </c>
      <c r="P427" s="5"/>
      <c r="Q427" s="5">
        <v>3.7962962962962963E-3</v>
      </c>
      <c r="R427" s="5"/>
      <c r="S427" s="5">
        <v>1.3993055555555555E-2</v>
      </c>
      <c r="T427" s="5">
        <v>9.2592592592592588E-5</v>
      </c>
      <c r="U427" s="5">
        <v>4.6296296296296294E-5</v>
      </c>
      <c r="V427" s="5"/>
      <c r="W427" s="5"/>
    </row>
    <row r="428" spans="1:23" x14ac:dyDescent="0.25">
      <c r="A428" s="2">
        <v>46239</v>
      </c>
      <c r="B428" s="3" t="s">
        <v>679</v>
      </c>
      <c r="C428" s="3" t="s">
        <v>680</v>
      </c>
      <c r="D428" s="3" t="s">
        <v>274</v>
      </c>
      <c r="E428" s="3" t="s">
        <v>79</v>
      </c>
      <c r="F428" s="3" t="s">
        <v>147</v>
      </c>
      <c r="G428" s="4" t="s">
        <v>33</v>
      </c>
      <c r="H428" s="4">
        <v>18</v>
      </c>
      <c r="I428" s="5">
        <v>0.25871527777777775</v>
      </c>
      <c r="J428" s="5">
        <v>4.6388888888888889E-2</v>
      </c>
      <c r="K428" s="5">
        <f t="shared" si="12"/>
        <v>2.5771604938271604E-3</v>
      </c>
      <c r="L428" s="5">
        <v>7.121527777777778E-2</v>
      </c>
      <c r="M428" s="6">
        <f t="shared" si="13"/>
        <v>0.27526506509193399</v>
      </c>
      <c r="N428" s="5">
        <v>3.6226851851851854E-3</v>
      </c>
      <c r="O428" s="5">
        <v>1.4166666666666666E-2</v>
      </c>
      <c r="P428" s="5"/>
      <c r="Q428" s="5">
        <v>3.7106481481481483E-2</v>
      </c>
      <c r="R428" s="5"/>
      <c r="S428" s="5">
        <v>1.6250000000000001E-2</v>
      </c>
      <c r="T428" s="5">
        <v>6.9444444444444444E-5</v>
      </c>
      <c r="U428" s="5"/>
      <c r="V428" s="5"/>
      <c r="W428" s="5"/>
    </row>
    <row r="429" spans="1:23" x14ac:dyDescent="0.25">
      <c r="A429" s="2">
        <v>46240</v>
      </c>
      <c r="B429" s="3" t="s">
        <v>186</v>
      </c>
      <c r="C429" s="3" t="s">
        <v>562</v>
      </c>
      <c r="D429" s="3" t="s">
        <v>78</v>
      </c>
      <c r="E429" s="3" t="s">
        <v>79</v>
      </c>
      <c r="F429" s="3" t="s">
        <v>80</v>
      </c>
      <c r="G429" s="4" t="s">
        <v>33</v>
      </c>
      <c r="H429" s="4">
        <v>0</v>
      </c>
      <c r="I429" s="5">
        <v>0.27108796296296295</v>
      </c>
      <c r="J429" s="5">
        <v>0</v>
      </c>
      <c r="K429" s="5">
        <f t="shared" si="12"/>
        <v>0</v>
      </c>
      <c r="L429" s="5">
        <v>3.3738425925925929E-2</v>
      </c>
      <c r="M429" s="6">
        <f t="shared" si="13"/>
        <v>0.12445563999658442</v>
      </c>
      <c r="N429" s="5">
        <v>6.030092592592593E-3</v>
      </c>
      <c r="O429" s="5">
        <v>1.4178240740740741E-2</v>
      </c>
      <c r="P429" s="5"/>
      <c r="Q429" s="5"/>
      <c r="R429" s="5"/>
      <c r="S429" s="5">
        <v>1.3171296296296296E-2</v>
      </c>
      <c r="T429" s="5">
        <v>9.2592592592592588E-5</v>
      </c>
      <c r="U429" s="5">
        <v>2.4305555555555555E-4</v>
      </c>
      <c r="V429" s="5"/>
      <c r="W429" s="5"/>
    </row>
    <row r="430" spans="1:23" x14ac:dyDescent="0.25">
      <c r="A430" s="2">
        <v>46240</v>
      </c>
      <c r="B430" s="3" t="s">
        <v>643</v>
      </c>
      <c r="C430" s="3" t="s">
        <v>644</v>
      </c>
      <c r="D430" s="3" t="s">
        <v>233</v>
      </c>
      <c r="E430" s="3" t="s">
        <v>31</v>
      </c>
      <c r="F430" s="3" t="s">
        <v>32</v>
      </c>
      <c r="G430" s="4" t="s">
        <v>106</v>
      </c>
      <c r="H430" s="4">
        <v>17</v>
      </c>
      <c r="I430" s="5">
        <v>0.27319444444444446</v>
      </c>
      <c r="J430" s="5">
        <v>0.13548611111111111</v>
      </c>
      <c r="K430" s="5">
        <f t="shared" si="12"/>
        <v>7.9697712418300651E-3</v>
      </c>
      <c r="L430" s="5">
        <v>4.7997685185185185E-2</v>
      </c>
      <c r="M430" s="6">
        <f t="shared" si="13"/>
        <v>0.17569056092187763</v>
      </c>
      <c r="N430" s="5">
        <v>1.4710648148148148E-2</v>
      </c>
      <c r="O430" s="5">
        <v>1.3680555555555555E-2</v>
      </c>
      <c r="P430" s="5">
        <v>1.9097222222222222E-3</v>
      </c>
      <c r="Q430" s="5"/>
      <c r="R430" s="5"/>
      <c r="S430" s="5">
        <v>1.3935185185185186E-2</v>
      </c>
      <c r="T430" s="5">
        <v>1.1226851851851851E-3</v>
      </c>
      <c r="U430" s="5">
        <v>2.5925925925925925E-3</v>
      </c>
      <c r="V430" s="5"/>
      <c r="W430" s="5"/>
    </row>
    <row r="431" spans="1:23" x14ac:dyDescent="0.25">
      <c r="A431" s="2">
        <v>46240</v>
      </c>
      <c r="B431" s="3" t="s">
        <v>193</v>
      </c>
      <c r="C431" s="3" t="s">
        <v>563</v>
      </c>
      <c r="D431" s="3" t="s">
        <v>274</v>
      </c>
      <c r="E431" s="3" t="s">
        <v>79</v>
      </c>
      <c r="F431" s="3" t="s">
        <v>147</v>
      </c>
      <c r="G431" s="4" t="s">
        <v>33</v>
      </c>
      <c r="H431" s="4">
        <v>16</v>
      </c>
      <c r="I431" s="5">
        <v>0.26275462962962964</v>
      </c>
      <c r="J431" s="5">
        <v>8.8888888888888892E-2</v>
      </c>
      <c r="K431" s="5">
        <f t="shared" si="12"/>
        <v>5.5555555555555558E-3</v>
      </c>
      <c r="L431" s="5">
        <v>2.9374999999999998E-2</v>
      </c>
      <c r="M431" s="6">
        <f t="shared" si="13"/>
        <v>0.11179631750506562</v>
      </c>
      <c r="N431" s="5"/>
      <c r="O431" s="5">
        <v>1.4004629629629629E-2</v>
      </c>
      <c r="P431" s="5"/>
      <c r="Q431" s="5"/>
      <c r="R431" s="5"/>
      <c r="S431" s="5">
        <v>1.3969907407407407E-2</v>
      </c>
      <c r="T431" s="5">
        <v>5.7870370370370373E-5</v>
      </c>
      <c r="U431" s="5">
        <v>1.25E-3</v>
      </c>
      <c r="V431" s="5"/>
      <c r="W431" s="5"/>
    </row>
    <row r="432" spans="1:23" x14ac:dyDescent="0.25">
      <c r="A432" s="2">
        <v>46240</v>
      </c>
      <c r="B432" s="3" t="s">
        <v>148</v>
      </c>
      <c r="C432" s="3" t="s">
        <v>513</v>
      </c>
      <c r="D432" s="3" t="s">
        <v>104</v>
      </c>
      <c r="E432" s="3" t="s">
        <v>31</v>
      </c>
      <c r="F432" s="3" t="s">
        <v>105</v>
      </c>
      <c r="G432" s="4" t="s">
        <v>106</v>
      </c>
      <c r="H432" s="4">
        <v>16</v>
      </c>
      <c r="I432" s="5">
        <v>0.25288194444444445</v>
      </c>
      <c r="J432" s="5">
        <v>0.22996527777777778</v>
      </c>
      <c r="K432" s="5">
        <f t="shared" si="12"/>
        <v>1.4372829861111111E-2</v>
      </c>
      <c r="L432" s="5">
        <v>5.3946759259259257E-2</v>
      </c>
      <c r="M432" s="6">
        <f t="shared" si="13"/>
        <v>0.21332784109112543</v>
      </c>
      <c r="N432" s="5">
        <v>7.5810185185185182E-3</v>
      </c>
      <c r="O432" s="5">
        <v>8.1597222222222227E-3</v>
      </c>
      <c r="P432" s="5"/>
      <c r="Q432" s="5"/>
      <c r="R432" s="5"/>
      <c r="S432" s="5">
        <v>1.4594907407407407E-2</v>
      </c>
      <c r="T432" s="5">
        <v>1.7013888888888888E-3</v>
      </c>
      <c r="U432" s="5">
        <v>9.837962962962962E-4</v>
      </c>
      <c r="V432" s="5"/>
      <c r="W432" s="5">
        <v>2.0914351851851851E-2</v>
      </c>
    </row>
    <row r="433" spans="1:23" x14ac:dyDescent="0.25">
      <c r="A433" s="2">
        <v>46240</v>
      </c>
      <c r="B433" s="3" t="s">
        <v>82</v>
      </c>
      <c r="C433" s="3" t="s">
        <v>83</v>
      </c>
      <c r="D433" s="3" t="s">
        <v>78</v>
      </c>
      <c r="E433" s="3" t="s">
        <v>79</v>
      </c>
      <c r="F433" s="3" t="s">
        <v>80</v>
      </c>
      <c r="G433" s="4" t="s">
        <v>81</v>
      </c>
      <c r="H433" s="4">
        <v>0</v>
      </c>
      <c r="I433" s="5">
        <v>0.38718750000000002</v>
      </c>
      <c r="J433" s="5">
        <v>0</v>
      </c>
      <c r="K433" s="5">
        <f t="shared" si="12"/>
        <v>0</v>
      </c>
      <c r="L433" s="5">
        <v>0.18791666666666668</v>
      </c>
      <c r="M433" s="6">
        <f t="shared" si="13"/>
        <v>0.48533763788001077</v>
      </c>
      <c r="N433" s="5"/>
      <c r="O433" s="5"/>
      <c r="P433" s="5"/>
      <c r="Q433" s="5"/>
      <c r="R433" s="5">
        <v>1.0416666666666667E-4</v>
      </c>
      <c r="S433" s="5">
        <v>9.762731481481482E-2</v>
      </c>
      <c r="T433" s="5">
        <v>9.0162037037037041E-2</v>
      </c>
      <c r="U433" s="5"/>
      <c r="V433" s="5"/>
      <c r="W433" s="5"/>
    </row>
    <row r="434" spans="1:23" x14ac:dyDescent="0.25">
      <c r="A434" s="2">
        <v>46240</v>
      </c>
      <c r="B434" s="3" t="s">
        <v>234</v>
      </c>
      <c r="C434" s="3" t="s">
        <v>550</v>
      </c>
      <c r="D434" s="3" t="s">
        <v>233</v>
      </c>
      <c r="E434" s="3" t="s">
        <v>31</v>
      </c>
      <c r="F434" s="3" t="s">
        <v>32</v>
      </c>
      <c r="G434" s="4" t="s">
        <v>106</v>
      </c>
      <c r="H434" s="4">
        <v>12</v>
      </c>
      <c r="I434" s="5">
        <v>8.1574074074074077E-2</v>
      </c>
      <c r="J434" s="5">
        <v>4.7442129629629633E-2</v>
      </c>
      <c r="K434" s="5">
        <f t="shared" si="12"/>
        <v>3.9535108024691358E-3</v>
      </c>
      <c r="L434" s="5">
        <v>3.4953703703703705E-3</v>
      </c>
      <c r="M434" s="6">
        <f t="shared" si="13"/>
        <v>4.2849035187287172E-2</v>
      </c>
      <c r="N434" s="5">
        <v>2.6157407407407405E-3</v>
      </c>
      <c r="O434" s="5"/>
      <c r="P434" s="5"/>
      <c r="Q434" s="5">
        <v>4.2824074074074075E-4</v>
      </c>
      <c r="R434" s="5"/>
      <c r="S434" s="5"/>
      <c r="T434" s="5">
        <v>4.5138888888888887E-4</v>
      </c>
      <c r="U434" s="5"/>
      <c r="V434" s="5"/>
      <c r="W434" s="5"/>
    </row>
    <row r="435" spans="1:23" x14ac:dyDescent="0.25">
      <c r="A435" s="2">
        <v>46240</v>
      </c>
      <c r="B435" s="3" t="s">
        <v>34</v>
      </c>
      <c r="C435" s="3" t="s">
        <v>505</v>
      </c>
      <c r="D435" s="3" t="s">
        <v>233</v>
      </c>
      <c r="E435" s="3" t="s">
        <v>31</v>
      </c>
      <c r="F435" s="3" t="s">
        <v>32</v>
      </c>
      <c r="G435" s="4" t="s">
        <v>106</v>
      </c>
      <c r="H435" s="4">
        <v>21</v>
      </c>
      <c r="I435" s="5">
        <v>0.23069444444444445</v>
      </c>
      <c r="J435" s="5">
        <v>7.4270833333333328E-2</v>
      </c>
      <c r="K435" s="5">
        <f t="shared" si="12"/>
        <v>3.5367063492063489E-3</v>
      </c>
      <c r="L435" s="5">
        <v>8.9756944444444445E-2</v>
      </c>
      <c r="M435" s="6">
        <f t="shared" si="13"/>
        <v>0.38907284768211919</v>
      </c>
      <c r="N435" s="5">
        <v>2.5694444444444445E-3</v>
      </c>
      <c r="O435" s="5">
        <v>1.3622685185185186E-2</v>
      </c>
      <c r="P435" s="5"/>
      <c r="Q435" s="5"/>
      <c r="R435" s="5"/>
      <c r="S435" s="5">
        <v>1.4282407407407407E-2</v>
      </c>
      <c r="T435" s="5">
        <v>1.3460648148148149E-2</v>
      </c>
      <c r="U435" s="5">
        <v>3.4375E-3</v>
      </c>
      <c r="V435" s="5"/>
      <c r="W435" s="5">
        <v>4.238425925925926E-2</v>
      </c>
    </row>
    <row r="436" spans="1:23" x14ac:dyDescent="0.25">
      <c r="A436" s="2">
        <v>46240</v>
      </c>
      <c r="B436" s="3" t="s">
        <v>493</v>
      </c>
      <c r="C436" s="3" t="s">
        <v>569</v>
      </c>
      <c r="D436" s="3" t="s">
        <v>104</v>
      </c>
      <c r="E436" s="3" t="s">
        <v>31</v>
      </c>
      <c r="F436" s="3" t="s">
        <v>105</v>
      </c>
      <c r="G436" s="4" t="s">
        <v>106</v>
      </c>
      <c r="H436" s="4">
        <v>21</v>
      </c>
      <c r="I436" s="5">
        <v>0.24484953703703705</v>
      </c>
      <c r="J436" s="5">
        <v>0.20946759259259259</v>
      </c>
      <c r="K436" s="5">
        <f t="shared" si="12"/>
        <v>9.9746472663139324E-3</v>
      </c>
      <c r="L436" s="5">
        <v>5.6921296296296296E-2</v>
      </c>
      <c r="M436" s="6">
        <f t="shared" si="13"/>
        <v>0.23247459229496573</v>
      </c>
      <c r="N436" s="5">
        <v>1.4039351851851851E-2</v>
      </c>
      <c r="O436" s="5">
        <v>1.6712962962962964E-2</v>
      </c>
      <c r="P436" s="5">
        <v>9.4907407407407408E-4</v>
      </c>
      <c r="Q436" s="5"/>
      <c r="R436" s="5"/>
      <c r="S436" s="5">
        <v>1.4722222222222222E-2</v>
      </c>
      <c r="T436" s="5">
        <v>1.5509259259259259E-3</v>
      </c>
      <c r="U436" s="5">
        <v>8.9236111111111113E-3</v>
      </c>
      <c r="V436" s="5"/>
      <c r="W436" s="5"/>
    </row>
    <row r="437" spans="1:23" x14ac:dyDescent="0.25">
      <c r="A437" s="2">
        <v>46240</v>
      </c>
      <c r="B437" s="3" t="s">
        <v>236</v>
      </c>
      <c r="C437" s="3" t="s">
        <v>551</v>
      </c>
      <c r="D437" s="3" t="s">
        <v>233</v>
      </c>
      <c r="E437" s="3" t="s">
        <v>31</v>
      </c>
      <c r="F437" s="3" t="s">
        <v>32</v>
      </c>
      <c r="G437" s="4" t="s">
        <v>106</v>
      </c>
      <c r="H437" s="4">
        <v>5</v>
      </c>
      <c r="I437" s="5">
        <v>0.23019675925925925</v>
      </c>
      <c r="J437" s="5">
        <v>9.8263888888888897E-3</v>
      </c>
      <c r="K437" s="5">
        <f t="shared" si="12"/>
        <v>1.965277777777778E-3</v>
      </c>
      <c r="L437" s="5">
        <v>0.20246527777777779</v>
      </c>
      <c r="M437" s="6">
        <f t="shared" si="13"/>
        <v>0.87953139926592594</v>
      </c>
      <c r="N437" s="5">
        <v>2.4270833333333332E-2</v>
      </c>
      <c r="O437" s="5">
        <v>1.0462962962962962E-2</v>
      </c>
      <c r="P437" s="5"/>
      <c r="Q437" s="5"/>
      <c r="R437" s="5"/>
      <c r="S437" s="5">
        <v>1.9421296296296298E-2</v>
      </c>
      <c r="T437" s="5">
        <v>1.5856481481481481E-3</v>
      </c>
      <c r="U437" s="5">
        <v>1.0416666666666667E-4</v>
      </c>
      <c r="V437" s="5"/>
      <c r="W437" s="5">
        <v>0.14662037037037037</v>
      </c>
    </row>
    <row r="438" spans="1:23" x14ac:dyDescent="0.25">
      <c r="A438" s="2">
        <v>46240</v>
      </c>
      <c r="B438" s="3" t="s">
        <v>238</v>
      </c>
      <c r="C438" s="3" t="s">
        <v>526</v>
      </c>
      <c r="D438" s="3" t="s">
        <v>233</v>
      </c>
      <c r="E438" s="3" t="s">
        <v>31</v>
      </c>
      <c r="F438" s="3" t="s">
        <v>32</v>
      </c>
      <c r="G438" s="4" t="s">
        <v>106</v>
      </c>
      <c r="H438" s="4">
        <v>3</v>
      </c>
      <c r="I438" s="5">
        <v>0.21092592592592593</v>
      </c>
      <c r="J438" s="5">
        <v>1.0358796296296297E-2</v>
      </c>
      <c r="K438" s="5">
        <f t="shared" si="12"/>
        <v>3.4529320987654322E-3</v>
      </c>
      <c r="L438" s="5">
        <v>0.18531249999999999</v>
      </c>
      <c r="M438" s="6">
        <f t="shared" si="13"/>
        <v>0.87856672519754164</v>
      </c>
      <c r="N438" s="5"/>
      <c r="O438" s="5"/>
      <c r="P438" s="5"/>
      <c r="Q438" s="5"/>
      <c r="R438" s="5"/>
      <c r="S438" s="5">
        <v>3.9583333333333337E-3</v>
      </c>
      <c r="T438" s="5">
        <v>4.861111111111111E-4</v>
      </c>
      <c r="U438" s="5">
        <v>2.3148148148148149E-4</v>
      </c>
      <c r="V438" s="5"/>
      <c r="W438" s="5">
        <v>0.18063657407407407</v>
      </c>
    </row>
    <row r="439" spans="1:23" x14ac:dyDescent="0.25">
      <c r="A439" s="2">
        <v>46240</v>
      </c>
      <c r="B439" s="3" t="s">
        <v>608</v>
      </c>
      <c r="C439" s="3" t="s">
        <v>631</v>
      </c>
      <c r="D439" s="3" t="s">
        <v>601</v>
      </c>
      <c r="E439" s="3" t="s">
        <v>31</v>
      </c>
      <c r="F439" s="3" t="s">
        <v>105</v>
      </c>
      <c r="G439" s="4" t="s">
        <v>33</v>
      </c>
      <c r="H439" s="4">
        <v>4</v>
      </c>
      <c r="I439" s="5">
        <v>0.12072916666666667</v>
      </c>
      <c r="J439" s="5">
        <v>9.6805555555555561E-2</v>
      </c>
      <c r="K439" s="5">
        <f t="shared" si="12"/>
        <v>2.420138888888889E-2</v>
      </c>
      <c r="L439" s="5">
        <v>8.5520833333333338E-2</v>
      </c>
      <c r="M439" s="6">
        <f t="shared" si="13"/>
        <v>0.70836928386540121</v>
      </c>
      <c r="N439" s="5"/>
      <c r="O439" s="5">
        <v>6.4930555555555557E-3</v>
      </c>
      <c r="P439" s="5"/>
      <c r="Q439" s="5"/>
      <c r="R439" s="5"/>
      <c r="S439" s="5">
        <v>5.3819444444444444E-3</v>
      </c>
      <c r="T439" s="5">
        <v>7.8703703703703705E-4</v>
      </c>
      <c r="U439" s="5">
        <v>9.4675925925925934E-3</v>
      </c>
      <c r="V439" s="5"/>
      <c r="W439" s="5">
        <v>6.33912037037037E-2</v>
      </c>
    </row>
    <row r="440" spans="1:23" x14ac:dyDescent="0.25">
      <c r="A440" s="2">
        <v>46240</v>
      </c>
      <c r="B440" s="3" t="s">
        <v>307</v>
      </c>
      <c r="C440" s="3" t="s">
        <v>308</v>
      </c>
      <c r="D440" s="3" t="s">
        <v>78</v>
      </c>
      <c r="E440" s="3" t="s">
        <v>79</v>
      </c>
      <c r="F440" s="3" t="s">
        <v>80</v>
      </c>
      <c r="G440" s="4" t="s">
        <v>81</v>
      </c>
      <c r="H440" s="4">
        <v>0</v>
      </c>
      <c r="I440" s="5">
        <v>0.34228009259259257</v>
      </c>
      <c r="J440" s="5">
        <v>0</v>
      </c>
      <c r="K440" s="5">
        <f t="shared" si="12"/>
        <v>0</v>
      </c>
      <c r="L440" s="5">
        <v>1.9444444444444445E-2</v>
      </c>
      <c r="M440" s="6">
        <f t="shared" si="13"/>
        <v>5.6808575389713595E-2</v>
      </c>
      <c r="N440" s="5"/>
      <c r="O440" s="5"/>
      <c r="P440" s="5"/>
      <c r="Q440" s="5"/>
      <c r="R440" s="5">
        <v>8.5879629629629622E-3</v>
      </c>
      <c r="S440" s="5">
        <v>9.8495370370370369E-3</v>
      </c>
      <c r="T440" s="5">
        <v>6.9444444444444444E-5</v>
      </c>
      <c r="U440" s="5">
        <v>8.9120370370370373E-4</v>
      </c>
      <c r="V440" s="5"/>
      <c r="W440" s="5"/>
    </row>
    <row r="441" spans="1:23" x14ac:dyDescent="0.25">
      <c r="A441" s="2">
        <v>46240</v>
      </c>
      <c r="B441" s="3" t="s">
        <v>197</v>
      </c>
      <c r="C441" s="3" t="s">
        <v>564</v>
      </c>
      <c r="D441" s="3" t="s">
        <v>601</v>
      </c>
      <c r="E441" s="3" t="s">
        <v>31</v>
      </c>
      <c r="F441" s="3" t="s">
        <v>105</v>
      </c>
      <c r="G441" s="4" t="s">
        <v>33</v>
      </c>
      <c r="H441" s="4">
        <v>7</v>
      </c>
      <c r="I441" s="5">
        <v>0.23768518518518519</v>
      </c>
      <c r="J441" s="5">
        <v>0.13116898148148148</v>
      </c>
      <c r="K441" s="5">
        <f t="shared" si="12"/>
        <v>1.8738425925925926E-2</v>
      </c>
      <c r="L441" s="5">
        <v>0.16650462962962964</v>
      </c>
      <c r="M441" s="6">
        <f t="shared" si="13"/>
        <v>0.70052590572652906</v>
      </c>
      <c r="N441" s="5">
        <v>5.2546296296296299E-3</v>
      </c>
      <c r="O441" s="5">
        <v>3.7071759259259263E-2</v>
      </c>
      <c r="P441" s="5"/>
      <c r="Q441" s="5"/>
      <c r="R441" s="5"/>
      <c r="S441" s="5">
        <v>1.726851851851852E-2</v>
      </c>
      <c r="T441" s="5">
        <v>1.7361111111111112E-4</v>
      </c>
      <c r="U441" s="5">
        <v>2.9259259259259259E-2</v>
      </c>
      <c r="V441" s="5"/>
      <c r="W441" s="5">
        <v>7.7476851851851852E-2</v>
      </c>
    </row>
    <row r="442" spans="1:23" x14ac:dyDescent="0.25">
      <c r="A442" s="2">
        <v>46240</v>
      </c>
      <c r="B442" s="3" t="s">
        <v>38</v>
      </c>
      <c r="C442" s="3" t="s">
        <v>536</v>
      </c>
      <c r="D442" s="3" t="s">
        <v>100</v>
      </c>
      <c r="E442" s="3" t="s">
        <v>31</v>
      </c>
      <c r="F442" s="3" t="s">
        <v>32</v>
      </c>
      <c r="G442" s="4" t="s">
        <v>33</v>
      </c>
      <c r="H442" s="4">
        <v>3</v>
      </c>
      <c r="I442" s="5">
        <v>0.23379629629629631</v>
      </c>
      <c r="J442" s="5">
        <v>1.4282407407407407E-2</v>
      </c>
      <c r="K442" s="5">
        <f t="shared" si="12"/>
        <v>4.760802469135802E-3</v>
      </c>
      <c r="L442" s="5">
        <v>0.21539351851851851</v>
      </c>
      <c r="M442" s="6">
        <f t="shared" si="13"/>
        <v>0.92128712871287122</v>
      </c>
      <c r="N442" s="5">
        <v>6.3310185185185188E-3</v>
      </c>
      <c r="O442" s="5">
        <v>8.0555555555555554E-3</v>
      </c>
      <c r="P442" s="5"/>
      <c r="Q442" s="5"/>
      <c r="R442" s="5"/>
      <c r="S442" s="5">
        <v>9.7453703703703695E-3</v>
      </c>
      <c r="T442" s="5">
        <v>3.5879629629629629E-4</v>
      </c>
      <c r="U442" s="5"/>
      <c r="V442" s="5"/>
      <c r="W442" s="5">
        <v>0.19090277777777778</v>
      </c>
    </row>
    <row r="443" spans="1:23" x14ac:dyDescent="0.25">
      <c r="A443" s="2">
        <v>46240</v>
      </c>
      <c r="B443" s="3" t="s">
        <v>681</v>
      </c>
      <c r="C443" s="3" t="s">
        <v>682</v>
      </c>
      <c r="D443" s="3" t="s">
        <v>601</v>
      </c>
      <c r="E443" s="3" t="s">
        <v>31</v>
      </c>
      <c r="F443" s="3" t="s">
        <v>105</v>
      </c>
      <c r="G443" s="4" t="s">
        <v>33</v>
      </c>
      <c r="H443" s="4">
        <v>5</v>
      </c>
      <c r="I443" s="5">
        <v>0.20659722222222221</v>
      </c>
      <c r="J443" s="5">
        <v>8.8819444444444451E-2</v>
      </c>
      <c r="K443" s="5">
        <f t="shared" si="12"/>
        <v>1.7763888888888892E-2</v>
      </c>
      <c r="L443" s="5">
        <v>0.15886574074074075</v>
      </c>
      <c r="M443" s="6">
        <f t="shared" si="13"/>
        <v>0.76896358543417376</v>
      </c>
      <c r="N443" s="5">
        <v>5.8912037037037041E-3</v>
      </c>
      <c r="O443" s="5">
        <v>1.1331018518518518E-2</v>
      </c>
      <c r="P443" s="5"/>
      <c r="Q443" s="5">
        <v>1.5208333333333334E-2</v>
      </c>
      <c r="R443" s="5"/>
      <c r="S443" s="5">
        <v>1.3888888888888888E-2</v>
      </c>
      <c r="T443" s="5">
        <v>3.9351851851851852E-4</v>
      </c>
      <c r="U443" s="5">
        <v>7.1006944444444442E-2</v>
      </c>
      <c r="V443" s="5"/>
      <c r="W443" s="5">
        <v>4.1145833333333333E-2</v>
      </c>
    </row>
    <row r="444" spans="1:23" x14ac:dyDescent="0.25">
      <c r="A444" s="2">
        <v>46240</v>
      </c>
      <c r="B444" s="3" t="s">
        <v>154</v>
      </c>
      <c r="C444" s="3" t="s">
        <v>515</v>
      </c>
      <c r="D444" s="3" t="s">
        <v>146</v>
      </c>
      <c r="E444" s="3" t="s">
        <v>79</v>
      </c>
      <c r="F444" s="3" t="s">
        <v>147</v>
      </c>
      <c r="G444" s="4" t="s">
        <v>106</v>
      </c>
      <c r="H444" s="4">
        <v>20</v>
      </c>
      <c r="I444" s="5">
        <v>0.26295138888888892</v>
      </c>
      <c r="J444" s="5">
        <v>4.715277777777778E-2</v>
      </c>
      <c r="K444" s="5">
        <f t="shared" si="12"/>
        <v>2.3576388888888892E-3</v>
      </c>
      <c r="L444" s="5">
        <v>4.2013888888888892E-2</v>
      </c>
      <c r="M444" s="6">
        <f t="shared" si="13"/>
        <v>0.15977815924996699</v>
      </c>
      <c r="N444" s="5">
        <v>7.5810185185185182E-3</v>
      </c>
      <c r="O444" s="5">
        <v>1.0706018518518519E-2</v>
      </c>
      <c r="P444" s="5"/>
      <c r="Q444" s="5">
        <v>7.6388888888888886E-3</v>
      </c>
      <c r="R444" s="5"/>
      <c r="S444" s="5">
        <v>1.4097222222222223E-2</v>
      </c>
      <c r="T444" s="5">
        <v>2.5462962962962961E-4</v>
      </c>
      <c r="U444" s="5">
        <v>1.5856481481481481E-3</v>
      </c>
      <c r="V444" s="5"/>
      <c r="W444" s="5"/>
    </row>
    <row r="445" spans="1:23" x14ac:dyDescent="0.25">
      <c r="A445" s="2">
        <v>46240</v>
      </c>
      <c r="B445" s="3" t="s">
        <v>112</v>
      </c>
      <c r="C445" s="3" t="s">
        <v>570</v>
      </c>
      <c r="D445" s="3" t="s">
        <v>104</v>
      </c>
      <c r="E445" s="3" t="s">
        <v>31</v>
      </c>
      <c r="F445" s="3" t="s">
        <v>105</v>
      </c>
      <c r="G445" s="4" t="s">
        <v>106</v>
      </c>
      <c r="H445" s="4">
        <v>10</v>
      </c>
      <c r="I445" s="5">
        <v>0.24159722222222221</v>
      </c>
      <c r="J445" s="5">
        <v>0.19586805555555556</v>
      </c>
      <c r="K445" s="5">
        <f t="shared" si="12"/>
        <v>1.9586805555555555E-2</v>
      </c>
      <c r="L445" s="5">
        <v>8.1122685185185187E-2</v>
      </c>
      <c r="M445" s="6">
        <f t="shared" si="13"/>
        <v>0.33577656414678547</v>
      </c>
      <c r="N445" s="5">
        <v>3.5868055555555556E-2</v>
      </c>
      <c r="O445" s="5">
        <v>2.3761574074074074E-2</v>
      </c>
      <c r="P445" s="5"/>
      <c r="Q445" s="5"/>
      <c r="R445" s="5"/>
      <c r="S445" s="5">
        <v>1.3946759259259259E-2</v>
      </c>
      <c r="T445" s="5">
        <v>5.2893518518518515E-3</v>
      </c>
      <c r="U445" s="5">
        <v>2.0949074074074073E-3</v>
      </c>
      <c r="V445" s="5"/>
      <c r="W445" s="5">
        <v>1.6203703703703703E-4</v>
      </c>
    </row>
    <row r="446" spans="1:23" x14ac:dyDescent="0.25">
      <c r="A446" s="2">
        <v>46240</v>
      </c>
      <c r="B446" s="3" t="s">
        <v>42</v>
      </c>
      <c r="C446" s="3" t="s">
        <v>537</v>
      </c>
      <c r="D446" s="3" t="s">
        <v>104</v>
      </c>
      <c r="E446" s="3" t="s">
        <v>31</v>
      </c>
      <c r="F446" s="3" t="s">
        <v>105</v>
      </c>
      <c r="G446" s="4" t="s">
        <v>106</v>
      </c>
      <c r="H446" s="4">
        <v>14</v>
      </c>
      <c r="I446" s="5">
        <v>0.25206018518518519</v>
      </c>
      <c r="J446" s="5">
        <v>0.22571759259259258</v>
      </c>
      <c r="K446" s="5">
        <f t="shared" si="12"/>
        <v>1.6122685185185184E-2</v>
      </c>
      <c r="L446" s="5">
        <v>8.0694444444444444E-2</v>
      </c>
      <c r="M446" s="6">
        <f t="shared" si="13"/>
        <v>0.32013959041234274</v>
      </c>
      <c r="N446" s="5">
        <v>1.2916666666666667E-2</v>
      </c>
      <c r="O446" s="5">
        <v>1.3703703703703704E-2</v>
      </c>
      <c r="P446" s="5"/>
      <c r="Q446" s="5"/>
      <c r="R446" s="5"/>
      <c r="S446" s="5">
        <v>1.357638888888889E-2</v>
      </c>
      <c r="T446" s="5">
        <v>2.0833333333333335E-4</v>
      </c>
      <c r="U446" s="5">
        <v>1.0532407407407407E-3</v>
      </c>
      <c r="V446" s="5"/>
      <c r="W446" s="5">
        <v>3.9212962962962963E-2</v>
      </c>
    </row>
    <row r="447" spans="1:23" x14ac:dyDescent="0.25">
      <c r="A447" s="2">
        <v>46240</v>
      </c>
      <c r="B447" s="3" t="s">
        <v>156</v>
      </c>
      <c r="C447" s="3" t="s">
        <v>516</v>
      </c>
      <c r="D447" s="3" t="s">
        <v>146</v>
      </c>
      <c r="E447" s="3" t="s">
        <v>79</v>
      </c>
      <c r="F447" s="3" t="s">
        <v>147</v>
      </c>
      <c r="G447" s="4" t="s">
        <v>106</v>
      </c>
      <c r="H447" s="4">
        <v>21</v>
      </c>
      <c r="I447" s="5">
        <v>0.27407407407407408</v>
      </c>
      <c r="J447" s="5">
        <v>7.5578703703703703E-2</v>
      </c>
      <c r="K447" s="5">
        <f t="shared" si="12"/>
        <v>3.5989858906525572E-3</v>
      </c>
      <c r="L447" s="5">
        <v>4.8032407407407406E-2</v>
      </c>
      <c r="M447" s="6">
        <f t="shared" si="13"/>
        <v>0.17525337837837837</v>
      </c>
      <c r="N447" s="5">
        <v>4.2939814814814811E-3</v>
      </c>
      <c r="O447" s="5">
        <v>1.5775462962962963E-2</v>
      </c>
      <c r="P447" s="5"/>
      <c r="Q447" s="5">
        <v>1.3541666666666667E-3</v>
      </c>
      <c r="R447" s="5"/>
      <c r="S447" s="5">
        <v>1.2349537037037037E-2</v>
      </c>
      <c r="T447" s="5">
        <v>1.2199074074074074E-2</v>
      </c>
      <c r="U447" s="5">
        <v>2.0370370370370369E-3</v>
      </c>
      <c r="V447" s="5"/>
      <c r="W447" s="5"/>
    </row>
    <row r="448" spans="1:23" x14ac:dyDescent="0.25">
      <c r="A448" s="2">
        <v>46240</v>
      </c>
      <c r="B448" s="3" t="s">
        <v>114</v>
      </c>
      <c r="C448" s="3" t="s">
        <v>541</v>
      </c>
      <c r="D448" s="3" t="s">
        <v>104</v>
      </c>
      <c r="E448" s="3" t="s">
        <v>31</v>
      </c>
      <c r="F448" s="3" t="s">
        <v>105</v>
      </c>
      <c r="G448" s="4" t="s">
        <v>106</v>
      </c>
      <c r="H448" s="4">
        <v>9</v>
      </c>
      <c r="I448" s="5">
        <v>0.20105324074074074</v>
      </c>
      <c r="J448" s="5">
        <v>0.11665509259259259</v>
      </c>
      <c r="K448" s="5">
        <f t="shared" si="12"/>
        <v>1.296167695473251E-2</v>
      </c>
      <c r="L448" s="5">
        <v>0.1193287037037037</v>
      </c>
      <c r="M448" s="6">
        <f t="shared" si="13"/>
        <v>0.59351793218582694</v>
      </c>
      <c r="N448" s="5">
        <v>8.3217592592592596E-3</v>
      </c>
      <c r="O448" s="5">
        <v>8.3564814814814821E-3</v>
      </c>
      <c r="P448" s="5"/>
      <c r="Q448" s="5"/>
      <c r="R448" s="5"/>
      <c r="S448" s="5">
        <v>1.7824074074074076E-2</v>
      </c>
      <c r="T448" s="5">
        <v>4.2291666666666665E-2</v>
      </c>
      <c r="U448" s="5">
        <v>3.8194444444444446E-4</v>
      </c>
      <c r="V448" s="5"/>
      <c r="W448" s="5">
        <v>4.2152777777777775E-2</v>
      </c>
    </row>
    <row r="449" spans="1:23" x14ac:dyDescent="0.25">
      <c r="A449" s="2">
        <v>46240</v>
      </c>
      <c r="B449" s="3" t="s">
        <v>44</v>
      </c>
      <c r="C449" s="3" t="s">
        <v>506</v>
      </c>
      <c r="D449" s="3" t="s">
        <v>100</v>
      </c>
      <c r="E449" s="3" t="s">
        <v>31</v>
      </c>
      <c r="F449" s="3" t="s">
        <v>32</v>
      </c>
      <c r="G449" s="4" t="s">
        <v>33</v>
      </c>
      <c r="H449" s="4">
        <v>30</v>
      </c>
      <c r="I449" s="5">
        <v>0.26027777777777777</v>
      </c>
      <c r="J449" s="5">
        <v>0.16190972222222222</v>
      </c>
      <c r="K449" s="5">
        <f t="shared" si="12"/>
        <v>5.3969907407407404E-3</v>
      </c>
      <c r="L449" s="5">
        <v>5.1909722222222225E-2</v>
      </c>
      <c r="M449" s="6">
        <f t="shared" si="13"/>
        <v>0.19943970117395945</v>
      </c>
      <c r="N449" s="5">
        <v>4.1435185185185186E-3</v>
      </c>
      <c r="O449" s="5">
        <v>1.40625E-2</v>
      </c>
      <c r="P449" s="5"/>
      <c r="Q449" s="5">
        <v>1.4837962962962963E-2</v>
      </c>
      <c r="R449" s="5"/>
      <c r="S449" s="5">
        <v>1.4652777777777778E-2</v>
      </c>
      <c r="T449" s="5">
        <v>1.9675925925925924E-3</v>
      </c>
      <c r="U449" s="5">
        <v>2.1990740740740742E-3</v>
      </c>
      <c r="V449" s="5"/>
      <c r="W449" s="5"/>
    </row>
    <row r="450" spans="1:23" x14ac:dyDescent="0.25">
      <c r="A450" s="2">
        <v>46240</v>
      </c>
      <c r="B450" s="3" t="s">
        <v>609</v>
      </c>
      <c r="C450" s="3" t="s">
        <v>632</v>
      </c>
      <c r="D450" s="3" t="s">
        <v>601</v>
      </c>
      <c r="E450" s="3" t="s">
        <v>31</v>
      </c>
      <c r="F450" s="3" t="s">
        <v>105</v>
      </c>
      <c r="G450" s="4" t="s">
        <v>33</v>
      </c>
      <c r="H450" s="4">
        <v>6</v>
      </c>
      <c r="I450" s="5">
        <v>0.17937500000000001</v>
      </c>
      <c r="J450" s="5">
        <v>6.9675925925925933E-2</v>
      </c>
      <c r="K450" s="5">
        <f t="shared" ref="K450:K513" si="14">IFERROR(J450/H450,0)</f>
        <v>1.1612654320987655E-2</v>
      </c>
      <c r="L450" s="5">
        <v>0.13824074074074075</v>
      </c>
      <c r="M450" s="6">
        <f t="shared" ref="M450:M513" si="15">IFERROR(L450/I450,0)</f>
        <v>0.77068008775325847</v>
      </c>
      <c r="N450" s="5">
        <v>5.8217592592592592E-3</v>
      </c>
      <c r="O450" s="5">
        <v>8.9467592592592585E-3</v>
      </c>
      <c r="P450" s="5"/>
      <c r="Q450" s="5"/>
      <c r="R450" s="5"/>
      <c r="S450" s="5">
        <v>1.6273148148148148E-2</v>
      </c>
      <c r="T450" s="5">
        <v>1.8518518518518518E-4</v>
      </c>
      <c r="U450" s="5">
        <v>6.9155092592592587E-2</v>
      </c>
      <c r="V450" s="5"/>
      <c r="W450" s="5">
        <v>3.7858796296296293E-2</v>
      </c>
    </row>
    <row r="451" spans="1:23" x14ac:dyDescent="0.25">
      <c r="A451" s="2">
        <v>46240</v>
      </c>
      <c r="B451" s="3" t="s">
        <v>240</v>
      </c>
      <c r="C451" s="3" t="s">
        <v>527</v>
      </c>
      <c r="D451" s="3" t="s">
        <v>233</v>
      </c>
      <c r="E451" s="3" t="s">
        <v>31</v>
      </c>
      <c r="F451" s="3" t="s">
        <v>32</v>
      </c>
      <c r="G451" s="4" t="s">
        <v>106</v>
      </c>
      <c r="H451" s="4">
        <v>1</v>
      </c>
      <c r="I451" s="5">
        <v>0.24113425925925927</v>
      </c>
      <c r="J451" s="5">
        <v>3.2754629629629631E-3</v>
      </c>
      <c r="K451" s="5">
        <f t="shared" si="14"/>
        <v>3.2754629629629631E-3</v>
      </c>
      <c r="L451" s="5">
        <v>0.22750000000000001</v>
      </c>
      <c r="M451" s="6">
        <f t="shared" si="15"/>
        <v>0.94345780935010082</v>
      </c>
      <c r="N451" s="5">
        <v>1.337962962962963E-2</v>
      </c>
      <c r="O451" s="5">
        <v>1.3113425925925926E-2</v>
      </c>
      <c r="P451" s="5"/>
      <c r="Q451" s="5"/>
      <c r="R451" s="5"/>
      <c r="S451" s="5">
        <v>1.3888888888888888E-2</v>
      </c>
      <c r="T451" s="5">
        <v>4.5347222222222219E-2</v>
      </c>
      <c r="U451" s="5"/>
      <c r="V451" s="5"/>
      <c r="W451" s="5">
        <v>0.14177083333333335</v>
      </c>
    </row>
    <row r="452" spans="1:23" x14ac:dyDescent="0.25">
      <c r="A452" s="2">
        <v>46240</v>
      </c>
      <c r="B452" s="3" t="s">
        <v>497</v>
      </c>
      <c r="C452" s="3" t="s">
        <v>498</v>
      </c>
      <c r="D452" s="3" t="s">
        <v>78</v>
      </c>
      <c r="E452" s="3" t="s">
        <v>79</v>
      </c>
      <c r="F452" s="3" t="s">
        <v>80</v>
      </c>
      <c r="G452" s="4" t="s">
        <v>81</v>
      </c>
      <c r="H452" s="4">
        <v>0</v>
      </c>
      <c r="I452" s="5">
        <v>0.34199074074074076</v>
      </c>
      <c r="J452" s="5">
        <v>0</v>
      </c>
      <c r="K452" s="5">
        <f t="shared" si="14"/>
        <v>0</v>
      </c>
      <c r="L452" s="5">
        <v>5.5972222222222222E-2</v>
      </c>
      <c r="M452" s="6">
        <f t="shared" si="15"/>
        <v>0.16366589955326924</v>
      </c>
      <c r="N452" s="5"/>
      <c r="O452" s="5">
        <v>1.3888888888888888E-2</v>
      </c>
      <c r="P452" s="5"/>
      <c r="Q452" s="5"/>
      <c r="R452" s="5"/>
      <c r="S452" s="5">
        <v>4.1192129629629627E-2</v>
      </c>
      <c r="T452" s="5">
        <v>8.4490740740740739E-4</v>
      </c>
      <c r="U452" s="5"/>
      <c r="V452" s="5"/>
      <c r="W452" s="5"/>
    </row>
    <row r="453" spans="1:23" x14ac:dyDescent="0.25">
      <c r="A453" s="2">
        <v>46240</v>
      </c>
      <c r="B453" s="3" t="s">
        <v>309</v>
      </c>
      <c r="C453" s="3" t="s">
        <v>310</v>
      </c>
      <c r="D453" s="3" t="s">
        <v>78</v>
      </c>
      <c r="E453" s="3" t="s">
        <v>79</v>
      </c>
      <c r="F453" s="3" t="s">
        <v>80</v>
      </c>
      <c r="G453" s="4" t="s">
        <v>81</v>
      </c>
      <c r="H453" s="4">
        <v>0</v>
      </c>
      <c r="I453" s="5">
        <v>0.33906249999999999</v>
      </c>
      <c r="J453" s="5">
        <v>0</v>
      </c>
      <c r="K453" s="5">
        <f t="shared" si="14"/>
        <v>0</v>
      </c>
      <c r="L453" s="5">
        <v>6.5752314814814819E-2</v>
      </c>
      <c r="M453" s="6">
        <f t="shared" si="15"/>
        <v>0.19392387779484554</v>
      </c>
      <c r="N453" s="5">
        <v>1.1307870370370371E-2</v>
      </c>
      <c r="O453" s="5">
        <v>4.1435185185185186E-2</v>
      </c>
      <c r="P453" s="5"/>
      <c r="Q453" s="5"/>
      <c r="R453" s="5"/>
      <c r="S453" s="5">
        <v>8.1134259259259267E-3</v>
      </c>
      <c r="T453" s="5">
        <v>4.3055555555555555E-3</v>
      </c>
      <c r="U453" s="5">
        <v>5.6712962962962967E-4</v>
      </c>
      <c r="V453" s="5"/>
      <c r="W453" s="5"/>
    </row>
    <row r="454" spans="1:23" x14ac:dyDescent="0.25">
      <c r="A454" s="2">
        <v>46240</v>
      </c>
      <c r="B454" s="3" t="s">
        <v>160</v>
      </c>
      <c r="C454" s="3" t="s">
        <v>544</v>
      </c>
      <c r="D454" s="3" t="s">
        <v>146</v>
      </c>
      <c r="E454" s="3" t="s">
        <v>79</v>
      </c>
      <c r="F454" s="3" t="s">
        <v>147</v>
      </c>
      <c r="G454" s="4" t="s">
        <v>106</v>
      </c>
      <c r="H454" s="4">
        <v>16</v>
      </c>
      <c r="I454" s="5">
        <v>0.25135416666666666</v>
      </c>
      <c r="J454" s="5">
        <v>4.7418981481481479E-2</v>
      </c>
      <c r="K454" s="5">
        <f t="shared" si="14"/>
        <v>2.9636863425925924E-3</v>
      </c>
      <c r="L454" s="5">
        <v>5.662037037037037E-2</v>
      </c>
      <c r="M454" s="6">
        <f t="shared" si="15"/>
        <v>0.22526131601970806</v>
      </c>
      <c r="N454" s="5">
        <v>8.1597222222222227E-3</v>
      </c>
      <c r="O454" s="5">
        <v>1.6354166666666666E-2</v>
      </c>
      <c r="P454" s="5"/>
      <c r="Q454" s="5">
        <v>9.3981481481481485E-3</v>
      </c>
      <c r="R454" s="5"/>
      <c r="S454" s="5">
        <v>1.5173611111111112E-2</v>
      </c>
      <c r="T454" s="5">
        <v>1.5046296296296297E-4</v>
      </c>
      <c r="U454" s="5">
        <v>6.9560185185185185E-3</v>
      </c>
      <c r="V454" s="5"/>
      <c r="W454" s="5"/>
    </row>
    <row r="455" spans="1:23" x14ac:dyDescent="0.25">
      <c r="A455" s="2">
        <v>46240</v>
      </c>
      <c r="B455" s="3" t="s">
        <v>645</v>
      </c>
      <c r="C455" s="3" t="s">
        <v>646</v>
      </c>
      <c r="D455" s="3" t="s">
        <v>100</v>
      </c>
      <c r="E455" s="3" t="s">
        <v>31</v>
      </c>
      <c r="F455" s="3" t="s">
        <v>32</v>
      </c>
      <c r="G455" s="4" t="s">
        <v>33</v>
      </c>
      <c r="H455" s="4">
        <v>29</v>
      </c>
      <c r="I455" s="5">
        <v>0.2645601851851852</v>
      </c>
      <c r="J455" s="5">
        <v>0.20215277777777776</v>
      </c>
      <c r="K455" s="5">
        <f t="shared" si="14"/>
        <v>6.9707854406130263E-3</v>
      </c>
      <c r="L455" s="5">
        <v>3.1504629629629632E-2</v>
      </c>
      <c r="M455" s="6">
        <f t="shared" si="15"/>
        <v>0.11908303438621053</v>
      </c>
      <c r="N455" s="5">
        <v>2.3726851851851851E-3</v>
      </c>
      <c r="O455" s="5">
        <v>1.3819444444444445E-2</v>
      </c>
      <c r="P455" s="5"/>
      <c r="Q455" s="5"/>
      <c r="R455" s="5"/>
      <c r="S455" s="5">
        <v>1.3796296296296296E-2</v>
      </c>
      <c r="T455" s="5">
        <v>7.7546296296296293E-4</v>
      </c>
      <c r="U455" s="5">
        <v>6.9444444444444447E-4</v>
      </c>
      <c r="V455" s="5"/>
      <c r="W455" s="5"/>
    </row>
    <row r="456" spans="1:23" x14ac:dyDescent="0.25">
      <c r="A456" s="2">
        <v>46240</v>
      </c>
      <c r="B456" s="3" t="s">
        <v>120</v>
      </c>
      <c r="C456" s="3" t="s">
        <v>558</v>
      </c>
      <c r="D456" s="3" t="s">
        <v>233</v>
      </c>
      <c r="E456" s="3" t="s">
        <v>31</v>
      </c>
      <c r="F456" s="3" t="s">
        <v>32</v>
      </c>
      <c r="G456" s="4" t="s">
        <v>106</v>
      </c>
      <c r="H456" s="4">
        <v>26</v>
      </c>
      <c r="I456" s="5">
        <v>0.23315972222222223</v>
      </c>
      <c r="J456" s="5">
        <v>7.4664351851851857E-2</v>
      </c>
      <c r="K456" s="5">
        <f t="shared" si="14"/>
        <v>2.8717058404558408E-3</v>
      </c>
      <c r="L456" s="5">
        <v>0.10174768518518519</v>
      </c>
      <c r="M456" s="6">
        <f t="shared" si="15"/>
        <v>0.43638620004964013</v>
      </c>
      <c r="N456" s="5">
        <v>7.2569444444444443E-3</v>
      </c>
      <c r="O456" s="5">
        <v>1.3645833333333333E-2</v>
      </c>
      <c r="P456" s="5"/>
      <c r="Q456" s="5"/>
      <c r="R456" s="5"/>
      <c r="S456" s="5">
        <v>1.3865740740740741E-2</v>
      </c>
      <c r="T456" s="5">
        <v>2.1365740740740741E-2</v>
      </c>
      <c r="U456" s="5">
        <v>3.0787037037037037E-3</v>
      </c>
      <c r="V456" s="5"/>
      <c r="W456" s="5">
        <v>4.2534722222222224E-2</v>
      </c>
    </row>
    <row r="457" spans="1:23" x14ac:dyDescent="0.25">
      <c r="A457" s="2">
        <v>46240</v>
      </c>
      <c r="B457" s="3" t="s">
        <v>46</v>
      </c>
      <c r="C457" s="3" t="s">
        <v>507</v>
      </c>
      <c r="D457" s="3" t="s">
        <v>100</v>
      </c>
      <c r="E457" s="3" t="s">
        <v>31</v>
      </c>
      <c r="F457" s="3" t="s">
        <v>32</v>
      </c>
      <c r="G457" s="4" t="s">
        <v>33</v>
      </c>
      <c r="H457" s="4">
        <v>30</v>
      </c>
      <c r="I457" s="5">
        <v>0.28113425925925928</v>
      </c>
      <c r="J457" s="5">
        <v>0.15489583333333334</v>
      </c>
      <c r="K457" s="5">
        <f t="shared" si="14"/>
        <v>5.1631944444444451E-3</v>
      </c>
      <c r="L457" s="5">
        <v>4.2997685185185187E-2</v>
      </c>
      <c r="M457" s="6">
        <f t="shared" si="15"/>
        <v>0.15294359818855496</v>
      </c>
      <c r="N457" s="5">
        <v>3.1597222222222222E-3</v>
      </c>
      <c r="O457" s="5">
        <v>1.4293981481481482E-2</v>
      </c>
      <c r="P457" s="5"/>
      <c r="Q457" s="5"/>
      <c r="R457" s="5"/>
      <c r="S457" s="5">
        <v>1.4155092592592592E-2</v>
      </c>
      <c r="T457" s="5">
        <v>2.6620370370370372E-4</v>
      </c>
      <c r="U457" s="5">
        <v>1.8171296296296297E-3</v>
      </c>
      <c r="V457" s="5"/>
      <c r="W457" s="5">
        <v>9.2476851851851852E-3</v>
      </c>
    </row>
    <row r="458" spans="1:23" x14ac:dyDescent="0.25">
      <c r="A458" s="2">
        <v>46240</v>
      </c>
      <c r="B458" s="3" t="s">
        <v>287</v>
      </c>
      <c r="C458" s="3" t="s">
        <v>542</v>
      </c>
      <c r="D458" s="3" t="s">
        <v>104</v>
      </c>
      <c r="E458" s="3" t="s">
        <v>31</v>
      </c>
      <c r="F458" s="3" t="s">
        <v>105</v>
      </c>
      <c r="G458" s="4" t="s">
        <v>106</v>
      </c>
      <c r="H458" s="4">
        <v>3</v>
      </c>
      <c r="I458" s="5">
        <v>0.23534722222222224</v>
      </c>
      <c r="J458" s="5">
        <v>0.13769675925925925</v>
      </c>
      <c r="K458" s="5">
        <f t="shared" si="14"/>
        <v>4.5898919753086416E-2</v>
      </c>
      <c r="L458" s="5">
        <v>0.10256944444444445</v>
      </c>
      <c r="M458" s="6">
        <f t="shared" si="15"/>
        <v>0.43582177633520214</v>
      </c>
      <c r="N458" s="5">
        <v>2.4618055555555556E-2</v>
      </c>
      <c r="O458" s="5">
        <v>2.0694444444444446E-2</v>
      </c>
      <c r="P458" s="5"/>
      <c r="Q458" s="5"/>
      <c r="R458" s="5"/>
      <c r="S458" s="5">
        <v>1.3483796296296296E-2</v>
      </c>
      <c r="T458" s="5">
        <v>4.9768518518518521E-4</v>
      </c>
      <c r="U458" s="5"/>
      <c r="V458" s="5"/>
      <c r="W458" s="5">
        <v>4.327546296296296E-2</v>
      </c>
    </row>
    <row r="459" spans="1:23" x14ac:dyDescent="0.25">
      <c r="A459" s="2">
        <v>46240</v>
      </c>
      <c r="B459" s="3" t="s">
        <v>499</v>
      </c>
      <c r="C459" s="3" t="s">
        <v>517</v>
      </c>
      <c r="D459" s="3" t="s">
        <v>146</v>
      </c>
      <c r="E459" s="3" t="s">
        <v>79</v>
      </c>
      <c r="F459" s="3" t="s">
        <v>147</v>
      </c>
      <c r="G459" s="4" t="s">
        <v>106</v>
      </c>
      <c r="H459" s="4">
        <v>17</v>
      </c>
      <c r="I459" s="5">
        <v>0.31574074074074077</v>
      </c>
      <c r="J459" s="5">
        <v>5.5046296296296295E-2</v>
      </c>
      <c r="K459" s="5">
        <f t="shared" si="14"/>
        <v>3.2380174291938998E-3</v>
      </c>
      <c r="L459" s="5">
        <v>0.10319444444444445</v>
      </c>
      <c r="M459" s="6">
        <f t="shared" si="15"/>
        <v>0.32683284457478007</v>
      </c>
      <c r="N459" s="5">
        <v>9.1898148148148156E-3</v>
      </c>
      <c r="O459" s="5">
        <v>1.3622685185185186E-2</v>
      </c>
      <c r="P459" s="5"/>
      <c r="Q459" s="5">
        <v>2.9479166666666667E-2</v>
      </c>
      <c r="R459" s="5"/>
      <c r="S459" s="5">
        <v>1.4212962962962964E-2</v>
      </c>
      <c r="T459" s="5">
        <v>2.8935185185185184E-4</v>
      </c>
      <c r="U459" s="5">
        <v>6.9444444444444447E-4</v>
      </c>
      <c r="V459" s="5"/>
      <c r="W459" s="5">
        <v>3.5694444444444445E-2</v>
      </c>
    </row>
    <row r="460" spans="1:23" x14ac:dyDescent="0.25">
      <c r="A460" s="2">
        <v>46240</v>
      </c>
      <c r="B460" s="3" t="s">
        <v>647</v>
      </c>
      <c r="C460" s="3" t="s">
        <v>648</v>
      </c>
      <c r="D460" s="3" t="s">
        <v>233</v>
      </c>
      <c r="E460" s="3" t="s">
        <v>31</v>
      </c>
      <c r="F460" s="3" t="s">
        <v>32</v>
      </c>
      <c r="G460" s="4" t="s">
        <v>106</v>
      </c>
      <c r="H460" s="4">
        <v>15</v>
      </c>
      <c r="I460" s="5">
        <v>0.12560185185185185</v>
      </c>
      <c r="J460" s="5">
        <v>5.707175925925926E-2</v>
      </c>
      <c r="K460" s="5">
        <f t="shared" si="14"/>
        <v>3.8047839506172841E-3</v>
      </c>
      <c r="L460" s="5">
        <v>1.9375E-2</v>
      </c>
      <c r="M460" s="6">
        <f t="shared" si="15"/>
        <v>0.15425727976409878</v>
      </c>
      <c r="N460" s="5">
        <v>4.6527777777777774E-3</v>
      </c>
      <c r="O460" s="5"/>
      <c r="P460" s="5"/>
      <c r="Q460" s="5">
        <v>9.2013888888888892E-3</v>
      </c>
      <c r="R460" s="5"/>
      <c r="S460" s="5"/>
      <c r="T460" s="5">
        <v>5.3009259259259259E-3</v>
      </c>
      <c r="U460" s="5">
        <v>2.0833333333333335E-4</v>
      </c>
      <c r="V460" s="5"/>
      <c r="W460" s="5"/>
    </row>
    <row r="461" spans="1:23" x14ac:dyDescent="0.25">
      <c r="A461" s="2">
        <v>46240</v>
      </c>
      <c r="B461" s="3" t="s">
        <v>649</v>
      </c>
      <c r="C461" s="3" t="s">
        <v>650</v>
      </c>
      <c r="D461" s="3" t="s">
        <v>104</v>
      </c>
      <c r="E461" s="3" t="s">
        <v>31</v>
      </c>
      <c r="F461" s="3" t="s">
        <v>105</v>
      </c>
      <c r="G461" s="4" t="s">
        <v>106</v>
      </c>
      <c r="H461" s="4">
        <v>12</v>
      </c>
      <c r="I461" s="5">
        <v>0.25472222222222224</v>
      </c>
      <c r="J461" s="5">
        <v>0.18118055555555557</v>
      </c>
      <c r="K461" s="5">
        <f t="shared" si="14"/>
        <v>1.509837962962963E-2</v>
      </c>
      <c r="L461" s="5">
        <v>9.1076388888888887E-2</v>
      </c>
      <c r="M461" s="6">
        <f t="shared" si="15"/>
        <v>0.35755179934569242</v>
      </c>
      <c r="N461" s="5">
        <v>6.5393518518518517E-3</v>
      </c>
      <c r="O461" s="5">
        <v>1.4687499999999999E-2</v>
      </c>
      <c r="P461" s="5"/>
      <c r="Q461" s="5"/>
      <c r="R461" s="5"/>
      <c r="S461" s="5">
        <v>1.3738425925925926E-2</v>
      </c>
      <c r="T461" s="5">
        <v>1.273148148148148E-4</v>
      </c>
      <c r="U461" s="5">
        <v>1.5821759259259258E-2</v>
      </c>
      <c r="V461" s="5"/>
      <c r="W461" s="5">
        <v>4.0162037037037038E-2</v>
      </c>
    </row>
    <row r="462" spans="1:23" x14ac:dyDescent="0.25">
      <c r="A462" s="2">
        <v>46240</v>
      </c>
      <c r="B462" s="3" t="s">
        <v>651</v>
      </c>
      <c r="C462" s="3" t="s">
        <v>652</v>
      </c>
      <c r="D462" s="3" t="s">
        <v>100</v>
      </c>
      <c r="E462" s="3" t="s">
        <v>31</v>
      </c>
      <c r="F462" s="3" t="s">
        <v>32</v>
      </c>
      <c r="G462" s="4" t="s">
        <v>33</v>
      </c>
      <c r="H462" s="4">
        <v>30</v>
      </c>
      <c r="I462" s="5">
        <v>0.26396990740740739</v>
      </c>
      <c r="J462" s="5">
        <v>0.18190972222222221</v>
      </c>
      <c r="K462" s="5">
        <f t="shared" si="14"/>
        <v>6.0636574074074074E-3</v>
      </c>
      <c r="L462" s="5">
        <v>4.611111111111111E-2</v>
      </c>
      <c r="M462" s="6">
        <f t="shared" si="15"/>
        <v>0.17468321129477793</v>
      </c>
      <c r="N462" s="5">
        <v>4.363425925925926E-3</v>
      </c>
      <c r="O462" s="5">
        <v>1.8587962962962962E-2</v>
      </c>
      <c r="P462" s="5"/>
      <c r="Q462" s="5">
        <v>1.4699074074074074E-3</v>
      </c>
      <c r="R462" s="5"/>
      <c r="S462" s="5">
        <v>1.9328703703703702E-2</v>
      </c>
      <c r="T462" s="5">
        <v>1.8981481481481482E-3</v>
      </c>
      <c r="U462" s="5">
        <v>4.6296296296296298E-4</v>
      </c>
      <c r="V462" s="5"/>
      <c r="W462" s="5"/>
    </row>
    <row r="463" spans="1:23" x14ac:dyDescent="0.25">
      <c r="A463" s="2">
        <v>46240</v>
      </c>
      <c r="B463" s="3" t="s">
        <v>246</v>
      </c>
      <c r="C463" s="3" t="s">
        <v>568</v>
      </c>
      <c r="D463" s="3" t="s">
        <v>233</v>
      </c>
      <c r="E463" s="3" t="s">
        <v>31</v>
      </c>
      <c r="F463" s="3" t="s">
        <v>32</v>
      </c>
      <c r="G463" s="4" t="s">
        <v>106</v>
      </c>
      <c r="H463" s="4">
        <v>19</v>
      </c>
      <c r="I463" s="5">
        <v>0.22508101851851853</v>
      </c>
      <c r="J463" s="5">
        <v>7.8472222222222221E-2</v>
      </c>
      <c r="K463" s="5">
        <f t="shared" si="14"/>
        <v>4.1301169590643276E-3</v>
      </c>
      <c r="L463" s="5">
        <v>8.6504629629629626E-2</v>
      </c>
      <c r="M463" s="6">
        <f t="shared" si="15"/>
        <v>0.38432663135702161</v>
      </c>
      <c r="N463" s="5">
        <v>5.5439814814814813E-3</v>
      </c>
      <c r="O463" s="5">
        <v>1.3599537037037037E-2</v>
      </c>
      <c r="P463" s="5"/>
      <c r="Q463" s="5">
        <v>4.0740740740740737E-3</v>
      </c>
      <c r="R463" s="5">
        <v>2.1990740740740742E-3</v>
      </c>
      <c r="S463" s="5">
        <v>1.4016203703703704E-2</v>
      </c>
      <c r="T463" s="5">
        <v>4.0625000000000001E-3</v>
      </c>
      <c r="U463" s="5">
        <v>2.6620370370370372E-4</v>
      </c>
      <c r="V463" s="5"/>
      <c r="W463" s="5">
        <v>4.2731481481481481E-2</v>
      </c>
    </row>
    <row r="464" spans="1:23" x14ac:dyDescent="0.25">
      <c r="A464" s="2">
        <v>46240</v>
      </c>
      <c r="B464" s="3" t="s">
        <v>48</v>
      </c>
      <c r="C464" s="3" t="s">
        <v>508</v>
      </c>
      <c r="D464" s="3" t="s">
        <v>100</v>
      </c>
      <c r="E464" s="3" t="s">
        <v>31</v>
      </c>
      <c r="F464" s="3" t="s">
        <v>32</v>
      </c>
      <c r="G464" s="4" t="s">
        <v>33</v>
      </c>
      <c r="H464" s="4">
        <v>32</v>
      </c>
      <c r="I464" s="5">
        <v>0.26571759259259259</v>
      </c>
      <c r="J464" s="5">
        <v>0.13071759259259258</v>
      </c>
      <c r="K464" s="5">
        <f t="shared" si="14"/>
        <v>4.0849247685185181E-3</v>
      </c>
      <c r="L464" s="5">
        <v>5.9421296296296298E-2</v>
      </c>
      <c r="M464" s="6">
        <f t="shared" si="15"/>
        <v>0.22362575137207075</v>
      </c>
      <c r="N464" s="5">
        <v>6.145833333333333E-3</v>
      </c>
      <c r="O464" s="5">
        <v>1.5324074074074073E-2</v>
      </c>
      <c r="P464" s="5"/>
      <c r="Q464" s="5"/>
      <c r="R464" s="5"/>
      <c r="S464" s="5">
        <v>1.3912037037037037E-2</v>
      </c>
      <c r="T464" s="5">
        <v>1.273148148148148E-4</v>
      </c>
      <c r="U464" s="5"/>
      <c r="V464" s="5"/>
      <c r="W464" s="5">
        <v>2.3912037037037037E-2</v>
      </c>
    </row>
    <row r="465" spans="1:23" x14ac:dyDescent="0.25">
      <c r="A465" s="2">
        <v>46240</v>
      </c>
      <c r="B465" s="3" t="s">
        <v>50</v>
      </c>
      <c r="C465" s="3" t="s">
        <v>538</v>
      </c>
      <c r="D465" s="3" t="s">
        <v>100</v>
      </c>
      <c r="E465" s="3" t="s">
        <v>31</v>
      </c>
      <c r="F465" s="3" t="s">
        <v>32</v>
      </c>
      <c r="G465" s="4" t="s">
        <v>33</v>
      </c>
      <c r="H465" s="4">
        <v>5</v>
      </c>
      <c r="I465" s="5">
        <v>0.20140046296296296</v>
      </c>
      <c r="J465" s="5">
        <v>5.8159722222222224E-2</v>
      </c>
      <c r="K465" s="5">
        <f t="shared" si="14"/>
        <v>1.1631944444444445E-2</v>
      </c>
      <c r="L465" s="5">
        <v>0.16903935185185184</v>
      </c>
      <c r="M465" s="6">
        <f t="shared" si="15"/>
        <v>0.83931957933452095</v>
      </c>
      <c r="N465" s="5">
        <v>1.0243055555555556E-2</v>
      </c>
      <c r="O465" s="5">
        <v>8.5879629629629622E-3</v>
      </c>
      <c r="P465" s="5"/>
      <c r="Q465" s="5"/>
      <c r="R465" s="5"/>
      <c r="S465" s="5">
        <v>5.9143518518518521E-3</v>
      </c>
      <c r="T465" s="5">
        <v>2.1412037037037038E-3</v>
      </c>
      <c r="U465" s="5">
        <v>4.2824074074074075E-4</v>
      </c>
      <c r="V465" s="5"/>
      <c r="W465" s="5">
        <v>0.14172453703703702</v>
      </c>
    </row>
    <row r="466" spans="1:23" x14ac:dyDescent="0.25">
      <c r="A466" s="2">
        <v>46240</v>
      </c>
      <c r="B466" s="3" t="s">
        <v>242</v>
      </c>
      <c r="C466" s="3" t="s">
        <v>603</v>
      </c>
      <c r="D466" s="3" t="s">
        <v>233</v>
      </c>
      <c r="E466" s="3" t="s">
        <v>31</v>
      </c>
      <c r="F466" s="3" t="s">
        <v>32</v>
      </c>
      <c r="G466" s="4" t="s">
        <v>106</v>
      </c>
      <c r="H466" s="4">
        <v>29</v>
      </c>
      <c r="I466" s="5">
        <v>0.28152777777777777</v>
      </c>
      <c r="J466" s="5">
        <v>0.19902777777777778</v>
      </c>
      <c r="K466" s="5">
        <f t="shared" si="14"/>
        <v>6.8630268199233718E-3</v>
      </c>
      <c r="L466" s="5">
        <v>9.0509259259259258E-3</v>
      </c>
      <c r="M466" s="6">
        <f t="shared" si="15"/>
        <v>3.2149317546456176E-2</v>
      </c>
      <c r="N466" s="5"/>
      <c r="O466" s="5"/>
      <c r="P466" s="5"/>
      <c r="Q466" s="5">
        <v>5.8333333333333336E-3</v>
      </c>
      <c r="R466" s="5"/>
      <c r="S466" s="5"/>
      <c r="T466" s="5">
        <v>2.6620370370370372E-4</v>
      </c>
      <c r="U466" s="5">
        <v>1.9560185185185184E-3</v>
      </c>
      <c r="V466" s="5"/>
      <c r="W466" s="5">
        <v>2.3148148148148147E-5</v>
      </c>
    </row>
    <row r="467" spans="1:23" x14ac:dyDescent="0.25">
      <c r="A467" s="2">
        <v>46240</v>
      </c>
      <c r="B467" s="3" t="s">
        <v>248</v>
      </c>
      <c r="C467" s="3" t="s">
        <v>249</v>
      </c>
      <c r="D467" s="3" t="s">
        <v>78</v>
      </c>
      <c r="E467" s="3" t="s">
        <v>79</v>
      </c>
      <c r="F467" s="3" t="s">
        <v>80</v>
      </c>
      <c r="G467" s="4" t="s">
        <v>81</v>
      </c>
      <c r="H467" s="4">
        <v>0</v>
      </c>
      <c r="I467" s="5">
        <v>0.34651620370370373</v>
      </c>
      <c r="J467" s="5">
        <v>0</v>
      </c>
      <c r="K467" s="5">
        <f t="shared" si="14"/>
        <v>0</v>
      </c>
      <c r="L467" s="5">
        <v>1.2430555555555556E-2</v>
      </c>
      <c r="M467" s="6">
        <f t="shared" si="15"/>
        <v>3.5872941648017631E-2</v>
      </c>
      <c r="N467" s="5"/>
      <c r="O467" s="5"/>
      <c r="P467" s="5"/>
      <c r="Q467" s="5"/>
      <c r="R467" s="5"/>
      <c r="S467" s="5"/>
      <c r="T467" s="5">
        <v>5.7870370370370373E-5</v>
      </c>
      <c r="U467" s="5">
        <v>1.1689814814814816E-3</v>
      </c>
      <c r="V467" s="5"/>
      <c r="W467" s="5">
        <v>1.1111111111111112E-2</v>
      </c>
    </row>
    <row r="468" spans="1:23" x14ac:dyDescent="0.25">
      <c r="A468" s="2">
        <v>46240</v>
      </c>
      <c r="B468" s="3" t="s">
        <v>289</v>
      </c>
      <c r="C468" s="3" t="s">
        <v>559</v>
      </c>
      <c r="D468" s="3" t="s">
        <v>104</v>
      </c>
      <c r="E468" s="3" t="s">
        <v>31</v>
      </c>
      <c r="F468" s="3" t="s">
        <v>105</v>
      </c>
      <c r="G468" s="4" t="s">
        <v>106</v>
      </c>
      <c r="H468" s="4">
        <v>13</v>
      </c>
      <c r="I468" s="5">
        <v>0.24560185185185185</v>
      </c>
      <c r="J468" s="5">
        <v>0.18</v>
      </c>
      <c r="K468" s="5">
        <f t="shared" si="14"/>
        <v>1.3846153846153845E-2</v>
      </c>
      <c r="L468" s="5">
        <v>8.0289351851851848E-2</v>
      </c>
      <c r="M468" s="6">
        <f t="shared" si="15"/>
        <v>0.32690857681432611</v>
      </c>
      <c r="N468" s="5">
        <v>2.3101851851851853E-2</v>
      </c>
      <c r="O468" s="5">
        <v>2.4722222222222222E-2</v>
      </c>
      <c r="P468" s="5"/>
      <c r="Q468" s="5"/>
      <c r="R468" s="5"/>
      <c r="S468" s="5">
        <v>2.0613425925925927E-2</v>
      </c>
      <c r="T468" s="5">
        <v>1.0879629629629629E-3</v>
      </c>
      <c r="U468" s="5">
        <v>2.199074074074074E-4</v>
      </c>
      <c r="V468" s="5"/>
      <c r="W468" s="5">
        <v>1.0532407407407407E-2</v>
      </c>
    </row>
    <row r="469" spans="1:23" x14ac:dyDescent="0.25">
      <c r="A469" s="2">
        <v>46240</v>
      </c>
      <c r="B469" s="3" t="s">
        <v>252</v>
      </c>
      <c r="C469" s="3" t="s">
        <v>553</v>
      </c>
      <c r="D469" s="3" t="s">
        <v>78</v>
      </c>
      <c r="E469" s="3" t="s">
        <v>79</v>
      </c>
      <c r="F469" s="3" t="s">
        <v>80</v>
      </c>
      <c r="G469" s="4" t="s">
        <v>81</v>
      </c>
      <c r="H469" s="4">
        <v>0</v>
      </c>
      <c r="I469" s="5">
        <v>0.35197916666666668</v>
      </c>
      <c r="J469" s="5">
        <v>0</v>
      </c>
      <c r="K469" s="5">
        <f t="shared" si="14"/>
        <v>0</v>
      </c>
      <c r="L469" s="5">
        <v>9.6226851851851855E-2</v>
      </c>
      <c r="M469" s="6">
        <f t="shared" si="15"/>
        <v>0.27338791884515473</v>
      </c>
      <c r="N469" s="5"/>
      <c r="O469" s="5"/>
      <c r="P469" s="5"/>
      <c r="Q469" s="5"/>
      <c r="R469" s="5">
        <v>9.6226851851851855E-2</v>
      </c>
      <c r="S469" s="5"/>
      <c r="T469" s="5"/>
      <c r="U469" s="5"/>
      <c r="V469" s="5"/>
      <c r="W469" s="5"/>
    </row>
    <row r="470" spans="1:23" x14ac:dyDescent="0.25">
      <c r="A470" s="2">
        <v>46240</v>
      </c>
      <c r="B470" s="3" t="s">
        <v>500</v>
      </c>
      <c r="C470" s="3" t="s">
        <v>518</v>
      </c>
      <c r="D470" s="3" t="s">
        <v>274</v>
      </c>
      <c r="E470" s="3" t="s">
        <v>79</v>
      </c>
      <c r="F470" s="3" t="s">
        <v>147</v>
      </c>
      <c r="G470" s="4" t="s">
        <v>33</v>
      </c>
      <c r="H470" s="4">
        <v>22</v>
      </c>
      <c r="I470" s="5">
        <v>0.26591435185185186</v>
      </c>
      <c r="J470" s="5">
        <v>9.1099537037037034E-2</v>
      </c>
      <c r="K470" s="5">
        <f t="shared" si="14"/>
        <v>4.1408880471380466E-3</v>
      </c>
      <c r="L470" s="5">
        <v>3.1678240740740743E-2</v>
      </c>
      <c r="M470" s="6">
        <f t="shared" si="15"/>
        <v>0.11912948857453755</v>
      </c>
      <c r="N470" s="5">
        <v>2.1412037037037038E-3</v>
      </c>
      <c r="O470" s="5">
        <v>1.4409722222222223E-2</v>
      </c>
      <c r="P470" s="5"/>
      <c r="Q470" s="5"/>
      <c r="R470" s="5"/>
      <c r="S470" s="5">
        <v>1.3703703703703704E-2</v>
      </c>
      <c r="T470" s="5">
        <v>6.9444444444444444E-5</v>
      </c>
      <c r="U470" s="5">
        <v>1.238425925925926E-3</v>
      </c>
      <c r="V470" s="5"/>
      <c r="W470" s="5"/>
    </row>
    <row r="471" spans="1:23" x14ac:dyDescent="0.25">
      <c r="A471" s="2">
        <v>46240</v>
      </c>
      <c r="B471" s="3" t="s">
        <v>683</v>
      </c>
      <c r="C471" s="3" t="s">
        <v>684</v>
      </c>
      <c r="D471" s="3" t="s">
        <v>233</v>
      </c>
      <c r="E471" s="3" t="s">
        <v>31</v>
      </c>
      <c r="F471" s="3" t="s">
        <v>32</v>
      </c>
      <c r="G471" s="4" t="s">
        <v>106</v>
      </c>
      <c r="H471" s="4">
        <v>35</v>
      </c>
      <c r="I471" s="5">
        <v>0.26429398148148148</v>
      </c>
      <c r="J471" s="5">
        <v>0.16804398148148147</v>
      </c>
      <c r="K471" s="5">
        <f t="shared" si="14"/>
        <v>4.8012566137566135E-3</v>
      </c>
      <c r="L471" s="5">
        <v>5.4722222222222221E-2</v>
      </c>
      <c r="M471" s="6">
        <f t="shared" si="15"/>
        <v>0.20705058024961681</v>
      </c>
      <c r="N471" s="5">
        <v>8.1828703703703699E-3</v>
      </c>
      <c r="O471" s="5">
        <v>1.8865740740740742E-2</v>
      </c>
      <c r="P471" s="5"/>
      <c r="Q471" s="5"/>
      <c r="R471" s="5"/>
      <c r="S471" s="5">
        <v>1.3703703703703704E-2</v>
      </c>
      <c r="T471" s="5">
        <v>6.7129629629629625E-4</v>
      </c>
      <c r="U471" s="5">
        <v>1.3287037037037036E-2</v>
      </c>
      <c r="V471" s="5"/>
      <c r="W471" s="5"/>
    </row>
    <row r="472" spans="1:23" x14ac:dyDescent="0.25">
      <c r="A472" s="2">
        <v>46240</v>
      </c>
      <c r="B472" s="3" t="s">
        <v>653</v>
      </c>
      <c r="C472" s="3" t="s">
        <v>654</v>
      </c>
      <c r="D472" s="3" t="s">
        <v>100</v>
      </c>
      <c r="E472" s="3" t="s">
        <v>31</v>
      </c>
      <c r="F472" s="3" t="s">
        <v>32</v>
      </c>
      <c r="G472" s="4" t="s">
        <v>33</v>
      </c>
      <c r="H472" s="4">
        <v>25</v>
      </c>
      <c r="I472" s="5">
        <v>0.2555324074074074</v>
      </c>
      <c r="J472" s="5">
        <v>0.16787037037037036</v>
      </c>
      <c r="K472" s="5">
        <f t="shared" si="14"/>
        <v>6.714814814814815E-3</v>
      </c>
      <c r="L472" s="5">
        <v>4.6273148148148147E-2</v>
      </c>
      <c r="M472" s="6">
        <f t="shared" si="15"/>
        <v>0.18108524322855332</v>
      </c>
      <c r="N472" s="5">
        <v>1.269675925925926E-2</v>
      </c>
      <c r="O472" s="5">
        <v>1.4583333333333334E-2</v>
      </c>
      <c r="P472" s="5"/>
      <c r="Q472" s="5">
        <v>3.8194444444444446E-4</v>
      </c>
      <c r="R472" s="5"/>
      <c r="S472" s="5">
        <v>1.4247685185185184E-2</v>
      </c>
      <c r="T472" s="5">
        <v>2.5115740740740741E-3</v>
      </c>
      <c r="U472" s="5">
        <v>1.7939814814814815E-3</v>
      </c>
      <c r="V472" s="5"/>
      <c r="W472" s="5"/>
    </row>
    <row r="473" spans="1:23" x14ac:dyDescent="0.25">
      <c r="A473" s="2">
        <v>46240</v>
      </c>
      <c r="B473" s="3" t="s">
        <v>52</v>
      </c>
      <c r="C473" s="3" t="s">
        <v>509</v>
      </c>
      <c r="D473" s="3" t="s">
        <v>100</v>
      </c>
      <c r="E473" s="3" t="s">
        <v>31</v>
      </c>
      <c r="F473" s="3" t="s">
        <v>32</v>
      </c>
      <c r="G473" s="4" t="s">
        <v>33</v>
      </c>
      <c r="H473" s="4">
        <v>9</v>
      </c>
      <c r="I473" s="5">
        <v>0.26063657407407409</v>
      </c>
      <c r="J473" s="5">
        <v>4.3807870370370372E-2</v>
      </c>
      <c r="K473" s="5">
        <f t="shared" si="14"/>
        <v>4.8675411522633751E-3</v>
      </c>
      <c r="L473" s="5">
        <v>0.21311342592592591</v>
      </c>
      <c r="M473" s="6">
        <f t="shared" si="15"/>
        <v>0.81766508281895278</v>
      </c>
      <c r="N473" s="5">
        <v>4.2592592592592595E-3</v>
      </c>
      <c r="O473" s="5">
        <v>1.4699074074074074E-2</v>
      </c>
      <c r="P473" s="5"/>
      <c r="Q473" s="5"/>
      <c r="R473" s="5"/>
      <c r="S473" s="5">
        <v>1.3888888888888888E-2</v>
      </c>
      <c r="T473" s="5">
        <v>5.3240740740740744E-4</v>
      </c>
      <c r="U473" s="5">
        <v>2.4305555555555555E-4</v>
      </c>
      <c r="V473" s="5"/>
      <c r="W473" s="5">
        <v>0.17947916666666666</v>
      </c>
    </row>
    <row r="474" spans="1:23" x14ac:dyDescent="0.25">
      <c r="A474" s="2">
        <v>46240</v>
      </c>
      <c r="B474" s="3" t="s">
        <v>164</v>
      </c>
      <c r="C474" s="3" t="s">
        <v>519</v>
      </c>
      <c r="D474" s="3" t="s">
        <v>146</v>
      </c>
      <c r="E474" s="3" t="s">
        <v>79</v>
      </c>
      <c r="F474" s="3" t="s">
        <v>147</v>
      </c>
      <c r="G474" s="4" t="s">
        <v>106</v>
      </c>
      <c r="H474" s="4">
        <v>20</v>
      </c>
      <c r="I474" s="5">
        <v>0.26527777777777778</v>
      </c>
      <c r="J474" s="5">
        <v>4.9618055555555554E-2</v>
      </c>
      <c r="K474" s="5">
        <f t="shared" si="14"/>
        <v>2.4809027777777776E-3</v>
      </c>
      <c r="L474" s="5">
        <v>4.8877314814814818E-2</v>
      </c>
      <c r="M474" s="6">
        <f t="shared" si="15"/>
        <v>0.18424956369982548</v>
      </c>
      <c r="N474" s="5">
        <v>8.1018518518518516E-5</v>
      </c>
      <c r="O474" s="5">
        <v>2.5462962962962962E-2</v>
      </c>
      <c r="P474" s="5"/>
      <c r="Q474" s="5">
        <v>4.1435185185185186E-3</v>
      </c>
      <c r="R474" s="5"/>
      <c r="S474" s="5">
        <v>1.8414351851851852E-2</v>
      </c>
      <c r="T474" s="5">
        <v>5.7870370370370373E-5</v>
      </c>
      <c r="U474" s="5">
        <v>6.4814814814814813E-4</v>
      </c>
      <c r="V474" s="5"/>
      <c r="W474" s="5"/>
    </row>
    <row r="475" spans="1:23" x14ac:dyDescent="0.25">
      <c r="A475" s="2">
        <v>46240</v>
      </c>
      <c r="B475" s="3" t="s">
        <v>655</v>
      </c>
      <c r="C475" s="3" t="s">
        <v>656</v>
      </c>
      <c r="D475" s="3" t="s">
        <v>100</v>
      </c>
      <c r="E475" s="3" t="s">
        <v>31</v>
      </c>
      <c r="F475" s="3" t="s">
        <v>32</v>
      </c>
      <c r="G475" s="4" t="s">
        <v>33</v>
      </c>
      <c r="H475" s="4">
        <v>19</v>
      </c>
      <c r="I475" s="5">
        <v>0.26155092592592594</v>
      </c>
      <c r="J475" s="5">
        <v>0.1700925925925926</v>
      </c>
      <c r="K475" s="5">
        <f t="shared" si="14"/>
        <v>8.9522417153996107E-3</v>
      </c>
      <c r="L475" s="5">
        <v>4.0497685185185185E-2</v>
      </c>
      <c r="M475" s="6">
        <f t="shared" si="15"/>
        <v>0.15483671121338172</v>
      </c>
      <c r="N475" s="5">
        <v>1.0844907407407407E-2</v>
      </c>
      <c r="O475" s="5">
        <v>1.3738425925925926E-2</v>
      </c>
      <c r="P475" s="5"/>
      <c r="Q475" s="5">
        <v>8.2175925925925927E-4</v>
      </c>
      <c r="R475" s="5"/>
      <c r="S475" s="5">
        <v>1.3564814814814814E-2</v>
      </c>
      <c r="T475" s="5">
        <v>9.2592592592592588E-5</v>
      </c>
      <c r="U475" s="5">
        <v>1.3888888888888889E-3</v>
      </c>
      <c r="V475" s="5"/>
      <c r="W475" s="5"/>
    </row>
    <row r="476" spans="1:23" x14ac:dyDescent="0.25">
      <c r="A476" s="2">
        <v>46240</v>
      </c>
      <c r="B476" s="3" t="s">
        <v>657</v>
      </c>
      <c r="C476" s="3" t="s">
        <v>658</v>
      </c>
      <c r="D476" s="3" t="s">
        <v>274</v>
      </c>
      <c r="E476" s="3" t="s">
        <v>79</v>
      </c>
      <c r="F476" s="3" t="s">
        <v>147</v>
      </c>
      <c r="G476" s="4" t="s">
        <v>33</v>
      </c>
      <c r="H476" s="4">
        <v>14</v>
      </c>
      <c r="I476" s="5">
        <v>0.25738425925925928</v>
      </c>
      <c r="J476" s="5">
        <v>6.5300925925925929E-2</v>
      </c>
      <c r="K476" s="5">
        <f t="shared" si="14"/>
        <v>4.6643518518518518E-3</v>
      </c>
      <c r="L476" s="5">
        <v>5.7905092592592591E-2</v>
      </c>
      <c r="M476" s="6">
        <f t="shared" si="15"/>
        <v>0.22497526756003236</v>
      </c>
      <c r="N476" s="5">
        <v>6.5509259259259262E-3</v>
      </c>
      <c r="O476" s="5">
        <v>1.7534722222222222E-2</v>
      </c>
      <c r="P476" s="5"/>
      <c r="Q476" s="5"/>
      <c r="R476" s="5">
        <v>4.1666666666666666E-3</v>
      </c>
      <c r="S476" s="5">
        <v>1.5486111111111112E-2</v>
      </c>
      <c r="T476" s="5">
        <v>1.9675925925925926E-4</v>
      </c>
      <c r="U476" s="5">
        <v>2.9861111111111113E-3</v>
      </c>
      <c r="V476" s="5"/>
      <c r="W476" s="5"/>
    </row>
    <row r="477" spans="1:23" x14ac:dyDescent="0.25">
      <c r="A477" s="2">
        <v>46240</v>
      </c>
      <c r="B477" s="3" t="s">
        <v>166</v>
      </c>
      <c r="C477" s="3" t="s">
        <v>167</v>
      </c>
      <c r="D477" s="3" t="s">
        <v>146</v>
      </c>
      <c r="E477" s="3" t="s">
        <v>79</v>
      </c>
      <c r="F477" s="3" t="s">
        <v>147</v>
      </c>
      <c r="G477" s="4" t="s">
        <v>106</v>
      </c>
      <c r="H477" s="4">
        <v>14</v>
      </c>
      <c r="I477" s="5">
        <v>0.25585648148148149</v>
      </c>
      <c r="J477" s="5">
        <v>5.5555555555555552E-2</v>
      </c>
      <c r="K477" s="5">
        <f t="shared" si="14"/>
        <v>3.968253968253968E-3</v>
      </c>
      <c r="L477" s="5">
        <v>4.4236111111111108E-2</v>
      </c>
      <c r="M477" s="6">
        <f t="shared" si="15"/>
        <v>0.17289423685877137</v>
      </c>
      <c r="N477" s="5">
        <v>7.7199074074074071E-3</v>
      </c>
      <c r="O477" s="5">
        <v>1.4351851851851852E-2</v>
      </c>
      <c r="P477" s="5"/>
      <c r="Q477" s="5">
        <v>8.067129629629629E-3</v>
      </c>
      <c r="R477" s="5"/>
      <c r="S477" s="5">
        <v>1.361111111111111E-2</v>
      </c>
      <c r="T477" s="5">
        <v>5.7870370370370373E-5</v>
      </c>
      <c r="U477" s="5">
        <v>4.1666666666666669E-4</v>
      </c>
      <c r="V477" s="5"/>
      <c r="W477" s="5"/>
    </row>
    <row r="478" spans="1:23" x14ac:dyDescent="0.25">
      <c r="A478" s="2">
        <v>46240</v>
      </c>
      <c r="B478" s="3" t="s">
        <v>659</v>
      </c>
      <c r="C478" s="3" t="s">
        <v>660</v>
      </c>
      <c r="D478" s="3" t="s">
        <v>100</v>
      </c>
      <c r="E478" s="3" t="s">
        <v>31</v>
      </c>
      <c r="F478" s="3" t="s">
        <v>32</v>
      </c>
      <c r="G478" s="4" t="s">
        <v>33</v>
      </c>
      <c r="H478" s="4">
        <v>4</v>
      </c>
      <c r="I478" s="5">
        <v>0.22734953703703703</v>
      </c>
      <c r="J478" s="5">
        <v>1.5902777777777776E-2</v>
      </c>
      <c r="K478" s="5">
        <f t="shared" si="14"/>
        <v>3.975694444444444E-3</v>
      </c>
      <c r="L478" s="5">
        <v>0.20755787037037038</v>
      </c>
      <c r="M478" s="6">
        <f t="shared" si="15"/>
        <v>0.912946087664817</v>
      </c>
      <c r="N478" s="5">
        <v>4.2361111111111113E-2</v>
      </c>
      <c r="O478" s="5">
        <v>3.3275462962962965E-2</v>
      </c>
      <c r="P478" s="5"/>
      <c r="Q478" s="5">
        <v>4.1666666666666666E-3</v>
      </c>
      <c r="R478" s="5"/>
      <c r="S478" s="5">
        <v>8.0787037037037043E-3</v>
      </c>
      <c r="T478" s="5">
        <v>9.1203703703703707E-3</v>
      </c>
      <c r="U478" s="5">
        <v>2.8935185185185184E-4</v>
      </c>
      <c r="V478" s="5"/>
      <c r="W478" s="5">
        <v>0.11025462962962963</v>
      </c>
    </row>
    <row r="479" spans="1:23" x14ac:dyDescent="0.25">
      <c r="A479" s="2">
        <v>46240</v>
      </c>
      <c r="B479" s="3" t="s">
        <v>254</v>
      </c>
      <c r="C479" s="3" t="s">
        <v>528</v>
      </c>
      <c r="D479" s="3" t="s">
        <v>233</v>
      </c>
      <c r="E479" s="3" t="s">
        <v>31</v>
      </c>
      <c r="F479" s="3" t="s">
        <v>32</v>
      </c>
      <c r="G479" s="4" t="s">
        <v>106</v>
      </c>
      <c r="H479" s="4">
        <v>18</v>
      </c>
      <c r="I479" s="5">
        <v>0.23624999999999999</v>
      </c>
      <c r="J479" s="5">
        <v>7.1597222222222229E-2</v>
      </c>
      <c r="K479" s="5">
        <f t="shared" si="14"/>
        <v>3.9776234567901235E-3</v>
      </c>
      <c r="L479" s="5">
        <v>9.7812499999999997E-2</v>
      </c>
      <c r="M479" s="6">
        <f t="shared" si="15"/>
        <v>0.41402116402116401</v>
      </c>
      <c r="N479" s="5">
        <v>1.6944444444444446E-2</v>
      </c>
      <c r="O479" s="5">
        <v>1.4178240740740741E-2</v>
      </c>
      <c r="P479" s="5"/>
      <c r="Q479" s="5"/>
      <c r="R479" s="5"/>
      <c r="S479" s="5">
        <v>1.3935185185185186E-2</v>
      </c>
      <c r="T479" s="5">
        <v>9.8379629629629633E-3</v>
      </c>
      <c r="U479" s="5">
        <v>1.6203703703703703E-4</v>
      </c>
      <c r="V479" s="5"/>
      <c r="W479" s="5">
        <v>4.2743055555555555E-2</v>
      </c>
    </row>
    <row r="480" spans="1:23" x14ac:dyDescent="0.25">
      <c r="A480" s="2">
        <v>46240</v>
      </c>
      <c r="B480" s="3" t="s">
        <v>201</v>
      </c>
      <c r="C480" s="3" t="s">
        <v>545</v>
      </c>
      <c r="D480" s="3" t="s">
        <v>601</v>
      </c>
      <c r="E480" s="3" t="s">
        <v>31</v>
      </c>
      <c r="F480" s="3" t="s">
        <v>600</v>
      </c>
      <c r="G480" s="4" t="s">
        <v>33</v>
      </c>
      <c r="H480" s="4">
        <v>36</v>
      </c>
      <c r="I480" s="5">
        <v>0.25216435185185188</v>
      </c>
      <c r="J480" s="5">
        <v>8.1655092592592599E-2</v>
      </c>
      <c r="K480" s="5">
        <f t="shared" si="14"/>
        <v>2.2681970164609056E-3</v>
      </c>
      <c r="L480" s="5">
        <v>6.9293981481481484E-2</v>
      </c>
      <c r="M480" s="6">
        <f t="shared" si="15"/>
        <v>0.27479689723229445</v>
      </c>
      <c r="N480" s="5">
        <v>1.6655092592592593E-2</v>
      </c>
      <c r="O480" s="5">
        <v>2.4155092592592593E-2</v>
      </c>
      <c r="P480" s="5"/>
      <c r="Q480" s="5">
        <v>8.773148148148148E-3</v>
      </c>
      <c r="R480" s="5"/>
      <c r="S480" s="5">
        <v>1.653935185185185E-2</v>
      </c>
      <c r="T480" s="5">
        <v>3.1712962962962962E-3</v>
      </c>
      <c r="U480" s="5"/>
      <c r="V480" s="5"/>
      <c r="W480" s="5"/>
    </row>
    <row r="481" spans="1:23" x14ac:dyDescent="0.25">
      <c r="A481" s="2">
        <v>46240</v>
      </c>
      <c r="B481" s="3" t="s">
        <v>168</v>
      </c>
      <c r="C481" s="3" t="s">
        <v>520</v>
      </c>
      <c r="D481" s="3" t="s">
        <v>274</v>
      </c>
      <c r="E481" s="3" t="s">
        <v>79</v>
      </c>
      <c r="F481" s="3" t="s">
        <v>147</v>
      </c>
      <c r="G481" s="4" t="s">
        <v>33</v>
      </c>
      <c r="H481" s="4">
        <v>16</v>
      </c>
      <c r="I481" s="5">
        <v>0.26665509259259257</v>
      </c>
      <c r="J481" s="5">
        <v>7.0706018518518515E-2</v>
      </c>
      <c r="K481" s="5">
        <f t="shared" si="14"/>
        <v>4.4191261574074072E-3</v>
      </c>
      <c r="L481" s="5">
        <v>4.2268518518518518E-2</v>
      </c>
      <c r="M481" s="6">
        <f t="shared" si="15"/>
        <v>0.15851382438473893</v>
      </c>
      <c r="N481" s="5">
        <v>4.7800925925925927E-3</v>
      </c>
      <c r="O481" s="5">
        <v>1.6759259259259258E-2</v>
      </c>
      <c r="P481" s="5"/>
      <c r="Q481" s="5"/>
      <c r="R481" s="5">
        <v>1.4236111111111112E-3</v>
      </c>
      <c r="S481" s="5">
        <v>1.7118055555555556E-2</v>
      </c>
      <c r="T481" s="5">
        <v>1.8518518518518518E-4</v>
      </c>
      <c r="U481" s="5">
        <v>1.8981481481481482E-3</v>
      </c>
      <c r="V481" s="5"/>
      <c r="W481" s="5"/>
    </row>
    <row r="482" spans="1:23" x14ac:dyDescent="0.25">
      <c r="A482" s="2">
        <v>46240</v>
      </c>
      <c r="B482" s="3" t="s">
        <v>170</v>
      </c>
      <c r="C482" s="3" t="s">
        <v>521</v>
      </c>
      <c r="D482" s="3" t="s">
        <v>146</v>
      </c>
      <c r="E482" s="3" t="s">
        <v>79</v>
      </c>
      <c r="F482" s="3" t="s">
        <v>147</v>
      </c>
      <c r="G482" s="4" t="s">
        <v>106</v>
      </c>
      <c r="H482" s="4">
        <v>16</v>
      </c>
      <c r="I482" s="5">
        <v>0.26866898148148149</v>
      </c>
      <c r="J482" s="5">
        <v>8.6319444444444449E-2</v>
      </c>
      <c r="K482" s="5">
        <f t="shared" si="14"/>
        <v>5.394965277777778E-3</v>
      </c>
      <c r="L482" s="5">
        <v>4.5416666666666668E-2</v>
      </c>
      <c r="M482" s="6">
        <f t="shared" si="15"/>
        <v>0.16904320854693491</v>
      </c>
      <c r="N482" s="5">
        <v>2.9050925925925928E-3</v>
      </c>
      <c r="O482" s="5">
        <v>1.2523148148148148E-2</v>
      </c>
      <c r="P482" s="5"/>
      <c r="Q482" s="5">
        <v>1.2743055555555556E-2</v>
      </c>
      <c r="R482" s="5"/>
      <c r="S482" s="5">
        <v>1.6458333333333332E-2</v>
      </c>
      <c r="T482" s="5">
        <v>6.9444444444444444E-5</v>
      </c>
      <c r="U482" s="5">
        <v>6.9444444444444447E-4</v>
      </c>
      <c r="V482" s="5"/>
      <c r="W482" s="5"/>
    </row>
    <row r="483" spans="1:23" x14ac:dyDescent="0.25">
      <c r="A483" s="2">
        <v>46240</v>
      </c>
      <c r="B483" s="3" t="s">
        <v>92</v>
      </c>
      <c r="C483" s="3" t="s">
        <v>93</v>
      </c>
      <c r="D483" s="3" t="s">
        <v>78</v>
      </c>
      <c r="E483" s="3" t="s">
        <v>79</v>
      </c>
      <c r="F483" s="3" t="s">
        <v>80</v>
      </c>
      <c r="G483" s="4" t="s">
        <v>81</v>
      </c>
      <c r="H483" s="4">
        <v>0</v>
      </c>
      <c r="I483" s="5">
        <v>0.3414699074074074</v>
      </c>
      <c r="J483" s="5">
        <v>0</v>
      </c>
      <c r="K483" s="5">
        <f t="shared" si="14"/>
        <v>0</v>
      </c>
      <c r="L483" s="5">
        <v>0.23734953703703704</v>
      </c>
      <c r="M483" s="6">
        <f t="shared" si="15"/>
        <v>0.69508185608243234</v>
      </c>
      <c r="N483" s="5">
        <v>2.4305555555555556E-3</v>
      </c>
      <c r="O483" s="5">
        <v>0.1700925925925926</v>
      </c>
      <c r="P483" s="5"/>
      <c r="Q483" s="5"/>
      <c r="R483" s="5"/>
      <c r="S483" s="5">
        <v>7.905092592592592E-3</v>
      </c>
      <c r="T483" s="5">
        <v>5.6921296296296296E-2</v>
      </c>
      <c r="U483" s="5"/>
      <c r="V483" s="5"/>
      <c r="W483" s="5"/>
    </row>
    <row r="484" spans="1:23" x14ac:dyDescent="0.25">
      <c r="A484" s="2">
        <v>46240</v>
      </c>
      <c r="B484" s="3" t="s">
        <v>94</v>
      </c>
      <c r="C484" s="3" t="s">
        <v>95</v>
      </c>
      <c r="D484" s="3" t="s">
        <v>78</v>
      </c>
      <c r="E484" s="3" t="s">
        <v>79</v>
      </c>
      <c r="F484" s="3" t="s">
        <v>80</v>
      </c>
      <c r="G484" s="4" t="s">
        <v>81</v>
      </c>
      <c r="H484" s="4">
        <v>0</v>
      </c>
      <c r="I484" s="5">
        <v>0.24460648148148148</v>
      </c>
      <c r="J484" s="5">
        <v>0</v>
      </c>
      <c r="K484" s="5">
        <f t="shared" si="14"/>
        <v>0</v>
      </c>
      <c r="L484" s="5">
        <v>2.3831018518518519E-2</v>
      </c>
      <c r="M484" s="6">
        <f t="shared" si="15"/>
        <v>9.7425948708242643E-2</v>
      </c>
      <c r="N484" s="5">
        <v>3.4722222222222222E-5</v>
      </c>
      <c r="O484" s="5"/>
      <c r="P484" s="5"/>
      <c r="Q484" s="5"/>
      <c r="R484" s="5">
        <v>1.238425925925926E-2</v>
      </c>
      <c r="S484" s="5">
        <v>1.1412037037037037E-2</v>
      </c>
      <c r="T484" s="5"/>
      <c r="U484" s="5"/>
      <c r="V484" s="5"/>
      <c r="W484" s="5"/>
    </row>
    <row r="485" spans="1:23" x14ac:dyDescent="0.25">
      <c r="A485" s="2">
        <v>46240</v>
      </c>
      <c r="B485" s="3" t="s">
        <v>293</v>
      </c>
      <c r="C485" s="3" t="s">
        <v>543</v>
      </c>
      <c r="D485" s="3" t="s">
        <v>104</v>
      </c>
      <c r="E485" s="3" t="s">
        <v>31</v>
      </c>
      <c r="F485" s="3" t="s">
        <v>600</v>
      </c>
      <c r="G485" s="4" t="s">
        <v>106</v>
      </c>
      <c r="H485" s="4">
        <v>21</v>
      </c>
      <c r="I485" s="5">
        <v>0.24453703703703702</v>
      </c>
      <c r="J485" s="5">
        <v>5.3854166666666668E-2</v>
      </c>
      <c r="K485" s="5">
        <f t="shared" si="14"/>
        <v>2.5644841269841269E-3</v>
      </c>
      <c r="L485" s="5">
        <v>0.15265046296296297</v>
      </c>
      <c r="M485" s="6">
        <f t="shared" si="15"/>
        <v>0.62424271109428253</v>
      </c>
      <c r="N485" s="5">
        <v>1.5902777777777776E-2</v>
      </c>
      <c r="O485" s="5">
        <v>2.3229166666666665E-2</v>
      </c>
      <c r="P485" s="5"/>
      <c r="Q485" s="5"/>
      <c r="R485" s="5"/>
      <c r="S485" s="5"/>
      <c r="T485" s="5">
        <v>3.6574074074074074E-3</v>
      </c>
      <c r="U485" s="5">
        <v>3.1250000000000001E-4</v>
      </c>
      <c r="V485" s="5"/>
      <c r="W485" s="5">
        <v>0.10952546296296296</v>
      </c>
    </row>
    <row r="486" spans="1:23" x14ac:dyDescent="0.25">
      <c r="A486" s="2">
        <v>46240</v>
      </c>
      <c r="B486" s="3" t="s">
        <v>606</v>
      </c>
      <c r="C486" s="3" t="s">
        <v>633</v>
      </c>
      <c r="D486" s="3" t="s">
        <v>146</v>
      </c>
      <c r="E486" s="3" t="s">
        <v>79</v>
      </c>
      <c r="F486" s="3" t="s">
        <v>147</v>
      </c>
      <c r="G486" s="4" t="s">
        <v>106</v>
      </c>
      <c r="H486" s="4">
        <v>9</v>
      </c>
      <c r="I486" s="5">
        <v>0.26104166666666667</v>
      </c>
      <c r="J486" s="5">
        <v>4.4780092592592594E-2</v>
      </c>
      <c r="K486" s="5">
        <f t="shared" si="14"/>
        <v>4.9755658436213997E-3</v>
      </c>
      <c r="L486" s="5">
        <v>9.3344907407407404E-2</v>
      </c>
      <c r="M486" s="6">
        <f t="shared" si="15"/>
        <v>0.35758623747450563</v>
      </c>
      <c r="N486" s="5">
        <v>9.2939814814814812E-3</v>
      </c>
      <c r="O486" s="5">
        <v>1.40625E-2</v>
      </c>
      <c r="P486" s="5"/>
      <c r="Q486" s="5"/>
      <c r="R486" s="5"/>
      <c r="S486" s="5">
        <v>1.7905092592592594E-2</v>
      </c>
      <c r="T486" s="5">
        <v>2.0486111111111113E-3</v>
      </c>
      <c r="U486" s="5">
        <v>4.6099537037037036E-2</v>
      </c>
      <c r="V486" s="5"/>
      <c r="W486" s="5">
        <v>3.9120370370370368E-3</v>
      </c>
    </row>
    <row r="487" spans="1:23" x14ac:dyDescent="0.25">
      <c r="A487" s="2">
        <v>46240</v>
      </c>
      <c r="B487" s="3" t="s">
        <v>256</v>
      </c>
      <c r="C487" s="3" t="s">
        <v>529</v>
      </c>
      <c r="D487" s="3" t="s">
        <v>233</v>
      </c>
      <c r="E487" s="3" t="s">
        <v>31</v>
      </c>
      <c r="F487" s="3" t="s">
        <v>32</v>
      </c>
      <c r="G487" s="4" t="s">
        <v>106</v>
      </c>
      <c r="H487" s="4">
        <v>22</v>
      </c>
      <c r="I487" s="5">
        <v>0.25362268518518516</v>
      </c>
      <c r="J487" s="5">
        <v>0.13625000000000001</v>
      </c>
      <c r="K487" s="5">
        <f t="shared" si="14"/>
        <v>6.193181818181819E-3</v>
      </c>
      <c r="L487" s="5">
        <v>4.9733796296296297E-2</v>
      </c>
      <c r="M487" s="6">
        <f t="shared" si="15"/>
        <v>0.19609364304294258</v>
      </c>
      <c r="N487" s="5">
        <v>1.7037037037037038E-2</v>
      </c>
      <c r="O487" s="5">
        <v>1.6122685185185184E-2</v>
      </c>
      <c r="P487" s="5"/>
      <c r="Q487" s="5"/>
      <c r="R487" s="5"/>
      <c r="S487" s="5">
        <v>1.3935185185185186E-2</v>
      </c>
      <c r="T487" s="5">
        <v>6.134259259259259E-4</v>
      </c>
      <c r="U487" s="5">
        <v>1.9791666666666668E-3</v>
      </c>
      <c r="V487" s="5"/>
      <c r="W487" s="5"/>
    </row>
    <row r="488" spans="1:23" x14ac:dyDescent="0.25">
      <c r="A488" s="2">
        <v>46240</v>
      </c>
      <c r="B488" s="3" t="s">
        <v>612</v>
      </c>
      <c r="C488" s="3" t="s">
        <v>634</v>
      </c>
      <c r="D488" s="3" t="s">
        <v>601</v>
      </c>
      <c r="E488" s="3" t="s">
        <v>31</v>
      </c>
      <c r="F488" s="3" t="s">
        <v>105</v>
      </c>
      <c r="G488" s="4" t="s">
        <v>33</v>
      </c>
      <c r="H488" s="4">
        <v>6</v>
      </c>
      <c r="I488" s="5">
        <v>0.15190972222222221</v>
      </c>
      <c r="J488" s="5">
        <v>6.7581018518518512E-2</v>
      </c>
      <c r="K488" s="5">
        <f t="shared" si="14"/>
        <v>1.1263503086419753E-2</v>
      </c>
      <c r="L488" s="5">
        <v>0.11814814814814815</v>
      </c>
      <c r="M488" s="6">
        <f t="shared" si="15"/>
        <v>0.77775238095238108</v>
      </c>
      <c r="N488" s="5">
        <v>1.9074074074074073E-2</v>
      </c>
      <c r="O488" s="5">
        <v>1.4560185185185185E-2</v>
      </c>
      <c r="P488" s="5"/>
      <c r="Q488" s="5"/>
      <c r="R488" s="5"/>
      <c r="S488" s="5">
        <v>1.2662037037037038E-2</v>
      </c>
      <c r="T488" s="5">
        <v>2.9976851851851853E-3</v>
      </c>
      <c r="U488" s="5">
        <v>2.1956018518518517E-2</v>
      </c>
      <c r="V488" s="5"/>
      <c r="W488" s="5">
        <v>4.6898148148148147E-2</v>
      </c>
    </row>
    <row r="489" spans="1:23" x14ac:dyDescent="0.25">
      <c r="A489" s="2">
        <v>46240</v>
      </c>
      <c r="B489" s="3" t="s">
        <v>258</v>
      </c>
      <c r="C489" s="3" t="s">
        <v>554</v>
      </c>
      <c r="D489" s="3" t="s">
        <v>233</v>
      </c>
      <c r="E489" s="3" t="s">
        <v>31</v>
      </c>
      <c r="F489" s="3" t="s">
        <v>32</v>
      </c>
      <c r="G489" s="4" t="s">
        <v>106</v>
      </c>
      <c r="H489" s="4">
        <v>7</v>
      </c>
      <c r="I489" s="5">
        <v>0.24543981481481481</v>
      </c>
      <c r="J489" s="5">
        <v>1.4560185185185185E-2</v>
      </c>
      <c r="K489" s="5">
        <f t="shared" si="14"/>
        <v>2.0800264550264549E-3</v>
      </c>
      <c r="L489" s="5">
        <v>0.21430555555555555</v>
      </c>
      <c r="M489" s="6">
        <f t="shared" si="15"/>
        <v>0.87314910874280871</v>
      </c>
      <c r="N489" s="5"/>
      <c r="O489" s="5"/>
      <c r="P489" s="5"/>
      <c r="Q489" s="5"/>
      <c r="R489" s="5"/>
      <c r="S489" s="5">
        <v>1.4016203703703704E-2</v>
      </c>
      <c r="T489" s="5">
        <v>3.7037037037037035E-4</v>
      </c>
      <c r="U489" s="5"/>
      <c r="V489" s="5"/>
      <c r="W489" s="5">
        <v>0.19991898148148149</v>
      </c>
    </row>
    <row r="490" spans="1:23" x14ac:dyDescent="0.25">
      <c r="A490" s="2">
        <v>46240</v>
      </c>
      <c r="B490" s="3" t="s">
        <v>661</v>
      </c>
      <c r="C490" s="3" t="s">
        <v>662</v>
      </c>
      <c r="D490" s="3" t="s">
        <v>100</v>
      </c>
      <c r="E490" s="3" t="s">
        <v>31</v>
      </c>
      <c r="F490" s="3" t="s">
        <v>32</v>
      </c>
      <c r="G490" s="4" t="s">
        <v>33</v>
      </c>
      <c r="H490" s="4">
        <v>22</v>
      </c>
      <c r="I490" s="5">
        <v>0.25885416666666666</v>
      </c>
      <c r="J490" s="5">
        <v>0.1909837962962963</v>
      </c>
      <c r="K490" s="5">
        <f t="shared" si="14"/>
        <v>8.6810816498316505E-3</v>
      </c>
      <c r="L490" s="5">
        <v>3.9710648148148148E-2</v>
      </c>
      <c r="M490" s="6">
        <f t="shared" si="15"/>
        <v>0.15340934495864073</v>
      </c>
      <c r="N490" s="5">
        <v>1.0879629629629629E-3</v>
      </c>
      <c r="O490" s="5">
        <v>1.6655092592592593E-2</v>
      </c>
      <c r="P490" s="5"/>
      <c r="Q490" s="5">
        <v>1.4930555555555556E-3</v>
      </c>
      <c r="R490" s="5"/>
      <c r="S490" s="5">
        <v>1.5069444444444444E-2</v>
      </c>
      <c r="T490" s="5">
        <v>2.9166666666666668E-3</v>
      </c>
      <c r="U490" s="5">
        <v>2.476851851851852E-3</v>
      </c>
      <c r="V490" s="5"/>
      <c r="W490" s="5"/>
    </row>
    <row r="491" spans="1:23" x14ac:dyDescent="0.25">
      <c r="A491" s="2">
        <v>46240</v>
      </c>
      <c r="B491" s="3" t="s">
        <v>663</v>
      </c>
      <c r="C491" s="3" t="s">
        <v>664</v>
      </c>
      <c r="D491" s="3" t="s">
        <v>233</v>
      </c>
      <c r="E491" s="3" t="s">
        <v>31</v>
      </c>
      <c r="F491" s="3" t="s">
        <v>32</v>
      </c>
      <c r="G491" s="4" t="s">
        <v>106</v>
      </c>
      <c r="H491" s="4">
        <v>20</v>
      </c>
      <c r="I491" s="5">
        <v>0.25194444444444447</v>
      </c>
      <c r="J491" s="5">
        <v>0.16780092592592594</v>
      </c>
      <c r="K491" s="5">
        <f t="shared" si="14"/>
        <v>8.3900462962962965E-3</v>
      </c>
      <c r="L491" s="5">
        <v>3.5648148148148151E-2</v>
      </c>
      <c r="M491" s="6">
        <f t="shared" si="15"/>
        <v>0.14149209849320102</v>
      </c>
      <c r="N491" s="5">
        <v>1.9155092592592592E-2</v>
      </c>
      <c r="O491" s="5">
        <v>1.5486111111111112E-2</v>
      </c>
      <c r="P491" s="5"/>
      <c r="Q491" s="5"/>
      <c r="R491" s="5"/>
      <c r="S491" s="5"/>
      <c r="T491" s="5">
        <v>6.9444444444444444E-5</v>
      </c>
      <c r="U491" s="5">
        <v>9.1435185185185185E-4</v>
      </c>
      <c r="V491" s="5"/>
      <c r="W491" s="5"/>
    </row>
    <row r="492" spans="1:23" x14ac:dyDescent="0.25">
      <c r="A492" s="2">
        <v>46240</v>
      </c>
      <c r="B492" s="3" t="s">
        <v>203</v>
      </c>
      <c r="C492" s="3" t="s">
        <v>565</v>
      </c>
      <c r="D492" s="3" t="s">
        <v>601</v>
      </c>
      <c r="E492" s="3" t="s">
        <v>31</v>
      </c>
      <c r="F492" s="3" t="s">
        <v>105</v>
      </c>
      <c r="G492" s="4" t="s">
        <v>33</v>
      </c>
      <c r="H492" s="4">
        <v>11</v>
      </c>
      <c r="I492" s="5">
        <v>0.21916666666666668</v>
      </c>
      <c r="J492" s="5">
        <v>0.11013888888888888</v>
      </c>
      <c r="K492" s="5">
        <f t="shared" si="14"/>
        <v>1.0012626262626263E-2</v>
      </c>
      <c r="L492" s="5">
        <v>0.1657986111111111</v>
      </c>
      <c r="M492" s="6">
        <f t="shared" si="15"/>
        <v>0.75649556400506968</v>
      </c>
      <c r="N492" s="5">
        <v>9.0972222222222218E-3</v>
      </c>
      <c r="O492" s="5">
        <v>1.8206018518518517E-2</v>
      </c>
      <c r="P492" s="5"/>
      <c r="Q492" s="5"/>
      <c r="R492" s="5"/>
      <c r="S492" s="5">
        <v>1.6886574074074075E-2</v>
      </c>
      <c r="T492" s="5">
        <v>1.6550925925925926E-3</v>
      </c>
      <c r="U492" s="5">
        <v>4.2025462962962966E-2</v>
      </c>
      <c r="V492" s="5"/>
      <c r="W492" s="5">
        <v>7.7928240740740742E-2</v>
      </c>
    </row>
    <row r="493" spans="1:23" x14ac:dyDescent="0.25">
      <c r="A493" s="2">
        <v>46240</v>
      </c>
      <c r="B493" s="3" t="s">
        <v>665</v>
      </c>
      <c r="C493" s="3" t="s">
        <v>666</v>
      </c>
      <c r="D493" s="3" t="s">
        <v>100</v>
      </c>
      <c r="E493" s="3" t="s">
        <v>31</v>
      </c>
      <c r="F493" s="3" t="s">
        <v>32</v>
      </c>
      <c r="G493" s="4" t="s">
        <v>33</v>
      </c>
      <c r="H493" s="4">
        <v>38</v>
      </c>
      <c r="I493" s="5">
        <v>0.26342592592592595</v>
      </c>
      <c r="J493" s="5">
        <v>0.17694444444444443</v>
      </c>
      <c r="K493" s="5">
        <f t="shared" si="14"/>
        <v>4.6564327485380114E-3</v>
      </c>
      <c r="L493" s="5">
        <v>4.6724537037037037E-2</v>
      </c>
      <c r="M493" s="6">
        <f t="shared" si="15"/>
        <v>0.1773725834797891</v>
      </c>
      <c r="N493" s="5"/>
      <c r="O493" s="5">
        <v>1.4004629629629629E-2</v>
      </c>
      <c r="P493" s="5"/>
      <c r="Q493" s="5">
        <v>1.5046296296296296E-3</v>
      </c>
      <c r="R493" s="5"/>
      <c r="S493" s="5">
        <v>1.4317129629629629E-2</v>
      </c>
      <c r="T493" s="5">
        <v>1.5046296296296297E-4</v>
      </c>
      <c r="U493" s="5">
        <v>2.7546296296296294E-3</v>
      </c>
      <c r="V493" s="5"/>
      <c r="W493" s="5">
        <v>1.3912037037037037E-2</v>
      </c>
    </row>
    <row r="494" spans="1:23" x14ac:dyDescent="0.25">
      <c r="A494" s="2">
        <v>46240</v>
      </c>
      <c r="B494" s="3" t="s">
        <v>264</v>
      </c>
      <c r="C494" s="3" t="s">
        <v>530</v>
      </c>
      <c r="D494" s="3" t="s">
        <v>78</v>
      </c>
      <c r="E494" s="3" t="s">
        <v>79</v>
      </c>
      <c r="F494" s="3" t="s">
        <v>80</v>
      </c>
      <c r="G494" s="4" t="s">
        <v>106</v>
      </c>
      <c r="H494" s="4">
        <v>0</v>
      </c>
      <c r="I494" s="5">
        <v>3.3726851851851855E-2</v>
      </c>
      <c r="J494" s="5">
        <v>0</v>
      </c>
      <c r="K494" s="5">
        <f t="shared" si="14"/>
        <v>0</v>
      </c>
      <c r="L494" s="5">
        <v>2.4305555555555555E-4</v>
      </c>
      <c r="M494" s="6">
        <f t="shared" si="15"/>
        <v>7.2065888812628681E-3</v>
      </c>
      <c r="N494" s="5"/>
      <c r="O494" s="5"/>
      <c r="P494" s="5"/>
      <c r="Q494" s="5"/>
      <c r="R494" s="5"/>
      <c r="S494" s="5"/>
      <c r="T494" s="5">
        <v>8.1018518518518516E-5</v>
      </c>
      <c r="U494" s="5">
        <v>1.5046296296296297E-4</v>
      </c>
      <c r="V494" s="5"/>
      <c r="W494" s="5"/>
    </row>
    <row r="495" spans="1:23" x14ac:dyDescent="0.25">
      <c r="A495" s="2">
        <v>46240</v>
      </c>
      <c r="B495" s="3" t="s">
        <v>128</v>
      </c>
      <c r="C495" s="3" t="s">
        <v>555</v>
      </c>
      <c r="D495" s="3" t="s">
        <v>233</v>
      </c>
      <c r="E495" s="3" t="s">
        <v>31</v>
      </c>
      <c r="F495" s="3" t="s">
        <v>32</v>
      </c>
      <c r="G495" s="4" t="s">
        <v>106</v>
      </c>
      <c r="H495" s="4">
        <v>30</v>
      </c>
      <c r="I495" s="5">
        <v>0.24959490740740742</v>
      </c>
      <c r="J495" s="5">
        <v>0.14791666666666667</v>
      </c>
      <c r="K495" s="5">
        <f t="shared" si="14"/>
        <v>4.9305555555555552E-3</v>
      </c>
      <c r="L495" s="5">
        <v>5.7615740740740738E-2</v>
      </c>
      <c r="M495" s="6">
        <f t="shared" si="15"/>
        <v>0.23083700440528632</v>
      </c>
      <c r="N495" s="5">
        <v>1.8310185185185186E-2</v>
      </c>
      <c r="O495" s="5">
        <v>1.7858796296296296E-2</v>
      </c>
      <c r="P495" s="5"/>
      <c r="Q495" s="5"/>
      <c r="R495" s="5"/>
      <c r="S495" s="5">
        <v>1.3946759259259259E-2</v>
      </c>
      <c r="T495" s="5">
        <v>7.3379629629629628E-3</v>
      </c>
      <c r="U495" s="5">
        <v>1.6203703703703703E-4</v>
      </c>
      <c r="V495" s="5"/>
      <c r="W495" s="5"/>
    </row>
    <row r="496" spans="1:23" x14ac:dyDescent="0.25">
      <c r="A496" s="2">
        <v>46240</v>
      </c>
      <c r="B496" s="3" t="s">
        <v>178</v>
      </c>
      <c r="C496" s="3" t="s">
        <v>522</v>
      </c>
      <c r="D496" s="3" t="s">
        <v>146</v>
      </c>
      <c r="E496" s="3" t="s">
        <v>79</v>
      </c>
      <c r="F496" s="3" t="s">
        <v>147</v>
      </c>
      <c r="G496" s="4" t="s">
        <v>106</v>
      </c>
      <c r="H496" s="4">
        <v>11</v>
      </c>
      <c r="I496" s="5">
        <v>0.18013888888888888</v>
      </c>
      <c r="J496" s="5">
        <v>6.1388888888888889E-2</v>
      </c>
      <c r="K496" s="5">
        <f t="shared" si="14"/>
        <v>5.5808080808080812E-3</v>
      </c>
      <c r="L496" s="5">
        <v>2.7719907407407408E-2</v>
      </c>
      <c r="M496" s="6">
        <f t="shared" si="15"/>
        <v>0.15388075044975585</v>
      </c>
      <c r="N496" s="5"/>
      <c r="O496" s="5">
        <v>8.9236111111111113E-3</v>
      </c>
      <c r="P496" s="5"/>
      <c r="Q496" s="5">
        <v>1.1458333333333333E-3</v>
      </c>
      <c r="R496" s="5"/>
      <c r="S496" s="5">
        <v>1.5092592592592593E-2</v>
      </c>
      <c r="T496" s="5">
        <v>7.1759259259259259E-4</v>
      </c>
      <c r="U496" s="5">
        <v>1.8171296296296297E-3</v>
      </c>
      <c r="V496" s="5"/>
      <c r="W496" s="5"/>
    </row>
    <row r="497" spans="1:23" x14ac:dyDescent="0.25">
      <c r="A497" s="2">
        <v>46240</v>
      </c>
      <c r="B497" s="3" t="s">
        <v>266</v>
      </c>
      <c r="C497" s="3" t="s">
        <v>531</v>
      </c>
      <c r="D497" s="3" t="s">
        <v>233</v>
      </c>
      <c r="E497" s="3" t="s">
        <v>31</v>
      </c>
      <c r="F497" s="3" t="s">
        <v>32</v>
      </c>
      <c r="G497" s="4" t="s">
        <v>106</v>
      </c>
      <c r="H497" s="4">
        <v>2</v>
      </c>
      <c r="I497" s="5">
        <v>0.2396412037037037</v>
      </c>
      <c r="J497" s="5">
        <v>1.7569444444444443E-2</v>
      </c>
      <c r="K497" s="5">
        <f t="shared" si="14"/>
        <v>8.7847222222222215E-3</v>
      </c>
      <c r="L497" s="5">
        <v>0.21649305555555556</v>
      </c>
      <c r="M497" s="6">
        <f t="shared" si="15"/>
        <v>0.90340497464380587</v>
      </c>
      <c r="N497" s="5"/>
      <c r="O497" s="5">
        <v>1.2789351851851852E-2</v>
      </c>
      <c r="P497" s="5"/>
      <c r="Q497" s="5"/>
      <c r="R497" s="5"/>
      <c r="S497" s="5">
        <v>1.3900462962962963E-2</v>
      </c>
      <c r="T497" s="5">
        <v>8.9120370370370373E-4</v>
      </c>
      <c r="U497" s="5">
        <v>1.5046296296296297E-4</v>
      </c>
      <c r="V497" s="5"/>
      <c r="W497" s="5">
        <v>0.18876157407407407</v>
      </c>
    </row>
    <row r="498" spans="1:23" x14ac:dyDescent="0.25">
      <c r="A498" s="2">
        <v>46240</v>
      </c>
      <c r="B498" s="3" t="s">
        <v>297</v>
      </c>
      <c r="C498" s="3" t="s">
        <v>667</v>
      </c>
      <c r="D498" s="3" t="s">
        <v>104</v>
      </c>
      <c r="E498" s="3" t="s">
        <v>31</v>
      </c>
      <c r="F498" s="3" t="s">
        <v>105</v>
      </c>
      <c r="G498" s="4" t="s">
        <v>106</v>
      </c>
      <c r="H498" s="4">
        <v>14</v>
      </c>
      <c r="I498" s="5">
        <v>0.19383101851851853</v>
      </c>
      <c r="J498" s="5">
        <v>0.12921296296296297</v>
      </c>
      <c r="K498" s="5">
        <f t="shared" si="14"/>
        <v>9.2294973544973548E-3</v>
      </c>
      <c r="L498" s="5">
        <v>0.10277777777777777</v>
      </c>
      <c r="M498" s="6">
        <f t="shared" si="15"/>
        <v>0.5302442228458828</v>
      </c>
      <c r="N498" s="5">
        <v>1.0949074074074075E-2</v>
      </c>
      <c r="O498" s="5">
        <v>1.8425925925925925E-2</v>
      </c>
      <c r="P498" s="5"/>
      <c r="Q498" s="5"/>
      <c r="R498" s="5"/>
      <c r="S498" s="5">
        <v>1.4907407407407407E-2</v>
      </c>
      <c r="T498" s="5">
        <v>5.8217592592592592E-3</v>
      </c>
      <c r="U498" s="5">
        <v>6.8287037037037036E-4</v>
      </c>
      <c r="V498" s="5"/>
      <c r="W498" s="5">
        <v>5.199074074074074E-2</v>
      </c>
    </row>
    <row r="499" spans="1:23" x14ac:dyDescent="0.25">
      <c r="A499" s="2">
        <v>46240</v>
      </c>
      <c r="B499" s="3" t="s">
        <v>207</v>
      </c>
      <c r="C499" s="3" t="s">
        <v>566</v>
      </c>
      <c r="D499" s="3" t="s">
        <v>274</v>
      </c>
      <c r="E499" s="3" t="s">
        <v>79</v>
      </c>
      <c r="F499" s="3" t="s">
        <v>147</v>
      </c>
      <c r="G499" s="4" t="s">
        <v>33</v>
      </c>
      <c r="H499" s="4">
        <v>14</v>
      </c>
      <c r="I499" s="5">
        <v>0.25874999999999998</v>
      </c>
      <c r="J499" s="5">
        <v>7.1261574074074074E-2</v>
      </c>
      <c r="K499" s="5">
        <f t="shared" si="14"/>
        <v>5.0901124338624338E-3</v>
      </c>
      <c r="L499" s="5">
        <v>3.6041666666666666E-2</v>
      </c>
      <c r="M499" s="6">
        <f t="shared" si="15"/>
        <v>0.13929146537842191</v>
      </c>
      <c r="N499" s="5">
        <v>3.5995370370370369E-3</v>
      </c>
      <c r="O499" s="5">
        <v>1.4386574074074074E-2</v>
      </c>
      <c r="P499" s="5"/>
      <c r="Q499" s="5"/>
      <c r="R499" s="5">
        <v>1.4699074074074074E-3</v>
      </c>
      <c r="S499" s="5">
        <v>1.4351851851851852E-2</v>
      </c>
      <c r="T499" s="5">
        <v>8.1018518518518516E-5</v>
      </c>
      <c r="U499" s="5">
        <v>2.0601851851851853E-3</v>
      </c>
      <c r="V499" s="5"/>
      <c r="W499" s="5"/>
    </row>
    <row r="500" spans="1:23" x14ac:dyDescent="0.25">
      <c r="A500" s="2">
        <v>46240</v>
      </c>
      <c r="B500" s="3" t="s">
        <v>614</v>
      </c>
      <c r="C500" s="3" t="s">
        <v>635</v>
      </c>
      <c r="D500" s="3" t="s">
        <v>601</v>
      </c>
      <c r="E500" s="3" t="s">
        <v>31</v>
      </c>
      <c r="F500" s="3" t="s">
        <v>105</v>
      </c>
      <c r="G500" s="4" t="s">
        <v>33</v>
      </c>
      <c r="H500" s="4">
        <v>5</v>
      </c>
      <c r="I500" s="5">
        <v>0.16318287037037038</v>
      </c>
      <c r="J500" s="5">
        <v>8.7800925925925921E-2</v>
      </c>
      <c r="K500" s="5">
        <f t="shared" si="14"/>
        <v>1.7560185185185186E-2</v>
      </c>
      <c r="L500" s="5">
        <v>0.11612268518518519</v>
      </c>
      <c r="M500" s="6">
        <f t="shared" si="15"/>
        <v>0.71161075253564077</v>
      </c>
      <c r="N500" s="5">
        <v>1.6666666666666668E-3</v>
      </c>
      <c r="O500" s="5">
        <v>3.0324074074074073E-3</v>
      </c>
      <c r="P500" s="5"/>
      <c r="Q500" s="5"/>
      <c r="R500" s="5"/>
      <c r="S500" s="5">
        <v>2.7974537037037037E-2</v>
      </c>
      <c r="T500" s="5">
        <v>2.4652777777777776E-3</v>
      </c>
      <c r="U500" s="5">
        <v>1.9675925925925927E-2</v>
      </c>
      <c r="V500" s="5"/>
      <c r="W500" s="5">
        <v>6.1307870370370374E-2</v>
      </c>
    </row>
    <row r="501" spans="1:23" x14ac:dyDescent="0.25">
      <c r="A501" s="2">
        <v>46240</v>
      </c>
      <c r="B501" s="3" t="s">
        <v>96</v>
      </c>
      <c r="C501" s="3" t="s">
        <v>97</v>
      </c>
      <c r="D501" s="3" t="s">
        <v>78</v>
      </c>
      <c r="E501" s="3" t="s">
        <v>79</v>
      </c>
      <c r="F501" s="3" t="s">
        <v>80</v>
      </c>
      <c r="G501" s="4" t="s">
        <v>81</v>
      </c>
      <c r="H501" s="4">
        <v>0</v>
      </c>
      <c r="I501" s="5">
        <v>0.3342013888888889</v>
      </c>
      <c r="J501" s="5">
        <v>0</v>
      </c>
      <c r="K501" s="5">
        <f t="shared" si="14"/>
        <v>0</v>
      </c>
      <c r="L501" s="5">
        <v>7.9490740740740737E-2</v>
      </c>
      <c r="M501" s="6">
        <f t="shared" si="15"/>
        <v>0.23785281385281384</v>
      </c>
      <c r="N501" s="5">
        <v>1.037037037037037E-2</v>
      </c>
      <c r="O501" s="5">
        <v>4.7650462962962964E-2</v>
      </c>
      <c r="P501" s="5"/>
      <c r="Q501" s="5"/>
      <c r="R501" s="5"/>
      <c r="S501" s="5">
        <v>2.1307870370370369E-2</v>
      </c>
      <c r="T501" s="5">
        <v>5.7870370370370373E-5</v>
      </c>
      <c r="U501" s="5">
        <v>1.0416666666666667E-4</v>
      </c>
      <c r="V501" s="5"/>
      <c r="W501" s="5"/>
    </row>
    <row r="502" spans="1:23" x14ac:dyDescent="0.25">
      <c r="A502" s="2">
        <v>46240</v>
      </c>
      <c r="B502" s="3" t="s">
        <v>180</v>
      </c>
      <c r="C502" s="3" t="s">
        <v>523</v>
      </c>
      <c r="D502" s="3" t="s">
        <v>146</v>
      </c>
      <c r="E502" s="3" t="s">
        <v>79</v>
      </c>
      <c r="F502" s="3" t="s">
        <v>147</v>
      </c>
      <c r="G502" s="4" t="s">
        <v>106</v>
      </c>
      <c r="H502" s="4">
        <v>14</v>
      </c>
      <c r="I502" s="5">
        <v>0.32967592592592593</v>
      </c>
      <c r="J502" s="5">
        <v>7.9097222222222222E-2</v>
      </c>
      <c r="K502" s="5">
        <f t="shared" si="14"/>
        <v>5.649801587301587E-3</v>
      </c>
      <c r="L502" s="5">
        <v>5.3587962962962962E-2</v>
      </c>
      <c r="M502" s="6">
        <f t="shared" si="15"/>
        <v>0.16254739502878809</v>
      </c>
      <c r="N502" s="5">
        <v>7.4999999999999997E-3</v>
      </c>
      <c r="O502" s="5">
        <v>1.0891203703703703E-2</v>
      </c>
      <c r="P502" s="5"/>
      <c r="Q502" s="5">
        <v>1.4814814814814815E-2</v>
      </c>
      <c r="R502" s="5"/>
      <c r="S502" s="5">
        <v>1.4212962962962964E-2</v>
      </c>
      <c r="T502" s="5">
        <v>1.2152777777777778E-3</v>
      </c>
      <c r="U502" s="5">
        <v>3.1134259259259257E-3</v>
      </c>
      <c r="V502" s="5"/>
      <c r="W502" s="5">
        <v>1.7592592592592592E-3</v>
      </c>
    </row>
    <row r="503" spans="1:23" x14ac:dyDescent="0.25">
      <c r="A503" s="2">
        <v>46240</v>
      </c>
      <c r="B503" s="3" t="s">
        <v>615</v>
      </c>
      <c r="C503" s="3" t="s">
        <v>636</v>
      </c>
      <c r="D503" s="3" t="s">
        <v>601</v>
      </c>
      <c r="E503" s="3" t="s">
        <v>31</v>
      </c>
      <c r="F503" s="3" t="s">
        <v>105</v>
      </c>
      <c r="G503" s="4" t="s">
        <v>33</v>
      </c>
      <c r="H503" s="4">
        <v>8</v>
      </c>
      <c r="I503" s="5">
        <v>0.20555555555555555</v>
      </c>
      <c r="J503" s="5">
        <v>9.4872685185185185E-2</v>
      </c>
      <c r="K503" s="5">
        <f t="shared" si="14"/>
        <v>1.1859085648148148E-2</v>
      </c>
      <c r="L503" s="5">
        <v>0.15952546296296297</v>
      </c>
      <c r="M503" s="6">
        <f t="shared" si="15"/>
        <v>0.77606981981981982</v>
      </c>
      <c r="N503" s="5">
        <v>2.4421296296296296E-3</v>
      </c>
      <c r="O503" s="5">
        <v>1.4837962962962963E-2</v>
      </c>
      <c r="P503" s="5"/>
      <c r="Q503" s="5"/>
      <c r="R503" s="5"/>
      <c r="S503" s="5">
        <v>4.7569444444444447E-3</v>
      </c>
      <c r="T503" s="5">
        <v>2.2824074074074073E-2</v>
      </c>
      <c r="U503" s="5">
        <v>3.3692129629629627E-2</v>
      </c>
      <c r="V503" s="5"/>
      <c r="W503" s="5">
        <v>8.0972222222222223E-2</v>
      </c>
    </row>
    <row r="504" spans="1:23" x14ac:dyDescent="0.25">
      <c r="A504" s="2">
        <v>46240</v>
      </c>
      <c r="B504" s="3" t="s">
        <v>616</v>
      </c>
      <c r="C504" s="3" t="s">
        <v>637</v>
      </c>
      <c r="D504" s="3" t="s">
        <v>601</v>
      </c>
      <c r="E504" s="3" t="s">
        <v>31</v>
      </c>
      <c r="F504" s="3" t="s">
        <v>105</v>
      </c>
      <c r="G504" s="4" t="s">
        <v>33</v>
      </c>
      <c r="H504" s="4">
        <v>3</v>
      </c>
      <c r="I504" s="5">
        <v>0.17353009259259258</v>
      </c>
      <c r="J504" s="5">
        <v>5.271990740740741E-2</v>
      </c>
      <c r="K504" s="5">
        <f t="shared" si="14"/>
        <v>1.7573302469135802E-2</v>
      </c>
      <c r="L504" s="5">
        <v>0.13847222222222222</v>
      </c>
      <c r="M504" s="6">
        <f t="shared" si="15"/>
        <v>0.79797238711398655</v>
      </c>
      <c r="N504" s="5"/>
      <c r="O504" s="5">
        <v>5.4398148148148149E-3</v>
      </c>
      <c r="P504" s="5"/>
      <c r="Q504" s="5"/>
      <c r="R504" s="5"/>
      <c r="S504" s="5">
        <v>1.3761574074074074E-2</v>
      </c>
      <c r="T504" s="5">
        <v>4.5138888888888887E-4</v>
      </c>
      <c r="U504" s="5">
        <v>2.3807870370370372E-2</v>
      </c>
      <c r="V504" s="5"/>
      <c r="W504" s="5">
        <v>9.5011574074074068E-2</v>
      </c>
    </row>
    <row r="505" spans="1:23" x14ac:dyDescent="0.25">
      <c r="A505" s="2">
        <v>46240</v>
      </c>
      <c r="B505" s="3" t="s">
        <v>209</v>
      </c>
      <c r="C505" s="3" t="s">
        <v>567</v>
      </c>
      <c r="D505" s="3" t="s">
        <v>601</v>
      </c>
      <c r="E505" s="3" t="s">
        <v>31</v>
      </c>
      <c r="F505" s="3" t="s">
        <v>105</v>
      </c>
      <c r="G505" s="4" t="s">
        <v>33</v>
      </c>
      <c r="H505" s="4">
        <v>8</v>
      </c>
      <c r="I505" s="5">
        <v>0.24238425925925927</v>
      </c>
      <c r="J505" s="5">
        <v>0.11120370370370371</v>
      </c>
      <c r="K505" s="5">
        <f t="shared" si="14"/>
        <v>1.3900462962962963E-2</v>
      </c>
      <c r="L505" s="5">
        <v>0.17417824074074073</v>
      </c>
      <c r="M505" s="6">
        <f t="shared" si="15"/>
        <v>0.71860376277337401</v>
      </c>
      <c r="N505" s="5">
        <v>3.6574074074074074E-3</v>
      </c>
      <c r="O505" s="5">
        <v>7.5925925925925926E-3</v>
      </c>
      <c r="P505" s="5"/>
      <c r="Q505" s="5"/>
      <c r="R505" s="5"/>
      <c r="S505" s="5">
        <v>4.5717592592592589E-3</v>
      </c>
      <c r="T505" s="5">
        <v>2.2210648148148149E-2</v>
      </c>
      <c r="U505" s="5">
        <v>2.5358796296296296E-2</v>
      </c>
      <c r="V505" s="5"/>
      <c r="W505" s="5">
        <v>0.11078703703703703</v>
      </c>
    </row>
    <row r="506" spans="1:23" x14ac:dyDescent="0.25">
      <c r="A506" s="2">
        <v>46240</v>
      </c>
      <c r="B506" s="3" t="s">
        <v>60</v>
      </c>
      <c r="C506" s="3" t="s">
        <v>510</v>
      </c>
      <c r="D506" s="3" t="s">
        <v>100</v>
      </c>
      <c r="E506" s="3" t="s">
        <v>31</v>
      </c>
      <c r="F506" s="3" t="s">
        <v>32</v>
      </c>
      <c r="G506" s="4" t="s">
        <v>33</v>
      </c>
      <c r="H506" s="4">
        <v>38</v>
      </c>
      <c r="I506" s="5">
        <v>0.32087962962962963</v>
      </c>
      <c r="J506" s="5">
        <v>0.20981481481481482</v>
      </c>
      <c r="K506" s="5">
        <f t="shared" si="14"/>
        <v>5.5214424951267058E-3</v>
      </c>
      <c r="L506" s="5">
        <v>4.9907407407407407E-2</v>
      </c>
      <c r="M506" s="6">
        <f t="shared" si="15"/>
        <v>0.15553311210503534</v>
      </c>
      <c r="N506" s="5">
        <v>2.5462962962962965E-3</v>
      </c>
      <c r="O506" s="5">
        <v>1.3449074074074073E-2</v>
      </c>
      <c r="P506" s="5"/>
      <c r="Q506" s="5">
        <v>2.8356481481481483E-3</v>
      </c>
      <c r="R506" s="5"/>
      <c r="S506" s="5">
        <v>1.4143518518518519E-2</v>
      </c>
      <c r="T506" s="5">
        <v>1.8518518518518518E-4</v>
      </c>
      <c r="U506" s="5">
        <v>1.4004629629629629E-3</v>
      </c>
      <c r="V506" s="5"/>
      <c r="W506" s="5">
        <v>1.5300925925925926E-2</v>
      </c>
    </row>
    <row r="507" spans="1:23" x14ac:dyDescent="0.25">
      <c r="A507" s="2">
        <v>46240</v>
      </c>
      <c r="B507" s="3" t="s">
        <v>132</v>
      </c>
      <c r="C507" s="3" t="s">
        <v>512</v>
      </c>
      <c r="D507" s="3" t="s">
        <v>104</v>
      </c>
      <c r="E507" s="3" t="s">
        <v>31</v>
      </c>
      <c r="F507" s="3" t="s">
        <v>105</v>
      </c>
      <c r="G507" s="4" t="s">
        <v>106</v>
      </c>
      <c r="H507" s="4">
        <v>8</v>
      </c>
      <c r="I507" s="5">
        <v>0.19821759259259258</v>
      </c>
      <c r="J507" s="5">
        <v>0.12006944444444445</v>
      </c>
      <c r="K507" s="5">
        <f t="shared" si="14"/>
        <v>1.5008680555555556E-2</v>
      </c>
      <c r="L507" s="5">
        <v>0.10583333333333333</v>
      </c>
      <c r="M507" s="6">
        <f t="shared" si="15"/>
        <v>0.53392502627583793</v>
      </c>
      <c r="N507" s="5">
        <v>6.6782407407407407E-3</v>
      </c>
      <c r="O507" s="5">
        <v>1.5868055555555555E-2</v>
      </c>
      <c r="P507" s="5"/>
      <c r="Q507" s="5"/>
      <c r="R507" s="5"/>
      <c r="S507" s="5">
        <v>1.457175925925926E-2</v>
      </c>
      <c r="T507" s="5">
        <v>1.8854166666666668E-2</v>
      </c>
      <c r="U507" s="5">
        <v>1.8518518518518519E-3</v>
      </c>
      <c r="V507" s="5"/>
      <c r="W507" s="5">
        <v>4.7997685185185185E-2</v>
      </c>
    </row>
    <row r="508" spans="1:23" x14ac:dyDescent="0.25">
      <c r="A508" s="2">
        <v>46240</v>
      </c>
      <c r="B508" s="3" t="s">
        <v>134</v>
      </c>
      <c r="C508" s="3" t="s">
        <v>560</v>
      </c>
      <c r="D508" s="3" t="s">
        <v>104</v>
      </c>
      <c r="E508" s="3" t="s">
        <v>31</v>
      </c>
      <c r="F508" s="3" t="s">
        <v>105</v>
      </c>
      <c r="G508" s="4" t="s">
        <v>106</v>
      </c>
      <c r="H508" s="4">
        <v>10</v>
      </c>
      <c r="I508" s="5">
        <v>0.2066087962962963</v>
      </c>
      <c r="J508" s="5">
        <v>0.11749999999999999</v>
      </c>
      <c r="K508" s="5">
        <f t="shared" si="14"/>
        <v>1.175E-2</v>
      </c>
      <c r="L508" s="5">
        <v>8.7175925925925921E-2</v>
      </c>
      <c r="M508" s="6">
        <f t="shared" si="15"/>
        <v>0.42193714637835411</v>
      </c>
      <c r="N508" s="5">
        <v>3.0324074074074073E-3</v>
      </c>
      <c r="O508" s="5">
        <v>6.875E-3</v>
      </c>
      <c r="P508" s="5"/>
      <c r="Q508" s="5">
        <v>9.3055555555555548E-3</v>
      </c>
      <c r="R508" s="5"/>
      <c r="S508" s="5">
        <v>1.361111111111111E-2</v>
      </c>
      <c r="T508" s="5">
        <v>4.2939814814814811E-3</v>
      </c>
      <c r="U508" s="5">
        <v>7.4189814814814813E-3</v>
      </c>
      <c r="V508" s="5"/>
      <c r="W508" s="5">
        <v>4.2627314814814812E-2</v>
      </c>
    </row>
    <row r="509" spans="1:23" x14ac:dyDescent="0.25">
      <c r="A509" s="2">
        <v>46240</v>
      </c>
      <c r="B509" s="3" t="s">
        <v>211</v>
      </c>
      <c r="C509" s="3" t="s">
        <v>546</v>
      </c>
      <c r="D509" s="3" t="s">
        <v>104</v>
      </c>
      <c r="E509" s="3" t="s">
        <v>31</v>
      </c>
      <c r="F509" s="3" t="s">
        <v>105</v>
      </c>
      <c r="G509" s="4" t="s">
        <v>106</v>
      </c>
      <c r="H509" s="4">
        <v>11</v>
      </c>
      <c r="I509" s="5">
        <v>0.25754629629629627</v>
      </c>
      <c r="J509" s="5">
        <v>0.21534722222222222</v>
      </c>
      <c r="K509" s="5">
        <f t="shared" si="14"/>
        <v>1.9577020202020203E-2</v>
      </c>
      <c r="L509" s="5">
        <v>5.6539351851851855E-2</v>
      </c>
      <c r="M509" s="6">
        <f t="shared" si="15"/>
        <v>0.21953082868955603</v>
      </c>
      <c r="N509" s="5">
        <v>8.3564814814814821E-3</v>
      </c>
      <c r="O509" s="5">
        <v>8.0787037037037043E-3</v>
      </c>
      <c r="P509" s="5">
        <v>1.4780092592592593E-2</v>
      </c>
      <c r="Q509" s="5"/>
      <c r="R509" s="5"/>
      <c r="S509" s="5">
        <v>1.3090277777777777E-2</v>
      </c>
      <c r="T509" s="5">
        <v>6.9444444444444444E-5</v>
      </c>
      <c r="U509" s="5">
        <v>6.8287037037037036E-4</v>
      </c>
      <c r="V509" s="5"/>
      <c r="W509" s="5">
        <v>1.1469907407407408E-2</v>
      </c>
    </row>
    <row r="510" spans="1:23" x14ac:dyDescent="0.25">
      <c r="A510" s="2">
        <v>46240</v>
      </c>
      <c r="B510" s="3" t="s">
        <v>617</v>
      </c>
      <c r="C510" s="3" t="s">
        <v>638</v>
      </c>
      <c r="D510" s="3" t="s">
        <v>601</v>
      </c>
      <c r="E510" s="3" t="s">
        <v>31</v>
      </c>
      <c r="F510" s="3" t="s">
        <v>105</v>
      </c>
      <c r="G510" s="4" t="s">
        <v>33</v>
      </c>
      <c r="H510" s="4">
        <v>9</v>
      </c>
      <c r="I510" s="5">
        <v>0.24222222222222223</v>
      </c>
      <c r="J510" s="5">
        <v>0.1363425925925926</v>
      </c>
      <c r="K510" s="5">
        <f t="shared" si="14"/>
        <v>1.514917695473251E-2</v>
      </c>
      <c r="L510" s="5">
        <v>0.18047453703703703</v>
      </c>
      <c r="M510" s="6">
        <f t="shared" si="15"/>
        <v>0.7450783639143731</v>
      </c>
      <c r="N510" s="5">
        <v>8.6805555555555559E-3</v>
      </c>
      <c r="O510" s="5">
        <v>1.7372685185185185E-2</v>
      </c>
      <c r="P510" s="5"/>
      <c r="Q510" s="5">
        <v>1.3865740740740741E-2</v>
      </c>
      <c r="R510" s="5"/>
      <c r="S510" s="5">
        <v>1.7025462962962964E-2</v>
      </c>
      <c r="T510" s="5">
        <v>2.9513888888888888E-3</v>
      </c>
      <c r="U510" s="5">
        <v>6.5752314814814819E-2</v>
      </c>
      <c r="V510" s="5"/>
      <c r="W510" s="5">
        <v>5.482638888888889E-2</v>
      </c>
    </row>
    <row r="511" spans="1:23" x14ac:dyDescent="0.25">
      <c r="A511" s="2">
        <v>46240</v>
      </c>
      <c r="B511" s="3" t="s">
        <v>136</v>
      </c>
      <c r="C511" s="3" t="s">
        <v>561</v>
      </c>
      <c r="D511" s="3" t="s">
        <v>104</v>
      </c>
      <c r="E511" s="3" t="s">
        <v>31</v>
      </c>
      <c r="F511" s="3" t="s">
        <v>105</v>
      </c>
      <c r="G511" s="4" t="s">
        <v>106</v>
      </c>
      <c r="H511" s="4">
        <v>13</v>
      </c>
      <c r="I511" s="5">
        <v>0.20869212962962963</v>
      </c>
      <c r="J511" s="5">
        <v>0.13700231481481481</v>
      </c>
      <c r="K511" s="5">
        <f t="shared" si="14"/>
        <v>1.0538639601139601E-2</v>
      </c>
      <c r="L511" s="5">
        <v>0.10810185185185185</v>
      </c>
      <c r="M511" s="6">
        <f t="shared" si="15"/>
        <v>0.51799678331761967</v>
      </c>
      <c r="N511" s="5">
        <v>3.8310185185185183E-3</v>
      </c>
      <c r="O511" s="5">
        <v>1.6666666666666666E-2</v>
      </c>
      <c r="P511" s="5"/>
      <c r="Q511" s="5"/>
      <c r="R511" s="5"/>
      <c r="S511" s="5">
        <v>1.5381944444444445E-2</v>
      </c>
      <c r="T511" s="5">
        <v>3.7384259259259259E-3</v>
      </c>
      <c r="U511" s="5">
        <v>1.4467592592592592E-3</v>
      </c>
      <c r="V511" s="5"/>
      <c r="W511" s="5">
        <v>6.7013888888888887E-2</v>
      </c>
    </row>
    <row r="512" spans="1:23" x14ac:dyDescent="0.25">
      <c r="A512" s="2">
        <v>46240</v>
      </c>
      <c r="B512" s="3" t="s">
        <v>618</v>
      </c>
      <c r="C512" s="3" t="s">
        <v>639</v>
      </c>
      <c r="D512" s="3" t="s">
        <v>601</v>
      </c>
      <c r="E512" s="3" t="s">
        <v>31</v>
      </c>
      <c r="F512" s="3" t="s">
        <v>105</v>
      </c>
      <c r="G512" s="4" t="s">
        <v>33</v>
      </c>
      <c r="H512" s="4">
        <v>13</v>
      </c>
      <c r="I512" s="5">
        <v>0.15361111111111111</v>
      </c>
      <c r="J512" s="5">
        <v>0.14197916666666666</v>
      </c>
      <c r="K512" s="5">
        <f t="shared" si="14"/>
        <v>1.0921474358974358E-2</v>
      </c>
      <c r="L512" s="5">
        <v>9.6342592592592591E-2</v>
      </c>
      <c r="M512" s="6">
        <f t="shared" si="15"/>
        <v>0.62718505123568413</v>
      </c>
      <c r="N512" s="5">
        <v>4.7453703703703703E-3</v>
      </c>
      <c r="O512" s="5">
        <v>1.7488425925925925E-2</v>
      </c>
      <c r="P512" s="5"/>
      <c r="Q512" s="5"/>
      <c r="R512" s="5"/>
      <c r="S512" s="5">
        <v>1.6053240740740739E-2</v>
      </c>
      <c r="T512" s="5">
        <v>2.3148148148148147E-3</v>
      </c>
      <c r="U512" s="5">
        <v>4.6527777777777779E-2</v>
      </c>
      <c r="V512" s="5"/>
      <c r="W512" s="5">
        <v>9.2129629629629627E-3</v>
      </c>
    </row>
    <row r="513" spans="1:23" x14ac:dyDescent="0.25">
      <c r="A513" s="2">
        <v>46240</v>
      </c>
      <c r="B513" s="3" t="s">
        <v>501</v>
      </c>
      <c r="C513" s="3" t="s">
        <v>524</v>
      </c>
      <c r="D513" s="3" t="s">
        <v>274</v>
      </c>
      <c r="E513" s="3" t="s">
        <v>79</v>
      </c>
      <c r="F513" s="3" t="s">
        <v>147</v>
      </c>
      <c r="G513" s="4" t="s">
        <v>33</v>
      </c>
      <c r="H513" s="4">
        <v>24</v>
      </c>
      <c r="I513" s="5">
        <v>0.29332175925925924</v>
      </c>
      <c r="J513" s="5">
        <v>6.7430555555555549E-2</v>
      </c>
      <c r="K513" s="5">
        <f t="shared" si="14"/>
        <v>2.8096064814814811E-3</v>
      </c>
      <c r="L513" s="5">
        <v>4.3472222222222225E-2</v>
      </c>
      <c r="M513" s="6">
        <f t="shared" si="15"/>
        <v>0.14820660537426511</v>
      </c>
      <c r="N513" s="5">
        <v>3.1597222222222222E-3</v>
      </c>
      <c r="O513" s="5">
        <v>1.7905092592592594E-2</v>
      </c>
      <c r="P513" s="5"/>
      <c r="Q513" s="5">
        <v>4.8148148148148152E-3</v>
      </c>
      <c r="R513" s="5"/>
      <c r="S513" s="5">
        <v>1.4166666666666666E-2</v>
      </c>
      <c r="T513" s="5">
        <v>1.7361111111111112E-4</v>
      </c>
      <c r="U513" s="5">
        <v>3.1712962962962962E-3</v>
      </c>
      <c r="V513" s="5"/>
      <c r="W513" s="5"/>
    </row>
    <row r="514" spans="1:23" x14ac:dyDescent="0.25">
      <c r="A514" s="2">
        <v>46240</v>
      </c>
      <c r="B514" s="3" t="s">
        <v>213</v>
      </c>
      <c r="C514" s="3" t="s">
        <v>572</v>
      </c>
      <c r="D514" s="3" t="s">
        <v>601</v>
      </c>
      <c r="E514" s="3" t="s">
        <v>31</v>
      </c>
      <c r="F514" s="3" t="s">
        <v>105</v>
      </c>
      <c r="G514" s="4" t="s">
        <v>33</v>
      </c>
      <c r="H514" s="4">
        <v>6</v>
      </c>
      <c r="I514" s="5">
        <v>0.1854976851851852</v>
      </c>
      <c r="J514" s="5">
        <v>6.5254629629629635E-2</v>
      </c>
      <c r="K514" s="5">
        <f t="shared" ref="K514:K577" si="16">IFERROR(J514/H514,0)</f>
        <v>1.0875771604938272E-2</v>
      </c>
      <c r="L514" s="5">
        <v>0.14928240740740742</v>
      </c>
      <c r="M514" s="6">
        <f t="shared" ref="M514:M577" si="17">IFERROR(L514/I514,0)</f>
        <v>0.8047669557621514</v>
      </c>
      <c r="N514" s="5">
        <v>2.638888888888889E-3</v>
      </c>
      <c r="O514" s="5">
        <v>2.0578703703703703E-2</v>
      </c>
      <c r="P514" s="5"/>
      <c r="Q514" s="5"/>
      <c r="R514" s="5"/>
      <c r="S514" s="5">
        <v>1.8865740740740742E-2</v>
      </c>
      <c r="T514" s="5">
        <v>9.4560185185185181E-3</v>
      </c>
      <c r="U514" s="5">
        <v>2.991898148148148E-2</v>
      </c>
      <c r="V514" s="5"/>
      <c r="W514" s="5">
        <v>6.7824074074074078E-2</v>
      </c>
    </row>
    <row r="515" spans="1:23" x14ac:dyDescent="0.25">
      <c r="A515" s="2">
        <v>46240</v>
      </c>
      <c r="B515" s="3" t="s">
        <v>619</v>
      </c>
      <c r="C515" s="3" t="s">
        <v>640</v>
      </c>
      <c r="D515" s="3" t="s">
        <v>601</v>
      </c>
      <c r="E515" s="3" t="s">
        <v>31</v>
      </c>
      <c r="F515" s="3" t="s">
        <v>105</v>
      </c>
      <c r="G515" s="4" t="s">
        <v>33</v>
      </c>
      <c r="H515" s="4">
        <v>9</v>
      </c>
      <c r="I515" s="5">
        <v>0.23290509259259259</v>
      </c>
      <c r="J515" s="5">
        <v>0.12177083333333333</v>
      </c>
      <c r="K515" s="5">
        <f t="shared" si="16"/>
        <v>1.3530092592592592E-2</v>
      </c>
      <c r="L515" s="5">
        <v>0.17903935185185185</v>
      </c>
      <c r="M515" s="6">
        <f t="shared" si="17"/>
        <v>0.76872235750136664</v>
      </c>
      <c r="N515" s="5">
        <v>5.9606481481481481E-3</v>
      </c>
      <c r="O515" s="5">
        <v>7.1064814814814819E-3</v>
      </c>
      <c r="P515" s="5"/>
      <c r="Q515" s="5"/>
      <c r="R515" s="5"/>
      <c r="S515" s="5">
        <v>8.3333333333333339E-4</v>
      </c>
      <c r="T515" s="5">
        <v>6.5717592592592591E-2</v>
      </c>
      <c r="U515" s="5">
        <v>4.8912037037037039E-2</v>
      </c>
      <c r="V515" s="5"/>
      <c r="W515" s="5">
        <v>5.0509259259259261E-2</v>
      </c>
    </row>
    <row r="516" spans="1:23" x14ac:dyDescent="0.25">
      <c r="A516" s="2">
        <v>46240</v>
      </c>
      <c r="B516" s="3" t="s">
        <v>668</v>
      </c>
      <c r="C516" s="3" t="s">
        <v>669</v>
      </c>
      <c r="D516" s="3" t="s">
        <v>233</v>
      </c>
      <c r="E516" s="3" t="s">
        <v>31</v>
      </c>
      <c r="F516" s="3" t="s">
        <v>32</v>
      </c>
      <c r="G516" s="4" t="s">
        <v>106</v>
      </c>
      <c r="H516" s="4">
        <v>33</v>
      </c>
      <c r="I516" s="5">
        <v>0.26267361111111109</v>
      </c>
      <c r="J516" s="5">
        <v>0.14341435185185186</v>
      </c>
      <c r="K516" s="5">
        <f t="shared" si="16"/>
        <v>4.3458894500561169E-3</v>
      </c>
      <c r="L516" s="5">
        <v>4.929398148148148E-2</v>
      </c>
      <c r="M516" s="6">
        <f t="shared" si="17"/>
        <v>0.18766248072262615</v>
      </c>
      <c r="N516" s="5">
        <v>5.1736111111111115E-3</v>
      </c>
      <c r="O516" s="5">
        <v>1.5462962962962963E-2</v>
      </c>
      <c r="P516" s="5"/>
      <c r="Q516" s="5"/>
      <c r="R516" s="5"/>
      <c r="S516" s="5">
        <v>1.4826388888888889E-2</v>
      </c>
      <c r="T516" s="5">
        <v>8.5763888888888886E-3</v>
      </c>
      <c r="U516" s="5">
        <v>4.5370370370370373E-3</v>
      </c>
      <c r="V516" s="5"/>
      <c r="W516" s="5">
        <v>7.1759259259259259E-4</v>
      </c>
    </row>
    <row r="517" spans="1:23" x14ac:dyDescent="0.25">
      <c r="A517" s="2">
        <v>46240</v>
      </c>
      <c r="B517" s="3" t="s">
        <v>744</v>
      </c>
      <c r="C517" s="3" t="s">
        <v>670</v>
      </c>
      <c r="D517" s="3" t="s">
        <v>100</v>
      </c>
      <c r="E517" s="3" t="s">
        <v>31</v>
      </c>
      <c r="F517" s="3" t="s">
        <v>32</v>
      </c>
      <c r="G517" s="4" t="s">
        <v>33</v>
      </c>
      <c r="H517" s="4">
        <v>27</v>
      </c>
      <c r="I517" s="5">
        <v>0.25686342592592593</v>
      </c>
      <c r="J517" s="5">
        <v>0.16012731481481482</v>
      </c>
      <c r="K517" s="5">
        <f t="shared" si="16"/>
        <v>5.9306412894375863E-3</v>
      </c>
      <c r="L517" s="5">
        <v>4.3680555555555556E-2</v>
      </c>
      <c r="M517" s="6">
        <f t="shared" si="17"/>
        <v>0.17005362051097192</v>
      </c>
      <c r="N517" s="5">
        <v>1.6886574074074075E-2</v>
      </c>
      <c r="O517" s="5">
        <v>1.0266203703703704E-2</v>
      </c>
      <c r="P517" s="5"/>
      <c r="Q517" s="5"/>
      <c r="R517" s="5"/>
      <c r="S517" s="5">
        <v>1.4768518518518519E-2</v>
      </c>
      <c r="T517" s="5">
        <v>4.861111111111111E-4</v>
      </c>
      <c r="U517" s="5">
        <v>1.2731481481481483E-3</v>
      </c>
      <c r="V517" s="5"/>
      <c r="W517" s="5"/>
    </row>
    <row r="518" spans="1:23" x14ac:dyDescent="0.25">
      <c r="A518" s="2">
        <v>46240</v>
      </c>
      <c r="B518" s="3" t="s">
        <v>219</v>
      </c>
      <c r="C518" s="3" t="s">
        <v>548</v>
      </c>
      <c r="D518" s="3" t="s">
        <v>104</v>
      </c>
      <c r="E518" s="3" t="s">
        <v>31</v>
      </c>
      <c r="F518" s="3" t="s">
        <v>105</v>
      </c>
      <c r="G518" s="4" t="s">
        <v>106</v>
      </c>
      <c r="H518" s="4">
        <v>13</v>
      </c>
      <c r="I518" s="5">
        <v>0.24310185185185185</v>
      </c>
      <c r="J518" s="5">
        <v>0.17394675925925926</v>
      </c>
      <c r="K518" s="5">
        <f t="shared" si="16"/>
        <v>1.3380519943019944E-2</v>
      </c>
      <c r="L518" s="5">
        <v>8.8611111111111113E-2</v>
      </c>
      <c r="M518" s="6">
        <f t="shared" si="17"/>
        <v>0.36450199961912016</v>
      </c>
      <c r="N518" s="5">
        <v>3.4594907407407408E-2</v>
      </c>
      <c r="O518" s="5">
        <v>1.7210648148148149E-2</v>
      </c>
      <c r="P518" s="5">
        <v>5.7407407407407407E-3</v>
      </c>
      <c r="Q518" s="5"/>
      <c r="R518" s="5"/>
      <c r="S518" s="5">
        <v>1.5324074074074073E-2</v>
      </c>
      <c r="T518" s="5">
        <v>1.4375000000000001E-2</v>
      </c>
      <c r="U518" s="5">
        <v>1.3425925925925925E-3</v>
      </c>
      <c r="V518" s="5"/>
      <c r="W518" s="5"/>
    </row>
    <row r="519" spans="1:23" x14ac:dyDescent="0.25">
      <c r="A519" s="2">
        <v>46240</v>
      </c>
      <c r="B519" s="3" t="s">
        <v>305</v>
      </c>
      <c r="C519" s="3" t="s">
        <v>306</v>
      </c>
      <c r="D519" s="3" t="s">
        <v>100</v>
      </c>
      <c r="E519" s="3" t="s">
        <v>31</v>
      </c>
      <c r="F519" s="3" t="s">
        <v>32</v>
      </c>
      <c r="G519" s="4" t="s">
        <v>33</v>
      </c>
      <c r="H519" s="4">
        <v>33</v>
      </c>
      <c r="I519" s="5">
        <v>0.25893518518518521</v>
      </c>
      <c r="J519" s="5">
        <v>0.13600694444444444</v>
      </c>
      <c r="K519" s="5">
        <f t="shared" si="16"/>
        <v>4.1214225589225589E-3</v>
      </c>
      <c r="L519" s="5">
        <v>7.4548611111111107E-2</v>
      </c>
      <c r="M519" s="6">
        <f t="shared" si="17"/>
        <v>0.28790452351153223</v>
      </c>
      <c r="N519" s="5">
        <v>1.7800925925925925E-2</v>
      </c>
      <c r="O519" s="5">
        <v>2.0381944444444446E-2</v>
      </c>
      <c r="P519" s="5"/>
      <c r="Q519" s="5">
        <v>1.9432870370370371E-2</v>
      </c>
      <c r="R519" s="5"/>
      <c r="S519" s="5">
        <v>1.6493055555555556E-2</v>
      </c>
      <c r="T519" s="5">
        <v>8.1018518518518516E-5</v>
      </c>
      <c r="U519" s="5"/>
      <c r="V519" s="5"/>
      <c r="W519" s="5">
        <v>3.5879629629629629E-4</v>
      </c>
    </row>
    <row r="520" spans="1:23" x14ac:dyDescent="0.25">
      <c r="A520" s="2">
        <v>46240</v>
      </c>
      <c r="B520" s="3" t="s">
        <v>620</v>
      </c>
      <c r="C520" s="3" t="s">
        <v>641</v>
      </c>
      <c r="D520" s="3" t="s">
        <v>601</v>
      </c>
      <c r="E520" s="3" t="s">
        <v>31</v>
      </c>
      <c r="F520" s="3" t="s">
        <v>105</v>
      </c>
      <c r="G520" s="4" t="s">
        <v>33</v>
      </c>
      <c r="H520" s="4">
        <v>6</v>
      </c>
      <c r="I520" s="5">
        <v>0.18834490740740742</v>
      </c>
      <c r="J520" s="5">
        <v>6.7025462962962967E-2</v>
      </c>
      <c r="K520" s="5">
        <f t="shared" si="16"/>
        <v>1.1170910493827161E-2</v>
      </c>
      <c r="L520" s="5">
        <v>0.13704861111111111</v>
      </c>
      <c r="M520" s="6">
        <f t="shared" si="17"/>
        <v>0.72764702267559755</v>
      </c>
      <c r="N520" s="5"/>
      <c r="O520" s="5">
        <v>1.412037037037037E-2</v>
      </c>
      <c r="P520" s="5"/>
      <c r="Q520" s="5"/>
      <c r="R520" s="5"/>
      <c r="S520" s="5">
        <v>4.9537037037037041E-3</v>
      </c>
      <c r="T520" s="5">
        <v>2.2569444444444442E-3</v>
      </c>
      <c r="U520" s="5">
        <v>1.0243055555555556E-2</v>
      </c>
      <c r="V520" s="5"/>
      <c r="W520" s="5">
        <v>0.10547453703703703</v>
      </c>
    </row>
    <row r="521" spans="1:23" x14ac:dyDescent="0.25">
      <c r="A521" s="2">
        <v>46240</v>
      </c>
      <c r="B521" s="3" t="s">
        <v>138</v>
      </c>
      <c r="C521" s="3" t="s">
        <v>556</v>
      </c>
      <c r="D521" s="3" t="s">
        <v>104</v>
      </c>
      <c r="E521" s="3" t="s">
        <v>31</v>
      </c>
      <c r="F521" s="3" t="s">
        <v>105</v>
      </c>
      <c r="G521" s="4" t="s">
        <v>106</v>
      </c>
      <c r="H521" s="4">
        <v>14</v>
      </c>
      <c r="I521" s="5">
        <v>0.22865740740740742</v>
      </c>
      <c r="J521" s="5">
        <v>0.17629629629629628</v>
      </c>
      <c r="K521" s="5">
        <f t="shared" si="16"/>
        <v>1.2592592592592591E-2</v>
      </c>
      <c r="L521" s="5">
        <v>7.8391203703703699E-2</v>
      </c>
      <c r="M521" s="6">
        <f t="shared" si="17"/>
        <v>0.3428325571978133</v>
      </c>
      <c r="N521" s="5">
        <v>1.5752314814814816E-2</v>
      </c>
      <c r="O521" s="5">
        <v>2.2361111111111109E-2</v>
      </c>
      <c r="P521" s="5"/>
      <c r="Q521" s="5">
        <v>1.2743055555555556E-2</v>
      </c>
      <c r="R521" s="5"/>
      <c r="S521" s="5">
        <v>1.6319444444444445E-2</v>
      </c>
      <c r="T521" s="5">
        <v>7.4189814814814813E-3</v>
      </c>
      <c r="U521" s="5">
        <v>3.7847222222222223E-3</v>
      </c>
      <c r="V521" s="5"/>
      <c r="W521" s="5"/>
    </row>
    <row r="522" spans="1:23" x14ac:dyDescent="0.25">
      <c r="A522" s="2">
        <v>46240</v>
      </c>
      <c r="B522" s="3" t="s">
        <v>276</v>
      </c>
      <c r="C522" s="3" t="s">
        <v>532</v>
      </c>
      <c r="D522" s="3" t="s">
        <v>233</v>
      </c>
      <c r="E522" s="3" t="s">
        <v>31</v>
      </c>
      <c r="F522" s="3" t="s">
        <v>32</v>
      </c>
      <c r="G522" s="4" t="s">
        <v>106</v>
      </c>
      <c r="H522" s="4">
        <v>36</v>
      </c>
      <c r="I522" s="5">
        <v>0.25729166666666664</v>
      </c>
      <c r="J522" s="5">
        <v>0.10686342592592593</v>
      </c>
      <c r="K522" s="5">
        <f t="shared" si="16"/>
        <v>2.9684284979423869E-3</v>
      </c>
      <c r="L522" s="5">
        <v>6.3622685185185185E-2</v>
      </c>
      <c r="M522" s="6">
        <f t="shared" si="17"/>
        <v>0.24727845254161046</v>
      </c>
      <c r="N522" s="5">
        <v>1.443287037037037E-2</v>
      </c>
      <c r="O522" s="5">
        <v>1.337962962962963E-2</v>
      </c>
      <c r="P522" s="5"/>
      <c r="Q522" s="5">
        <v>3.7615740740740739E-3</v>
      </c>
      <c r="R522" s="5"/>
      <c r="S522" s="5">
        <v>6.9675925925925929E-3</v>
      </c>
      <c r="T522" s="5">
        <v>2.4618055555555556E-2</v>
      </c>
      <c r="U522" s="5">
        <v>4.3981481481481481E-4</v>
      </c>
      <c r="V522" s="5"/>
      <c r="W522" s="5"/>
    </row>
    <row r="523" spans="1:23" x14ac:dyDescent="0.25">
      <c r="A523" s="2">
        <v>46240</v>
      </c>
      <c r="B523" s="3" t="s">
        <v>278</v>
      </c>
      <c r="C523" s="3" t="s">
        <v>533</v>
      </c>
      <c r="D523" s="3" t="s">
        <v>233</v>
      </c>
      <c r="E523" s="3" t="s">
        <v>31</v>
      </c>
      <c r="F523" s="3" t="s">
        <v>32</v>
      </c>
      <c r="G523" s="4" t="s">
        <v>106</v>
      </c>
      <c r="H523" s="4">
        <v>21</v>
      </c>
      <c r="I523" s="5">
        <v>0.2799537037037037</v>
      </c>
      <c r="J523" s="5">
        <v>0.1633449074074074</v>
      </c>
      <c r="K523" s="5">
        <f t="shared" si="16"/>
        <v>7.7783289241622573E-3</v>
      </c>
      <c r="L523" s="5">
        <v>5.2048611111111108E-2</v>
      </c>
      <c r="M523" s="6">
        <f t="shared" si="17"/>
        <v>0.18591863734083014</v>
      </c>
      <c r="N523" s="5">
        <v>3.6111111111111109E-3</v>
      </c>
      <c r="O523" s="5">
        <v>1.4155092592592592E-2</v>
      </c>
      <c r="P523" s="5"/>
      <c r="Q523" s="5">
        <v>1.7951388888888888E-2</v>
      </c>
      <c r="R523" s="5"/>
      <c r="S523" s="5">
        <v>1.4675925925925926E-2</v>
      </c>
      <c r="T523" s="5">
        <v>1.6550925925925926E-3</v>
      </c>
      <c r="U523" s="5"/>
      <c r="V523" s="5"/>
      <c r="W523" s="5"/>
    </row>
    <row r="524" spans="1:23" x14ac:dyDescent="0.25">
      <c r="A524" s="2">
        <v>46240</v>
      </c>
      <c r="B524" s="3" t="s">
        <v>313</v>
      </c>
      <c r="C524" s="3" t="s">
        <v>511</v>
      </c>
      <c r="D524" s="3" t="s">
        <v>78</v>
      </c>
      <c r="E524" s="3" t="s">
        <v>79</v>
      </c>
      <c r="F524" s="3" t="s">
        <v>80</v>
      </c>
      <c r="G524" s="4" t="s">
        <v>81</v>
      </c>
      <c r="H524" s="4">
        <v>0</v>
      </c>
      <c r="I524" s="5">
        <v>0.24729166666666666</v>
      </c>
      <c r="J524" s="5">
        <v>0</v>
      </c>
      <c r="K524" s="5">
        <f t="shared" si="16"/>
        <v>0</v>
      </c>
      <c r="L524" s="5">
        <v>3.5937499999999997E-2</v>
      </c>
      <c r="M524" s="6">
        <f t="shared" si="17"/>
        <v>0.14532434709351305</v>
      </c>
      <c r="N524" s="5">
        <v>4.3981481481481484E-3</v>
      </c>
      <c r="O524" s="5">
        <v>2.1168981481481483E-2</v>
      </c>
      <c r="P524" s="5"/>
      <c r="Q524" s="5"/>
      <c r="R524" s="5"/>
      <c r="S524" s="5">
        <v>9.9074074074074082E-3</v>
      </c>
      <c r="T524" s="5">
        <v>2.5462962962962961E-4</v>
      </c>
      <c r="U524" s="5">
        <v>1.9675925925925926E-4</v>
      </c>
      <c r="V524" s="5"/>
      <c r="W524" s="5"/>
    </row>
    <row r="525" spans="1:23" x14ac:dyDescent="0.25">
      <c r="A525" s="2">
        <v>46240</v>
      </c>
      <c r="B525" s="3" t="s">
        <v>673</v>
      </c>
      <c r="C525" s="3" t="s">
        <v>674</v>
      </c>
      <c r="D525" s="3" t="s">
        <v>104</v>
      </c>
      <c r="E525" s="3" t="s">
        <v>31</v>
      </c>
      <c r="F525" s="3" t="s">
        <v>105</v>
      </c>
      <c r="G525" s="4" t="s">
        <v>106</v>
      </c>
      <c r="H525" s="4">
        <v>11</v>
      </c>
      <c r="I525" s="5">
        <v>0.20656250000000001</v>
      </c>
      <c r="J525" s="5">
        <v>0.11052083333333333</v>
      </c>
      <c r="K525" s="5">
        <f t="shared" si="16"/>
        <v>1.0047348484848485E-2</v>
      </c>
      <c r="L525" s="5">
        <v>0.13935185185185187</v>
      </c>
      <c r="M525" s="6">
        <f t="shared" si="17"/>
        <v>0.67462318596963078</v>
      </c>
      <c r="N525" s="5"/>
      <c r="O525" s="5">
        <v>1.892361111111111E-2</v>
      </c>
      <c r="P525" s="5"/>
      <c r="Q525" s="5"/>
      <c r="R525" s="5"/>
      <c r="S525" s="5">
        <v>1.5752314814814816E-2</v>
      </c>
      <c r="T525" s="5">
        <v>1.4351851851851852E-3</v>
      </c>
      <c r="U525" s="5">
        <v>1.5277777777777777E-2</v>
      </c>
      <c r="V525" s="5"/>
      <c r="W525" s="5">
        <v>8.7962962962962965E-2</v>
      </c>
    </row>
    <row r="526" spans="1:23" x14ac:dyDescent="0.25">
      <c r="A526" s="2">
        <v>46240</v>
      </c>
      <c r="B526" s="3" t="s">
        <v>225</v>
      </c>
      <c r="C526" s="3" t="s">
        <v>549</v>
      </c>
      <c r="D526" s="3" t="s">
        <v>601</v>
      </c>
      <c r="E526" s="3" t="s">
        <v>31</v>
      </c>
      <c r="F526" s="3" t="s">
        <v>105</v>
      </c>
      <c r="G526" s="4" t="s">
        <v>33</v>
      </c>
      <c r="H526" s="4">
        <v>10</v>
      </c>
      <c r="I526" s="5">
        <v>0.21964120370370371</v>
      </c>
      <c r="J526" s="5">
        <v>0.16640046296296296</v>
      </c>
      <c r="K526" s="5">
        <f t="shared" si="16"/>
        <v>1.6640046296296295E-2</v>
      </c>
      <c r="L526" s="5">
        <v>9.5150462962962964E-2</v>
      </c>
      <c r="M526" s="6">
        <f t="shared" si="17"/>
        <v>0.43320862096221741</v>
      </c>
      <c r="N526" s="5">
        <v>6.5509259259259262E-3</v>
      </c>
      <c r="O526" s="5">
        <v>9.2939814814814812E-3</v>
      </c>
      <c r="P526" s="5"/>
      <c r="Q526" s="5"/>
      <c r="R526" s="5"/>
      <c r="S526" s="5">
        <v>1.0995370370370371E-3</v>
      </c>
      <c r="T526" s="5">
        <v>3.2407407407407406E-4</v>
      </c>
      <c r="U526" s="5">
        <v>8.564814814814815E-4</v>
      </c>
      <c r="V526" s="5"/>
      <c r="W526" s="5">
        <v>7.7002314814814815E-2</v>
      </c>
    </row>
    <row r="527" spans="1:23" x14ac:dyDescent="0.25">
      <c r="A527" s="2">
        <v>46240</v>
      </c>
      <c r="B527" s="3" t="s">
        <v>70</v>
      </c>
      <c r="C527" s="3" t="s">
        <v>71</v>
      </c>
      <c r="D527" s="3" t="s">
        <v>78</v>
      </c>
      <c r="E527" s="3" t="s">
        <v>79</v>
      </c>
      <c r="F527" s="3" t="s">
        <v>80</v>
      </c>
      <c r="G527" s="4" t="s">
        <v>33</v>
      </c>
      <c r="H527" s="4">
        <v>0</v>
      </c>
      <c r="I527" s="5">
        <v>0.38802083333333331</v>
      </c>
      <c r="J527" s="5">
        <v>0</v>
      </c>
      <c r="K527" s="5">
        <f t="shared" si="16"/>
        <v>0</v>
      </c>
      <c r="L527" s="5">
        <v>0.19010416666666666</v>
      </c>
      <c r="M527" s="6">
        <f t="shared" si="17"/>
        <v>0.48993288590604028</v>
      </c>
      <c r="N527" s="5">
        <v>4.4988425925925925E-2</v>
      </c>
      <c r="O527" s="5">
        <v>4.2592592592592592E-2</v>
      </c>
      <c r="P527" s="5"/>
      <c r="Q527" s="5"/>
      <c r="R527" s="5">
        <v>9.1180555555555556E-2</v>
      </c>
      <c r="S527" s="5">
        <v>9.1087962962962971E-3</v>
      </c>
      <c r="T527" s="5">
        <v>2.2337962962962962E-3</v>
      </c>
      <c r="U527" s="5"/>
      <c r="V527" s="5"/>
      <c r="W527" s="5"/>
    </row>
    <row r="528" spans="1:23" x14ac:dyDescent="0.25">
      <c r="A528" s="2">
        <v>46240</v>
      </c>
      <c r="B528" s="3" t="s">
        <v>280</v>
      </c>
      <c r="C528" s="3" t="s">
        <v>534</v>
      </c>
      <c r="D528" s="3" t="s">
        <v>233</v>
      </c>
      <c r="E528" s="3" t="s">
        <v>31</v>
      </c>
      <c r="F528" s="3" t="s">
        <v>32</v>
      </c>
      <c r="G528" s="4" t="s">
        <v>106</v>
      </c>
      <c r="H528" s="4">
        <v>27</v>
      </c>
      <c r="I528" s="5">
        <v>0.26420138888888889</v>
      </c>
      <c r="J528" s="5">
        <v>0.11548611111111111</v>
      </c>
      <c r="K528" s="5">
        <f t="shared" si="16"/>
        <v>4.2772633744855969E-3</v>
      </c>
      <c r="L528" s="5">
        <v>7.3321759259259253E-2</v>
      </c>
      <c r="M528" s="6">
        <f t="shared" si="17"/>
        <v>0.27752223244403557</v>
      </c>
      <c r="N528" s="5">
        <v>5.6828703703703702E-3</v>
      </c>
      <c r="O528" s="5">
        <v>1.773148148148148E-2</v>
      </c>
      <c r="P528" s="5"/>
      <c r="Q528" s="5"/>
      <c r="R528" s="5"/>
      <c r="S528" s="5">
        <v>1.6122685185185184E-2</v>
      </c>
      <c r="T528" s="5">
        <v>2.7662037037037039E-3</v>
      </c>
      <c r="U528" s="5">
        <v>4.6296296296296294E-5</v>
      </c>
      <c r="V528" s="5"/>
      <c r="W528" s="5">
        <v>3.0972222222222224E-2</v>
      </c>
    </row>
    <row r="529" spans="1:23" x14ac:dyDescent="0.25">
      <c r="A529" s="2">
        <v>46240</v>
      </c>
      <c r="B529" s="3" t="s">
        <v>299</v>
      </c>
      <c r="C529" s="3" t="s">
        <v>571</v>
      </c>
      <c r="D529" s="3" t="s">
        <v>104</v>
      </c>
      <c r="E529" s="3" t="s">
        <v>31</v>
      </c>
      <c r="F529" s="3" t="s">
        <v>105</v>
      </c>
      <c r="G529" s="4" t="s">
        <v>106</v>
      </c>
      <c r="H529" s="4">
        <v>13</v>
      </c>
      <c r="I529" s="5">
        <v>0.25855324074074076</v>
      </c>
      <c r="J529" s="5">
        <v>0.19384259259259259</v>
      </c>
      <c r="K529" s="5">
        <f t="shared" si="16"/>
        <v>1.4910968660968662E-2</v>
      </c>
      <c r="L529" s="5">
        <v>5.5925925925925928E-2</v>
      </c>
      <c r="M529" s="6">
        <f t="shared" si="17"/>
        <v>0.21630332602175567</v>
      </c>
      <c r="N529" s="5">
        <v>4.9189814814814816E-3</v>
      </c>
      <c r="O529" s="5">
        <v>1.5046296296296295E-2</v>
      </c>
      <c r="P529" s="5"/>
      <c r="Q529" s="5"/>
      <c r="R529" s="5"/>
      <c r="S529" s="5">
        <v>1.0520833333333333E-2</v>
      </c>
      <c r="T529" s="5">
        <v>6.9444444444444444E-5</v>
      </c>
      <c r="U529" s="5">
        <v>1.9930555555555556E-2</v>
      </c>
      <c r="V529" s="5"/>
      <c r="W529" s="5">
        <v>5.4398148148148149E-3</v>
      </c>
    </row>
    <row r="530" spans="1:23" x14ac:dyDescent="0.25">
      <c r="A530" s="2">
        <v>46240</v>
      </c>
      <c r="B530" s="3" t="s">
        <v>227</v>
      </c>
      <c r="C530" s="3" t="s">
        <v>557</v>
      </c>
      <c r="D530" s="3" t="s">
        <v>146</v>
      </c>
      <c r="E530" s="3" t="s">
        <v>79</v>
      </c>
      <c r="F530" s="3" t="s">
        <v>147</v>
      </c>
      <c r="G530" s="4" t="s">
        <v>106</v>
      </c>
      <c r="H530" s="4">
        <v>15</v>
      </c>
      <c r="I530" s="5">
        <v>0.27112268518518517</v>
      </c>
      <c r="J530" s="5">
        <v>9.3819444444444441E-2</v>
      </c>
      <c r="K530" s="5">
        <f t="shared" si="16"/>
        <v>6.2546296296296291E-3</v>
      </c>
      <c r="L530" s="5">
        <v>3.9467592592592596E-2</v>
      </c>
      <c r="M530" s="6">
        <f t="shared" si="17"/>
        <v>0.14557097118463183</v>
      </c>
      <c r="N530" s="5">
        <v>9.6412037037037039E-3</v>
      </c>
      <c r="O530" s="5">
        <v>1.269675925925926E-2</v>
      </c>
      <c r="P530" s="5"/>
      <c r="Q530" s="5">
        <v>5.0925925925925921E-4</v>
      </c>
      <c r="R530" s="5"/>
      <c r="S530" s="5">
        <v>1.3854166666666667E-2</v>
      </c>
      <c r="T530" s="5">
        <v>5.7870370370370373E-5</v>
      </c>
      <c r="U530" s="5">
        <v>2.5231481481481481E-3</v>
      </c>
      <c r="V530" s="5"/>
      <c r="W530" s="5"/>
    </row>
    <row r="531" spans="1:23" x14ac:dyDescent="0.25">
      <c r="A531" s="2">
        <v>46240</v>
      </c>
      <c r="B531" s="3" t="s">
        <v>282</v>
      </c>
      <c r="C531" s="3" t="s">
        <v>535</v>
      </c>
      <c r="D531" s="3" t="s">
        <v>233</v>
      </c>
      <c r="E531" s="3" t="s">
        <v>31</v>
      </c>
      <c r="F531" s="3" t="s">
        <v>32</v>
      </c>
      <c r="G531" s="4" t="s">
        <v>106</v>
      </c>
      <c r="H531" s="4">
        <v>67</v>
      </c>
      <c r="I531" s="5">
        <v>0.2575810185185185</v>
      </c>
      <c r="J531" s="5">
        <v>0.14528935185185185</v>
      </c>
      <c r="K531" s="5">
        <f t="shared" si="16"/>
        <v>2.1684977888336097E-3</v>
      </c>
      <c r="L531" s="5">
        <v>4.8796296296296296E-2</v>
      </c>
      <c r="M531" s="6">
        <f t="shared" si="17"/>
        <v>0.18944057515165133</v>
      </c>
      <c r="N531" s="5">
        <v>4.1550925925925922E-3</v>
      </c>
      <c r="O531" s="5">
        <v>1.7187500000000001E-2</v>
      </c>
      <c r="P531" s="5"/>
      <c r="Q531" s="5"/>
      <c r="R531" s="5"/>
      <c r="S531" s="5">
        <v>1.7199074074074075E-2</v>
      </c>
      <c r="T531" s="5">
        <v>9.3981481481481485E-3</v>
      </c>
      <c r="U531" s="5">
        <v>8.564814814814815E-4</v>
      </c>
      <c r="V531" s="5"/>
      <c r="W531" s="5"/>
    </row>
    <row r="532" spans="1:23" x14ac:dyDescent="0.25">
      <c r="A532" s="2">
        <v>46240</v>
      </c>
      <c r="B532" s="3" t="s">
        <v>675</v>
      </c>
      <c r="C532" s="3" t="s">
        <v>676</v>
      </c>
      <c r="D532" s="3" t="s">
        <v>104</v>
      </c>
      <c r="E532" s="3" t="s">
        <v>31</v>
      </c>
      <c r="F532" s="3" t="s">
        <v>105</v>
      </c>
      <c r="G532" s="4" t="s">
        <v>106</v>
      </c>
      <c r="H532" s="4">
        <v>10</v>
      </c>
      <c r="I532" s="5">
        <v>0.2686574074074074</v>
      </c>
      <c r="J532" s="5">
        <v>0.23190972222222223</v>
      </c>
      <c r="K532" s="5">
        <f t="shared" si="16"/>
        <v>2.3190972222222224E-2</v>
      </c>
      <c r="L532" s="5">
        <v>5.872685185185185E-2</v>
      </c>
      <c r="M532" s="6">
        <f t="shared" si="17"/>
        <v>0.21859383077718422</v>
      </c>
      <c r="N532" s="5"/>
      <c r="O532" s="5">
        <v>1.4618055555555556E-2</v>
      </c>
      <c r="P532" s="5"/>
      <c r="Q532" s="5"/>
      <c r="R532" s="5"/>
      <c r="S532" s="5">
        <v>1.4398148148148148E-2</v>
      </c>
      <c r="T532" s="5">
        <v>7.9861111111111116E-4</v>
      </c>
      <c r="U532" s="5">
        <v>9.837962962962962E-4</v>
      </c>
      <c r="V532" s="5"/>
      <c r="W532" s="5">
        <v>2.792824074074074E-2</v>
      </c>
    </row>
    <row r="533" spans="1:23" x14ac:dyDescent="0.25">
      <c r="A533" s="2">
        <v>46240</v>
      </c>
      <c r="B533" s="3" t="s">
        <v>677</v>
      </c>
      <c r="C533" s="3" t="s">
        <v>678</v>
      </c>
      <c r="D533" s="3" t="s">
        <v>274</v>
      </c>
      <c r="E533" s="3" t="s">
        <v>79</v>
      </c>
      <c r="F533" s="3" t="s">
        <v>147</v>
      </c>
      <c r="G533" s="4" t="s">
        <v>33</v>
      </c>
      <c r="H533" s="4">
        <v>19</v>
      </c>
      <c r="I533" s="5">
        <v>0.26119212962962962</v>
      </c>
      <c r="J533" s="5">
        <v>6.8252314814814821E-2</v>
      </c>
      <c r="K533" s="5">
        <f t="shared" si="16"/>
        <v>3.5922270955165694E-3</v>
      </c>
      <c r="L533" s="5">
        <v>3.9687500000000001E-2</v>
      </c>
      <c r="M533" s="6">
        <f t="shared" si="17"/>
        <v>0.15194753400983738</v>
      </c>
      <c r="N533" s="5">
        <v>3.2060185185185186E-3</v>
      </c>
      <c r="O533" s="5">
        <v>1.3773148148148149E-2</v>
      </c>
      <c r="P533" s="5"/>
      <c r="Q533" s="5">
        <v>4.0509259259259257E-3</v>
      </c>
      <c r="R533" s="5"/>
      <c r="S533" s="5">
        <v>1.4467592592592593E-2</v>
      </c>
      <c r="T533" s="5">
        <v>9.6064814814814819E-4</v>
      </c>
      <c r="U533" s="5">
        <v>3.1828703703703702E-3</v>
      </c>
      <c r="V533" s="5"/>
      <c r="W533" s="5"/>
    </row>
    <row r="534" spans="1:23" x14ac:dyDescent="0.25">
      <c r="A534" s="2">
        <v>46240</v>
      </c>
      <c r="B534" s="3" t="s">
        <v>679</v>
      </c>
      <c r="C534" s="3" t="s">
        <v>680</v>
      </c>
      <c r="D534" s="3" t="s">
        <v>274</v>
      </c>
      <c r="E534" s="3" t="s">
        <v>79</v>
      </c>
      <c r="F534" s="3" t="s">
        <v>147</v>
      </c>
      <c r="G534" s="4" t="s">
        <v>33</v>
      </c>
      <c r="H534" s="4">
        <v>16</v>
      </c>
      <c r="I534" s="5">
        <v>0.25793981481481482</v>
      </c>
      <c r="J534" s="5">
        <v>6.7233796296296292E-2</v>
      </c>
      <c r="K534" s="5">
        <f t="shared" si="16"/>
        <v>4.2021122685185182E-3</v>
      </c>
      <c r="L534" s="5">
        <v>6.7407407407407402E-2</v>
      </c>
      <c r="M534" s="6">
        <f t="shared" si="17"/>
        <v>0.26132998294893656</v>
      </c>
      <c r="N534" s="5">
        <v>7.5810185185185182E-3</v>
      </c>
      <c r="O534" s="5">
        <v>1.3252314814814814E-2</v>
      </c>
      <c r="P534" s="5"/>
      <c r="Q534" s="5">
        <v>2.133101851851852E-2</v>
      </c>
      <c r="R534" s="5"/>
      <c r="S534" s="5">
        <v>1.3877314814814815E-2</v>
      </c>
      <c r="T534" s="5">
        <v>6.9444444444444444E-5</v>
      </c>
      <c r="U534" s="5">
        <v>1.0277777777777778E-2</v>
      </c>
      <c r="V534" s="5"/>
      <c r="W534" s="5">
        <v>8.9120370370370373E-4</v>
      </c>
    </row>
    <row r="535" spans="1:23" x14ac:dyDescent="0.25">
      <c r="A535" s="2">
        <v>46241</v>
      </c>
      <c r="B535" s="3" t="s">
        <v>186</v>
      </c>
      <c r="C535" s="3" t="s">
        <v>562</v>
      </c>
      <c r="D535" s="3" t="s">
        <v>78</v>
      </c>
      <c r="E535" s="3" t="s">
        <v>79</v>
      </c>
      <c r="F535" s="3" t="s">
        <v>80</v>
      </c>
      <c r="G535" s="4" t="s">
        <v>33</v>
      </c>
      <c r="H535" s="4">
        <v>0</v>
      </c>
      <c r="I535" s="5">
        <v>0.26454861111111111</v>
      </c>
      <c r="J535" s="5">
        <v>0</v>
      </c>
      <c r="K535" s="5">
        <f t="shared" si="16"/>
        <v>0</v>
      </c>
      <c r="L535" s="5">
        <v>4.6134259259259257E-2</v>
      </c>
      <c r="M535" s="6">
        <f t="shared" si="17"/>
        <v>0.17438858992868705</v>
      </c>
      <c r="N535" s="5">
        <v>1.238425925925926E-2</v>
      </c>
      <c r="O535" s="5">
        <v>1.5659722222222221E-2</v>
      </c>
      <c r="P535" s="5"/>
      <c r="Q535" s="5"/>
      <c r="R535" s="5"/>
      <c r="S535" s="5">
        <v>1.7152777777777777E-2</v>
      </c>
      <c r="T535" s="5">
        <v>8.1018518518518516E-5</v>
      </c>
      <c r="U535" s="5">
        <v>8.2175925925925927E-4</v>
      </c>
      <c r="V535" s="5"/>
      <c r="W535" s="5"/>
    </row>
    <row r="536" spans="1:23" x14ac:dyDescent="0.25">
      <c r="A536" s="2">
        <v>46241</v>
      </c>
      <c r="B536" s="3" t="s">
        <v>643</v>
      </c>
      <c r="C536" s="3" t="s">
        <v>644</v>
      </c>
      <c r="D536" s="3" t="s">
        <v>233</v>
      </c>
      <c r="E536" s="3" t="s">
        <v>31</v>
      </c>
      <c r="F536" s="3" t="s">
        <v>32</v>
      </c>
      <c r="G536" s="4" t="s">
        <v>106</v>
      </c>
      <c r="H536" s="4">
        <v>19</v>
      </c>
      <c r="I536" s="5">
        <v>0.25840277777777776</v>
      </c>
      <c r="J536" s="5">
        <v>0.19067129629629628</v>
      </c>
      <c r="K536" s="5">
        <f t="shared" si="16"/>
        <v>1.0035331384015593E-2</v>
      </c>
      <c r="L536" s="5">
        <v>5.3842592592592595E-2</v>
      </c>
      <c r="M536" s="6">
        <f t="shared" si="17"/>
        <v>0.20836692645346236</v>
      </c>
      <c r="N536" s="5">
        <v>6.2384259259259259E-3</v>
      </c>
      <c r="O536" s="5">
        <v>1.5277777777777777E-2</v>
      </c>
      <c r="P536" s="5"/>
      <c r="Q536" s="5">
        <v>1.3715277777777778E-2</v>
      </c>
      <c r="R536" s="5"/>
      <c r="S536" s="5">
        <v>1.4456018518518519E-2</v>
      </c>
      <c r="T536" s="5">
        <v>2.9513888888888888E-3</v>
      </c>
      <c r="U536" s="5">
        <v>1.1805555555555556E-3</v>
      </c>
      <c r="V536" s="5"/>
      <c r="W536" s="5"/>
    </row>
    <row r="537" spans="1:23" x14ac:dyDescent="0.25">
      <c r="A537" s="2">
        <v>46241</v>
      </c>
      <c r="B537" s="3" t="s">
        <v>193</v>
      </c>
      <c r="C537" s="3" t="s">
        <v>563</v>
      </c>
      <c r="D537" s="3" t="s">
        <v>274</v>
      </c>
      <c r="E537" s="3" t="s">
        <v>79</v>
      </c>
      <c r="F537" s="3" t="s">
        <v>147</v>
      </c>
      <c r="G537" s="4" t="s">
        <v>33</v>
      </c>
      <c r="H537" s="4">
        <v>16</v>
      </c>
      <c r="I537" s="5">
        <v>0.26146990740740739</v>
      </c>
      <c r="J537" s="5">
        <v>6.5659722222222217E-2</v>
      </c>
      <c r="K537" s="5">
        <f t="shared" si="16"/>
        <v>4.1037326388888885E-3</v>
      </c>
      <c r="L537" s="5">
        <v>3.0034722222222223E-2</v>
      </c>
      <c r="M537" s="6">
        <f t="shared" si="17"/>
        <v>0.11486875304324733</v>
      </c>
      <c r="N537" s="5">
        <v>6.9444444444444444E-5</v>
      </c>
      <c r="O537" s="5">
        <v>1.4097222222222223E-2</v>
      </c>
      <c r="P537" s="5"/>
      <c r="Q537" s="5">
        <v>4.9768518518518521E-4</v>
      </c>
      <c r="R537" s="5">
        <v>2.3148148148148147E-5</v>
      </c>
      <c r="S537" s="5">
        <v>1.3900462962962963E-2</v>
      </c>
      <c r="T537" s="5">
        <v>2.7777777777777778E-4</v>
      </c>
      <c r="U537" s="5">
        <v>1.0069444444444444E-3</v>
      </c>
      <c r="V537" s="5"/>
      <c r="W537" s="5"/>
    </row>
    <row r="538" spans="1:23" x14ac:dyDescent="0.25">
      <c r="A538" s="2">
        <v>46241</v>
      </c>
      <c r="B538" s="3" t="s">
        <v>148</v>
      </c>
      <c r="C538" s="3" t="s">
        <v>513</v>
      </c>
      <c r="D538" s="3" t="s">
        <v>104</v>
      </c>
      <c r="E538" s="3" t="s">
        <v>31</v>
      </c>
      <c r="F538" s="3" t="s">
        <v>105</v>
      </c>
      <c r="G538" s="4" t="s">
        <v>106</v>
      </c>
      <c r="H538" s="4">
        <v>14</v>
      </c>
      <c r="I538" s="5">
        <v>0.24922453703703704</v>
      </c>
      <c r="J538" s="5">
        <v>0.19899305555555555</v>
      </c>
      <c r="K538" s="5">
        <f t="shared" si="16"/>
        <v>1.4213789682539682E-2</v>
      </c>
      <c r="L538" s="5">
        <v>8.1967592592592592E-2</v>
      </c>
      <c r="M538" s="6">
        <f t="shared" si="17"/>
        <v>0.32889054010123997</v>
      </c>
      <c r="N538" s="5">
        <v>6.898148148148148E-3</v>
      </c>
      <c r="O538" s="5">
        <v>1.6284722222222221E-2</v>
      </c>
      <c r="P538" s="5"/>
      <c r="Q538" s="5">
        <v>2.0717592592592593E-3</v>
      </c>
      <c r="R538" s="5"/>
      <c r="S538" s="5">
        <v>1.457175925925926E-2</v>
      </c>
      <c r="T538" s="5">
        <v>9.0162037037037034E-3</v>
      </c>
      <c r="U538" s="5">
        <v>1.261574074074074E-3</v>
      </c>
      <c r="V538" s="5"/>
      <c r="W538" s="5">
        <v>3.1863425925925927E-2</v>
      </c>
    </row>
    <row r="539" spans="1:23" x14ac:dyDescent="0.25">
      <c r="A539" s="2">
        <v>46241</v>
      </c>
      <c r="B539" s="3" t="s">
        <v>82</v>
      </c>
      <c r="C539" s="3" t="s">
        <v>83</v>
      </c>
      <c r="D539" s="3" t="s">
        <v>78</v>
      </c>
      <c r="E539" s="3" t="s">
        <v>79</v>
      </c>
      <c r="F539" s="3" t="s">
        <v>80</v>
      </c>
      <c r="G539" s="4" t="s">
        <v>81</v>
      </c>
      <c r="H539" s="4">
        <v>0</v>
      </c>
      <c r="I539" s="5">
        <v>0.14832175925925925</v>
      </c>
      <c r="J539" s="5">
        <v>0</v>
      </c>
      <c r="K539" s="5">
        <f t="shared" si="16"/>
        <v>0</v>
      </c>
      <c r="L539" s="5">
        <v>8.5393518518518521E-2</v>
      </c>
      <c r="M539" s="6">
        <f t="shared" si="17"/>
        <v>0.57573156457276631</v>
      </c>
      <c r="N539" s="5"/>
      <c r="O539" s="5"/>
      <c r="P539" s="5"/>
      <c r="Q539" s="5"/>
      <c r="R539" s="5"/>
      <c r="S539" s="5"/>
      <c r="T539" s="5">
        <v>8.5358796296296294E-2</v>
      </c>
      <c r="U539" s="5"/>
      <c r="V539" s="5"/>
      <c r="W539" s="5"/>
    </row>
    <row r="540" spans="1:23" x14ac:dyDescent="0.25">
      <c r="A540" s="2">
        <v>46241</v>
      </c>
      <c r="B540" s="3" t="s">
        <v>34</v>
      </c>
      <c r="C540" s="3" t="s">
        <v>505</v>
      </c>
      <c r="D540" s="3" t="s">
        <v>233</v>
      </c>
      <c r="E540" s="3" t="s">
        <v>31</v>
      </c>
      <c r="F540" s="3" t="s">
        <v>32</v>
      </c>
      <c r="G540" s="4" t="s">
        <v>106</v>
      </c>
      <c r="H540" s="4">
        <v>43</v>
      </c>
      <c r="I540" s="5">
        <v>0.25189814814814815</v>
      </c>
      <c r="J540" s="5">
        <v>0.15508101851851852</v>
      </c>
      <c r="K540" s="5">
        <f t="shared" si="16"/>
        <v>3.6065353143841516E-3</v>
      </c>
      <c r="L540" s="5">
        <v>5.1157407407407408E-2</v>
      </c>
      <c r="M540" s="6">
        <f t="shared" si="17"/>
        <v>0.20308766770814188</v>
      </c>
      <c r="N540" s="5">
        <v>5.2893518518518515E-3</v>
      </c>
      <c r="O540" s="5">
        <v>1.3171296296296296E-2</v>
      </c>
      <c r="P540" s="5"/>
      <c r="Q540" s="5"/>
      <c r="R540" s="5"/>
      <c r="S540" s="5">
        <v>1.3414351851851853E-2</v>
      </c>
      <c r="T540" s="5">
        <v>8.611111111111111E-3</v>
      </c>
      <c r="U540" s="5">
        <v>6.7129629629629631E-3</v>
      </c>
      <c r="V540" s="5"/>
      <c r="W540" s="5">
        <v>3.9583333333333337E-3</v>
      </c>
    </row>
    <row r="541" spans="1:23" x14ac:dyDescent="0.25">
      <c r="A541" s="2">
        <v>46241</v>
      </c>
      <c r="B541" s="3" t="s">
        <v>236</v>
      </c>
      <c r="C541" s="3" t="s">
        <v>551</v>
      </c>
      <c r="D541" s="3" t="s">
        <v>233</v>
      </c>
      <c r="E541" s="3" t="s">
        <v>31</v>
      </c>
      <c r="F541" s="3" t="s">
        <v>32</v>
      </c>
      <c r="G541" s="4" t="s">
        <v>106</v>
      </c>
      <c r="H541" s="4">
        <v>3</v>
      </c>
      <c r="I541" s="5">
        <v>0.22586805555555556</v>
      </c>
      <c r="J541" s="5">
        <v>1.7175925925925924E-2</v>
      </c>
      <c r="K541" s="5">
        <f t="shared" si="16"/>
        <v>5.7253086419753081E-3</v>
      </c>
      <c r="L541" s="5">
        <v>0.20837962962962964</v>
      </c>
      <c r="M541" s="6">
        <f t="shared" si="17"/>
        <v>0.92257238022034338</v>
      </c>
      <c r="N541" s="5">
        <v>2.988425925925926E-2</v>
      </c>
      <c r="O541" s="5">
        <v>2.3993055555555556E-2</v>
      </c>
      <c r="P541" s="5"/>
      <c r="Q541" s="5"/>
      <c r="R541" s="5"/>
      <c r="S541" s="5"/>
      <c r="T541" s="5">
        <v>7.4629629629629629E-2</v>
      </c>
      <c r="U541" s="5">
        <v>2.0833333333333335E-4</v>
      </c>
      <c r="V541" s="5"/>
      <c r="W541" s="5">
        <v>7.9664351851851847E-2</v>
      </c>
    </row>
    <row r="542" spans="1:23" x14ac:dyDescent="0.25">
      <c r="A542" s="2">
        <v>46241</v>
      </c>
      <c r="B542" s="3" t="s">
        <v>238</v>
      </c>
      <c r="C542" s="3" t="s">
        <v>526</v>
      </c>
      <c r="D542" s="3" t="s">
        <v>233</v>
      </c>
      <c r="E542" s="3" t="s">
        <v>31</v>
      </c>
      <c r="F542" s="3" t="s">
        <v>32</v>
      </c>
      <c r="G542" s="4" t="s">
        <v>106</v>
      </c>
      <c r="H542" s="4">
        <v>0</v>
      </c>
      <c r="I542" s="5">
        <v>0.2</v>
      </c>
      <c r="J542" s="5">
        <v>0</v>
      </c>
      <c r="K542" s="5">
        <f t="shared" si="16"/>
        <v>0</v>
      </c>
      <c r="L542" s="5">
        <v>0.19997685185185185</v>
      </c>
      <c r="M542" s="6">
        <f t="shared" si="17"/>
        <v>0.99988425925925917</v>
      </c>
      <c r="N542" s="5"/>
      <c r="O542" s="5"/>
      <c r="P542" s="5"/>
      <c r="Q542" s="5"/>
      <c r="R542" s="5"/>
      <c r="S542" s="5">
        <v>1.4236111111111111E-2</v>
      </c>
      <c r="T542" s="5">
        <v>4.9768518518518521E-4</v>
      </c>
      <c r="U542" s="5"/>
      <c r="V542" s="5"/>
      <c r="W542" s="5">
        <v>0.18524305555555556</v>
      </c>
    </row>
    <row r="543" spans="1:23" x14ac:dyDescent="0.25">
      <c r="A543" s="2">
        <v>46241</v>
      </c>
      <c r="B543" s="3" t="s">
        <v>608</v>
      </c>
      <c r="C543" s="3" t="s">
        <v>631</v>
      </c>
      <c r="D543" s="3" t="s">
        <v>601</v>
      </c>
      <c r="E543" s="3" t="s">
        <v>31</v>
      </c>
      <c r="F543" s="3" t="s">
        <v>105</v>
      </c>
      <c r="G543" s="4" t="s">
        <v>33</v>
      </c>
      <c r="H543" s="4">
        <v>3</v>
      </c>
      <c r="I543" s="5">
        <v>0.16826388888888888</v>
      </c>
      <c r="J543" s="5">
        <v>5.0081018518518518E-2</v>
      </c>
      <c r="K543" s="5">
        <f t="shared" si="16"/>
        <v>1.6693672839506173E-2</v>
      </c>
      <c r="L543" s="5">
        <v>0.14812500000000001</v>
      </c>
      <c r="M543" s="6">
        <f t="shared" si="17"/>
        <v>0.88031366075113504</v>
      </c>
      <c r="N543" s="5"/>
      <c r="O543" s="5">
        <v>1.4016203703703704E-2</v>
      </c>
      <c r="P543" s="5"/>
      <c r="Q543" s="5"/>
      <c r="R543" s="5"/>
      <c r="S543" s="5">
        <v>3.7037037037037038E-3</v>
      </c>
      <c r="T543" s="5">
        <v>2.5115740740740741E-3</v>
      </c>
      <c r="U543" s="5">
        <v>0.10648148148148148</v>
      </c>
      <c r="V543" s="5"/>
      <c r="W543" s="5">
        <v>2.1412037037037038E-2</v>
      </c>
    </row>
    <row r="544" spans="1:23" x14ac:dyDescent="0.25">
      <c r="A544" s="2">
        <v>46241</v>
      </c>
      <c r="B544" s="3" t="s">
        <v>307</v>
      </c>
      <c r="C544" s="3" t="s">
        <v>308</v>
      </c>
      <c r="D544" s="3" t="s">
        <v>78</v>
      </c>
      <c r="E544" s="3" t="s">
        <v>79</v>
      </c>
      <c r="F544" s="3" t="s">
        <v>80</v>
      </c>
      <c r="G544" s="4" t="s">
        <v>81</v>
      </c>
      <c r="H544" s="4">
        <v>0</v>
      </c>
      <c r="I544" s="5">
        <v>0.35344907407407405</v>
      </c>
      <c r="J544" s="5">
        <v>0</v>
      </c>
      <c r="K544" s="5">
        <f t="shared" si="16"/>
        <v>0</v>
      </c>
      <c r="L544" s="5">
        <v>0.19831018518518517</v>
      </c>
      <c r="M544" s="6">
        <f t="shared" si="17"/>
        <v>0.56107145196149055</v>
      </c>
      <c r="N544" s="5"/>
      <c r="O544" s="5"/>
      <c r="P544" s="5"/>
      <c r="Q544" s="5"/>
      <c r="R544" s="5">
        <v>6.9722222222222227E-2</v>
      </c>
      <c r="S544" s="5"/>
      <c r="T544" s="5"/>
      <c r="U544" s="5">
        <v>0.12854166666666667</v>
      </c>
      <c r="V544" s="5"/>
      <c r="W544" s="5"/>
    </row>
    <row r="545" spans="1:23" x14ac:dyDescent="0.25">
      <c r="A545" s="2">
        <v>46241</v>
      </c>
      <c r="B545" s="3" t="s">
        <v>197</v>
      </c>
      <c r="C545" s="3" t="s">
        <v>564</v>
      </c>
      <c r="D545" s="3" t="s">
        <v>601</v>
      </c>
      <c r="E545" s="3" t="s">
        <v>31</v>
      </c>
      <c r="F545" s="3" t="s">
        <v>105</v>
      </c>
      <c r="G545" s="4" t="s">
        <v>33</v>
      </c>
      <c r="H545" s="4">
        <v>3</v>
      </c>
      <c r="I545" s="5">
        <v>0.21746527777777777</v>
      </c>
      <c r="J545" s="5">
        <v>8.5196759259259264E-2</v>
      </c>
      <c r="K545" s="5">
        <f t="shared" si="16"/>
        <v>2.8398919753086421E-2</v>
      </c>
      <c r="L545" s="5">
        <v>0.17243055555555556</v>
      </c>
      <c r="M545" s="6">
        <f t="shared" si="17"/>
        <v>0.79291074564905006</v>
      </c>
      <c r="N545" s="5">
        <v>3.2523148148148147E-3</v>
      </c>
      <c r="O545" s="5">
        <v>1.3854166666666667E-2</v>
      </c>
      <c r="P545" s="5"/>
      <c r="Q545" s="5"/>
      <c r="R545" s="5"/>
      <c r="S545" s="5">
        <v>1.8645833333333334E-2</v>
      </c>
      <c r="T545" s="5">
        <v>9.0277777777777774E-4</v>
      </c>
      <c r="U545" s="5">
        <v>0.13577546296296297</v>
      </c>
      <c r="V545" s="5"/>
      <c r="W545" s="5"/>
    </row>
    <row r="546" spans="1:23" x14ac:dyDescent="0.25">
      <c r="A546" s="2">
        <v>46241</v>
      </c>
      <c r="B546" s="3" t="s">
        <v>38</v>
      </c>
      <c r="C546" s="3" t="s">
        <v>536</v>
      </c>
      <c r="D546" s="3" t="s">
        <v>100</v>
      </c>
      <c r="E546" s="3" t="s">
        <v>31</v>
      </c>
      <c r="F546" s="3" t="s">
        <v>32</v>
      </c>
      <c r="G546" s="4" t="s">
        <v>33</v>
      </c>
      <c r="H546" s="4">
        <v>7</v>
      </c>
      <c r="I546" s="5">
        <v>0.24686342592592592</v>
      </c>
      <c r="J546" s="5">
        <v>7.6111111111111115E-2</v>
      </c>
      <c r="K546" s="5">
        <f t="shared" si="16"/>
        <v>1.0873015873015873E-2</v>
      </c>
      <c r="L546" s="5">
        <v>0.17304398148148148</v>
      </c>
      <c r="M546" s="6">
        <f t="shared" si="17"/>
        <v>0.70097050963476959</v>
      </c>
      <c r="N546" s="5">
        <v>5.9259259259259256E-3</v>
      </c>
      <c r="O546" s="5">
        <v>6.851851851851852E-3</v>
      </c>
      <c r="P546" s="5"/>
      <c r="Q546" s="5"/>
      <c r="R546" s="5"/>
      <c r="S546" s="5">
        <v>1.4409722222222223E-2</v>
      </c>
      <c r="T546" s="5">
        <v>2.1527777777777778E-3</v>
      </c>
      <c r="U546" s="5"/>
      <c r="V546" s="5"/>
      <c r="W546" s="5">
        <v>0.14370370370370369</v>
      </c>
    </row>
    <row r="547" spans="1:23" x14ac:dyDescent="0.25">
      <c r="A547" s="2">
        <v>46241</v>
      </c>
      <c r="B547" s="3" t="s">
        <v>681</v>
      </c>
      <c r="C547" s="3" t="s">
        <v>682</v>
      </c>
      <c r="D547" s="3" t="s">
        <v>601</v>
      </c>
      <c r="E547" s="3" t="s">
        <v>31</v>
      </c>
      <c r="F547" s="3" t="s">
        <v>105</v>
      </c>
      <c r="G547" s="4" t="s">
        <v>33</v>
      </c>
      <c r="H547" s="4">
        <v>2</v>
      </c>
      <c r="I547" s="5">
        <v>0.2376736111111111</v>
      </c>
      <c r="J547" s="5">
        <v>6.2719907407407405E-2</v>
      </c>
      <c r="K547" s="5">
        <f t="shared" si="16"/>
        <v>3.1359953703703702E-2</v>
      </c>
      <c r="L547" s="5">
        <v>0.19981481481481481</v>
      </c>
      <c r="M547" s="6">
        <f t="shared" si="17"/>
        <v>0.84071098125152177</v>
      </c>
      <c r="N547" s="5">
        <v>1.0474537037037037E-2</v>
      </c>
      <c r="O547" s="5">
        <v>1.0243055555555556E-2</v>
      </c>
      <c r="P547" s="5"/>
      <c r="Q547" s="5"/>
      <c r="R547" s="5"/>
      <c r="S547" s="5">
        <v>1.5150462962962963E-2</v>
      </c>
      <c r="T547" s="5">
        <v>4.4560185185185189E-3</v>
      </c>
      <c r="U547" s="5">
        <v>0.15949074074074074</v>
      </c>
      <c r="V547" s="5"/>
      <c r="W547" s="5"/>
    </row>
    <row r="548" spans="1:23" x14ac:dyDescent="0.25">
      <c r="A548" s="2">
        <v>46241</v>
      </c>
      <c r="B548" s="3" t="s">
        <v>154</v>
      </c>
      <c r="C548" s="3" t="s">
        <v>515</v>
      </c>
      <c r="D548" s="3" t="s">
        <v>146</v>
      </c>
      <c r="E548" s="3" t="s">
        <v>79</v>
      </c>
      <c r="F548" s="3" t="s">
        <v>147</v>
      </c>
      <c r="G548" s="4" t="s">
        <v>106</v>
      </c>
      <c r="H548" s="4">
        <v>18</v>
      </c>
      <c r="I548" s="5">
        <v>0.26450231481481479</v>
      </c>
      <c r="J548" s="5">
        <v>4.3530092592592592E-2</v>
      </c>
      <c r="K548" s="5">
        <f t="shared" si="16"/>
        <v>2.4183384773662549E-3</v>
      </c>
      <c r="L548" s="5">
        <v>2.8530092592592593E-2</v>
      </c>
      <c r="M548" s="6">
        <f t="shared" si="17"/>
        <v>0.10786330022316547</v>
      </c>
      <c r="N548" s="5">
        <v>2.5347222222222221E-3</v>
      </c>
      <c r="O548" s="5">
        <v>9.8032407407407408E-3</v>
      </c>
      <c r="P548" s="5"/>
      <c r="Q548" s="5"/>
      <c r="R548" s="5"/>
      <c r="S548" s="5">
        <v>1.4594907407407407E-2</v>
      </c>
      <c r="T548" s="5">
        <v>1.0185185185185184E-3</v>
      </c>
      <c r="U548" s="5">
        <v>5.2083333333333333E-4</v>
      </c>
      <c r="V548" s="5"/>
      <c r="W548" s="5"/>
    </row>
    <row r="549" spans="1:23" x14ac:dyDescent="0.25">
      <c r="A549" s="2">
        <v>46241</v>
      </c>
      <c r="B549" s="3" t="s">
        <v>112</v>
      </c>
      <c r="C549" s="3" t="s">
        <v>570</v>
      </c>
      <c r="D549" s="3" t="s">
        <v>104</v>
      </c>
      <c r="E549" s="3" t="s">
        <v>31</v>
      </c>
      <c r="F549" s="3" t="s">
        <v>105</v>
      </c>
      <c r="G549" s="4" t="s">
        <v>106</v>
      </c>
      <c r="H549" s="4">
        <v>4</v>
      </c>
      <c r="I549" s="5">
        <v>0.18841435185185185</v>
      </c>
      <c r="J549" s="5">
        <v>9.9062499999999998E-2</v>
      </c>
      <c r="K549" s="5">
        <f t="shared" si="16"/>
        <v>2.4765624999999999E-2</v>
      </c>
      <c r="L549" s="5">
        <v>0.11662037037037037</v>
      </c>
      <c r="M549" s="6">
        <f t="shared" si="17"/>
        <v>0.61895693838687882</v>
      </c>
      <c r="N549" s="5">
        <v>1.5601851851851851E-2</v>
      </c>
      <c r="O549" s="5">
        <v>1.7037037037037038E-2</v>
      </c>
      <c r="P549" s="5"/>
      <c r="Q549" s="5"/>
      <c r="R549" s="5"/>
      <c r="S549" s="5">
        <v>1.7407407407407406E-2</v>
      </c>
      <c r="T549" s="5">
        <v>4.8032407407407407E-3</v>
      </c>
      <c r="U549" s="5">
        <v>3.5879629629629629E-4</v>
      </c>
      <c r="V549" s="5"/>
      <c r="W549" s="5">
        <v>6.1388888888888889E-2</v>
      </c>
    </row>
    <row r="550" spans="1:23" x14ac:dyDescent="0.25">
      <c r="A550" s="2">
        <v>46241</v>
      </c>
      <c r="B550" s="3" t="s">
        <v>42</v>
      </c>
      <c r="C550" s="3" t="s">
        <v>537</v>
      </c>
      <c r="D550" s="3" t="s">
        <v>104</v>
      </c>
      <c r="E550" s="3" t="s">
        <v>31</v>
      </c>
      <c r="F550" s="3" t="s">
        <v>105</v>
      </c>
      <c r="G550" s="4" t="s">
        <v>106</v>
      </c>
      <c r="H550" s="4">
        <v>19</v>
      </c>
      <c r="I550" s="5">
        <v>0.26571759259259259</v>
      </c>
      <c r="J550" s="5">
        <v>0.23311342592592593</v>
      </c>
      <c r="K550" s="5">
        <f t="shared" si="16"/>
        <v>1.2269127680311891E-2</v>
      </c>
      <c r="L550" s="5">
        <v>0.10636574074074075</v>
      </c>
      <c r="M550" s="6">
        <f t="shared" si="17"/>
        <v>0.40029619304817493</v>
      </c>
      <c r="N550" s="5">
        <v>1.5706018518518518E-2</v>
      </c>
      <c r="O550" s="5">
        <v>1.369212962962963E-2</v>
      </c>
      <c r="P550" s="5"/>
      <c r="Q550" s="5"/>
      <c r="R550" s="5"/>
      <c r="S550" s="5">
        <v>1.4027777777777778E-2</v>
      </c>
      <c r="T550" s="5">
        <v>2.4305555555555555E-4</v>
      </c>
      <c r="U550" s="5">
        <v>1.736111111111111E-3</v>
      </c>
      <c r="V550" s="5"/>
      <c r="W550" s="5">
        <v>6.0937499999999999E-2</v>
      </c>
    </row>
    <row r="551" spans="1:23" x14ac:dyDescent="0.25">
      <c r="A551" s="2">
        <v>46241</v>
      </c>
      <c r="B551" s="3" t="s">
        <v>156</v>
      </c>
      <c r="C551" s="3" t="s">
        <v>516</v>
      </c>
      <c r="D551" s="3" t="s">
        <v>146</v>
      </c>
      <c r="E551" s="3" t="s">
        <v>79</v>
      </c>
      <c r="F551" s="3" t="s">
        <v>147</v>
      </c>
      <c r="G551" s="4" t="s">
        <v>106</v>
      </c>
      <c r="H551" s="4">
        <v>17</v>
      </c>
      <c r="I551" s="5">
        <v>0.26246527777777778</v>
      </c>
      <c r="J551" s="5">
        <v>4.9513888888888892E-2</v>
      </c>
      <c r="K551" s="5">
        <f t="shared" si="16"/>
        <v>2.9125816993464055E-3</v>
      </c>
      <c r="L551" s="5">
        <v>4.1400462962962965E-2</v>
      </c>
      <c r="M551" s="6">
        <f t="shared" si="17"/>
        <v>0.15773691405388721</v>
      </c>
      <c r="N551" s="5"/>
      <c r="O551" s="5">
        <v>1.4537037037037038E-2</v>
      </c>
      <c r="P551" s="5"/>
      <c r="Q551" s="5">
        <v>2.0486111111111113E-3</v>
      </c>
      <c r="R551" s="5"/>
      <c r="S551" s="5">
        <v>1.3599537037037037E-2</v>
      </c>
      <c r="T551" s="5">
        <v>1.105324074074074E-2</v>
      </c>
      <c r="U551" s="5">
        <v>1.5046296296296297E-4</v>
      </c>
      <c r="V551" s="5"/>
      <c r="W551" s="5"/>
    </row>
    <row r="552" spans="1:23" x14ac:dyDescent="0.25">
      <c r="A552" s="2">
        <v>46241</v>
      </c>
      <c r="B552" s="3" t="s">
        <v>114</v>
      </c>
      <c r="C552" s="3" t="s">
        <v>541</v>
      </c>
      <c r="D552" s="3" t="s">
        <v>104</v>
      </c>
      <c r="E552" s="3" t="s">
        <v>31</v>
      </c>
      <c r="F552" s="3" t="s">
        <v>105</v>
      </c>
      <c r="G552" s="4" t="s">
        <v>106</v>
      </c>
      <c r="H552" s="4">
        <v>12</v>
      </c>
      <c r="I552" s="5">
        <v>0.23768518518518519</v>
      </c>
      <c r="J552" s="5">
        <v>0.21163194444444444</v>
      </c>
      <c r="K552" s="5">
        <f t="shared" si="16"/>
        <v>1.7635995370370371E-2</v>
      </c>
      <c r="L552" s="5">
        <v>0.10277777777777777</v>
      </c>
      <c r="M552" s="6">
        <f t="shared" si="17"/>
        <v>0.43241137514608491</v>
      </c>
      <c r="N552" s="5">
        <v>1.2094907407407407E-2</v>
      </c>
      <c r="O552" s="5">
        <v>1.5856481481481482E-2</v>
      </c>
      <c r="P552" s="5"/>
      <c r="Q552" s="5"/>
      <c r="R552" s="5"/>
      <c r="S552" s="5">
        <v>1.7384259259259259E-2</v>
      </c>
      <c r="T552" s="5">
        <v>4.0243055555555553E-2</v>
      </c>
      <c r="U552" s="5"/>
      <c r="V552" s="5"/>
      <c r="W552" s="5">
        <v>1.7199074074074075E-2</v>
      </c>
    </row>
    <row r="553" spans="1:23" x14ac:dyDescent="0.25">
      <c r="A553" s="2">
        <v>46241</v>
      </c>
      <c r="B553" s="3" t="s">
        <v>44</v>
      </c>
      <c r="C553" s="3" t="s">
        <v>506</v>
      </c>
      <c r="D553" s="3" t="s">
        <v>100</v>
      </c>
      <c r="E553" s="3" t="s">
        <v>31</v>
      </c>
      <c r="F553" s="3" t="s">
        <v>32</v>
      </c>
      <c r="G553" s="4" t="s">
        <v>33</v>
      </c>
      <c r="H553" s="4">
        <v>37</v>
      </c>
      <c r="I553" s="5">
        <v>0.2630439814814815</v>
      </c>
      <c r="J553" s="5">
        <v>0.15623842592592593</v>
      </c>
      <c r="K553" s="5">
        <f t="shared" si="16"/>
        <v>4.2226601601601608E-3</v>
      </c>
      <c r="L553" s="5">
        <v>4.3680555555555556E-2</v>
      </c>
      <c r="M553" s="6">
        <f t="shared" si="17"/>
        <v>0.16605799269591234</v>
      </c>
      <c r="N553" s="5">
        <v>4.8726851851851848E-3</v>
      </c>
      <c r="O553" s="5">
        <v>1.4340277777777778E-2</v>
      </c>
      <c r="P553" s="5"/>
      <c r="Q553" s="5">
        <v>2.1527777777777778E-3</v>
      </c>
      <c r="R553" s="5"/>
      <c r="S553" s="5">
        <v>1.3888888888888888E-2</v>
      </c>
      <c r="T553" s="5">
        <v>5.5555555555555556E-4</v>
      </c>
      <c r="U553" s="5">
        <v>6.076388888888889E-3</v>
      </c>
      <c r="V553" s="5"/>
      <c r="W553" s="5">
        <v>1.0416666666666667E-3</v>
      </c>
    </row>
    <row r="554" spans="1:23" x14ac:dyDescent="0.25">
      <c r="A554" s="2">
        <v>46241</v>
      </c>
      <c r="B554" s="3" t="s">
        <v>609</v>
      </c>
      <c r="C554" s="3" t="s">
        <v>632</v>
      </c>
      <c r="D554" s="3" t="s">
        <v>601</v>
      </c>
      <c r="E554" s="3" t="s">
        <v>31</v>
      </c>
      <c r="F554" s="3" t="s">
        <v>105</v>
      </c>
      <c r="G554" s="4" t="s">
        <v>33</v>
      </c>
      <c r="H554" s="4">
        <v>2</v>
      </c>
      <c r="I554" s="5">
        <v>0.20245370370370369</v>
      </c>
      <c r="J554" s="5">
        <v>3.5451388888888886E-2</v>
      </c>
      <c r="K554" s="5">
        <f t="shared" si="16"/>
        <v>1.7725694444444443E-2</v>
      </c>
      <c r="L554" s="5">
        <v>0.18765046296296295</v>
      </c>
      <c r="M554" s="6">
        <f t="shared" si="17"/>
        <v>0.92688085982163271</v>
      </c>
      <c r="N554" s="5">
        <v>1.0925925925925926E-2</v>
      </c>
      <c r="O554" s="5">
        <v>1.755787037037037E-2</v>
      </c>
      <c r="P554" s="5"/>
      <c r="Q554" s="5"/>
      <c r="R554" s="5"/>
      <c r="S554" s="5">
        <v>1.5509259259259259E-2</v>
      </c>
      <c r="T554" s="5">
        <v>4.0509259259259258E-4</v>
      </c>
      <c r="U554" s="5">
        <v>0.14281250000000001</v>
      </c>
      <c r="V554" s="5"/>
      <c r="W554" s="5">
        <v>4.3981481481481481E-4</v>
      </c>
    </row>
    <row r="555" spans="1:23" x14ac:dyDescent="0.25">
      <c r="A555" s="2">
        <v>46241</v>
      </c>
      <c r="B555" s="3" t="s">
        <v>240</v>
      </c>
      <c r="C555" s="3" t="s">
        <v>527</v>
      </c>
      <c r="D555" s="3" t="s">
        <v>233</v>
      </c>
      <c r="E555" s="3" t="s">
        <v>31</v>
      </c>
      <c r="F555" s="3" t="s">
        <v>32</v>
      </c>
      <c r="G555" s="4" t="s">
        <v>106</v>
      </c>
      <c r="H555" s="4">
        <v>3</v>
      </c>
      <c r="I555" s="5">
        <v>0.23291666666666666</v>
      </c>
      <c r="J555" s="5">
        <v>2.0659722222222222E-2</v>
      </c>
      <c r="K555" s="5">
        <f t="shared" si="16"/>
        <v>6.8865740740740736E-3</v>
      </c>
      <c r="L555" s="5">
        <v>0.21020833333333333</v>
      </c>
      <c r="M555" s="6">
        <f t="shared" si="17"/>
        <v>0.9025044722719141</v>
      </c>
      <c r="N555" s="5">
        <v>1.5891203703703703E-2</v>
      </c>
      <c r="O555" s="5">
        <v>1.6550925925925926E-3</v>
      </c>
      <c r="P555" s="5"/>
      <c r="Q555" s="5"/>
      <c r="R555" s="5"/>
      <c r="S555" s="5">
        <v>1.3912037037037037E-2</v>
      </c>
      <c r="T555" s="5">
        <v>1.0532407407407407E-3</v>
      </c>
      <c r="U555" s="5"/>
      <c r="V555" s="5"/>
      <c r="W555" s="5">
        <v>0.17769675925925926</v>
      </c>
    </row>
    <row r="556" spans="1:23" x14ac:dyDescent="0.25">
      <c r="A556" s="2">
        <v>46241</v>
      </c>
      <c r="B556" s="3" t="s">
        <v>497</v>
      </c>
      <c r="C556" s="3" t="s">
        <v>498</v>
      </c>
      <c r="D556" s="3" t="s">
        <v>78</v>
      </c>
      <c r="E556" s="3" t="s">
        <v>79</v>
      </c>
      <c r="F556" s="3" t="s">
        <v>80</v>
      </c>
      <c r="G556" s="4" t="s">
        <v>81</v>
      </c>
      <c r="H556" s="4">
        <v>0</v>
      </c>
      <c r="I556" s="5">
        <v>0.3420023148148148</v>
      </c>
      <c r="J556" s="5">
        <v>0</v>
      </c>
      <c r="K556" s="5">
        <f t="shared" si="16"/>
        <v>0</v>
      </c>
      <c r="L556" s="5">
        <v>5.648148148148148E-2</v>
      </c>
      <c r="M556" s="6">
        <f t="shared" si="17"/>
        <v>0.16514941283969001</v>
      </c>
      <c r="N556" s="5">
        <v>2.1064814814814813E-3</v>
      </c>
      <c r="O556" s="5">
        <v>1.1226851851851852E-2</v>
      </c>
      <c r="P556" s="5"/>
      <c r="Q556" s="5"/>
      <c r="R556" s="5"/>
      <c r="S556" s="5">
        <v>4.1238425925925928E-2</v>
      </c>
      <c r="T556" s="5">
        <v>1.7708333333333332E-3</v>
      </c>
      <c r="U556" s="5"/>
      <c r="V556" s="5"/>
      <c r="W556" s="5"/>
    </row>
    <row r="557" spans="1:23" x14ac:dyDescent="0.25">
      <c r="A557" s="2">
        <v>46241</v>
      </c>
      <c r="B557" s="3" t="s">
        <v>309</v>
      </c>
      <c r="C557" s="3" t="s">
        <v>310</v>
      </c>
      <c r="D557" s="3" t="s">
        <v>78</v>
      </c>
      <c r="E557" s="3" t="s">
        <v>79</v>
      </c>
      <c r="F557" s="3" t="s">
        <v>80</v>
      </c>
      <c r="G557" s="4" t="s">
        <v>81</v>
      </c>
      <c r="H557" s="4">
        <v>0</v>
      </c>
      <c r="I557" s="5">
        <v>0.36048611111111112</v>
      </c>
      <c r="J557" s="5">
        <v>0</v>
      </c>
      <c r="K557" s="5">
        <f t="shared" si="16"/>
        <v>0</v>
      </c>
      <c r="L557" s="5">
        <v>5.8715277777777776E-2</v>
      </c>
      <c r="M557" s="6">
        <f t="shared" si="17"/>
        <v>0.16287805817761508</v>
      </c>
      <c r="N557" s="5">
        <v>4.8495370370370368E-3</v>
      </c>
      <c r="O557" s="5">
        <v>3.7789351851851852E-2</v>
      </c>
      <c r="P557" s="5"/>
      <c r="Q557" s="5"/>
      <c r="R557" s="5"/>
      <c r="S557" s="5">
        <v>7.6967592592592591E-3</v>
      </c>
      <c r="T557" s="5">
        <v>2.3148148148148149E-4</v>
      </c>
      <c r="U557" s="5">
        <v>2.5462962962962961E-4</v>
      </c>
      <c r="V557" s="5"/>
      <c r="W557" s="5">
        <v>7.8703703703703696E-3</v>
      </c>
    </row>
    <row r="558" spans="1:23" x14ac:dyDescent="0.25">
      <c r="A558" s="2">
        <v>46241</v>
      </c>
      <c r="B558" s="3" t="s">
        <v>160</v>
      </c>
      <c r="C558" s="3" t="s">
        <v>544</v>
      </c>
      <c r="D558" s="3" t="s">
        <v>146</v>
      </c>
      <c r="E558" s="3" t="s">
        <v>79</v>
      </c>
      <c r="F558" s="3" t="s">
        <v>147</v>
      </c>
      <c r="G558" s="4" t="s">
        <v>106</v>
      </c>
      <c r="H558" s="4">
        <v>14</v>
      </c>
      <c r="I558" s="5">
        <v>0.25892361111111112</v>
      </c>
      <c r="J558" s="5">
        <v>4.6863425925925926E-2</v>
      </c>
      <c r="K558" s="5">
        <f t="shared" si="16"/>
        <v>3.3473875661375664E-3</v>
      </c>
      <c r="L558" s="5">
        <v>5.3634259259259257E-2</v>
      </c>
      <c r="M558" s="6">
        <f t="shared" si="17"/>
        <v>0.20714317643377586</v>
      </c>
      <c r="N558" s="5">
        <v>1.1412037037037037E-2</v>
      </c>
      <c r="O558" s="5">
        <v>1.5532407407407408E-2</v>
      </c>
      <c r="P558" s="5"/>
      <c r="Q558" s="5">
        <v>6.6782407407407407E-3</v>
      </c>
      <c r="R558" s="5"/>
      <c r="S558" s="5">
        <v>1.5752314814814816E-2</v>
      </c>
      <c r="T558" s="5">
        <v>1.273148148148148E-4</v>
      </c>
      <c r="U558" s="5">
        <v>3.8541666666666668E-3</v>
      </c>
      <c r="V558" s="5"/>
      <c r="W558" s="5"/>
    </row>
    <row r="559" spans="1:23" x14ac:dyDescent="0.25">
      <c r="A559" s="2">
        <v>46241</v>
      </c>
      <c r="B559" s="3" t="s">
        <v>645</v>
      </c>
      <c r="C559" s="3" t="s">
        <v>646</v>
      </c>
      <c r="D559" s="3" t="s">
        <v>100</v>
      </c>
      <c r="E559" s="3" t="s">
        <v>31</v>
      </c>
      <c r="F559" s="3" t="s">
        <v>32</v>
      </c>
      <c r="G559" s="4" t="s">
        <v>33</v>
      </c>
      <c r="H559" s="4">
        <v>36</v>
      </c>
      <c r="I559" s="5">
        <v>0.26482638888888888</v>
      </c>
      <c r="J559" s="5">
        <v>0.20471064814814816</v>
      </c>
      <c r="K559" s="5">
        <f t="shared" si="16"/>
        <v>5.6864068930041157E-3</v>
      </c>
      <c r="L559" s="5">
        <v>3.0162037037037036E-2</v>
      </c>
      <c r="M559" s="6">
        <f t="shared" si="17"/>
        <v>0.11389362353044011</v>
      </c>
      <c r="N559" s="5">
        <v>6.0416666666666665E-3</v>
      </c>
      <c r="O559" s="5">
        <v>7.0254629629629634E-3</v>
      </c>
      <c r="P559" s="5"/>
      <c r="Q559" s="5">
        <v>5.3240740740740744E-4</v>
      </c>
      <c r="R559" s="5"/>
      <c r="S559" s="5">
        <v>1.4027777777777778E-2</v>
      </c>
      <c r="T559" s="5">
        <v>9.3749999999999997E-4</v>
      </c>
      <c r="U559" s="5">
        <v>1.5162037037037036E-3</v>
      </c>
      <c r="V559" s="5"/>
      <c r="W559" s="5"/>
    </row>
    <row r="560" spans="1:23" x14ac:dyDescent="0.25">
      <c r="A560" s="2">
        <v>46241</v>
      </c>
      <c r="B560" s="3" t="s">
        <v>120</v>
      </c>
      <c r="C560" s="3" t="s">
        <v>558</v>
      </c>
      <c r="D560" s="3" t="s">
        <v>233</v>
      </c>
      <c r="E560" s="3" t="s">
        <v>31</v>
      </c>
      <c r="F560" s="3" t="s">
        <v>32</v>
      </c>
      <c r="G560" s="4" t="s">
        <v>106</v>
      </c>
      <c r="H560" s="4">
        <v>46</v>
      </c>
      <c r="I560" s="5">
        <v>0.26328703703703704</v>
      </c>
      <c r="J560" s="5">
        <v>0.17210648148148147</v>
      </c>
      <c r="K560" s="5">
        <f t="shared" si="16"/>
        <v>3.7414452495974234E-3</v>
      </c>
      <c r="L560" s="5">
        <v>6.0833333333333336E-2</v>
      </c>
      <c r="M560" s="6">
        <f t="shared" si="17"/>
        <v>0.23105327940917883</v>
      </c>
      <c r="N560" s="5">
        <v>7.766203703703704E-3</v>
      </c>
      <c r="O560" s="5">
        <v>1.3171296296296296E-2</v>
      </c>
      <c r="P560" s="5"/>
      <c r="Q560" s="5"/>
      <c r="R560" s="5"/>
      <c r="S560" s="5">
        <v>1.2731481481481481E-2</v>
      </c>
      <c r="T560" s="5">
        <v>2.0833333333333332E-2</v>
      </c>
      <c r="U560" s="5">
        <v>6.3078703703703708E-3</v>
      </c>
      <c r="V560" s="5"/>
      <c r="W560" s="5">
        <v>2.3148148148148147E-5</v>
      </c>
    </row>
    <row r="561" spans="1:23" x14ac:dyDescent="0.25">
      <c r="A561" s="2">
        <v>46241</v>
      </c>
      <c r="B561" s="3" t="s">
        <v>46</v>
      </c>
      <c r="C561" s="3" t="s">
        <v>507</v>
      </c>
      <c r="D561" s="3" t="s">
        <v>100</v>
      </c>
      <c r="E561" s="3" t="s">
        <v>31</v>
      </c>
      <c r="F561" s="3" t="s">
        <v>32</v>
      </c>
      <c r="G561" s="4" t="s">
        <v>33</v>
      </c>
      <c r="H561" s="4">
        <v>34</v>
      </c>
      <c r="I561" s="5">
        <v>0.25656250000000003</v>
      </c>
      <c r="J561" s="5">
        <v>0.13506944444444444</v>
      </c>
      <c r="K561" s="5">
        <f t="shared" si="16"/>
        <v>3.9726307189542481E-3</v>
      </c>
      <c r="L561" s="5">
        <v>3.6736111111111108E-2</v>
      </c>
      <c r="M561" s="6">
        <f t="shared" si="17"/>
        <v>0.14318581675463524</v>
      </c>
      <c r="N561" s="5">
        <v>5.2314814814814811E-3</v>
      </c>
      <c r="O561" s="5">
        <v>1.425925925925926E-2</v>
      </c>
      <c r="P561" s="5"/>
      <c r="Q561" s="5"/>
      <c r="R561" s="5"/>
      <c r="S561" s="5">
        <v>1.4074074074074074E-2</v>
      </c>
      <c r="T561" s="5">
        <v>1.6203703703703703E-4</v>
      </c>
      <c r="U561" s="5">
        <v>2.9050925925925928E-3</v>
      </c>
      <c r="V561" s="5"/>
      <c r="W561" s="5"/>
    </row>
    <row r="562" spans="1:23" x14ac:dyDescent="0.25">
      <c r="A562" s="2">
        <v>46241</v>
      </c>
      <c r="B562" s="3" t="s">
        <v>287</v>
      </c>
      <c r="C562" s="3" t="s">
        <v>542</v>
      </c>
      <c r="D562" s="3" t="s">
        <v>104</v>
      </c>
      <c r="E562" s="3" t="s">
        <v>31</v>
      </c>
      <c r="F562" s="3" t="s">
        <v>105</v>
      </c>
      <c r="G562" s="4" t="s">
        <v>106</v>
      </c>
      <c r="H562" s="4">
        <v>8</v>
      </c>
      <c r="I562" s="5">
        <v>0.23984953703703704</v>
      </c>
      <c r="J562" s="5">
        <v>0.12484953703703704</v>
      </c>
      <c r="K562" s="5">
        <f t="shared" si="16"/>
        <v>1.560619212962963E-2</v>
      </c>
      <c r="L562" s="5">
        <v>0.12067129629629629</v>
      </c>
      <c r="M562" s="6">
        <f t="shared" si="17"/>
        <v>0.50311248371374795</v>
      </c>
      <c r="N562" s="5">
        <v>2.71875E-2</v>
      </c>
      <c r="O562" s="5">
        <v>1.9201388888888889E-2</v>
      </c>
      <c r="P562" s="5"/>
      <c r="Q562" s="5"/>
      <c r="R562" s="5"/>
      <c r="S562" s="5">
        <v>1.892361111111111E-2</v>
      </c>
      <c r="T562" s="5">
        <v>4.2824074074074075E-3</v>
      </c>
      <c r="U562" s="5">
        <v>2.0833333333333333E-3</v>
      </c>
      <c r="V562" s="5"/>
      <c r="W562" s="5">
        <v>4.8969907407407406E-2</v>
      </c>
    </row>
    <row r="563" spans="1:23" x14ac:dyDescent="0.25">
      <c r="A563" s="2">
        <v>46241</v>
      </c>
      <c r="B563" s="3" t="s">
        <v>499</v>
      </c>
      <c r="C563" s="3" t="s">
        <v>517</v>
      </c>
      <c r="D563" s="3" t="s">
        <v>146</v>
      </c>
      <c r="E563" s="3" t="s">
        <v>79</v>
      </c>
      <c r="F563" s="3" t="s">
        <v>147</v>
      </c>
      <c r="G563" s="4" t="s">
        <v>106</v>
      </c>
      <c r="H563" s="4">
        <v>14</v>
      </c>
      <c r="I563" s="5">
        <v>0.26121527777777775</v>
      </c>
      <c r="J563" s="5">
        <v>4.4201388888888887E-2</v>
      </c>
      <c r="K563" s="5">
        <f t="shared" si="16"/>
        <v>3.1572420634920634E-3</v>
      </c>
      <c r="L563" s="5">
        <v>5.9768518518518519E-2</v>
      </c>
      <c r="M563" s="6">
        <f t="shared" si="17"/>
        <v>0.22880942886259917</v>
      </c>
      <c r="N563" s="5">
        <v>4.9537037037037041E-3</v>
      </c>
      <c r="O563" s="5">
        <v>1.6666666666666666E-2</v>
      </c>
      <c r="P563" s="5">
        <v>1.6736111111111111E-2</v>
      </c>
      <c r="Q563" s="5">
        <v>6.0416666666666665E-3</v>
      </c>
      <c r="R563" s="5"/>
      <c r="S563" s="5">
        <v>1.511574074074074E-2</v>
      </c>
      <c r="T563" s="5">
        <v>6.9444444444444444E-5</v>
      </c>
      <c r="U563" s="5">
        <v>1.7361111111111112E-4</v>
      </c>
      <c r="V563" s="5"/>
      <c r="W563" s="5"/>
    </row>
    <row r="564" spans="1:23" x14ac:dyDescent="0.25">
      <c r="A564" s="2">
        <v>46241</v>
      </c>
      <c r="B564" s="3" t="s">
        <v>647</v>
      </c>
      <c r="C564" s="3" t="s">
        <v>648</v>
      </c>
      <c r="D564" s="3" t="s">
        <v>233</v>
      </c>
      <c r="E564" s="3" t="s">
        <v>31</v>
      </c>
      <c r="F564" s="3" t="s">
        <v>32</v>
      </c>
      <c r="G564" s="4" t="s">
        <v>106</v>
      </c>
      <c r="H564" s="4">
        <v>24</v>
      </c>
      <c r="I564" s="5">
        <v>0.24193287037037037</v>
      </c>
      <c r="J564" s="5">
        <v>9.509259259259259E-2</v>
      </c>
      <c r="K564" s="5">
        <f t="shared" si="16"/>
        <v>3.9621913580246909E-3</v>
      </c>
      <c r="L564" s="5">
        <v>8.4837962962962962E-2</v>
      </c>
      <c r="M564" s="6">
        <f t="shared" si="17"/>
        <v>0.35066736832033679</v>
      </c>
      <c r="N564" s="5">
        <v>4.5254629629629629E-3</v>
      </c>
      <c r="O564" s="5">
        <v>1.3391203703703704E-2</v>
      </c>
      <c r="P564" s="5"/>
      <c r="Q564" s="5">
        <v>6.4120370370370373E-3</v>
      </c>
      <c r="R564" s="5"/>
      <c r="S564" s="5">
        <v>1.3634259259259259E-2</v>
      </c>
      <c r="T564" s="5">
        <v>5.8449074074074072E-3</v>
      </c>
      <c r="U564" s="5"/>
      <c r="V564" s="5"/>
      <c r="W564" s="5">
        <v>4.103009259259259E-2</v>
      </c>
    </row>
    <row r="565" spans="1:23" x14ac:dyDescent="0.25">
      <c r="A565" s="2">
        <v>46241</v>
      </c>
      <c r="B565" s="3" t="s">
        <v>649</v>
      </c>
      <c r="C565" s="3" t="s">
        <v>650</v>
      </c>
      <c r="D565" s="3" t="s">
        <v>104</v>
      </c>
      <c r="E565" s="3" t="s">
        <v>31</v>
      </c>
      <c r="F565" s="3" t="s">
        <v>105</v>
      </c>
      <c r="G565" s="4" t="s">
        <v>106</v>
      </c>
      <c r="H565" s="4">
        <v>4</v>
      </c>
      <c r="I565" s="5">
        <v>0.15743055555555555</v>
      </c>
      <c r="J565" s="5">
        <v>5.8159722222222224E-2</v>
      </c>
      <c r="K565" s="5">
        <f t="shared" si="16"/>
        <v>1.4539930555555556E-2</v>
      </c>
      <c r="L565" s="5">
        <v>9.9432870370370366E-2</v>
      </c>
      <c r="M565" s="6">
        <f t="shared" si="17"/>
        <v>0.63159829436847525</v>
      </c>
      <c r="N565" s="5"/>
      <c r="O565" s="5">
        <v>8.2291666666666659E-3</v>
      </c>
      <c r="P565" s="5"/>
      <c r="Q565" s="5"/>
      <c r="R565" s="5"/>
      <c r="S565" s="5">
        <v>1.5243055555555555E-2</v>
      </c>
      <c r="T565" s="5">
        <v>4.6296296296296294E-3</v>
      </c>
      <c r="U565" s="5">
        <v>4.6296296296296294E-5</v>
      </c>
      <c r="V565" s="5"/>
      <c r="W565" s="5">
        <v>7.1284722222222222E-2</v>
      </c>
    </row>
    <row r="566" spans="1:23" x14ac:dyDescent="0.25">
      <c r="A566" s="2">
        <v>46241</v>
      </c>
      <c r="B566" s="3" t="s">
        <v>651</v>
      </c>
      <c r="C566" s="3" t="s">
        <v>652</v>
      </c>
      <c r="D566" s="3" t="s">
        <v>100</v>
      </c>
      <c r="E566" s="3" t="s">
        <v>31</v>
      </c>
      <c r="F566" s="3" t="s">
        <v>32</v>
      </c>
      <c r="G566" s="4" t="s">
        <v>33</v>
      </c>
      <c r="H566" s="4">
        <v>23</v>
      </c>
      <c r="I566" s="5">
        <v>0.26341435185185186</v>
      </c>
      <c r="J566" s="5">
        <v>0.15119212962962963</v>
      </c>
      <c r="K566" s="5">
        <f t="shared" si="16"/>
        <v>6.5735708534621577E-3</v>
      </c>
      <c r="L566" s="5">
        <v>4.040509259259259E-2</v>
      </c>
      <c r="M566" s="6">
        <f t="shared" si="17"/>
        <v>0.15338986774462848</v>
      </c>
      <c r="N566" s="5">
        <v>6.9675925925925929E-3</v>
      </c>
      <c r="O566" s="5">
        <v>1.6354166666666666E-2</v>
      </c>
      <c r="P566" s="5"/>
      <c r="Q566" s="5"/>
      <c r="R566" s="5"/>
      <c r="S566" s="5">
        <v>1.5162037037037036E-2</v>
      </c>
      <c r="T566" s="5">
        <v>1.9212962962962964E-3</v>
      </c>
      <c r="U566" s="5"/>
      <c r="V566" s="5"/>
      <c r="W566" s="5"/>
    </row>
    <row r="567" spans="1:23" x14ac:dyDescent="0.25">
      <c r="A567" s="2">
        <v>46241</v>
      </c>
      <c r="B567" s="3" t="s">
        <v>48</v>
      </c>
      <c r="C567" s="3" t="s">
        <v>508</v>
      </c>
      <c r="D567" s="3" t="s">
        <v>100</v>
      </c>
      <c r="E567" s="3" t="s">
        <v>31</v>
      </c>
      <c r="F567" s="3" t="s">
        <v>32</v>
      </c>
      <c r="G567" s="4" t="s">
        <v>33</v>
      </c>
      <c r="H567" s="4">
        <v>26</v>
      </c>
      <c r="I567" s="5">
        <v>0.23667824074074073</v>
      </c>
      <c r="J567" s="5">
        <v>0.11627314814814815</v>
      </c>
      <c r="K567" s="5">
        <f t="shared" si="16"/>
        <v>4.4720441595441597E-3</v>
      </c>
      <c r="L567" s="5">
        <v>8.6967592592592596E-2</v>
      </c>
      <c r="M567" s="6">
        <f t="shared" si="17"/>
        <v>0.36745073108709475</v>
      </c>
      <c r="N567" s="5">
        <v>4.4444444444444444E-3</v>
      </c>
      <c r="O567" s="5">
        <v>7.7083333333333335E-3</v>
      </c>
      <c r="P567" s="5"/>
      <c r="Q567" s="5">
        <v>1.3622685185185186E-2</v>
      </c>
      <c r="R567" s="5">
        <v>7.013888888888889E-3</v>
      </c>
      <c r="S567" s="5">
        <v>1.3912037037037037E-2</v>
      </c>
      <c r="T567" s="5">
        <v>1.0416666666666667E-4</v>
      </c>
      <c r="U567" s="5">
        <v>1.6203703703703703E-4</v>
      </c>
      <c r="V567" s="5"/>
      <c r="W567" s="5">
        <v>0.04</v>
      </c>
    </row>
    <row r="568" spans="1:23" x14ac:dyDescent="0.25">
      <c r="A568" s="2">
        <v>46241</v>
      </c>
      <c r="B568" s="3" t="s">
        <v>50</v>
      </c>
      <c r="C568" s="3" t="s">
        <v>538</v>
      </c>
      <c r="D568" s="3" t="s">
        <v>100</v>
      </c>
      <c r="E568" s="3" t="s">
        <v>31</v>
      </c>
      <c r="F568" s="3" t="s">
        <v>32</v>
      </c>
      <c r="G568" s="4" t="s">
        <v>33</v>
      </c>
      <c r="H568" s="4">
        <v>11</v>
      </c>
      <c r="I568" s="5">
        <v>0.25293981481481481</v>
      </c>
      <c r="J568" s="5">
        <v>5.5879629629629626E-2</v>
      </c>
      <c r="K568" s="5">
        <f t="shared" si="16"/>
        <v>5.0799663299663294E-3</v>
      </c>
      <c r="L568" s="5">
        <v>0.18201388888888889</v>
      </c>
      <c r="M568" s="6">
        <f t="shared" si="17"/>
        <v>0.71959366706323791</v>
      </c>
      <c r="N568" s="5">
        <v>1.5682870370370371E-2</v>
      </c>
      <c r="O568" s="5">
        <v>7.3379629629629628E-3</v>
      </c>
      <c r="P568" s="5"/>
      <c r="Q568" s="5"/>
      <c r="R568" s="5"/>
      <c r="S568" s="5">
        <v>1.480324074074074E-2</v>
      </c>
      <c r="T568" s="5">
        <v>1.0300925925925926E-3</v>
      </c>
      <c r="U568" s="5">
        <v>3.7615740740740739E-3</v>
      </c>
      <c r="V568" s="5"/>
      <c r="W568" s="5">
        <v>0.13939814814814816</v>
      </c>
    </row>
    <row r="569" spans="1:23" x14ac:dyDescent="0.25">
      <c r="A569" s="2">
        <v>46241</v>
      </c>
      <c r="B569" s="3" t="s">
        <v>242</v>
      </c>
      <c r="C569" s="3" t="s">
        <v>603</v>
      </c>
      <c r="D569" s="3" t="s">
        <v>233</v>
      </c>
      <c r="E569" s="3" t="s">
        <v>31</v>
      </c>
      <c r="F569" s="3" t="s">
        <v>32</v>
      </c>
      <c r="G569" s="4" t="s">
        <v>106</v>
      </c>
      <c r="H569" s="4">
        <v>22</v>
      </c>
      <c r="I569" s="5">
        <v>0.23620370370370369</v>
      </c>
      <c r="J569" s="5">
        <v>0.14525462962962962</v>
      </c>
      <c r="K569" s="5">
        <f t="shared" si="16"/>
        <v>6.6024831649831644E-3</v>
      </c>
      <c r="L569" s="5">
        <v>4.5914351851851852E-2</v>
      </c>
      <c r="M569" s="6">
        <f t="shared" si="17"/>
        <v>0.19438455507644062</v>
      </c>
      <c r="N569" s="5"/>
      <c r="O569" s="5"/>
      <c r="P569" s="5"/>
      <c r="Q569" s="5"/>
      <c r="R569" s="5"/>
      <c r="S569" s="5"/>
      <c r="T569" s="5">
        <v>1.6203703703703703E-4</v>
      </c>
      <c r="U569" s="5">
        <v>2.5115740740740741E-3</v>
      </c>
      <c r="V569" s="5"/>
      <c r="W569" s="5">
        <v>4.3171296296296298E-2</v>
      </c>
    </row>
    <row r="570" spans="1:23" x14ac:dyDescent="0.25">
      <c r="A570" s="2">
        <v>46241</v>
      </c>
      <c r="B570" s="3" t="s">
        <v>248</v>
      </c>
      <c r="C570" s="3" t="s">
        <v>249</v>
      </c>
      <c r="D570" s="3" t="s">
        <v>78</v>
      </c>
      <c r="E570" s="3" t="s">
        <v>79</v>
      </c>
      <c r="F570" s="3" t="s">
        <v>80</v>
      </c>
      <c r="G570" s="4" t="s">
        <v>81</v>
      </c>
      <c r="H570" s="4">
        <v>0</v>
      </c>
      <c r="I570" s="5">
        <v>0.34539351851851852</v>
      </c>
      <c r="J570" s="5">
        <v>0</v>
      </c>
      <c r="K570" s="5">
        <f t="shared" si="16"/>
        <v>0</v>
      </c>
      <c r="L570" s="5">
        <v>3.2291666666666666E-3</v>
      </c>
      <c r="M570" s="6">
        <f t="shared" si="17"/>
        <v>9.3492393271228467E-3</v>
      </c>
      <c r="N570" s="5">
        <v>1.1574074074074075E-4</v>
      </c>
      <c r="O570" s="5"/>
      <c r="P570" s="5"/>
      <c r="Q570" s="5"/>
      <c r="R570" s="5"/>
      <c r="S570" s="5"/>
      <c r="T570" s="5">
        <v>1.5046296296296297E-4</v>
      </c>
      <c r="U570" s="5">
        <v>1.7939814814814815E-3</v>
      </c>
      <c r="V570" s="5"/>
      <c r="W570" s="5">
        <v>1.1458333333333333E-3</v>
      </c>
    </row>
    <row r="571" spans="1:23" x14ac:dyDescent="0.25">
      <c r="A571" s="2">
        <v>46241</v>
      </c>
      <c r="B571" s="3" t="s">
        <v>289</v>
      </c>
      <c r="C571" s="3" t="s">
        <v>559</v>
      </c>
      <c r="D571" s="3" t="s">
        <v>104</v>
      </c>
      <c r="E571" s="3" t="s">
        <v>31</v>
      </c>
      <c r="F571" s="3" t="s">
        <v>105</v>
      </c>
      <c r="G571" s="4" t="s">
        <v>106</v>
      </c>
      <c r="H571" s="4">
        <v>11</v>
      </c>
      <c r="I571" s="5">
        <v>0.23966435185185186</v>
      </c>
      <c r="J571" s="5">
        <v>0.20268518518518519</v>
      </c>
      <c r="K571" s="5">
        <f t="shared" si="16"/>
        <v>1.8425925925925925E-2</v>
      </c>
      <c r="L571" s="5">
        <v>9.7106481481481488E-2</v>
      </c>
      <c r="M571" s="6">
        <f t="shared" si="17"/>
        <v>0.40517699328729417</v>
      </c>
      <c r="N571" s="5">
        <v>2.5763888888888888E-2</v>
      </c>
      <c r="O571" s="5">
        <v>6.5509259259259262E-3</v>
      </c>
      <c r="P571" s="5"/>
      <c r="Q571" s="5"/>
      <c r="R571" s="5"/>
      <c r="S571" s="5">
        <v>1.1030092592592593E-2</v>
      </c>
      <c r="T571" s="5">
        <v>6.053240740740741E-3</v>
      </c>
      <c r="U571" s="5">
        <v>3.152777777777778E-2</v>
      </c>
      <c r="V571" s="5"/>
      <c r="W571" s="5">
        <v>1.6145833333333335E-2</v>
      </c>
    </row>
    <row r="572" spans="1:23" x14ac:dyDescent="0.25">
      <c r="A572" s="2">
        <v>46241</v>
      </c>
      <c r="B572" s="3" t="s">
        <v>252</v>
      </c>
      <c r="C572" s="3" t="s">
        <v>553</v>
      </c>
      <c r="D572" s="3" t="s">
        <v>78</v>
      </c>
      <c r="E572" s="3" t="s">
        <v>79</v>
      </c>
      <c r="F572" s="3" t="s">
        <v>80</v>
      </c>
      <c r="G572" s="4" t="s">
        <v>81</v>
      </c>
      <c r="H572" s="4">
        <v>1</v>
      </c>
      <c r="I572" s="5">
        <v>0.36711805555555554</v>
      </c>
      <c r="J572" s="5">
        <v>1.2337962962962964E-2</v>
      </c>
      <c r="K572" s="5">
        <f t="shared" si="16"/>
        <v>1.2337962962962964E-2</v>
      </c>
      <c r="L572" s="5">
        <v>7.7546296296296293E-4</v>
      </c>
      <c r="M572" s="6">
        <f t="shared" si="17"/>
        <v>2.1122986222768688E-3</v>
      </c>
      <c r="N572" s="5"/>
      <c r="O572" s="5"/>
      <c r="P572" s="5"/>
      <c r="Q572" s="5"/>
      <c r="R572" s="5"/>
      <c r="S572" s="5"/>
      <c r="T572" s="5">
        <v>4.6296296296296294E-5</v>
      </c>
      <c r="U572" s="5">
        <v>6.9444444444444447E-4</v>
      </c>
      <c r="V572" s="5"/>
      <c r="W572" s="5"/>
    </row>
    <row r="573" spans="1:23" x14ac:dyDescent="0.25">
      <c r="A573" s="2">
        <v>46241</v>
      </c>
      <c r="B573" s="3" t="s">
        <v>500</v>
      </c>
      <c r="C573" s="3" t="s">
        <v>518</v>
      </c>
      <c r="D573" s="3" t="s">
        <v>274</v>
      </c>
      <c r="E573" s="3" t="s">
        <v>79</v>
      </c>
      <c r="F573" s="3" t="s">
        <v>147</v>
      </c>
      <c r="G573" s="4" t="s">
        <v>33</v>
      </c>
      <c r="H573" s="4">
        <v>20</v>
      </c>
      <c r="I573" s="5">
        <v>0.30386574074074074</v>
      </c>
      <c r="J573" s="5">
        <v>8.7719907407407413E-2</v>
      </c>
      <c r="K573" s="5">
        <f t="shared" si="16"/>
        <v>4.3859953703703708E-3</v>
      </c>
      <c r="L573" s="5">
        <v>3.184027777777778E-2</v>
      </c>
      <c r="M573" s="6">
        <f t="shared" si="17"/>
        <v>0.10478403290927098</v>
      </c>
      <c r="N573" s="5">
        <v>1.9560185185185184E-3</v>
      </c>
      <c r="O573" s="5">
        <v>1.3946759259259259E-2</v>
      </c>
      <c r="P573" s="5"/>
      <c r="Q573" s="5">
        <v>8.564814814814815E-4</v>
      </c>
      <c r="R573" s="5"/>
      <c r="S573" s="5">
        <v>1.4525462962962962E-2</v>
      </c>
      <c r="T573" s="5">
        <v>1.7361111111111112E-4</v>
      </c>
      <c r="U573" s="5">
        <v>3.5879629629629629E-4</v>
      </c>
      <c r="V573" s="5"/>
      <c r="W573" s="5"/>
    </row>
    <row r="574" spans="1:23" x14ac:dyDescent="0.25">
      <c r="A574" s="2">
        <v>46241</v>
      </c>
      <c r="B574" s="3" t="s">
        <v>653</v>
      </c>
      <c r="C574" s="3" t="s">
        <v>654</v>
      </c>
      <c r="D574" s="3" t="s">
        <v>100</v>
      </c>
      <c r="E574" s="3" t="s">
        <v>31</v>
      </c>
      <c r="F574" s="3" t="s">
        <v>32</v>
      </c>
      <c r="G574" s="4" t="s">
        <v>33</v>
      </c>
      <c r="H574" s="4">
        <v>25</v>
      </c>
      <c r="I574" s="5">
        <v>0.26361111111111113</v>
      </c>
      <c r="J574" s="5">
        <v>0.15476851851851853</v>
      </c>
      <c r="K574" s="5">
        <f t="shared" si="16"/>
        <v>6.1907407407407414E-3</v>
      </c>
      <c r="L574" s="5">
        <v>4.0300925925925928E-2</v>
      </c>
      <c r="M574" s="6">
        <f t="shared" si="17"/>
        <v>0.15288022479803301</v>
      </c>
      <c r="N574" s="5">
        <v>9.1435185185185178E-3</v>
      </c>
      <c r="O574" s="5">
        <v>1.4236111111111111E-2</v>
      </c>
      <c r="P574" s="5"/>
      <c r="Q574" s="5"/>
      <c r="R574" s="5"/>
      <c r="S574" s="5">
        <v>1.4363425925925925E-2</v>
      </c>
      <c r="T574" s="5">
        <v>8.1018518518518516E-5</v>
      </c>
      <c r="U574" s="5">
        <v>2.4305555555555556E-3</v>
      </c>
      <c r="V574" s="5"/>
      <c r="W574" s="5"/>
    </row>
    <row r="575" spans="1:23" x14ac:dyDescent="0.25">
      <c r="A575" s="2">
        <v>46241</v>
      </c>
      <c r="B575" s="3" t="s">
        <v>52</v>
      </c>
      <c r="C575" s="3" t="s">
        <v>509</v>
      </c>
      <c r="D575" s="3" t="s">
        <v>100</v>
      </c>
      <c r="E575" s="3" t="s">
        <v>31</v>
      </c>
      <c r="F575" s="3" t="s">
        <v>32</v>
      </c>
      <c r="G575" s="4" t="s">
        <v>33</v>
      </c>
      <c r="H575" s="4">
        <v>9</v>
      </c>
      <c r="I575" s="5">
        <v>0.24898148148148147</v>
      </c>
      <c r="J575" s="5">
        <v>7.1284722222222222E-2</v>
      </c>
      <c r="K575" s="5">
        <f t="shared" si="16"/>
        <v>7.9205246913580246E-3</v>
      </c>
      <c r="L575" s="5">
        <v>0.18388888888888888</v>
      </c>
      <c r="M575" s="6">
        <f t="shared" si="17"/>
        <v>0.73856452212718482</v>
      </c>
      <c r="N575" s="5">
        <v>3.3796296296296296E-3</v>
      </c>
      <c r="O575" s="5">
        <v>1.4375000000000001E-2</v>
      </c>
      <c r="P575" s="5"/>
      <c r="Q575" s="5"/>
      <c r="R575" s="5"/>
      <c r="S575" s="5">
        <v>1.4155092592592592E-2</v>
      </c>
      <c r="T575" s="5">
        <v>1.1342592592592593E-3</v>
      </c>
      <c r="U575" s="5">
        <v>2.6620370370370372E-4</v>
      </c>
      <c r="V575" s="5"/>
      <c r="W575" s="5">
        <v>0.15057870370370371</v>
      </c>
    </row>
    <row r="576" spans="1:23" x14ac:dyDescent="0.25">
      <c r="A576" s="2">
        <v>46241</v>
      </c>
      <c r="B576" s="3" t="s">
        <v>164</v>
      </c>
      <c r="C576" s="3" t="s">
        <v>519</v>
      </c>
      <c r="D576" s="3" t="s">
        <v>146</v>
      </c>
      <c r="E576" s="3" t="s">
        <v>79</v>
      </c>
      <c r="F576" s="3" t="s">
        <v>147</v>
      </c>
      <c r="G576" s="4" t="s">
        <v>106</v>
      </c>
      <c r="H576" s="4">
        <v>20</v>
      </c>
      <c r="I576" s="5">
        <v>0.21612268518518518</v>
      </c>
      <c r="J576" s="5">
        <v>3.7465277777777778E-2</v>
      </c>
      <c r="K576" s="5">
        <f t="shared" si="16"/>
        <v>1.8732638888888889E-3</v>
      </c>
      <c r="L576" s="5">
        <v>3.4525462962962966E-2</v>
      </c>
      <c r="M576" s="6">
        <f t="shared" si="17"/>
        <v>0.15974937074921011</v>
      </c>
      <c r="N576" s="5">
        <v>6.8634259259259256E-3</v>
      </c>
      <c r="O576" s="5">
        <v>9.0509259259259258E-3</v>
      </c>
      <c r="P576" s="5"/>
      <c r="Q576" s="5">
        <v>4.1203703703703706E-3</v>
      </c>
      <c r="R576" s="5"/>
      <c r="S576" s="5">
        <v>1.4421296296296297E-2</v>
      </c>
      <c r="T576" s="5">
        <v>6.9444444444444444E-5</v>
      </c>
      <c r="U576" s="5"/>
      <c r="V576" s="5"/>
      <c r="W576" s="5"/>
    </row>
    <row r="577" spans="1:23" x14ac:dyDescent="0.25">
      <c r="A577" s="2">
        <v>46241</v>
      </c>
      <c r="B577" s="3" t="s">
        <v>655</v>
      </c>
      <c r="C577" s="3" t="s">
        <v>656</v>
      </c>
      <c r="D577" s="3" t="s">
        <v>100</v>
      </c>
      <c r="E577" s="3" t="s">
        <v>31</v>
      </c>
      <c r="F577" s="3" t="s">
        <v>32</v>
      </c>
      <c r="G577" s="4" t="s">
        <v>33</v>
      </c>
      <c r="H577" s="4">
        <v>30</v>
      </c>
      <c r="I577" s="5">
        <v>0.26271990740740742</v>
      </c>
      <c r="J577" s="5">
        <v>0.1547337962962963</v>
      </c>
      <c r="K577" s="5">
        <f t="shared" si="16"/>
        <v>5.1577932098765432E-3</v>
      </c>
      <c r="L577" s="5">
        <v>3.9803240740740743E-2</v>
      </c>
      <c r="M577" s="6">
        <f t="shared" si="17"/>
        <v>0.15150447156262392</v>
      </c>
      <c r="N577" s="5">
        <v>7.5231481481481477E-3</v>
      </c>
      <c r="O577" s="5">
        <v>1.5960648148148147E-2</v>
      </c>
      <c r="P577" s="5"/>
      <c r="Q577" s="5"/>
      <c r="R577" s="5"/>
      <c r="S577" s="5">
        <v>1.4513888888888889E-2</v>
      </c>
      <c r="T577" s="5">
        <v>1.0416666666666667E-4</v>
      </c>
      <c r="U577" s="5">
        <v>1.6550925925925926E-3</v>
      </c>
      <c r="V577" s="5"/>
      <c r="W577" s="5"/>
    </row>
    <row r="578" spans="1:23" x14ac:dyDescent="0.25">
      <c r="A578" s="2">
        <v>46241</v>
      </c>
      <c r="B578" s="3" t="s">
        <v>657</v>
      </c>
      <c r="C578" s="3" t="s">
        <v>658</v>
      </c>
      <c r="D578" s="3" t="s">
        <v>274</v>
      </c>
      <c r="E578" s="3" t="s">
        <v>79</v>
      </c>
      <c r="F578" s="3" t="s">
        <v>147</v>
      </c>
      <c r="G578" s="4" t="s">
        <v>33</v>
      </c>
      <c r="H578" s="4">
        <v>21</v>
      </c>
      <c r="I578" s="5">
        <v>0.25527777777777777</v>
      </c>
      <c r="J578" s="5">
        <v>7.5590277777777784E-2</v>
      </c>
      <c r="K578" s="5">
        <f t="shared" ref="K578:K641" si="18">IFERROR(J578/H578,0)</f>
        <v>3.5995370370370374E-3</v>
      </c>
      <c r="L578" s="5">
        <v>3.6122685185185188E-2</v>
      </c>
      <c r="M578" s="6">
        <f t="shared" ref="M578:M641" si="19">IFERROR(L578/I578,0)</f>
        <v>0.14150344577439247</v>
      </c>
      <c r="N578" s="5"/>
      <c r="O578" s="5">
        <v>1.6087962962962964E-2</v>
      </c>
      <c r="P578" s="5"/>
      <c r="Q578" s="5"/>
      <c r="R578" s="5">
        <v>3.5532407407407409E-3</v>
      </c>
      <c r="S578" s="5">
        <v>1.5543981481481482E-2</v>
      </c>
      <c r="T578" s="5">
        <v>2.6620370370370372E-4</v>
      </c>
      <c r="U578" s="5">
        <v>6.3657407407407413E-4</v>
      </c>
      <c r="V578" s="5"/>
      <c r="W578" s="5"/>
    </row>
    <row r="579" spans="1:23" x14ac:dyDescent="0.25">
      <c r="A579" s="2">
        <v>46241</v>
      </c>
      <c r="B579" s="3" t="s">
        <v>166</v>
      </c>
      <c r="C579" s="3" t="s">
        <v>167</v>
      </c>
      <c r="D579" s="3" t="s">
        <v>146</v>
      </c>
      <c r="E579" s="3" t="s">
        <v>79</v>
      </c>
      <c r="F579" s="3" t="s">
        <v>147</v>
      </c>
      <c r="G579" s="4" t="s">
        <v>106</v>
      </c>
      <c r="H579" s="4">
        <v>16</v>
      </c>
      <c r="I579" s="5">
        <v>0.25297453703703704</v>
      </c>
      <c r="J579" s="5">
        <v>5.3310185185185183E-2</v>
      </c>
      <c r="K579" s="5">
        <f t="shared" si="18"/>
        <v>3.3318865740740739E-3</v>
      </c>
      <c r="L579" s="5">
        <v>2.943287037037037E-2</v>
      </c>
      <c r="M579" s="6">
        <f t="shared" si="19"/>
        <v>0.11634716566774946</v>
      </c>
      <c r="N579" s="5">
        <v>3.7615740740740739E-3</v>
      </c>
      <c r="O579" s="5">
        <v>8.4606481481481477E-3</v>
      </c>
      <c r="P579" s="5"/>
      <c r="Q579" s="5"/>
      <c r="R579" s="5">
        <v>1.7824074074074075E-3</v>
      </c>
      <c r="S579" s="5">
        <v>1.4988425925925926E-2</v>
      </c>
      <c r="T579" s="5">
        <v>1.6203703703703703E-4</v>
      </c>
      <c r="U579" s="5">
        <v>2.6620370370370372E-4</v>
      </c>
      <c r="V579" s="5"/>
      <c r="W579" s="5"/>
    </row>
    <row r="580" spans="1:23" x14ac:dyDescent="0.25">
      <c r="A580" s="2">
        <v>46241</v>
      </c>
      <c r="B580" s="3" t="s">
        <v>659</v>
      </c>
      <c r="C580" s="3" t="s">
        <v>660</v>
      </c>
      <c r="D580" s="3" t="s">
        <v>100</v>
      </c>
      <c r="E580" s="3" t="s">
        <v>31</v>
      </c>
      <c r="F580" s="3" t="s">
        <v>32</v>
      </c>
      <c r="G580" s="4" t="s">
        <v>33</v>
      </c>
      <c r="H580" s="4">
        <v>1</v>
      </c>
      <c r="I580" s="5">
        <v>0.19149305555555557</v>
      </c>
      <c r="J580" s="5">
        <v>1.0034722222222223E-2</v>
      </c>
      <c r="K580" s="5">
        <f t="shared" si="18"/>
        <v>1.0034722222222223E-2</v>
      </c>
      <c r="L580" s="5">
        <v>0.18563657407407408</v>
      </c>
      <c r="M580" s="6">
        <f t="shared" si="19"/>
        <v>0.96941674221819274</v>
      </c>
      <c r="N580" s="5">
        <v>4.4571759259259262E-2</v>
      </c>
      <c r="O580" s="5">
        <v>1.4016203703703704E-2</v>
      </c>
      <c r="P580" s="5"/>
      <c r="Q580" s="5"/>
      <c r="R580" s="5"/>
      <c r="S580" s="5"/>
      <c r="T580" s="5">
        <v>6.4814814814814813E-4</v>
      </c>
      <c r="U580" s="5"/>
      <c r="V580" s="5"/>
      <c r="W580" s="5">
        <v>0.12640046296296295</v>
      </c>
    </row>
    <row r="581" spans="1:23" x14ac:dyDescent="0.25">
      <c r="A581" s="2">
        <v>46241</v>
      </c>
      <c r="B581" s="3" t="s">
        <v>254</v>
      </c>
      <c r="C581" s="3" t="s">
        <v>528</v>
      </c>
      <c r="D581" s="3" t="s">
        <v>233</v>
      </c>
      <c r="E581" s="3" t="s">
        <v>31</v>
      </c>
      <c r="F581" s="3" t="s">
        <v>32</v>
      </c>
      <c r="G581" s="4" t="s">
        <v>106</v>
      </c>
      <c r="H581" s="4">
        <v>24</v>
      </c>
      <c r="I581" s="5">
        <v>0.26621527777777776</v>
      </c>
      <c r="J581" s="5">
        <v>0.13109953703703703</v>
      </c>
      <c r="K581" s="5">
        <f t="shared" si="18"/>
        <v>5.4624807098765426E-3</v>
      </c>
      <c r="L581" s="5">
        <v>6.0057870370370373E-2</v>
      </c>
      <c r="M581" s="6">
        <f t="shared" si="19"/>
        <v>0.22559888700491285</v>
      </c>
      <c r="N581" s="5">
        <v>1.7118055555555556E-2</v>
      </c>
      <c r="O581" s="5">
        <v>1.3831018518518519E-2</v>
      </c>
      <c r="P581" s="5"/>
      <c r="Q581" s="5"/>
      <c r="R581" s="5"/>
      <c r="S581" s="5">
        <v>1.4560185185185185E-2</v>
      </c>
      <c r="T581" s="5">
        <v>1.2905092592592593E-2</v>
      </c>
      <c r="U581" s="5">
        <v>1.5856481481481481E-3</v>
      </c>
      <c r="V581" s="5"/>
      <c r="W581" s="5"/>
    </row>
    <row r="582" spans="1:23" x14ac:dyDescent="0.25">
      <c r="A582" s="2">
        <v>46241</v>
      </c>
      <c r="B582" s="3" t="s">
        <v>201</v>
      </c>
      <c r="C582" s="3" t="s">
        <v>545</v>
      </c>
      <c r="D582" s="3" t="s">
        <v>601</v>
      </c>
      <c r="E582" s="3" t="s">
        <v>31</v>
      </c>
      <c r="F582" s="3" t="s">
        <v>600</v>
      </c>
      <c r="G582" s="4" t="s">
        <v>33</v>
      </c>
      <c r="H582" s="4">
        <v>34</v>
      </c>
      <c r="I582" s="5">
        <v>0.2394212962962963</v>
      </c>
      <c r="J582" s="5">
        <v>7.5115740740740747E-2</v>
      </c>
      <c r="K582" s="5">
        <f t="shared" si="18"/>
        <v>2.2092864923747278E-3</v>
      </c>
      <c r="L582" s="5">
        <v>4.9629629629629628E-2</v>
      </c>
      <c r="M582" s="6">
        <f t="shared" si="19"/>
        <v>0.20728995455863869</v>
      </c>
      <c r="N582" s="5">
        <v>1.3761574074074074E-2</v>
      </c>
      <c r="O582" s="5">
        <v>9.479166666666667E-3</v>
      </c>
      <c r="P582" s="5">
        <v>9.5833333333333326E-3</v>
      </c>
      <c r="Q582" s="5"/>
      <c r="R582" s="5"/>
      <c r="S582" s="5">
        <v>1.5208333333333334E-2</v>
      </c>
      <c r="T582" s="5">
        <v>1.5277777777777779E-3</v>
      </c>
      <c r="U582" s="5">
        <v>5.7870370370370373E-5</v>
      </c>
      <c r="V582" s="5"/>
      <c r="W582" s="5"/>
    </row>
    <row r="583" spans="1:23" x14ac:dyDescent="0.25">
      <c r="A583" s="2">
        <v>46241</v>
      </c>
      <c r="B583" s="3" t="s">
        <v>168</v>
      </c>
      <c r="C583" s="3" t="s">
        <v>520</v>
      </c>
      <c r="D583" s="3" t="s">
        <v>274</v>
      </c>
      <c r="E583" s="3" t="s">
        <v>79</v>
      </c>
      <c r="F583" s="3" t="s">
        <v>147</v>
      </c>
      <c r="G583" s="4" t="s">
        <v>33</v>
      </c>
      <c r="H583" s="4">
        <v>21</v>
      </c>
      <c r="I583" s="5">
        <v>0.29096064814814815</v>
      </c>
      <c r="J583" s="5">
        <v>4.8263888888888891E-2</v>
      </c>
      <c r="K583" s="5">
        <f t="shared" si="18"/>
        <v>2.2982804232804235E-3</v>
      </c>
      <c r="L583" s="5">
        <v>5.0995370370370371E-2</v>
      </c>
      <c r="M583" s="6">
        <f t="shared" si="19"/>
        <v>0.1752655236882931</v>
      </c>
      <c r="N583" s="5">
        <v>6.7013888888888887E-3</v>
      </c>
      <c r="O583" s="5">
        <v>1.3935185185185186E-2</v>
      </c>
      <c r="P583" s="5"/>
      <c r="Q583" s="5">
        <v>9.2129629629629627E-3</v>
      </c>
      <c r="R583" s="5">
        <v>2.1180555555555558E-3</v>
      </c>
      <c r="S583" s="5">
        <v>1.8298611111111113E-2</v>
      </c>
      <c r="T583" s="5">
        <v>2.0833333333333335E-4</v>
      </c>
      <c r="U583" s="5">
        <v>4.9768518518518521E-4</v>
      </c>
      <c r="V583" s="5"/>
      <c r="W583" s="5"/>
    </row>
    <row r="584" spans="1:23" x14ac:dyDescent="0.25">
      <c r="A584" s="2">
        <v>46241</v>
      </c>
      <c r="B584" s="3" t="s">
        <v>170</v>
      </c>
      <c r="C584" s="3" t="s">
        <v>521</v>
      </c>
      <c r="D584" s="3" t="s">
        <v>146</v>
      </c>
      <c r="E584" s="3" t="s">
        <v>79</v>
      </c>
      <c r="F584" s="3" t="s">
        <v>147</v>
      </c>
      <c r="G584" s="4" t="s">
        <v>106</v>
      </c>
      <c r="H584" s="4">
        <v>18</v>
      </c>
      <c r="I584" s="5">
        <v>0.28391203703703705</v>
      </c>
      <c r="J584" s="5">
        <v>9.6087962962962958E-2</v>
      </c>
      <c r="K584" s="5">
        <f t="shared" si="18"/>
        <v>5.3382201646090532E-3</v>
      </c>
      <c r="L584" s="5">
        <v>3.8090277777777778E-2</v>
      </c>
      <c r="M584" s="6">
        <f t="shared" si="19"/>
        <v>0.13416225030574805</v>
      </c>
      <c r="N584" s="5">
        <v>2.3611111111111111E-3</v>
      </c>
      <c r="O584" s="5">
        <v>1.3252314814814814E-2</v>
      </c>
      <c r="P584" s="5"/>
      <c r="Q584" s="5">
        <v>2.0601851851851853E-3</v>
      </c>
      <c r="R584" s="5"/>
      <c r="S584" s="5">
        <v>1.4930555555555556E-2</v>
      </c>
      <c r="T584" s="5">
        <v>3.8194444444444446E-4</v>
      </c>
      <c r="U584" s="5">
        <v>4.1666666666666669E-4</v>
      </c>
      <c r="V584" s="5"/>
      <c r="W584" s="5">
        <v>4.6643518518518518E-3</v>
      </c>
    </row>
    <row r="585" spans="1:23" x14ac:dyDescent="0.25">
      <c r="A585" s="2">
        <v>46241</v>
      </c>
      <c r="B585" s="3" t="s">
        <v>92</v>
      </c>
      <c r="C585" s="3" t="s">
        <v>93</v>
      </c>
      <c r="D585" s="3" t="s">
        <v>78</v>
      </c>
      <c r="E585" s="3" t="s">
        <v>79</v>
      </c>
      <c r="F585" s="3" t="s">
        <v>80</v>
      </c>
      <c r="G585" s="4" t="s">
        <v>81</v>
      </c>
      <c r="H585" s="4">
        <v>0</v>
      </c>
      <c r="I585" s="5">
        <v>0.28828703703703706</v>
      </c>
      <c r="J585" s="5">
        <v>0</v>
      </c>
      <c r="K585" s="5">
        <f t="shared" si="18"/>
        <v>0</v>
      </c>
      <c r="L585" s="5">
        <v>0.15297453703703703</v>
      </c>
      <c r="M585" s="6">
        <f t="shared" si="19"/>
        <v>0.53063272844066156</v>
      </c>
      <c r="N585" s="5"/>
      <c r="O585" s="5">
        <v>0.13187499999999999</v>
      </c>
      <c r="P585" s="5"/>
      <c r="Q585" s="5"/>
      <c r="R585" s="5"/>
      <c r="S585" s="5"/>
      <c r="T585" s="5">
        <v>2.0555555555555556E-2</v>
      </c>
      <c r="U585" s="5">
        <v>5.3240740740740744E-4</v>
      </c>
      <c r="V585" s="5"/>
      <c r="W585" s="5"/>
    </row>
    <row r="586" spans="1:23" x14ac:dyDescent="0.25">
      <c r="A586" s="2">
        <v>46241</v>
      </c>
      <c r="B586" s="3" t="s">
        <v>94</v>
      </c>
      <c r="C586" s="3" t="s">
        <v>95</v>
      </c>
      <c r="D586" s="3" t="s">
        <v>78</v>
      </c>
      <c r="E586" s="3" t="s">
        <v>79</v>
      </c>
      <c r="F586" s="3" t="s">
        <v>80</v>
      </c>
      <c r="G586" s="4" t="s">
        <v>81</v>
      </c>
      <c r="H586" s="4">
        <v>0</v>
      </c>
      <c r="I586" s="5">
        <v>0.3959259259259259</v>
      </c>
      <c r="J586" s="5">
        <v>0</v>
      </c>
      <c r="K586" s="5">
        <f t="shared" si="18"/>
        <v>0</v>
      </c>
      <c r="L586" s="5">
        <v>0.11055555555555556</v>
      </c>
      <c r="M586" s="6">
        <f t="shared" si="19"/>
        <v>0.27923292797006549</v>
      </c>
      <c r="N586" s="5">
        <v>2.3148148148148147E-5</v>
      </c>
      <c r="O586" s="5"/>
      <c r="P586" s="5"/>
      <c r="Q586" s="5"/>
      <c r="R586" s="5">
        <v>0.11009259259259259</v>
      </c>
      <c r="S586" s="5"/>
      <c r="T586" s="5"/>
      <c r="U586" s="5">
        <v>4.3981481481481481E-4</v>
      </c>
      <c r="V586" s="5"/>
      <c r="W586" s="5"/>
    </row>
    <row r="587" spans="1:23" x14ac:dyDescent="0.25">
      <c r="A587" s="2">
        <v>46241</v>
      </c>
      <c r="B587" s="3" t="s">
        <v>293</v>
      </c>
      <c r="C587" s="3" t="s">
        <v>543</v>
      </c>
      <c r="D587" s="3" t="s">
        <v>104</v>
      </c>
      <c r="E587" s="3" t="s">
        <v>31</v>
      </c>
      <c r="F587" s="3" t="s">
        <v>600</v>
      </c>
      <c r="G587" s="4" t="s">
        <v>106</v>
      </c>
      <c r="H587" s="4">
        <v>17</v>
      </c>
      <c r="I587" s="5">
        <v>0.24342592592592593</v>
      </c>
      <c r="J587" s="5">
        <v>4.5312499999999999E-2</v>
      </c>
      <c r="K587" s="5">
        <f t="shared" si="18"/>
        <v>2.6654411764705883E-3</v>
      </c>
      <c r="L587" s="5">
        <v>0.1751388888888889</v>
      </c>
      <c r="M587" s="6">
        <f t="shared" si="19"/>
        <v>0.71947508558387219</v>
      </c>
      <c r="N587" s="5">
        <v>1.3969907407407407E-2</v>
      </c>
      <c r="O587" s="5">
        <v>2.7314814814814816E-2</v>
      </c>
      <c r="P587" s="5"/>
      <c r="Q587" s="5"/>
      <c r="R587" s="5"/>
      <c r="S587" s="5">
        <v>1.4548611111111111E-2</v>
      </c>
      <c r="T587" s="5">
        <v>2.8240740740740739E-3</v>
      </c>
      <c r="U587" s="5">
        <v>5.6712962962962967E-4</v>
      </c>
      <c r="V587" s="5"/>
      <c r="W587" s="5">
        <v>0.1158912037037037</v>
      </c>
    </row>
    <row r="588" spans="1:23" x14ac:dyDescent="0.25">
      <c r="A588" s="2">
        <v>46241</v>
      </c>
      <c r="B588" s="3" t="s">
        <v>606</v>
      </c>
      <c r="C588" s="3" t="s">
        <v>633</v>
      </c>
      <c r="D588" s="3" t="s">
        <v>146</v>
      </c>
      <c r="E588" s="3" t="s">
        <v>79</v>
      </c>
      <c r="F588" s="3" t="s">
        <v>147</v>
      </c>
      <c r="G588" s="4" t="s">
        <v>106</v>
      </c>
      <c r="H588" s="4">
        <v>8</v>
      </c>
      <c r="I588" s="5">
        <v>0.26106481481481481</v>
      </c>
      <c r="J588" s="5">
        <v>4.8252314814814817E-2</v>
      </c>
      <c r="K588" s="5">
        <f t="shared" si="18"/>
        <v>6.0315393518518522E-3</v>
      </c>
      <c r="L588" s="5">
        <v>7.6006944444444446E-2</v>
      </c>
      <c r="M588" s="6">
        <f t="shared" si="19"/>
        <v>0.2911420464621387</v>
      </c>
      <c r="N588" s="5">
        <v>1.5775462962962963E-2</v>
      </c>
      <c r="O588" s="5">
        <v>1.4131944444444445E-2</v>
      </c>
      <c r="P588" s="5"/>
      <c r="Q588" s="5"/>
      <c r="R588" s="5"/>
      <c r="S588" s="5">
        <v>1.4791666666666667E-2</v>
      </c>
      <c r="T588" s="5">
        <v>1.0416666666666667E-4</v>
      </c>
      <c r="U588" s="5">
        <v>2.7673611111111111E-2</v>
      </c>
      <c r="V588" s="5"/>
      <c r="W588" s="5">
        <v>3.449074074074074E-3</v>
      </c>
    </row>
    <row r="589" spans="1:23" x14ac:dyDescent="0.25">
      <c r="A589" s="2">
        <v>46241</v>
      </c>
      <c r="B589" s="3" t="s">
        <v>256</v>
      </c>
      <c r="C589" s="3" t="s">
        <v>529</v>
      </c>
      <c r="D589" s="3" t="s">
        <v>233</v>
      </c>
      <c r="E589" s="3" t="s">
        <v>31</v>
      </c>
      <c r="F589" s="3" t="s">
        <v>32</v>
      </c>
      <c r="G589" s="4" t="s">
        <v>106</v>
      </c>
      <c r="H589" s="4">
        <v>21</v>
      </c>
      <c r="I589" s="5">
        <v>0.25513888888888892</v>
      </c>
      <c r="J589" s="5">
        <v>0.15937499999999999</v>
      </c>
      <c r="K589" s="5">
        <f t="shared" si="18"/>
        <v>7.5892857142857133E-3</v>
      </c>
      <c r="L589" s="5">
        <v>4.2546296296296297E-2</v>
      </c>
      <c r="M589" s="6">
        <f t="shared" si="19"/>
        <v>0.16675739430230446</v>
      </c>
      <c r="N589" s="5">
        <v>5.1273148148148146E-3</v>
      </c>
      <c r="O589" s="5">
        <v>1.9872685185185184E-2</v>
      </c>
      <c r="P589" s="5"/>
      <c r="Q589" s="5"/>
      <c r="R589" s="5"/>
      <c r="S589" s="5">
        <v>1.5856481481481482E-2</v>
      </c>
      <c r="T589" s="5">
        <v>1.5046296296296297E-4</v>
      </c>
      <c r="U589" s="5">
        <v>1.5277777777777779E-3</v>
      </c>
      <c r="V589" s="5"/>
      <c r="W589" s="5"/>
    </row>
    <row r="590" spans="1:23" x14ac:dyDescent="0.25">
      <c r="A590" s="2">
        <v>46241</v>
      </c>
      <c r="B590" s="3" t="s">
        <v>612</v>
      </c>
      <c r="C590" s="3" t="s">
        <v>634</v>
      </c>
      <c r="D590" s="3" t="s">
        <v>601</v>
      </c>
      <c r="E590" s="3" t="s">
        <v>31</v>
      </c>
      <c r="F590" s="3" t="s">
        <v>105</v>
      </c>
      <c r="G590" s="4" t="s">
        <v>33</v>
      </c>
      <c r="H590" s="4">
        <v>2</v>
      </c>
      <c r="I590" s="5">
        <v>0.2260648148148148</v>
      </c>
      <c r="J590" s="5">
        <v>2.5381944444444443E-2</v>
      </c>
      <c r="K590" s="5">
        <f t="shared" si="18"/>
        <v>1.2690972222222222E-2</v>
      </c>
      <c r="L590" s="5">
        <v>0.21769675925925927</v>
      </c>
      <c r="M590" s="6">
        <f t="shared" si="19"/>
        <v>0.96298382142125749</v>
      </c>
      <c r="N590" s="5">
        <v>8.6805555555555559E-3</v>
      </c>
      <c r="O590" s="5">
        <v>2.8437500000000001E-2</v>
      </c>
      <c r="P590" s="5"/>
      <c r="Q590" s="5"/>
      <c r="R590" s="5"/>
      <c r="S590" s="5">
        <v>1.511574074074074E-2</v>
      </c>
      <c r="T590" s="5">
        <v>9.8900462962962968E-2</v>
      </c>
      <c r="U590" s="5">
        <v>6.2337962962962963E-2</v>
      </c>
      <c r="V590" s="5"/>
      <c r="W590" s="5">
        <v>4.2245370370370371E-3</v>
      </c>
    </row>
    <row r="591" spans="1:23" x14ac:dyDescent="0.25">
      <c r="A591" s="2">
        <v>46241</v>
      </c>
      <c r="B591" s="3" t="s">
        <v>258</v>
      </c>
      <c r="C591" s="3" t="s">
        <v>554</v>
      </c>
      <c r="D591" s="3" t="s">
        <v>233</v>
      </c>
      <c r="E591" s="3" t="s">
        <v>31</v>
      </c>
      <c r="F591" s="3" t="s">
        <v>32</v>
      </c>
      <c r="G591" s="4" t="s">
        <v>106</v>
      </c>
      <c r="H591" s="4">
        <v>0</v>
      </c>
      <c r="I591" s="5">
        <v>0.20114583333333333</v>
      </c>
      <c r="J591" s="5">
        <v>0</v>
      </c>
      <c r="K591" s="5">
        <f t="shared" si="18"/>
        <v>0</v>
      </c>
      <c r="L591" s="5">
        <v>0.2008912037037037</v>
      </c>
      <c r="M591" s="6">
        <f t="shared" si="19"/>
        <v>0.99873410437884802</v>
      </c>
      <c r="N591" s="5"/>
      <c r="O591" s="5"/>
      <c r="P591" s="5"/>
      <c r="Q591" s="5"/>
      <c r="R591" s="5"/>
      <c r="S591" s="5">
        <v>1.2673611111111111E-2</v>
      </c>
      <c r="T591" s="5">
        <v>2.7777777777777778E-4</v>
      </c>
      <c r="U591" s="5"/>
      <c r="V591" s="5"/>
      <c r="W591" s="5">
        <v>0.18793981481481481</v>
      </c>
    </row>
    <row r="592" spans="1:23" x14ac:dyDescent="0.25">
      <c r="A592" s="2">
        <v>46241</v>
      </c>
      <c r="B592" s="3" t="s">
        <v>661</v>
      </c>
      <c r="C592" s="3" t="s">
        <v>662</v>
      </c>
      <c r="D592" s="3" t="s">
        <v>100</v>
      </c>
      <c r="E592" s="3" t="s">
        <v>31</v>
      </c>
      <c r="F592" s="3" t="s">
        <v>32</v>
      </c>
      <c r="G592" s="4" t="s">
        <v>33</v>
      </c>
      <c r="H592" s="4">
        <v>33</v>
      </c>
      <c r="I592" s="5">
        <v>0.25923611111111111</v>
      </c>
      <c r="J592" s="5">
        <v>0.14612268518518517</v>
      </c>
      <c r="K592" s="5">
        <f t="shared" si="18"/>
        <v>4.4279601571268236E-3</v>
      </c>
      <c r="L592" s="5">
        <v>4.5520833333333337E-2</v>
      </c>
      <c r="M592" s="6">
        <f t="shared" si="19"/>
        <v>0.17559603536030005</v>
      </c>
      <c r="N592" s="5">
        <v>3.7847222222222223E-3</v>
      </c>
      <c r="O592" s="5">
        <v>2.0081018518518519E-2</v>
      </c>
      <c r="P592" s="5"/>
      <c r="Q592" s="5"/>
      <c r="R592" s="5">
        <v>9.2592592592592588E-5</v>
      </c>
      <c r="S592" s="5">
        <v>1.443287037037037E-2</v>
      </c>
      <c r="T592" s="5">
        <v>8.564814814814815E-4</v>
      </c>
      <c r="U592" s="5">
        <v>4.3981481481481484E-3</v>
      </c>
      <c r="V592" s="5"/>
      <c r="W592" s="5">
        <v>1.7939814814814815E-3</v>
      </c>
    </row>
    <row r="593" spans="1:23" x14ac:dyDescent="0.25">
      <c r="A593" s="2">
        <v>46241</v>
      </c>
      <c r="B593" s="3" t="s">
        <v>663</v>
      </c>
      <c r="C593" s="3" t="s">
        <v>664</v>
      </c>
      <c r="D593" s="3" t="s">
        <v>233</v>
      </c>
      <c r="E593" s="3" t="s">
        <v>31</v>
      </c>
      <c r="F593" s="3" t="s">
        <v>32</v>
      </c>
      <c r="G593" s="4" t="s">
        <v>106</v>
      </c>
      <c r="H593" s="4">
        <v>6</v>
      </c>
      <c r="I593" s="5">
        <v>8.5370370370370374E-2</v>
      </c>
      <c r="J593" s="5">
        <v>4.6203703703703705E-2</v>
      </c>
      <c r="K593" s="5">
        <f t="shared" si="18"/>
        <v>7.7006172839506172E-3</v>
      </c>
      <c r="L593" s="5">
        <v>1.4907407407407407E-2</v>
      </c>
      <c r="M593" s="6">
        <f t="shared" si="19"/>
        <v>0.17462039045553143</v>
      </c>
      <c r="N593" s="5">
        <v>3.0092592592592595E-4</v>
      </c>
      <c r="O593" s="5"/>
      <c r="P593" s="5"/>
      <c r="Q593" s="5"/>
      <c r="R593" s="5"/>
      <c r="S593" s="5"/>
      <c r="T593" s="5">
        <v>1.3159722222222222E-2</v>
      </c>
      <c r="U593" s="5">
        <v>1.4467592592592592E-3</v>
      </c>
      <c r="V593" s="5"/>
      <c r="W593" s="5"/>
    </row>
    <row r="594" spans="1:23" x14ac:dyDescent="0.25">
      <c r="A594" s="2">
        <v>46241</v>
      </c>
      <c r="B594" s="3" t="s">
        <v>203</v>
      </c>
      <c r="C594" s="3" t="s">
        <v>565</v>
      </c>
      <c r="D594" s="3" t="s">
        <v>601</v>
      </c>
      <c r="E594" s="3" t="s">
        <v>31</v>
      </c>
      <c r="F594" s="3" t="s">
        <v>105</v>
      </c>
      <c r="G594" s="4" t="s">
        <v>33</v>
      </c>
      <c r="H594" s="4">
        <v>4</v>
      </c>
      <c r="I594" s="5">
        <v>0.18892361111111111</v>
      </c>
      <c r="J594" s="5">
        <v>6.8530092592592587E-2</v>
      </c>
      <c r="K594" s="5">
        <f t="shared" si="18"/>
        <v>1.7132523148148147E-2</v>
      </c>
      <c r="L594" s="5">
        <v>0.16268518518518518</v>
      </c>
      <c r="M594" s="6">
        <f t="shared" si="19"/>
        <v>0.86111621638179259</v>
      </c>
      <c r="N594" s="5">
        <v>1.5069444444444444E-2</v>
      </c>
      <c r="O594" s="5">
        <v>1.7708333333333333E-2</v>
      </c>
      <c r="P594" s="5"/>
      <c r="Q594" s="5"/>
      <c r="R594" s="5"/>
      <c r="S594" s="5">
        <v>9.1319444444444443E-3</v>
      </c>
      <c r="T594" s="5">
        <v>6.018518518518519E-4</v>
      </c>
      <c r="U594" s="5">
        <v>0.12017361111111111</v>
      </c>
      <c r="V594" s="5"/>
      <c r="W594" s="5"/>
    </row>
    <row r="595" spans="1:23" x14ac:dyDescent="0.25">
      <c r="A595" s="2">
        <v>46241</v>
      </c>
      <c r="B595" s="3" t="s">
        <v>665</v>
      </c>
      <c r="C595" s="3" t="s">
        <v>666</v>
      </c>
      <c r="D595" s="3" t="s">
        <v>100</v>
      </c>
      <c r="E595" s="3" t="s">
        <v>31</v>
      </c>
      <c r="F595" s="3" t="s">
        <v>32</v>
      </c>
      <c r="G595" s="4" t="s">
        <v>33</v>
      </c>
      <c r="H595" s="4">
        <v>33</v>
      </c>
      <c r="I595" s="5">
        <v>0.24976851851851853</v>
      </c>
      <c r="J595" s="5">
        <v>0.17792824074074073</v>
      </c>
      <c r="K595" s="5">
        <f t="shared" si="18"/>
        <v>5.3917648709315372E-3</v>
      </c>
      <c r="L595" s="5">
        <v>3.215277777777778E-2</v>
      </c>
      <c r="M595" s="6">
        <f t="shared" si="19"/>
        <v>0.12873030583873957</v>
      </c>
      <c r="N595" s="5">
        <v>1.6319444444444445E-3</v>
      </c>
      <c r="O595" s="5">
        <v>7.2222222222222219E-3</v>
      </c>
      <c r="P595" s="5"/>
      <c r="Q595" s="5"/>
      <c r="R595" s="5"/>
      <c r="S595" s="5">
        <v>1.3912037037037037E-2</v>
      </c>
      <c r="T595" s="5">
        <v>7.8356481481481489E-3</v>
      </c>
      <c r="U595" s="5">
        <v>1.5046296296296296E-3</v>
      </c>
      <c r="V595" s="5"/>
      <c r="W595" s="5"/>
    </row>
    <row r="596" spans="1:23" x14ac:dyDescent="0.25">
      <c r="A596" s="2">
        <v>46241</v>
      </c>
      <c r="B596" s="3" t="s">
        <v>264</v>
      </c>
      <c r="C596" s="3" t="s">
        <v>530</v>
      </c>
      <c r="D596" s="3" t="s">
        <v>78</v>
      </c>
      <c r="E596" s="3" t="s">
        <v>79</v>
      </c>
      <c r="F596" s="3" t="s">
        <v>80</v>
      </c>
      <c r="G596" s="4" t="s">
        <v>106</v>
      </c>
      <c r="H596" s="4">
        <v>0</v>
      </c>
      <c r="I596" s="5">
        <v>0</v>
      </c>
      <c r="J596" s="5">
        <v>0</v>
      </c>
      <c r="K596" s="5">
        <f t="shared" si="18"/>
        <v>0</v>
      </c>
      <c r="L596" s="5">
        <v>0.43365740740740738</v>
      </c>
      <c r="M596" s="6">
        <f t="shared" si="19"/>
        <v>0</v>
      </c>
      <c r="N596" s="5"/>
      <c r="O596" s="5"/>
      <c r="P596" s="5"/>
      <c r="Q596" s="5"/>
      <c r="R596" s="5"/>
      <c r="S596" s="5"/>
      <c r="T596" s="5">
        <v>6.9444444444444444E-5</v>
      </c>
      <c r="U596" s="5">
        <v>0.43357638888888889</v>
      </c>
      <c r="V596" s="5"/>
      <c r="W596" s="5"/>
    </row>
    <row r="597" spans="1:23" x14ac:dyDescent="0.25">
      <c r="A597" s="2">
        <v>46241</v>
      </c>
      <c r="B597" s="3" t="s">
        <v>128</v>
      </c>
      <c r="C597" s="3" t="s">
        <v>555</v>
      </c>
      <c r="D597" s="3" t="s">
        <v>233</v>
      </c>
      <c r="E597" s="3" t="s">
        <v>31</v>
      </c>
      <c r="F597" s="3" t="s">
        <v>32</v>
      </c>
      <c r="G597" s="4" t="s">
        <v>106</v>
      </c>
      <c r="H597" s="4">
        <v>29</v>
      </c>
      <c r="I597" s="5">
        <v>0.24497685185185186</v>
      </c>
      <c r="J597" s="5">
        <v>0.14840277777777777</v>
      </c>
      <c r="K597" s="5">
        <f t="shared" si="18"/>
        <v>5.1173371647509572E-3</v>
      </c>
      <c r="L597" s="5">
        <v>6.582175925925926E-2</v>
      </c>
      <c r="M597" s="6">
        <f t="shared" si="19"/>
        <v>0.26868562789379191</v>
      </c>
      <c r="N597" s="5">
        <v>1.7627314814814814E-2</v>
      </c>
      <c r="O597" s="5">
        <v>1.712962962962963E-2</v>
      </c>
      <c r="P597" s="5"/>
      <c r="Q597" s="5"/>
      <c r="R597" s="5"/>
      <c r="S597" s="5">
        <v>1.7974537037037035E-2</v>
      </c>
      <c r="T597" s="5">
        <v>1.2476851851851852E-2</v>
      </c>
      <c r="U597" s="5">
        <v>5.9027777777777778E-4</v>
      </c>
      <c r="V597" s="5"/>
      <c r="W597" s="5"/>
    </row>
    <row r="598" spans="1:23" x14ac:dyDescent="0.25">
      <c r="A598" s="2">
        <v>46241</v>
      </c>
      <c r="B598" s="3" t="s">
        <v>178</v>
      </c>
      <c r="C598" s="3" t="s">
        <v>522</v>
      </c>
      <c r="D598" s="3" t="s">
        <v>146</v>
      </c>
      <c r="E598" s="3" t="s">
        <v>79</v>
      </c>
      <c r="F598" s="3" t="s">
        <v>147</v>
      </c>
      <c r="G598" s="4" t="s">
        <v>106</v>
      </c>
      <c r="H598" s="4">
        <v>13</v>
      </c>
      <c r="I598" s="5">
        <v>0.26483796296296297</v>
      </c>
      <c r="J598" s="5">
        <v>7.6689814814814808E-2</v>
      </c>
      <c r="K598" s="5">
        <f t="shared" si="18"/>
        <v>5.899216524216524E-3</v>
      </c>
      <c r="L598" s="5">
        <v>4.0937500000000002E-2</v>
      </c>
      <c r="M598" s="6">
        <f t="shared" si="19"/>
        <v>0.15457564898173237</v>
      </c>
      <c r="N598" s="5">
        <v>3.0439814814814813E-3</v>
      </c>
      <c r="O598" s="5">
        <v>1.5393518518518518E-2</v>
      </c>
      <c r="P598" s="5">
        <v>6.8171296296296296E-3</v>
      </c>
      <c r="Q598" s="5"/>
      <c r="R598" s="5"/>
      <c r="S598" s="5">
        <v>1.5266203703703704E-2</v>
      </c>
      <c r="T598" s="5">
        <v>1.1574074074074075E-4</v>
      </c>
      <c r="U598" s="5">
        <v>2.8935185185185184E-4</v>
      </c>
      <c r="V598" s="5"/>
      <c r="W598" s="5"/>
    </row>
    <row r="599" spans="1:23" x14ac:dyDescent="0.25">
      <c r="A599" s="2">
        <v>46241</v>
      </c>
      <c r="B599" s="3" t="s">
        <v>266</v>
      </c>
      <c r="C599" s="3" t="s">
        <v>531</v>
      </c>
      <c r="D599" s="3" t="s">
        <v>233</v>
      </c>
      <c r="E599" s="3" t="s">
        <v>31</v>
      </c>
      <c r="F599" s="3" t="s">
        <v>32</v>
      </c>
      <c r="G599" s="4" t="s">
        <v>106</v>
      </c>
      <c r="H599" s="4">
        <v>3</v>
      </c>
      <c r="I599" s="5">
        <v>0.2479976851851852</v>
      </c>
      <c r="J599" s="5">
        <v>3.9398148148148147E-2</v>
      </c>
      <c r="K599" s="5">
        <f t="shared" si="18"/>
        <v>1.3132716049382716E-2</v>
      </c>
      <c r="L599" s="5">
        <v>0.22172453703703704</v>
      </c>
      <c r="M599" s="6">
        <f t="shared" si="19"/>
        <v>0.89405889765249447</v>
      </c>
      <c r="N599" s="5"/>
      <c r="O599" s="5">
        <v>1.2638888888888889E-2</v>
      </c>
      <c r="P599" s="5"/>
      <c r="Q599" s="5"/>
      <c r="R599" s="5"/>
      <c r="S599" s="5">
        <v>1.3541666666666667E-2</v>
      </c>
      <c r="T599" s="5">
        <v>4.0509259259259258E-4</v>
      </c>
      <c r="U599" s="5">
        <v>8.1018518518518516E-5</v>
      </c>
      <c r="V599" s="5"/>
      <c r="W599" s="5">
        <v>0.19505787037037037</v>
      </c>
    </row>
    <row r="600" spans="1:23" x14ac:dyDescent="0.25">
      <c r="A600" s="2">
        <v>46241</v>
      </c>
      <c r="B600" s="3" t="s">
        <v>297</v>
      </c>
      <c r="C600" s="3" t="s">
        <v>667</v>
      </c>
      <c r="D600" s="3" t="s">
        <v>104</v>
      </c>
      <c r="E600" s="3" t="s">
        <v>31</v>
      </c>
      <c r="F600" s="3" t="s">
        <v>105</v>
      </c>
      <c r="G600" s="4" t="s">
        <v>106</v>
      </c>
      <c r="H600" s="4">
        <v>15</v>
      </c>
      <c r="I600" s="5">
        <v>0.23950231481481482</v>
      </c>
      <c r="J600" s="5">
        <v>0.18747685185185184</v>
      </c>
      <c r="K600" s="5">
        <f t="shared" si="18"/>
        <v>1.2498456790123456E-2</v>
      </c>
      <c r="L600" s="5">
        <v>0.10223379629629629</v>
      </c>
      <c r="M600" s="6">
        <f t="shared" si="19"/>
        <v>0.42685932440922048</v>
      </c>
      <c r="N600" s="5">
        <v>2.8055555555555556E-2</v>
      </c>
      <c r="O600" s="5">
        <v>1.7997685185185186E-2</v>
      </c>
      <c r="P600" s="5"/>
      <c r="Q600" s="5"/>
      <c r="R600" s="5"/>
      <c r="S600" s="5">
        <v>1.3298611111111112E-2</v>
      </c>
      <c r="T600" s="5">
        <v>7.1759259259259259E-4</v>
      </c>
      <c r="U600" s="5">
        <v>5.3240740740740744E-4</v>
      </c>
      <c r="V600" s="5"/>
      <c r="W600" s="5">
        <v>4.1631944444444444E-2</v>
      </c>
    </row>
    <row r="601" spans="1:23" x14ac:dyDescent="0.25">
      <c r="A601" s="2">
        <v>46241</v>
      </c>
      <c r="B601" s="3" t="s">
        <v>207</v>
      </c>
      <c r="C601" s="3" t="s">
        <v>566</v>
      </c>
      <c r="D601" s="3" t="s">
        <v>274</v>
      </c>
      <c r="E601" s="3" t="s">
        <v>79</v>
      </c>
      <c r="F601" s="3" t="s">
        <v>147</v>
      </c>
      <c r="G601" s="4" t="s">
        <v>33</v>
      </c>
      <c r="H601" s="4">
        <v>17</v>
      </c>
      <c r="I601" s="5">
        <v>0.25888888888888889</v>
      </c>
      <c r="J601" s="5">
        <v>7.2442129629629634E-2</v>
      </c>
      <c r="K601" s="5">
        <f t="shared" si="18"/>
        <v>4.2613017429193904E-3</v>
      </c>
      <c r="L601" s="5">
        <v>3.6828703703703704E-2</v>
      </c>
      <c r="M601" s="6">
        <f t="shared" si="19"/>
        <v>0.14225679542203148</v>
      </c>
      <c r="N601" s="5">
        <v>6.0416666666666665E-3</v>
      </c>
      <c r="O601" s="5">
        <v>1.5358796296296296E-2</v>
      </c>
      <c r="P601" s="5"/>
      <c r="Q601" s="5"/>
      <c r="R601" s="5"/>
      <c r="S601" s="5">
        <v>1.3368055555555555E-2</v>
      </c>
      <c r="T601" s="5">
        <v>1.273148148148148E-4</v>
      </c>
      <c r="U601" s="5">
        <v>1.8865740740740742E-3</v>
      </c>
      <c r="V601" s="5"/>
      <c r="W601" s="5"/>
    </row>
    <row r="602" spans="1:23" x14ac:dyDescent="0.25">
      <c r="A602" s="2">
        <v>46241</v>
      </c>
      <c r="B602" s="3" t="s">
        <v>614</v>
      </c>
      <c r="C602" s="3" t="s">
        <v>635</v>
      </c>
      <c r="D602" s="3" t="s">
        <v>601</v>
      </c>
      <c r="E602" s="3" t="s">
        <v>31</v>
      </c>
      <c r="F602" s="3" t="s">
        <v>105</v>
      </c>
      <c r="G602" s="4" t="s">
        <v>33</v>
      </c>
      <c r="H602" s="4">
        <v>4</v>
      </c>
      <c r="I602" s="5">
        <v>0.21476851851851853</v>
      </c>
      <c r="J602" s="5">
        <v>9.6516203703703701E-2</v>
      </c>
      <c r="K602" s="5">
        <f t="shared" si="18"/>
        <v>2.4129050925925925E-2</v>
      </c>
      <c r="L602" s="5">
        <v>0.16800925925925925</v>
      </c>
      <c r="M602" s="6">
        <f t="shared" si="19"/>
        <v>0.78228066393619311</v>
      </c>
      <c r="N602" s="5">
        <v>3.3032407407407406E-2</v>
      </c>
      <c r="O602" s="5">
        <v>1.4409722222222223E-2</v>
      </c>
      <c r="P602" s="5"/>
      <c r="Q602" s="5"/>
      <c r="R602" s="5"/>
      <c r="S602" s="5">
        <v>1.6111111111111111E-2</v>
      </c>
      <c r="T602" s="5">
        <v>1.4479166666666666E-2</v>
      </c>
      <c r="U602" s="5">
        <v>5.3182870370370373E-2</v>
      </c>
      <c r="V602" s="5"/>
      <c r="W602" s="5">
        <v>3.6793981481481483E-2</v>
      </c>
    </row>
    <row r="603" spans="1:23" x14ac:dyDescent="0.25">
      <c r="A603" s="2">
        <v>46241</v>
      </c>
      <c r="B603" s="3" t="s">
        <v>96</v>
      </c>
      <c r="C603" s="3" t="s">
        <v>97</v>
      </c>
      <c r="D603" s="3" t="s">
        <v>78</v>
      </c>
      <c r="E603" s="3" t="s">
        <v>79</v>
      </c>
      <c r="F603" s="3" t="s">
        <v>80</v>
      </c>
      <c r="G603" s="4" t="s">
        <v>81</v>
      </c>
      <c r="H603" s="4">
        <v>0</v>
      </c>
      <c r="I603" s="5">
        <v>0.35491898148148149</v>
      </c>
      <c r="J603" s="5">
        <v>0</v>
      </c>
      <c r="K603" s="5">
        <f t="shared" si="18"/>
        <v>0</v>
      </c>
      <c r="L603" s="5">
        <v>6.9814814814814816E-2</v>
      </c>
      <c r="M603" s="6">
        <f t="shared" si="19"/>
        <v>0.19670634273601825</v>
      </c>
      <c r="N603" s="5">
        <v>1.5543981481481482E-2</v>
      </c>
      <c r="O603" s="5">
        <v>4.2245370370370371E-2</v>
      </c>
      <c r="P603" s="5"/>
      <c r="Q603" s="5"/>
      <c r="R603" s="5"/>
      <c r="S603" s="5">
        <v>1.1226851851851852E-2</v>
      </c>
      <c r="T603" s="5">
        <v>5.7870370370370373E-5</v>
      </c>
      <c r="U603" s="5">
        <v>7.1759259259259259E-4</v>
      </c>
      <c r="V603" s="5"/>
      <c r="W603" s="5"/>
    </row>
    <row r="604" spans="1:23" x14ac:dyDescent="0.25">
      <c r="A604" s="2">
        <v>46241</v>
      </c>
      <c r="B604" s="3" t="s">
        <v>180</v>
      </c>
      <c r="C604" s="3" t="s">
        <v>523</v>
      </c>
      <c r="D604" s="3" t="s">
        <v>146</v>
      </c>
      <c r="E604" s="3" t="s">
        <v>79</v>
      </c>
      <c r="F604" s="3" t="s">
        <v>147</v>
      </c>
      <c r="G604" s="4" t="s">
        <v>106</v>
      </c>
      <c r="H604" s="4">
        <v>16</v>
      </c>
      <c r="I604" s="5">
        <v>0.26980324074074075</v>
      </c>
      <c r="J604" s="5">
        <v>6.6284722222222217E-2</v>
      </c>
      <c r="K604" s="5">
        <f t="shared" si="18"/>
        <v>4.1427951388888886E-3</v>
      </c>
      <c r="L604" s="5">
        <v>2.8402777777777777E-2</v>
      </c>
      <c r="M604" s="6">
        <f t="shared" si="19"/>
        <v>0.1052721890952769</v>
      </c>
      <c r="N604" s="5">
        <v>4.3750000000000004E-3</v>
      </c>
      <c r="O604" s="5">
        <v>7.3726851851851852E-3</v>
      </c>
      <c r="P604" s="5"/>
      <c r="Q604" s="5"/>
      <c r="R604" s="5"/>
      <c r="S604" s="5">
        <v>1.457175925925926E-2</v>
      </c>
      <c r="T604" s="5">
        <v>6.9444444444444444E-5</v>
      </c>
      <c r="U604" s="5">
        <v>1.9328703703703704E-3</v>
      </c>
      <c r="V604" s="5"/>
      <c r="W604" s="5"/>
    </row>
    <row r="605" spans="1:23" x14ac:dyDescent="0.25">
      <c r="A605" s="2">
        <v>46241</v>
      </c>
      <c r="B605" s="3" t="s">
        <v>615</v>
      </c>
      <c r="C605" s="3" t="s">
        <v>636</v>
      </c>
      <c r="D605" s="3" t="s">
        <v>601</v>
      </c>
      <c r="E605" s="3" t="s">
        <v>31</v>
      </c>
      <c r="F605" s="3" t="s">
        <v>105</v>
      </c>
      <c r="G605" s="4" t="s">
        <v>33</v>
      </c>
      <c r="H605" s="4">
        <v>1</v>
      </c>
      <c r="I605" s="5">
        <v>0.21311342592592591</v>
      </c>
      <c r="J605" s="5">
        <v>2.7291666666666665E-2</v>
      </c>
      <c r="K605" s="5">
        <f t="shared" si="18"/>
        <v>2.7291666666666665E-2</v>
      </c>
      <c r="L605" s="5">
        <v>0.2053587962962963</v>
      </c>
      <c r="M605" s="6">
        <f t="shared" si="19"/>
        <v>0.96361266496497044</v>
      </c>
      <c r="N605" s="5">
        <v>4.386574074074074E-3</v>
      </c>
      <c r="O605" s="5">
        <v>6.5046296296296293E-3</v>
      </c>
      <c r="P605" s="5"/>
      <c r="Q605" s="5"/>
      <c r="R605" s="5"/>
      <c r="S605" s="5">
        <v>9.3518518518518525E-3</v>
      </c>
      <c r="T605" s="5">
        <v>1.1111111111111111E-3</v>
      </c>
      <c r="U605" s="5">
        <v>0.1786574074074074</v>
      </c>
      <c r="V605" s="5"/>
      <c r="W605" s="5">
        <v>5.347222222222222E-3</v>
      </c>
    </row>
    <row r="606" spans="1:23" x14ac:dyDescent="0.25">
      <c r="A606" s="2">
        <v>46241</v>
      </c>
      <c r="B606" s="3" t="s">
        <v>616</v>
      </c>
      <c r="C606" s="3" t="s">
        <v>637</v>
      </c>
      <c r="D606" s="3" t="s">
        <v>601</v>
      </c>
      <c r="E606" s="3" t="s">
        <v>31</v>
      </c>
      <c r="F606" s="3" t="s">
        <v>105</v>
      </c>
      <c r="G606" s="4" t="s">
        <v>33</v>
      </c>
      <c r="H606" s="4">
        <v>4</v>
      </c>
      <c r="I606" s="5">
        <v>0.20515046296296297</v>
      </c>
      <c r="J606" s="5">
        <v>9.0300925925925923E-2</v>
      </c>
      <c r="K606" s="5">
        <f t="shared" si="18"/>
        <v>2.2575231481481481E-2</v>
      </c>
      <c r="L606" s="5">
        <v>0.16760416666666667</v>
      </c>
      <c r="M606" s="6">
        <f t="shared" si="19"/>
        <v>0.81698166431593788</v>
      </c>
      <c r="N606" s="5">
        <v>2.8703703703703703E-3</v>
      </c>
      <c r="O606" s="5">
        <v>1.3518518518518518E-2</v>
      </c>
      <c r="P606" s="5"/>
      <c r="Q606" s="5"/>
      <c r="R606" s="5"/>
      <c r="S606" s="5">
        <v>1.4155092592592592E-2</v>
      </c>
      <c r="T606" s="5">
        <v>7.6388888888888893E-4</v>
      </c>
      <c r="U606" s="5">
        <v>0.1362962962962963</v>
      </c>
      <c r="V606" s="5"/>
      <c r="W606" s="5"/>
    </row>
    <row r="607" spans="1:23" x14ac:dyDescent="0.25">
      <c r="A607" s="2">
        <v>46241</v>
      </c>
      <c r="B607" s="3" t="s">
        <v>209</v>
      </c>
      <c r="C607" s="3" t="s">
        <v>567</v>
      </c>
      <c r="D607" s="3" t="s">
        <v>601</v>
      </c>
      <c r="E607" s="3" t="s">
        <v>31</v>
      </c>
      <c r="F607" s="3" t="s">
        <v>105</v>
      </c>
      <c r="G607" s="4" t="s">
        <v>33</v>
      </c>
      <c r="H607" s="4">
        <v>3</v>
      </c>
      <c r="I607" s="5">
        <v>0.16893518518518519</v>
      </c>
      <c r="J607" s="5">
        <v>3.2962962962962965E-2</v>
      </c>
      <c r="K607" s="5">
        <f t="shared" si="18"/>
        <v>1.0987654320987654E-2</v>
      </c>
      <c r="L607" s="5">
        <v>0.15989583333333332</v>
      </c>
      <c r="M607" s="6">
        <f t="shared" si="19"/>
        <v>0.94649218964099746</v>
      </c>
      <c r="N607" s="5">
        <v>2.7777777777777779E-3</v>
      </c>
      <c r="O607" s="5">
        <v>7.1875000000000003E-3</v>
      </c>
      <c r="P607" s="5"/>
      <c r="Q607" s="5"/>
      <c r="R607" s="5"/>
      <c r="S607" s="5">
        <v>1.4143518518518519E-2</v>
      </c>
      <c r="T607" s="5">
        <v>4.3981481481481484E-3</v>
      </c>
      <c r="U607" s="5">
        <v>0.10766203703703704</v>
      </c>
      <c r="V607" s="5"/>
      <c r="W607" s="5">
        <v>2.3726851851851853E-2</v>
      </c>
    </row>
    <row r="608" spans="1:23" x14ac:dyDescent="0.25">
      <c r="A608" s="2">
        <v>46241</v>
      </c>
      <c r="B608" s="3" t="s">
        <v>60</v>
      </c>
      <c r="C608" s="3" t="s">
        <v>510</v>
      </c>
      <c r="D608" s="3" t="s">
        <v>100</v>
      </c>
      <c r="E608" s="3" t="s">
        <v>31</v>
      </c>
      <c r="F608" s="3" t="s">
        <v>32</v>
      </c>
      <c r="G608" s="4" t="s">
        <v>33</v>
      </c>
      <c r="H608" s="4">
        <v>32</v>
      </c>
      <c r="I608" s="5">
        <v>0.26280092592592591</v>
      </c>
      <c r="J608" s="5">
        <v>0.17344907407407406</v>
      </c>
      <c r="K608" s="5">
        <f t="shared" si="18"/>
        <v>5.4202835648148144E-3</v>
      </c>
      <c r="L608" s="5">
        <v>4.0949074074074075E-2</v>
      </c>
      <c r="M608" s="6">
        <f t="shared" si="19"/>
        <v>0.1558178455033912</v>
      </c>
      <c r="N608" s="5">
        <v>4.6180555555555558E-3</v>
      </c>
      <c r="O608" s="5">
        <v>1.361111111111111E-2</v>
      </c>
      <c r="P608" s="5"/>
      <c r="Q608" s="5"/>
      <c r="R608" s="5"/>
      <c r="S608" s="5">
        <v>1.4317129629629629E-2</v>
      </c>
      <c r="T608" s="5">
        <v>8.2175925925925927E-4</v>
      </c>
      <c r="U608" s="5">
        <v>1.736111111111111E-3</v>
      </c>
      <c r="V608" s="5"/>
      <c r="W608" s="5">
        <v>5.7638888888888887E-3</v>
      </c>
    </row>
    <row r="609" spans="1:23" x14ac:dyDescent="0.25">
      <c r="A609" s="2">
        <v>46241</v>
      </c>
      <c r="B609" s="3" t="s">
        <v>132</v>
      </c>
      <c r="C609" s="3" t="s">
        <v>512</v>
      </c>
      <c r="D609" s="3" t="s">
        <v>104</v>
      </c>
      <c r="E609" s="3" t="s">
        <v>31</v>
      </c>
      <c r="F609" s="3" t="s">
        <v>105</v>
      </c>
      <c r="G609" s="4" t="s">
        <v>106</v>
      </c>
      <c r="H609" s="4">
        <v>10</v>
      </c>
      <c r="I609" s="5">
        <v>0.24783564814814815</v>
      </c>
      <c r="J609" s="5">
        <v>0.16641203703703702</v>
      </c>
      <c r="K609" s="5">
        <f t="shared" si="18"/>
        <v>1.6641203703703703E-2</v>
      </c>
      <c r="L609" s="5">
        <v>9.6944444444444444E-2</v>
      </c>
      <c r="M609" s="6">
        <f t="shared" si="19"/>
        <v>0.39116424601877364</v>
      </c>
      <c r="N609" s="5">
        <v>1.5509259259259259E-3</v>
      </c>
      <c r="O609" s="5">
        <v>1.8090277777777778E-2</v>
      </c>
      <c r="P609" s="5"/>
      <c r="Q609" s="5"/>
      <c r="R609" s="5"/>
      <c r="S609" s="5">
        <v>1.3923611111111111E-2</v>
      </c>
      <c r="T609" s="5">
        <v>6.9444444444444444E-5</v>
      </c>
      <c r="U609" s="5">
        <v>1.525462962962963E-2</v>
      </c>
      <c r="V609" s="5"/>
      <c r="W609" s="5">
        <v>4.8055555555555553E-2</v>
      </c>
    </row>
    <row r="610" spans="1:23" x14ac:dyDescent="0.25">
      <c r="A610" s="2">
        <v>46241</v>
      </c>
      <c r="B610" s="3" t="s">
        <v>134</v>
      </c>
      <c r="C610" s="3" t="s">
        <v>560</v>
      </c>
      <c r="D610" s="3" t="s">
        <v>104</v>
      </c>
      <c r="E610" s="3" t="s">
        <v>31</v>
      </c>
      <c r="F610" s="3" t="s">
        <v>105</v>
      </c>
      <c r="G610" s="4" t="s">
        <v>106</v>
      </c>
      <c r="H610" s="4">
        <v>15</v>
      </c>
      <c r="I610" s="5">
        <v>0.26369212962962962</v>
      </c>
      <c r="J610" s="5">
        <v>0.23128472222222221</v>
      </c>
      <c r="K610" s="5">
        <f t="shared" si="18"/>
        <v>1.5418981481481481E-2</v>
      </c>
      <c r="L610" s="5">
        <v>7.3032407407407407E-2</v>
      </c>
      <c r="M610" s="6">
        <f t="shared" si="19"/>
        <v>0.27696089189307815</v>
      </c>
      <c r="N610" s="5">
        <v>2.8472222222222223E-3</v>
      </c>
      <c r="O610" s="5">
        <v>5.9490740740740745E-3</v>
      </c>
      <c r="P610" s="5">
        <v>4.6296296296296294E-5</v>
      </c>
      <c r="Q610" s="5"/>
      <c r="R610" s="5"/>
      <c r="S610" s="5">
        <v>1.667824074074074E-2</v>
      </c>
      <c r="T610" s="5">
        <v>9.780092592592592E-3</v>
      </c>
      <c r="U610" s="5">
        <v>9.479166666666667E-3</v>
      </c>
      <c r="V610" s="5"/>
      <c r="W610" s="5">
        <v>2.824074074074074E-2</v>
      </c>
    </row>
    <row r="611" spans="1:23" x14ac:dyDescent="0.25">
      <c r="A611" s="2">
        <v>46241</v>
      </c>
      <c r="B611" s="3" t="s">
        <v>211</v>
      </c>
      <c r="C611" s="3" t="s">
        <v>546</v>
      </c>
      <c r="D611" s="3" t="s">
        <v>104</v>
      </c>
      <c r="E611" s="3" t="s">
        <v>31</v>
      </c>
      <c r="F611" s="3" t="s">
        <v>105</v>
      </c>
      <c r="G611" s="4" t="s">
        <v>106</v>
      </c>
      <c r="H611" s="4">
        <v>11</v>
      </c>
      <c r="I611" s="5">
        <v>0.23671296296296296</v>
      </c>
      <c r="J611" s="5">
        <v>0.21090277777777777</v>
      </c>
      <c r="K611" s="5">
        <f t="shared" si="18"/>
        <v>1.9172979797979797E-2</v>
      </c>
      <c r="L611" s="5">
        <v>5.4872685185185184E-2</v>
      </c>
      <c r="M611" s="6">
        <f t="shared" si="19"/>
        <v>0.23181106982202229</v>
      </c>
      <c r="N611" s="5"/>
      <c r="O611" s="5">
        <v>8.7847222222222215E-3</v>
      </c>
      <c r="P611" s="5">
        <v>9.3055555555555548E-3</v>
      </c>
      <c r="Q611" s="5"/>
      <c r="R611" s="5"/>
      <c r="S611" s="5">
        <v>1.4999999999999999E-2</v>
      </c>
      <c r="T611" s="5">
        <v>1.1574074074074075E-4</v>
      </c>
      <c r="U611" s="5">
        <v>8.5300925925925926E-3</v>
      </c>
      <c r="V611" s="5"/>
      <c r="W611" s="5">
        <v>1.3136574074074075E-2</v>
      </c>
    </row>
    <row r="612" spans="1:23" x14ac:dyDescent="0.25">
      <c r="A612" s="2">
        <v>46241</v>
      </c>
      <c r="B612" s="3" t="s">
        <v>617</v>
      </c>
      <c r="C612" s="3" t="s">
        <v>638</v>
      </c>
      <c r="D612" s="3" t="s">
        <v>601</v>
      </c>
      <c r="E612" s="3" t="s">
        <v>31</v>
      </c>
      <c r="F612" s="3" t="s">
        <v>105</v>
      </c>
      <c r="G612" s="4" t="s">
        <v>33</v>
      </c>
      <c r="H612" s="4">
        <v>2</v>
      </c>
      <c r="I612" s="5">
        <v>0.18886574074074075</v>
      </c>
      <c r="J612" s="5">
        <v>5.3483796296296293E-2</v>
      </c>
      <c r="K612" s="5">
        <f t="shared" si="18"/>
        <v>2.6741898148148147E-2</v>
      </c>
      <c r="L612" s="5">
        <v>0.15534722222222222</v>
      </c>
      <c r="M612" s="6">
        <f t="shared" si="19"/>
        <v>0.82252727049883556</v>
      </c>
      <c r="N612" s="5">
        <v>5.1273148148148146E-3</v>
      </c>
      <c r="O612" s="5">
        <v>1.5185185185185185E-2</v>
      </c>
      <c r="P612" s="5"/>
      <c r="Q612" s="5"/>
      <c r="R612" s="5"/>
      <c r="S612" s="5">
        <v>1.5370370370370371E-2</v>
      </c>
      <c r="T612" s="5">
        <v>2.8703703703703703E-3</v>
      </c>
      <c r="U612" s="5">
        <v>6.2731481481481484E-3</v>
      </c>
      <c r="V612" s="5"/>
      <c r="W612" s="5">
        <v>0.11052083333333333</v>
      </c>
    </row>
    <row r="613" spans="1:23" x14ac:dyDescent="0.25">
      <c r="A613" s="2">
        <v>46241</v>
      </c>
      <c r="B613" s="3" t="s">
        <v>618</v>
      </c>
      <c r="C613" s="3" t="s">
        <v>639</v>
      </c>
      <c r="D613" s="3" t="s">
        <v>601</v>
      </c>
      <c r="E613" s="3" t="s">
        <v>31</v>
      </c>
      <c r="F613" s="3" t="s">
        <v>105</v>
      </c>
      <c r="G613" s="4" t="s">
        <v>33</v>
      </c>
      <c r="H613" s="4">
        <v>1</v>
      </c>
      <c r="I613" s="5">
        <v>0.11753472222222222</v>
      </c>
      <c r="J613" s="5">
        <v>1.7719907407407406E-2</v>
      </c>
      <c r="K613" s="5">
        <f t="shared" si="18"/>
        <v>1.7719907407407406E-2</v>
      </c>
      <c r="L613" s="5">
        <v>0.1072337962962963</v>
      </c>
      <c r="M613" s="6">
        <f t="shared" si="19"/>
        <v>0.91235844411619893</v>
      </c>
      <c r="N613" s="5"/>
      <c r="O613" s="5">
        <v>8.9699074074074073E-3</v>
      </c>
      <c r="P613" s="5"/>
      <c r="Q613" s="5"/>
      <c r="R613" s="5"/>
      <c r="S613" s="5">
        <v>1.5543981481481482E-2</v>
      </c>
      <c r="T613" s="5">
        <v>2.1759259259259258E-3</v>
      </c>
      <c r="U613" s="5">
        <v>4.6354166666666669E-2</v>
      </c>
      <c r="V613" s="5"/>
      <c r="W613" s="5">
        <v>3.4189814814814812E-2</v>
      </c>
    </row>
    <row r="614" spans="1:23" x14ac:dyDescent="0.25">
      <c r="A614" s="2">
        <v>46241</v>
      </c>
      <c r="B614" s="3" t="s">
        <v>501</v>
      </c>
      <c r="C614" s="3" t="s">
        <v>524</v>
      </c>
      <c r="D614" s="3" t="s">
        <v>274</v>
      </c>
      <c r="E614" s="3" t="s">
        <v>79</v>
      </c>
      <c r="F614" s="3" t="s">
        <v>147</v>
      </c>
      <c r="G614" s="4" t="s">
        <v>33</v>
      </c>
      <c r="H614" s="4">
        <v>29</v>
      </c>
      <c r="I614" s="5">
        <v>0.32694444444444443</v>
      </c>
      <c r="J614" s="5">
        <v>7.4652777777777776E-2</v>
      </c>
      <c r="K614" s="5">
        <f t="shared" si="18"/>
        <v>2.5742337164750958E-3</v>
      </c>
      <c r="L614" s="5">
        <v>3.1087962962962963E-2</v>
      </c>
      <c r="M614" s="6">
        <f t="shared" si="19"/>
        <v>9.508637779665817E-2</v>
      </c>
      <c r="N614" s="5">
        <v>1.5393518518518519E-3</v>
      </c>
      <c r="O614" s="5">
        <v>1.3368055555555555E-2</v>
      </c>
      <c r="P614" s="5"/>
      <c r="Q614" s="5"/>
      <c r="R614" s="5"/>
      <c r="S614" s="5">
        <v>1.5787037037037037E-2</v>
      </c>
      <c r="T614" s="5">
        <v>1.273148148148148E-4</v>
      </c>
      <c r="U614" s="5">
        <v>2.5462962962962961E-4</v>
      </c>
      <c r="V614" s="5"/>
      <c r="W614" s="5"/>
    </row>
    <row r="615" spans="1:23" x14ac:dyDescent="0.25">
      <c r="A615" s="2">
        <v>46241</v>
      </c>
      <c r="B615" s="3" t="s">
        <v>213</v>
      </c>
      <c r="C615" s="3" t="s">
        <v>572</v>
      </c>
      <c r="D615" s="3" t="s">
        <v>601</v>
      </c>
      <c r="E615" s="3" t="s">
        <v>31</v>
      </c>
      <c r="F615" s="3" t="s">
        <v>105</v>
      </c>
      <c r="G615" s="4" t="s">
        <v>33</v>
      </c>
      <c r="H615" s="4">
        <v>2</v>
      </c>
      <c r="I615" s="5">
        <v>0.23047453703703705</v>
      </c>
      <c r="J615" s="5">
        <v>2.9756944444444444E-2</v>
      </c>
      <c r="K615" s="5">
        <f t="shared" si="18"/>
        <v>1.4878472222222222E-2</v>
      </c>
      <c r="L615" s="5">
        <v>0.21258101851851852</v>
      </c>
      <c r="M615" s="6">
        <f t="shared" si="19"/>
        <v>0.92236227590016562</v>
      </c>
      <c r="N615" s="5"/>
      <c r="O615" s="5">
        <v>1.6145833333333335E-2</v>
      </c>
      <c r="P615" s="5"/>
      <c r="Q615" s="5"/>
      <c r="R615" s="5"/>
      <c r="S615" s="5">
        <v>1.6157407407407409E-2</v>
      </c>
      <c r="T615" s="5">
        <v>3.2407407407407406E-3</v>
      </c>
      <c r="U615" s="5">
        <v>0.14180555555555555</v>
      </c>
      <c r="V615" s="5"/>
      <c r="W615" s="5">
        <v>3.5231481481481482E-2</v>
      </c>
    </row>
    <row r="616" spans="1:23" x14ac:dyDescent="0.25">
      <c r="A616" s="2">
        <v>46241</v>
      </c>
      <c r="B616" s="3" t="s">
        <v>619</v>
      </c>
      <c r="C616" s="3" t="s">
        <v>640</v>
      </c>
      <c r="D616" s="3" t="s">
        <v>601</v>
      </c>
      <c r="E616" s="3" t="s">
        <v>31</v>
      </c>
      <c r="F616" s="3" t="s">
        <v>105</v>
      </c>
      <c r="G616" s="4" t="s">
        <v>33</v>
      </c>
      <c r="H616" s="4">
        <v>2</v>
      </c>
      <c r="I616" s="5">
        <v>0.23297453703703705</v>
      </c>
      <c r="J616" s="5">
        <v>5.4039351851851852E-2</v>
      </c>
      <c r="K616" s="5">
        <f t="shared" si="18"/>
        <v>2.7019675925925926E-2</v>
      </c>
      <c r="L616" s="5">
        <v>0.20447916666666666</v>
      </c>
      <c r="M616" s="6">
        <f t="shared" si="19"/>
        <v>0.87768890655273479</v>
      </c>
      <c r="N616" s="5">
        <v>1.2314814814814815E-2</v>
      </c>
      <c r="O616" s="5">
        <v>6.2731481481481484E-3</v>
      </c>
      <c r="P616" s="5"/>
      <c r="Q616" s="5"/>
      <c r="R616" s="5"/>
      <c r="S616" s="5">
        <v>9.0856481481481483E-3</v>
      </c>
      <c r="T616" s="5">
        <v>1.8865740740740742E-3</v>
      </c>
      <c r="U616" s="5">
        <v>0.16346064814814815</v>
      </c>
      <c r="V616" s="5"/>
      <c r="W616" s="5">
        <v>1.1458333333333333E-2</v>
      </c>
    </row>
    <row r="617" spans="1:23" x14ac:dyDescent="0.25">
      <c r="A617" s="2">
        <v>46241</v>
      </c>
      <c r="B617" s="3" t="s">
        <v>668</v>
      </c>
      <c r="C617" s="3" t="s">
        <v>669</v>
      </c>
      <c r="D617" s="3" t="s">
        <v>233</v>
      </c>
      <c r="E617" s="3" t="s">
        <v>31</v>
      </c>
      <c r="F617" s="3" t="s">
        <v>32</v>
      </c>
      <c r="G617" s="4" t="s">
        <v>106</v>
      </c>
      <c r="H617" s="4">
        <v>18</v>
      </c>
      <c r="I617" s="5">
        <v>0.21390046296296297</v>
      </c>
      <c r="J617" s="5">
        <v>7.8229166666666669E-2</v>
      </c>
      <c r="K617" s="5">
        <f t="shared" si="18"/>
        <v>4.3460648148148148E-3</v>
      </c>
      <c r="L617" s="5">
        <v>8.729166666666667E-2</v>
      </c>
      <c r="M617" s="6">
        <f t="shared" si="19"/>
        <v>0.40809480006493154</v>
      </c>
      <c r="N617" s="5">
        <v>2.5925925925925925E-3</v>
      </c>
      <c r="O617" s="5">
        <v>1.3402777777777777E-2</v>
      </c>
      <c r="P617" s="5"/>
      <c r="Q617" s="5">
        <v>3.0787037037037037E-3</v>
      </c>
      <c r="R617" s="5"/>
      <c r="S617" s="5">
        <v>1.3645833333333333E-2</v>
      </c>
      <c r="T617" s="5">
        <v>2.3726851851851851E-3</v>
      </c>
      <c r="U617" s="5">
        <v>7.6273148148148151E-3</v>
      </c>
      <c r="V617" s="5"/>
      <c r="W617" s="5">
        <v>4.4560185185185182E-2</v>
      </c>
    </row>
    <row r="618" spans="1:23" x14ac:dyDescent="0.25">
      <c r="A618" s="2">
        <v>46241</v>
      </c>
      <c r="B618" s="3" t="s">
        <v>744</v>
      </c>
      <c r="C618" s="3" t="s">
        <v>670</v>
      </c>
      <c r="D618" s="3" t="s">
        <v>100</v>
      </c>
      <c r="E618" s="3" t="s">
        <v>31</v>
      </c>
      <c r="F618" s="3" t="s">
        <v>32</v>
      </c>
      <c r="G618" s="4" t="s">
        <v>33</v>
      </c>
      <c r="H618" s="4">
        <v>35</v>
      </c>
      <c r="I618" s="5">
        <v>0.26047453703703705</v>
      </c>
      <c r="J618" s="5">
        <v>0.16211805555555556</v>
      </c>
      <c r="K618" s="5">
        <f t="shared" si="18"/>
        <v>4.6319444444444446E-3</v>
      </c>
      <c r="L618" s="5">
        <v>6.3032407407407412E-2</v>
      </c>
      <c r="M618" s="6">
        <f t="shared" si="19"/>
        <v>0.24199066874027994</v>
      </c>
      <c r="N618" s="5">
        <v>2.4618055555555556E-2</v>
      </c>
      <c r="O618" s="5">
        <v>1.3773148148148149E-2</v>
      </c>
      <c r="P618" s="5"/>
      <c r="Q618" s="5"/>
      <c r="R618" s="5"/>
      <c r="S618" s="5">
        <v>1.255787037037037E-2</v>
      </c>
      <c r="T618" s="5">
        <v>7.7546296296296293E-4</v>
      </c>
      <c r="U618" s="5">
        <v>2.0370370370370369E-3</v>
      </c>
      <c r="V618" s="5"/>
      <c r="W618" s="5">
        <v>9.2592592592592587E-3</v>
      </c>
    </row>
    <row r="619" spans="1:23" x14ac:dyDescent="0.25">
      <c r="A619" s="2">
        <v>46241</v>
      </c>
      <c r="B619" s="3" t="s">
        <v>219</v>
      </c>
      <c r="C619" s="3" t="s">
        <v>548</v>
      </c>
      <c r="D619" s="3" t="s">
        <v>104</v>
      </c>
      <c r="E619" s="3" t="s">
        <v>31</v>
      </c>
      <c r="F619" s="3" t="s">
        <v>105</v>
      </c>
      <c r="G619" s="4" t="s">
        <v>106</v>
      </c>
      <c r="H619" s="4">
        <v>12</v>
      </c>
      <c r="I619" s="5">
        <v>0.21935185185185185</v>
      </c>
      <c r="J619" s="5">
        <v>0.1373611111111111</v>
      </c>
      <c r="K619" s="5">
        <f t="shared" si="18"/>
        <v>1.1446759259259259E-2</v>
      </c>
      <c r="L619" s="5">
        <v>7.8935185185185192E-2</v>
      </c>
      <c r="M619" s="6">
        <f t="shared" si="19"/>
        <v>0.35985647952722671</v>
      </c>
      <c r="N619" s="5">
        <v>1.1122685185185185E-2</v>
      </c>
      <c r="O619" s="5">
        <v>2.4895833333333332E-2</v>
      </c>
      <c r="P619" s="5">
        <v>6.6319444444444446E-3</v>
      </c>
      <c r="Q619" s="5"/>
      <c r="R619" s="5"/>
      <c r="S619" s="5">
        <v>1.7418981481481483E-2</v>
      </c>
      <c r="T619" s="5">
        <v>1.2858796296296297E-2</v>
      </c>
      <c r="U619" s="5">
        <v>4.1666666666666669E-4</v>
      </c>
      <c r="V619" s="5"/>
      <c r="W619" s="5">
        <v>1.4467592592592592E-3</v>
      </c>
    </row>
    <row r="620" spans="1:23" x14ac:dyDescent="0.25">
      <c r="A620" s="2">
        <v>46241</v>
      </c>
      <c r="B620" s="3" t="s">
        <v>305</v>
      </c>
      <c r="C620" s="3" t="s">
        <v>306</v>
      </c>
      <c r="D620" s="3" t="s">
        <v>100</v>
      </c>
      <c r="E620" s="3" t="s">
        <v>31</v>
      </c>
      <c r="F620" s="3" t="s">
        <v>32</v>
      </c>
      <c r="G620" s="4" t="s">
        <v>33</v>
      </c>
      <c r="H620" s="4">
        <v>41</v>
      </c>
      <c r="I620" s="5">
        <v>0.2608449074074074</v>
      </c>
      <c r="J620" s="5">
        <v>0.14974537037037036</v>
      </c>
      <c r="K620" s="5">
        <f t="shared" si="18"/>
        <v>3.6523261065943991E-3</v>
      </c>
      <c r="L620" s="5">
        <v>5.3333333333333337E-2</v>
      </c>
      <c r="M620" s="6">
        <f t="shared" si="19"/>
        <v>0.20446377068820165</v>
      </c>
      <c r="N620" s="5">
        <v>1.6006944444444445E-2</v>
      </c>
      <c r="O620" s="5">
        <v>1.4861111111111111E-2</v>
      </c>
      <c r="P620" s="5"/>
      <c r="Q620" s="5">
        <v>1.9907407407407408E-3</v>
      </c>
      <c r="R620" s="5"/>
      <c r="S620" s="5">
        <v>1.5914351851851853E-2</v>
      </c>
      <c r="T620" s="5">
        <v>1.273148148148148E-4</v>
      </c>
      <c r="U620" s="5"/>
      <c r="V620" s="5"/>
      <c r="W620" s="5">
        <v>4.43287037037037E-3</v>
      </c>
    </row>
    <row r="621" spans="1:23" x14ac:dyDescent="0.25">
      <c r="A621" s="2">
        <v>46241</v>
      </c>
      <c r="B621" s="3" t="s">
        <v>620</v>
      </c>
      <c r="C621" s="3" t="s">
        <v>641</v>
      </c>
      <c r="D621" s="3" t="s">
        <v>601</v>
      </c>
      <c r="E621" s="3" t="s">
        <v>31</v>
      </c>
      <c r="F621" s="3" t="s">
        <v>105</v>
      </c>
      <c r="G621" s="4" t="s">
        <v>33</v>
      </c>
      <c r="H621" s="4">
        <v>2</v>
      </c>
      <c r="I621" s="5">
        <v>0.18497685185185186</v>
      </c>
      <c r="J621" s="5">
        <v>3.8043981481481484E-2</v>
      </c>
      <c r="K621" s="5">
        <f t="shared" si="18"/>
        <v>1.9021990740740742E-2</v>
      </c>
      <c r="L621" s="5">
        <v>0.16591435185185185</v>
      </c>
      <c r="M621" s="6">
        <f t="shared" si="19"/>
        <v>0.89694656488549618</v>
      </c>
      <c r="N621" s="5">
        <v>7.7546296296296295E-3</v>
      </c>
      <c r="O621" s="5">
        <v>9.5486111111111119E-3</v>
      </c>
      <c r="P621" s="5"/>
      <c r="Q621" s="5"/>
      <c r="R621" s="5"/>
      <c r="S621" s="5">
        <v>9.4097222222222221E-3</v>
      </c>
      <c r="T621" s="5">
        <v>2.0717592592592593E-3</v>
      </c>
      <c r="U621" s="5">
        <v>0.13712962962962963</v>
      </c>
      <c r="V621" s="5"/>
      <c r="W621" s="5"/>
    </row>
    <row r="622" spans="1:23" x14ac:dyDescent="0.25">
      <c r="A622" s="2">
        <v>46241</v>
      </c>
      <c r="B622" s="3" t="s">
        <v>138</v>
      </c>
      <c r="C622" s="3" t="s">
        <v>556</v>
      </c>
      <c r="D622" s="3" t="s">
        <v>104</v>
      </c>
      <c r="E622" s="3" t="s">
        <v>31</v>
      </c>
      <c r="F622" s="3" t="s">
        <v>105</v>
      </c>
      <c r="G622" s="4" t="s">
        <v>106</v>
      </c>
      <c r="H622" s="4">
        <v>8</v>
      </c>
      <c r="I622" s="5">
        <v>0.20611111111111111</v>
      </c>
      <c r="J622" s="5">
        <v>9.2557870370370374E-2</v>
      </c>
      <c r="K622" s="5">
        <f t="shared" si="18"/>
        <v>1.1569733796296297E-2</v>
      </c>
      <c r="L622" s="5">
        <v>0.12923611111111111</v>
      </c>
      <c r="M622" s="6">
        <f t="shared" si="19"/>
        <v>0.62702156334231807</v>
      </c>
      <c r="N622" s="5">
        <v>2.4074074074074074E-2</v>
      </c>
      <c r="O622" s="5">
        <v>1.6643518518518519E-2</v>
      </c>
      <c r="P622" s="5"/>
      <c r="Q622" s="5"/>
      <c r="R622" s="5"/>
      <c r="S622" s="5">
        <v>2.0416666666666666E-2</v>
      </c>
      <c r="T622" s="5">
        <v>5.4166666666666669E-3</v>
      </c>
      <c r="U622" s="5">
        <v>1.4375000000000001E-2</v>
      </c>
      <c r="V622" s="5"/>
      <c r="W622" s="5">
        <v>4.8310185185185185E-2</v>
      </c>
    </row>
    <row r="623" spans="1:23" x14ac:dyDescent="0.25">
      <c r="A623" s="2">
        <v>46241</v>
      </c>
      <c r="B623" s="3" t="s">
        <v>276</v>
      </c>
      <c r="C623" s="3" t="s">
        <v>532</v>
      </c>
      <c r="D623" s="3" t="s">
        <v>233</v>
      </c>
      <c r="E623" s="3" t="s">
        <v>31</v>
      </c>
      <c r="F623" s="3" t="s">
        <v>32</v>
      </c>
      <c r="G623" s="4" t="s">
        <v>106</v>
      </c>
      <c r="H623" s="4">
        <v>35</v>
      </c>
      <c r="I623" s="5">
        <v>0.26383101851851853</v>
      </c>
      <c r="J623" s="5">
        <v>0.15186342592592592</v>
      </c>
      <c r="K623" s="5">
        <f t="shared" si="18"/>
        <v>4.3389550264550259E-3</v>
      </c>
      <c r="L623" s="5">
        <v>6.5046296296296297E-2</v>
      </c>
      <c r="M623" s="6">
        <f t="shared" si="19"/>
        <v>0.24654529502083788</v>
      </c>
      <c r="N623" s="5">
        <v>1.5185185185185185E-2</v>
      </c>
      <c r="O623" s="5">
        <v>1.3194444444444444E-2</v>
      </c>
      <c r="P623" s="5"/>
      <c r="Q623" s="5"/>
      <c r="R623" s="5"/>
      <c r="S623" s="5">
        <v>1.2789351851851852E-2</v>
      </c>
      <c r="T623" s="5">
        <v>2.3796296296296298E-2</v>
      </c>
      <c r="U623" s="5">
        <v>6.9444444444444444E-5</v>
      </c>
      <c r="V623" s="5"/>
      <c r="W623" s="5"/>
    </row>
    <row r="624" spans="1:23" x14ac:dyDescent="0.25">
      <c r="A624" s="2">
        <v>46241</v>
      </c>
      <c r="B624" s="3" t="s">
        <v>278</v>
      </c>
      <c r="C624" s="3" t="s">
        <v>533</v>
      </c>
      <c r="D624" s="3" t="s">
        <v>233</v>
      </c>
      <c r="E624" s="3" t="s">
        <v>31</v>
      </c>
      <c r="F624" s="3" t="s">
        <v>32</v>
      </c>
      <c r="G624" s="4" t="s">
        <v>106</v>
      </c>
      <c r="H624" s="4">
        <v>19</v>
      </c>
      <c r="I624" s="5">
        <v>0.26646990740740739</v>
      </c>
      <c r="J624" s="5">
        <v>0.17945601851851853</v>
      </c>
      <c r="K624" s="5">
        <f t="shared" si="18"/>
        <v>9.445053606237817E-3</v>
      </c>
      <c r="L624" s="5">
        <v>3.6967592592592594E-2</v>
      </c>
      <c r="M624" s="6">
        <f t="shared" si="19"/>
        <v>0.13873083438300832</v>
      </c>
      <c r="N624" s="5">
        <v>3.9814814814814817E-3</v>
      </c>
      <c r="O624" s="5">
        <v>1.5659722222222221E-2</v>
      </c>
      <c r="P624" s="5">
        <v>3.9351851851851852E-4</v>
      </c>
      <c r="Q624" s="5"/>
      <c r="R624" s="5"/>
      <c r="S624" s="5">
        <v>1.4375000000000001E-2</v>
      </c>
      <c r="T624" s="5">
        <v>2.3842592592592591E-3</v>
      </c>
      <c r="U624" s="5">
        <v>1.7361111111111112E-4</v>
      </c>
      <c r="V624" s="5"/>
      <c r="W624" s="5"/>
    </row>
    <row r="625" spans="1:23" x14ac:dyDescent="0.25">
      <c r="A625" s="2">
        <v>46241</v>
      </c>
      <c r="B625" s="3" t="s">
        <v>313</v>
      </c>
      <c r="C625" s="3" t="s">
        <v>511</v>
      </c>
      <c r="D625" s="3" t="s">
        <v>78</v>
      </c>
      <c r="E625" s="3" t="s">
        <v>79</v>
      </c>
      <c r="F625" s="3" t="s">
        <v>80</v>
      </c>
      <c r="G625" s="4" t="s">
        <v>81</v>
      </c>
      <c r="H625" s="4">
        <v>0</v>
      </c>
      <c r="I625" s="5">
        <v>0.26271990740740742</v>
      </c>
      <c r="J625" s="5">
        <v>0</v>
      </c>
      <c r="K625" s="5">
        <f t="shared" si="18"/>
        <v>0</v>
      </c>
      <c r="L625" s="5">
        <v>4.4305555555555556E-2</v>
      </c>
      <c r="M625" s="6">
        <f t="shared" si="19"/>
        <v>0.16864179038724172</v>
      </c>
      <c r="N625" s="5">
        <v>8.2754629629629636E-3</v>
      </c>
      <c r="O625" s="5">
        <v>2.1759259259259259E-2</v>
      </c>
      <c r="P625" s="5"/>
      <c r="Q625" s="5"/>
      <c r="R625" s="5"/>
      <c r="S625" s="5">
        <v>1.3368055555555555E-2</v>
      </c>
      <c r="T625" s="5">
        <v>9.0277777777777774E-4</v>
      </c>
      <c r="U625" s="5"/>
      <c r="V625" s="5"/>
      <c r="W625" s="5"/>
    </row>
    <row r="626" spans="1:23" x14ac:dyDescent="0.25">
      <c r="A626" s="2">
        <v>46241</v>
      </c>
      <c r="B626" s="3" t="s">
        <v>673</v>
      </c>
      <c r="C626" s="3" t="s">
        <v>674</v>
      </c>
      <c r="D626" s="3" t="s">
        <v>104</v>
      </c>
      <c r="E626" s="3" t="s">
        <v>31</v>
      </c>
      <c r="F626" s="3" t="s">
        <v>105</v>
      </c>
      <c r="G626" s="4" t="s">
        <v>106</v>
      </c>
      <c r="H626" s="4">
        <v>11</v>
      </c>
      <c r="I626" s="5">
        <v>0.26329861111111114</v>
      </c>
      <c r="J626" s="5">
        <v>0.16883101851851851</v>
      </c>
      <c r="K626" s="5">
        <f t="shared" si="18"/>
        <v>1.534827441077441E-2</v>
      </c>
      <c r="L626" s="5">
        <v>0.14675925925925926</v>
      </c>
      <c r="M626" s="6">
        <f t="shared" si="19"/>
        <v>0.55738713789617123</v>
      </c>
      <c r="N626" s="5">
        <v>5.3356481481481484E-3</v>
      </c>
      <c r="O626" s="5">
        <v>1.5127314814814816E-2</v>
      </c>
      <c r="P626" s="5"/>
      <c r="Q626" s="5"/>
      <c r="R626" s="5"/>
      <c r="S626" s="5">
        <v>1.4733796296296297E-2</v>
      </c>
      <c r="T626" s="5">
        <v>1.306712962962963E-2</v>
      </c>
      <c r="U626" s="5">
        <v>4.861111111111111E-4</v>
      </c>
      <c r="V626" s="5"/>
      <c r="W626" s="5">
        <v>9.8009259259259254E-2</v>
      </c>
    </row>
    <row r="627" spans="1:23" x14ac:dyDescent="0.25">
      <c r="A627" s="2">
        <v>46241</v>
      </c>
      <c r="B627" s="3" t="s">
        <v>225</v>
      </c>
      <c r="C627" s="3" t="s">
        <v>549</v>
      </c>
      <c r="D627" s="3" t="s">
        <v>601</v>
      </c>
      <c r="E627" s="3" t="s">
        <v>31</v>
      </c>
      <c r="F627" s="3" t="s">
        <v>105</v>
      </c>
      <c r="G627" s="4" t="s">
        <v>33</v>
      </c>
      <c r="H627" s="4">
        <v>5</v>
      </c>
      <c r="I627" s="5">
        <v>0.20166666666666666</v>
      </c>
      <c r="J627" s="5">
        <v>0.10114583333333334</v>
      </c>
      <c r="K627" s="5">
        <f t="shared" si="18"/>
        <v>2.0229166666666666E-2</v>
      </c>
      <c r="L627" s="5">
        <v>0.14527777777777778</v>
      </c>
      <c r="M627" s="6">
        <f t="shared" si="19"/>
        <v>0.72038567493112948</v>
      </c>
      <c r="N627" s="5">
        <v>2.9861111111111113E-3</v>
      </c>
      <c r="O627" s="5">
        <v>1.2835648148148148E-2</v>
      </c>
      <c r="P627" s="5"/>
      <c r="Q627" s="5"/>
      <c r="R627" s="5"/>
      <c r="S627" s="5">
        <v>1.3715277777777778E-2</v>
      </c>
      <c r="T627" s="5">
        <v>9.2592592592592596E-4</v>
      </c>
      <c r="U627" s="5">
        <v>0.11480324074074075</v>
      </c>
      <c r="V627" s="5"/>
      <c r="W627" s="5"/>
    </row>
    <row r="628" spans="1:23" x14ac:dyDescent="0.25">
      <c r="A628" s="2">
        <v>46241</v>
      </c>
      <c r="B628" s="3" t="s">
        <v>70</v>
      </c>
      <c r="C628" s="3" t="s">
        <v>71</v>
      </c>
      <c r="D628" s="3" t="s">
        <v>78</v>
      </c>
      <c r="E628" s="3" t="s">
        <v>79</v>
      </c>
      <c r="F628" s="3" t="s">
        <v>80</v>
      </c>
      <c r="G628" s="4" t="s">
        <v>33</v>
      </c>
      <c r="H628" s="4">
        <v>0</v>
      </c>
      <c r="I628" s="5">
        <v>0.34087962962962964</v>
      </c>
      <c r="J628" s="5">
        <v>0</v>
      </c>
      <c r="K628" s="5">
        <f t="shared" si="18"/>
        <v>0</v>
      </c>
      <c r="L628" s="5">
        <v>5.8043981481481481E-2</v>
      </c>
      <c r="M628" s="6">
        <f t="shared" si="19"/>
        <v>0.17027706098057857</v>
      </c>
      <c r="N628" s="5"/>
      <c r="O628" s="5">
        <v>4.2175925925925929E-2</v>
      </c>
      <c r="P628" s="5"/>
      <c r="Q628" s="5"/>
      <c r="R628" s="5"/>
      <c r="S628" s="5">
        <v>1.5277777777777777E-2</v>
      </c>
      <c r="T628" s="5">
        <v>9.2592592592592588E-5</v>
      </c>
      <c r="U628" s="5">
        <v>4.7453703703703704E-4</v>
      </c>
      <c r="V628" s="5"/>
      <c r="W628" s="5"/>
    </row>
    <row r="629" spans="1:23" x14ac:dyDescent="0.25">
      <c r="A629" s="2">
        <v>46241</v>
      </c>
      <c r="B629" s="3" t="s">
        <v>280</v>
      </c>
      <c r="C629" s="3" t="s">
        <v>534</v>
      </c>
      <c r="D629" s="3" t="s">
        <v>233</v>
      </c>
      <c r="E629" s="3" t="s">
        <v>31</v>
      </c>
      <c r="F629" s="3" t="s">
        <v>32</v>
      </c>
      <c r="G629" s="4" t="s">
        <v>106</v>
      </c>
      <c r="H629" s="4">
        <v>42</v>
      </c>
      <c r="I629" s="5">
        <v>0.26604166666666668</v>
      </c>
      <c r="J629" s="5">
        <v>0.15756944444444446</v>
      </c>
      <c r="K629" s="5">
        <f t="shared" si="18"/>
        <v>3.7516534391534395E-3</v>
      </c>
      <c r="L629" s="5">
        <v>3.4270833333333334E-2</v>
      </c>
      <c r="M629" s="6">
        <f t="shared" si="19"/>
        <v>0.12881754111198121</v>
      </c>
      <c r="N629" s="5">
        <v>3.3217592592592591E-3</v>
      </c>
      <c r="O629" s="5">
        <v>1.4351851851851852E-2</v>
      </c>
      <c r="P629" s="5"/>
      <c r="Q629" s="5"/>
      <c r="R629" s="5"/>
      <c r="S629" s="5">
        <v>1.607638888888889E-2</v>
      </c>
      <c r="T629" s="5">
        <v>1.3888888888888889E-4</v>
      </c>
      <c r="U629" s="5">
        <v>3.5879629629629629E-4</v>
      </c>
      <c r="V629" s="5"/>
      <c r="W629" s="5"/>
    </row>
    <row r="630" spans="1:23" x14ac:dyDescent="0.25">
      <c r="A630" s="2">
        <v>46241</v>
      </c>
      <c r="B630" s="3" t="s">
        <v>299</v>
      </c>
      <c r="C630" s="3" t="s">
        <v>571</v>
      </c>
      <c r="D630" s="3" t="s">
        <v>104</v>
      </c>
      <c r="E630" s="3" t="s">
        <v>31</v>
      </c>
      <c r="F630" s="3" t="s">
        <v>105</v>
      </c>
      <c r="G630" s="4" t="s">
        <v>106</v>
      </c>
      <c r="H630" s="4">
        <v>10</v>
      </c>
      <c r="I630" s="5">
        <v>0.20343749999999999</v>
      </c>
      <c r="J630" s="5">
        <v>0.12685185185185185</v>
      </c>
      <c r="K630" s="5">
        <f t="shared" si="18"/>
        <v>1.2685185185185185E-2</v>
      </c>
      <c r="L630" s="5">
        <v>0.12181712962962964</v>
      </c>
      <c r="M630" s="6">
        <f t="shared" si="19"/>
        <v>0.59879387836377085</v>
      </c>
      <c r="N630" s="5"/>
      <c r="O630" s="5">
        <v>6.9791666666666665E-3</v>
      </c>
      <c r="P630" s="5"/>
      <c r="Q630" s="5"/>
      <c r="R630" s="5"/>
      <c r="S630" s="5">
        <v>1.3483796296296296E-2</v>
      </c>
      <c r="T630" s="5">
        <v>5.3240740740740744E-4</v>
      </c>
      <c r="U630" s="5">
        <v>1.0046296296296296E-2</v>
      </c>
      <c r="V630" s="5"/>
      <c r="W630" s="5">
        <v>9.0763888888888894E-2</v>
      </c>
    </row>
    <row r="631" spans="1:23" x14ac:dyDescent="0.25">
      <c r="A631" s="2">
        <v>46241</v>
      </c>
      <c r="B631" s="3" t="s">
        <v>227</v>
      </c>
      <c r="C631" s="3" t="s">
        <v>557</v>
      </c>
      <c r="D631" s="3" t="s">
        <v>146</v>
      </c>
      <c r="E631" s="3" t="s">
        <v>79</v>
      </c>
      <c r="F631" s="3" t="s">
        <v>147</v>
      </c>
      <c r="G631" s="4" t="s">
        <v>106</v>
      </c>
      <c r="H631" s="4">
        <v>9</v>
      </c>
      <c r="I631" s="5">
        <v>0.26056712962962963</v>
      </c>
      <c r="J631" s="5">
        <v>5.5474537037037037E-2</v>
      </c>
      <c r="K631" s="5">
        <f t="shared" si="18"/>
        <v>6.1638374485596704E-3</v>
      </c>
      <c r="L631" s="5">
        <v>4.4421296296296299E-2</v>
      </c>
      <c r="M631" s="6">
        <f t="shared" si="19"/>
        <v>0.17047927863900858</v>
      </c>
      <c r="N631" s="5">
        <v>6.7939814814814816E-3</v>
      </c>
      <c r="O631" s="5">
        <v>1.324074074074074E-2</v>
      </c>
      <c r="P631" s="5">
        <v>5.2430555555555555E-3</v>
      </c>
      <c r="Q631" s="5">
        <v>1.4583333333333334E-3</v>
      </c>
      <c r="R631" s="5">
        <v>1.4814814814814814E-3</v>
      </c>
      <c r="S631" s="5">
        <v>1.5138888888888889E-2</v>
      </c>
      <c r="T631" s="5">
        <v>6.9444444444444444E-5</v>
      </c>
      <c r="U631" s="5">
        <v>9.6064814814814819E-4</v>
      </c>
      <c r="V631" s="5"/>
      <c r="W631" s="5"/>
    </row>
    <row r="632" spans="1:23" x14ac:dyDescent="0.25">
      <c r="A632" s="2">
        <v>46241</v>
      </c>
      <c r="B632" s="3" t="s">
        <v>282</v>
      </c>
      <c r="C632" s="3" t="s">
        <v>535</v>
      </c>
      <c r="D632" s="3" t="s">
        <v>233</v>
      </c>
      <c r="E632" s="3" t="s">
        <v>31</v>
      </c>
      <c r="F632" s="3" t="s">
        <v>32</v>
      </c>
      <c r="G632" s="4" t="s">
        <v>106</v>
      </c>
      <c r="H632" s="4">
        <v>46</v>
      </c>
      <c r="I632" s="5">
        <v>0.26457175925925924</v>
      </c>
      <c r="J632" s="5">
        <v>0.14251157407407408</v>
      </c>
      <c r="K632" s="5">
        <f t="shared" si="18"/>
        <v>3.0980776972624803E-3</v>
      </c>
      <c r="L632" s="5">
        <v>4.3842592592592593E-2</v>
      </c>
      <c r="M632" s="6">
        <f t="shared" si="19"/>
        <v>0.16571153593770507</v>
      </c>
      <c r="N632" s="5">
        <v>7.8125E-3</v>
      </c>
      <c r="O632" s="5">
        <v>1.4421296296296297E-2</v>
      </c>
      <c r="P632" s="5"/>
      <c r="Q632" s="5"/>
      <c r="R632" s="5"/>
      <c r="S632" s="5">
        <v>1.6250000000000001E-2</v>
      </c>
      <c r="T632" s="5">
        <v>5.3587962962962964E-3</v>
      </c>
      <c r="U632" s="5"/>
      <c r="V632" s="5"/>
      <c r="W632" s="5"/>
    </row>
    <row r="633" spans="1:23" x14ac:dyDescent="0.25">
      <c r="A633" s="2">
        <v>46241</v>
      </c>
      <c r="B633" s="3" t="s">
        <v>675</v>
      </c>
      <c r="C633" s="3" t="s">
        <v>676</v>
      </c>
      <c r="D633" s="3" t="s">
        <v>104</v>
      </c>
      <c r="E633" s="3" t="s">
        <v>31</v>
      </c>
      <c r="F633" s="3" t="s">
        <v>105</v>
      </c>
      <c r="G633" s="4" t="s">
        <v>106</v>
      </c>
      <c r="H633" s="4">
        <v>6</v>
      </c>
      <c r="I633" s="5">
        <v>0.22592592592592592</v>
      </c>
      <c r="J633" s="5">
        <v>0.13020833333333334</v>
      </c>
      <c r="K633" s="5">
        <f t="shared" si="18"/>
        <v>2.1701388888888892E-2</v>
      </c>
      <c r="L633" s="5">
        <v>0.10880787037037037</v>
      </c>
      <c r="M633" s="6">
        <f t="shared" si="19"/>
        <v>0.48160860655737708</v>
      </c>
      <c r="N633" s="5"/>
      <c r="O633" s="5">
        <v>1.4768518518518519E-2</v>
      </c>
      <c r="P633" s="5"/>
      <c r="Q633" s="5"/>
      <c r="R633" s="5"/>
      <c r="S633" s="5">
        <v>1.4606481481481481E-2</v>
      </c>
      <c r="T633" s="5">
        <v>7.2569444444444443E-3</v>
      </c>
      <c r="U633" s="5">
        <v>1.0648148148148149E-3</v>
      </c>
      <c r="V633" s="5"/>
      <c r="W633" s="5">
        <v>7.1099537037037031E-2</v>
      </c>
    </row>
    <row r="634" spans="1:23" x14ac:dyDescent="0.25">
      <c r="A634" s="2">
        <v>46241</v>
      </c>
      <c r="B634" s="3" t="s">
        <v>677</v>
      </c>
      <c r="C634" s="3" t="s">
        <v>678</v>
      </c>
      <c r="D634" s="3" t="s">
        <v>274</v>
      </c>
      <c r="E634" s="3" t="s">
        <v>79</v>
      </c>
      <c r="F634" s="3" t="s">
        <v>147</v>
      </c>
      <c r="G634" s="4" t="s">
        <v>33</v>
      </c>
      <c r="H634" s="4">
        <v>18</v>
      </c>
      <c r="I634" s="5">
        <v>0.2465162037037037</v>
      </c>
      <c r="J634" s="5">
        <v>5.0879629629629629E-2</v>
      </c>
      <c r="K634" s="5">
        <f t="shared" si="18"/>
        <v>2.8266460905349792E-3</v>
      </c>
      <c r="L634" s="5">
        <v>3.2002314814814817E-2</v>
      </c>
      <c r="M634" s="6">
        <f t="shared" si="19"/>
        <v>0.1298183013287009</v>
      </c>
      <c r="N634" s="5">
        <v>2.8472222222222223E-3</v>
      </c>
      <c r="O634" s="5">
        <v>1.4456018518518519E-2</v>
      </c>
      <c r="P634" s="5"/>
      <c r="Q634" s="5"/>
      <c r="R634" s="5"/>
      <c r="S634" s="5">
        <v>1.3935185185185186E-2</v>
      </c>
      <c r="T634" s="5">
        <v>1.8518518518518518E-4</v>
      </c>
      <c r="U634" s="5">
        <v>5.5555555555555556E-4</v>
      </c>
      <c r="V634" s="5"/>
      <c r="W634" s="5"/>
    </row>
    <row r="635" spans="1:23" x14ac:dyDescent="0.25">
      <c r="A635" s="2">
        <v>46242</v>
      </c>
      <c r="B635" s="3" t="s">
        <v>186</v>
      </c>
      <c r="C635" s="3" t="s">
        <v>562</v>
      </c>
      <c r="D635" s="3" t="s">
        <v>78</v>
      </c>
      <c r="E635" s="3" t="s">
        <v>79</v>
      </c>
      <c r="F635" s="3" t="s">
        <v>80</v>
      </c>
      <c r="G635" s="4" t="s">
        <v>33</v>
      </c>
      <c r="H635" s="4">
        <v>0</v>
      </c>
      <c r="I635" s="5">
        <v>0.25944444444444442</v>
      </c>
      <c r="J635" s="5">
        <v>0</v>
      </c>
      <c r="K635" s="5">
        <f t="shared" si="18"/>
        <v>0</v>
      </c>
      <c r="L635" s="5">
        <v>3.9687500000000001E-2</v>
      </c>
      <c r="M635" s="6">
        <f t="shared" si="19"/>
        <v>0.15297109207708781</v>
      </c>
      <c r="N635" s="5">
        <v>1.0011574074074074E-2</v>
      </c>
      <c r="O635" s="5">
        <v>7.1643518518518514E-3</v>
      </c>
      <c r="P635" s="5"/>
      <c r="Q635" s="5"/>
      <c r="R635" s="5">
        <v>2.1817129629629631E-2</v>
      </c>
      <c r="S635" s="5"/>
      <c r="T635" s="5">
        <v>1.9675925925925926E-4</v>
      </c>
      <c r="U635" s="5">
        <v>4.6296296296296298E-4</v>
      </c>
      <c r="V635" s="5"/>
      <c r="W635" s="5"/>
    </row>
    <row r="636" spans="1:23" x14ac:dyDescent="0.25">
      <c r="A636" s="2">
        <v>46242</v>
      </c>
      <c r="B636" s="3" t="s">
        <v>643</v>
      </c>
      <c r="C636" s="3" t="s">
        <v>644</v>
      </c>
      <c r="D636" s="3" t="s">
        <v>233</v>
      </c>
      <c r="E636" s="3" t="s">
        <v>31</v>
      </c>
      <c r="F636" s="3" t="s">
        <v>32</v>
      </c>
      <c r="G636" s="4" t="s">
        <v>106</v>
      </c>
      <c r="H636" s="4">
        <v>11</v>
      </c>
      <c r="I636" s="5">
        <v>0.25052083333333336</v>
      </c>
      <c r="J636" s="5">
        <v>0.12157407407407407</v>
      </c>
      <c r="K636" s="5">
        <f t="shared" si="18"/>
        <v>1.1052188552188551E-2</v>
      </c>
      <c r="L636" s="5">
        <v>3.726851851851852E-2</v>
      </c>
      <c r="M636" s="6">
        <f t="shared" si="19"/>
        <v>0.14876414876414876</v>
      </c>
      <c r="N636" s="5">
        <v>6.0416666666666665E-3</v>
      </c>
      <c r="O636" s="5">
        <v>1.1782407407407408E-2</v>
      </c>
      <c r="P636" s="5"/>
      <c r="Q636" s="5"/>
      <c r="R636" s="5"/>
      <c r="S636" s="5">
        <v>1.3726851851851851E-2</v>
      </c>
      <c r="T636" s="5">
        <v>3.7847222222222223E-3</v>
      </c>
      <c r="U636" s="5">
        <v>1.9097222222222222E-3</v>
      </c>
      <c r="V636" s="5"/>
      <c r="W636" s="5"/>
    </row>
    <row r="637" spans="1:23" x14ac:dyDescent="0.25">
      <c r="A637" s="2">
        <v>46242</v>
      </c>
      <c r="B637" s="3" t="s">
        <v>193</v>
      </c>
      <c r="C637" s="3" t="s">
        <v>563</v>
      </c>
      <c r="D637" s="3" t="s">
        <v>274</v>
      </c>
      <c r="E637" s="3" t="s">
        <v>79</v>
      </c>
      <c r="F637" s="3" t="s">
        <v>147</v>
      </c>
      <c r="G637" s="4" t="s">
        <v>33</v>
      </c>
      <c r="H637" s="4">
        <v>6</v>
      </c>
      <c r="I637" s="5">
        <v>0.26427083333333334</v>
      </c>
      <c r="J637" s="5">
        <v>4.7685185185185185E-2</v>
      </c>
      <c r="K637" s="5">
        <f t="shared" si="18"/>
        <v>7.9475308641975308E-3</v>
      </c>
      <c r="L637" s="5">
        <v>4.3854166666666666E-2</v>
      </c>
      <c r="M637" s="6">
        <f t="shared" si="19"/>
        <v>0.16594402837997635</v>
      </c>
      <c r="N637" s="5">
        <v>6.9444444444444447E-4</v>
      </c>
      <c r="O637" s="5">
        <v>7.6967592592592591E-3</v>
      </c>
      <c r="P637" s="5"/>
      <c r="Q637" s="5"/>
      <c r="R637" s="5">
        <v>2.0555555555555556E-2</v>
      </c>
      <c r="S637" s="5">
        <v>1.4212962962962964E-2</v>
      </c>
      <c r="T637" s="5">
        <v>3.5879629629629629E-4</v>
      </c>
      <c r="U637" s="5"/>
      <c r="V637" s="5"/>
      <c r="W637" s="5"/>
    </row>
    <row r="638" spans="1:23" x14ac:dyDescent="0.25">
      <c r="A638" s="2">
        <v>46242</v>
      </c>
      <c r="B638" s="3" t="s">
        <v>148</v>
      </c>
      <c r="C638" s="3" t="s">
        <v>513</v>
      </c>
      <c r="D638" s="3" t="s">
        <v>104</v>
      </c>
      <c r="E638" s="3" t="s">
        <v>31</v>
      </c>
      <c r="F638" s="3" t="s">
        <v>105</v>
      </c>
      <c r="G638" s="4" t="s">
        <v>106</v>
      </c>
      <c r="H638" s="4">
        <v>3</v>
      </c>
      <c r="I638" s="5">
        <v>0.21354166666666666</v>
      </c>
      <c r="J638" s="5">
        <v>3.861111111111111E-2</v>
      </c>
      <c r="K638" s="5">
        <f t="shared" si="18"/>
        <v>1.2870370370370371E-2</v>
      </c>
      <c r="L638" s="5">
        <v>0.14960648148148148</v>
      </c>
      <c r="M638" s="6">
        <f t="shared" si="19"/>
        <v>0.70059620596205963</v>
      </c>
      <c r="N638" s="5">
        <v>3.0555555555555557E-3</v>
      </c>
      <c r="O638" s="5">
        <v>7.766203703703704E-3</v>
      </c>
      <c r="P638" s="5"/>
      <c r="Q638" s="5">
        <v>3.8078703703703703E-3</v>
      </c>
      <c r="R638" s="5"/>
      <c r="S638" s="5">
        <v>1.4131944444444445E-2</v>
      </c>
      <c r="T638" s="5">
        <v>1.3333333333333334E-2</v>
      </c>
      <c r="U638" s="5">
        <v>1.9675925925925926E-4</v>
      </c>
      <c r="V638" s="5"/>
      <c r="W638" s="5">
        <v>0.10730324074074074</v>
      </c>
    </row>
    <row r="639" spans="1:23" x14ac:dyDescent="0.25">
      <c r="A639" s="2">
        <v>46242</v>
      </c>
      <c r="B639" s="3" t="s">
        <v>34</v>
      </c>
      <c r="C639" s="3" t="s">
        <v>505</v>
      </c>
      <c r="D639" s="3" t="s">
        <v>233</v>
      </c>
      <c r="E639" s="3" t="s">
        <v>31</v>
      </c>
      <c r="F639" s="3" t="s">
        <v>32</v>
      </c>
      <c r="G639" s="4" t="s">
        <v>106</v>
      </c>
      <c r="H639" s="4">
        <v>17</v>
      </c>
      <c r="I639" s="5">
        <v>0.25503472222222223</v>
      </c>
      <c r="J639" s="5">
        <v>7.5798611111111108E-2</v>
      </c>
      <c r="K639" s="5">
        <f t="shared" si="18"/>
        <v>4.4587418300653589E-3</v>
      </c>
      <c r="L639" s="5">
        <v>3.2627314814814817E-2</v>
      </c>
      <c r="M639" s="6">
        <f t="shared" si="19"/>
        <v>0.1279328341275244</v>
      </c>
      <c r="N639" s="5"/>
      <c r="O639" s="5">
        <v>1.3518518518518518E-2</v>
      </c>
      <c r="P639" s="5"/>
      <c r="Q639" s="5"/>
      <c r="R639" s="5"/>
      <c r="S639" s="5">
        <v>1.3310185185185185E-2</v>
      </c>
      <c r="T639" s="5">
        <v>6.9444444444444444E-5</v>
      </c>
      <c r="U639" s="5">
        <v>4.3981481481481484E-3</v>
      </c>
      <c r="V639" s="5"/>
      <c r="W639" s="5"/>
    </row>
    <row r="640" spans="1:23" x14ac:dyDescent="0.25">
      <c r="A640" s="2">
        <v>46242</v>
      </c>
      <c r="B640" s="3" t="s">
        <v>493</v>
      </c>
      <c r="C640" s="3" t="s">
        <v>569</v>
      </c>
      <c r="D640" s="3" t="s">
        <v>104</v>
      </c>
      <c r="E640" s="3" t="s">
        <v>31</v>
      </c>
      <c r="F640" s="3" t="s">
        <v>105</v>
      </c>
      <c r="G640" s="4" t="s">
        <v>106</v>
      </c>
      <c r="H640" s="4">
        <v>5</v>
      </c>
      <c r="I640" s="5">
        <v>0.20672453703703703</v>
      </c>
      <c r="J640" s="5">
        <v>5.5659722222222222E-2</v>
      </c>
      <c r="K640" s="5">
        <f t="shared" si="18"/>
        <v>1.1131944444444444E-2</v>
      </c>
      <c r="L640" s="5">
        <v>0.12450231481481482</v>
      </c>
      <c r="M640" s="6">
        <f t="shared" si="19"/>
        <v>0.60226191142713181</v>
      </c>
      <c r="N640" s="5">
        <v>1.7523148148148149E-2</v>
      </c>
      <c r="O640" s="5">
        <v>7.8240740740740736E-3</v>
      </c>
      <c r="P640" s="5"/>
      <c r="Q640" s="5"/>
      <c r="R640" s="5"/>
      <c r="S640" s="5">
        <v>1.3634259259259259E-2</v>
      </c>
      <c r="T640" s="5">
        <v>3.2407407407407406E-4</v>
      </c>
      <c r="U640" s="5">
        <v>4.6296296296296294E-5</v>
      </c>
      <c r="V640" s="5"/>
      <c r="W640" s="5">
        <v>8.5150462962962969E-2</v>
      </c>
    </row>
    <row r="641" spans="1:23" x14ac:dyDescent="0.25">
      <c r="A641" s="2">
        <v>46242</v>
      </c>
      <c r="B641" s="3" t="s">
        <v>236</v>
      </c>
      <c r="C641" s="3" t="s">
        <v>551</v>
      </c>
      <c r="D641" s="3" t="s">
        <v>233</v>
      </c>
      <c r="E641" s="3" t="s">
        <v>31</v>
      </c>
      <c r="F641" s="3" t="s">
        <v>32</v>
      </c>
      <c r="G641" s="4" t="s">
        <v>106</v>
      </c>
      <c r="H641" s="4">
        <v>8</v>
      </c>
      <c r="I641" s="5">
        <v>0.24789351851851851</v>
      </c>
      <c r="J641" s="5">
        <v>2.1446759259259259E-2</v>
      </c>
      <c r="K641" s="5">
        <f t="shared" si="18"/>
        <v>2.6808449074074074E-3</v>
      </c>
      <c r="L641" s="5">
        <v>0.16199074074074074</v>
      </c>
      <c r="M641" s="6">
        <f t="shared" si="19"/>
        <v>0.65346904472873291</v>
      </c>
      <c r="N641" s="5">
        <v>3.9814814814814817E-3</v>
      </c>
      <c r="O641" s="5">
        <v>2.0844907407407406E-2</v>
      </c>
      <c r="P641" s="5"/>
      <c r="Q641" s="5"/>
      <c r="R641" s="5"/>
      <c r="S641" s="5">
        <v>1.4375000000000001E-2</v>
      </c>
      <c r="T641" s="5">
        <v>8.8773148148148143E-2</v>
      </c>
      <c r="U641" s="5"/>
      <c r="V641" s="5"/>
      <c r="W641" s="5">
        <v>3.4016203703703701E-2</v>
      </c>
    </row>
    <row r="642" spans="1:23" x14ac:dyDescent="0.25">
      <c r="A642" s="2">
        <v>46242</v>
      </c>
      <c r="B642" s="3" t="s">
        <v>238</v>
      </c>
      <c r="C642" s="3" t="s">
        <v>526</v>
      </c>
      <c r="D642" s="3" t="s">
        <v>233</v>
      </c>
      <c r="E642" s="3" t="s">
        <v>31</v>
      </c>
      <c r="F642" s="3" t="s">
        <v>32</v>
      </c>
      <c r="G642" s="4" t="s">
        <v>106</v>
      </c>
      <c r="H642" s="4">
        <v>8</v>
      </c>
      <c r="I642" s="5">
        <v>0.24177083333333332</v>
      </c>
      <c r="J642" s="5">
        <v>2.4039351851851853E-2</v>
      </c>
      <c r="K642" s="5">
        <f t="shared" ref="K642:K705" si="20">IFERROR(J642/H642,0)</f>
        <v>3.0049189814814817E-3</v>
      </c>
      <c r="L642" s="5">
        <v>0.1645949074074074</v>
      </c>
      <c r="M642" s="6">
        <f t="shared" ref="M642:M705" si="21">IFERROR(L642/I642,0)</f>
        <v>0.68078893197376611</v>
      </c>
      <c r="N642" s="5"/>
      <c r="O642" s="5">
        <v>1.2650462962962962E-2</v>
      </c>
      <c r="P642" s="5"/>
      <c r="Q642" s="5"/>
      <c r="R642" s="5"/>
      <c r="S642" s="5">
        <v>1.0902777777777779E-2</v>
      </c>
      <c r="T642" s="5">
        <v>3.7731481481481483E-3</v>
      </c>
      <c r="U642" s="5"/>
      <c r="V642" s="5"/>
      <c r="W642" s="5">
        <v>0.13726851851851851</v>
      </c>
    </row>
    <row r="643" spans="1:23" x14ac:dyDescent="0.25">
      <c r="A643" s="2">
        <v>46242</v>
      </c>
      <c r="B643" s="3" t="s">
        <v>608</v>
      </c>
      <c r="C643" s="3" t="s">
        <v>631</v>
      </c>
      <c r="D643" s="3" t="s">
        <v>601</v>
      </c>
      <c r="E643" s="3" t="s">
        <v>31</v>
      </c>
      <c r="F643" s="3" t="s">
        <v>105</v>
      </c>
      <c r="G643" s="4" t="s">
        <v>33</v>
      </c>
      <c r="H643" s="4">
        <v>1</v>
      </c>
      <c r="I643" s="5">
        <v>0.18103009259259259</v>
      </c>
      <c r="J643" s="5">
        <v>1.744212962962963E-2</v>
      </c>
      <c r="K643" s="5">
        <f t="shared" si="20"/>
        <v>1.744212962962963E-2</v>
      </c>
      <c r="L643" s="5">
        <v>0.17075231481481482</v>
      </c>
      <c r="M643" s="6">
        <f t="shared" si="21"/>
        <v>0.94322613643628928</v>
      </c>
      <c r="N643" s="5"/>
      <c r="O643" s="5">
        <v>1.3506944444444445E-2</v>
      </c>
      <c r="P643" s="5"/>
      <c r="Q643" s="5"/>
      <c r="R643" s="5"/>
      <c r="S643" s="5">
        <v>1.3726851851851851E-2</v>
      </c>
      <c r="T643" s="5">
        <v>1.5625000000000001E-3</v>
      </c>
      <c r="U643" s="5">
        <v>0.14195601851851852</v>
      </c>
      <c r="V643" s="5"/>
      <c r="W643" s="5"/>
    </row>
    <row r="644" spans="1:23" x14ac:dyDescent="0.25">
      <c r="A644" s="2">
        <v>46242</v>
      </c>
      <c r="B644" s="3" t="s">
        <v>197</v>
      </c>
      <c r="C644" s="3" t="s">
        <v>564</v>
      </c>
      <c r="D644" s="3" t="s">
        <v>601</v>
      </c>
      <c r="E644" s="3" t="s">
        <v>31</v>
      </c>
      <c r="F644" s="3" t="s">
        <v>105</v>
      </c>
      <c r="G644" s="4" t="s">
        <v>33</v>
      </c>
      <c r="H644" s="4">
        <v>0</v>
      </c>
      <c r="I644" s="5">
        <v>0.13896990740740742</v>
      </c>
      <c r="J644" s="5">
        <v>0</v>
      </c>
      <c r="K644" s="5">
        <f t="shared" si="20"/>
        <v>0</v>
      </c>
      <c r="L644" s="5">
        <v>0.13896990740740742</v>
      </c>
      <c r="M644" s="6">
        <f t="shared" si="21"/>
        <v>1</v>
      </c>
      <c r="N644" s="5"/>
      <c r="O644" s="5">
        <v>2.0324074074074074E-2</v>
      </c>
      <c r="P644" s="5"/>
      <c r="Q644" s="5"/>
      <c r="R644" s="5"/>
      <c r="S644" s="5">
        <v>1.5092592592592593E-2</v>
      </c>
      <c r="T644" s="5">
        <v>3.7037037037037035E-4</v>
      </c>
      <c r="U644" s="5">
        <v>0.10318287037037037</v>
      </c>
      <c r="V644" s="5"/>
      <c r="W644" s="5"/>
    </row>
    <row r="645" spans="1:23" x14ac:dyDescent="0.25">
      <c r="A645" s="2">
        <v>46242</v>
      </c>
      <c r="B645" s="3" t="s">
        <v>38</v>
      </c>
      <c r="C645" s="3" t="s">
        <v>536</v>
      </c>
      <c r="D645" s="3" t="s">
        <v>100</v>
      </c>
      <c r="E645" s="3" t="s">
        <v>31</v>
      </c>
      <c r="F645" s="3" t="s">
        <v>32</v>
      </c>
      <c r="G645" s="4" t="s">
        <v>33</v>
      </c>
      <c r="H645" s="4">
        <v>5</v>
      </c>
      <c r="I645" s="5">
        <v>0.2404050925925926</v>
      </c>
      <c r="J645" s="5">
        <v>0.03</v>
      </c>
      <c r="K645" s="5">
        <f t="shared" si="20"/>
        <v>6.0000000000000001E-3</v>
      </c>
      <c r="L645" s="5">
        <v>0.18733796296296296</v>
      </c>
      <c r="M645" s="6">
        <f t="shared" si="21"/>
        <v>0.77925954455731539</v>
      </c>
      <c r="N645" s="5">
        <v>9.4212962962962957E-3</v>
      </c>
      <c r="O645" s="5">
        <v>8.8078703703703704E-3</v>
      </c>
      <c r="P645" s="5"/>
      <c r="Q645" s="5"/>
      <c r="R645" s="5"/>
      <c r="S645" s="5">
        <v>1.3773148148148149E-2</v>
      </c>
      <c r="T645" s="5">
        <v>3.3680555555555556E-3</v>
      </c>
      <c r="U645" s="5"/>
      <c r="V645" s="5"/>
      <c r="W645" s="5">
        <v>0.1519675925925926</v>
      </c>
    </row>
    <row r="646" spans="1:23" x14ac:dyDescent="0.25">
      <c r="A646" s="2">
        <v>46242</v>
      </c>
      <c r="B646" s="3" t="s">
        <v>681</v>
      </c>
      <c r="C646" s="3" t="s">
        <v>682</v>
      </c>
      <c r="D646" s="3" t="s">
        <v>601</v>
      </c>
      <c r="E646" s="3" t="s">
        <v>31</v>
      </c>
      <c r="F646" s="3" t="s">
        <v>105</v>
      </c>
      <c r="G646" s="4" t="s">
        <v>33</v>
      </c>
      <c r="H646" s="4">
        <v>1</v>
      </c>
      <c r="I646" s="5">
        <v>0.22650462962962964</v>
      </c>
      <c r="J646" s="5">
        <v>3.304398148148148E-2</v>
      </c>
      <c r="K646" s="5">
        <f t="shared" si="20"/>
        <v>3.304398148148148E-2</v>
      </c>
      <c r="L646" s="5">
        <v>0.21402777777777779</v>
      </c>
      <c r="M646" s="6">
        <f t="shared" si="21"/>
        <v>0.94491568727644359</v>
      </c>
      <c r="N646" s="5">
        <v>4.6527777777777774E-3</v>
      </c>
      <c r="O646" s="5">
        <v>1.7430555555555557E-2</v>
      </c>
      <c r="P646" s="5"/>
      <c r="Q646" s="5"/>
      <c r="R646" s="5"/>
      <c r="S646" s="5">
        <v>2.3032407407407407E-3</v>
      </c>
      <c r="T646" s="5">
        <v>1.2037037037037038E-3</v>
      </c>
      <c r="U646" s="5">
        <v>0.18843750000000001</v>
      </c>
      <c r="V646" s="5"/>
      <c r="W646" s="5"/>
    </row>
    <row r="647" spans="1:23" x14ac:dyDescent="0.25">
      <c r="A647" s="2">
        <v>46242</v>
      </c>
      <c r="B647" s="3" t="s">
        <v>154</v>
      </c>
      <c r="C647" s="3" t="s">
        <v>515</v>
      </c>
      <c r="D647" s="3" t="s">
        <v>146</v>
      </c>
      <c r="E647" s="3" t="s">
        <v>79</v>
      </c>
      <c r="F647" s="3" t="s">
        <v>147</v>
      </c>
      <c r="G647" s="4" t="s">
        <v>106</v>
      </c>
      <c r="H647" s="4">
        <v>11</v>
      </c>
      <c r="I647" s="5">
        <v>0.26405092592592594</v>
      </c>
      <c r="J647" s="5">
        <v>3.2071759259259258E-2</v>
      </c>
      <c r="K647" s="5">
        <f t="shared" si="20"/>
        <v>2.9156144781144781E-3</v>
      </c>
      <c r="L647" s="5">
        <v>3.4629629629629628E-2</v>
      </c>
      <c r="M647" s="6">
        <f t="shared" si="21"/>
        <v>0.13114754098360654</v>
      </c>
      <c r="N647" s="5">
        <v>3.5185185185185185E-3</v>
      </c>
      <c r="O647" s="5">
        <v>1.21875E-2</v>
      </c>
      <c r="P647" s="5"/>
      <c r="Q647" s="5"/>
      <c r="R647" s="5"/>
      <c r="S647" s="5">
        <v>1.4131944444444445E-2</v>
      </c>
      <c r="T647" s="5">
        <v>3.7962962962962963E-3</v>
      </c>
      <c r="U647" s="5">
        <v>9.2592592592592596E-4</v>
      </c>
      <c r="V647" s="5"/>
      <c r="W647" s="5"/>
    </row>
    <row r="648" spans="1:23" x14ac:dyDescent="0.25">
      <c r="A648" s="2">
        <v>46242</v>
      </c>
      <c r="B648" s="3" t="s">
        <v>112</v>
      </c>
      <c r="C648" s="3" t="s">
        <v>570</v>
      </c>
      <c r="D648" s="3" t="s">
        <v>104</v>
      </c>
      <c r="E648" s="3" t="s">
        <v>31</v>
      </c>
      <c r="F648" s="3" t="s">
        <v>105</v>
      </c>
      <c r="G648" s="4" t="s">
        <v>106</v>
      </c>
      <c r="H648" s="4">
        <v>3</v>
      </c>
      <c r="I648" s="5">
        <v>0.19618055555555555</v>
      </c>
      <c r="J648" s="5">
        <v>5.2800925925925925E-2</v>
      </c>
      <c r="K648" s="5">
        <f t="shared" si="20"/>
        <v>1.7600308641975308E-2</v>
      </c>
      <c r="L648" s="5">
        <v>0.12975694444444444</v>
      </c>
      <c r="M648" s="6">
        <f t="shared" si="21"/>
        <v>0.66141592920353975</v>
      </c>
      <c r="N648" s="5">
        <v>6.3425925925925924E-3</v>
      </c>
      <c r="O648" s="5">
        <v>1.3854166666666667E-2</v>
      </c>
      <c r="P648" s="5"/>
      <c r="Q648" s="5"/>
      <c r="R648" s="5"/>
      <c r="S648" s="5"/>
      <c r="T648" s="5">
        <v>5.37037037037037E-3</v>
      </c>
      <c r="U648" s="5">
        <v>9.7222222222222219E-4</v>
      </c>
      <c r="V648" s="5"/>
      <c r="W648" s="5">
        <v>0.1032175925925926</v>
      </c>
    </row>
    <row r="649" spans="1:23" x14ac:dyDescent="0.25">
      <c r="A649" s="2">
        <v>46242</v>
      </c>
      <c r="B649" s="3" t="s">
        <v>42</v>
      </c>
      <c r="C649" s="3" t="s">
        <v>537</v>
      </c>
      <c r="D649" s="3" t="s">
        <v>104</v>
      </c>
      <c r="E649" s="3" t="s">
        <v>31</v>
      </c>
      <c r="F649" s="3" t="s">
        <v>105</v>
      </c>
      <c r="G649" s="4" t="s">
        <v>106</v>
      </c>
      <c r="H649" s="4">
        <v>3</v>
      </c>
      <c r="I649" s="5">
        <v>0.18864583333333335</v>
      </c>
      <c r="J649" s="5">
        <v>3.4791666666666665E-2</v>
      </c>
      <c r="K649" s="5">
        <f t="shared" si="20"/>
        <v>1.1597222222222222E-2</v>
      </c>
      <c r="L649" s="5">
        <v>0.12642361111111111</v>
      </c>
      <c r="M649" s="6">
        <f t="shared" si="21"/>
        <v>0.67016381373090372</v>
      </c>
      <c r="N649" s="5">
        <v>2.3263888888888887E-3</v>
      </c>
      <c r="O649" s="5">
        <v>1.3148148148148148E-2</v>
      </c>
      <c r="P649" s="5"/>
      <c r="Q649" s="5"/>
      <c r="R649" s="5"/>
      <c r="S649" s="5">
        <v>1.3854166666666667E-2</v>
      </c>
      <c r="T649" s="5">
        <v>2.6620370370370372E-4</v>
      </c>
      <c r="U649" s="5"/>
      <c r="V649" s="5"/>
      <c r="W649" s="5">
        <v>9.6828703703703708E-2</v>
      </c>
    </row>
    <row r="650" spans="1:23" x14ac:dyDescent="0.25">
      <c r="A650" s="2">
        <v>46242</v>
      </c>
      <c r="B650" s="3" t="s">
        <v>156</v>
      </c>
      <c r="C650" s="3" t="s">
        <v>516</v>
      </c>
      <c r="D650" s="3" t="s">
        <v>146</v>
      </c>
      <c r="E650" s="3" t="s">
        <v>79</v>
      </c>
      <c r="F650" s="3" t="s">
        <v>147</v>
      </c>
      <c r="G650" s="4" t="s">
        <v>106</v>
      </c>
      <c r="H650" s="4">
        <v>11</v>
      </c>
      <c r="I650" s="5">
        <v>0.26657407407407407</v>
      </c>
      <c r="J650" s="5">
        <v>2.6597222222222223E-2</v>
      </c>
      <c r="K650" s="5">
        <f t="shared" si="20"/>
        <v>2.4179292929292929E-3</v>
      </c>
      <c r="L650" s="5">
        <v>3.8541666666666669E-2</v>
      </c>
      <c r="M650" s="6">
        <f t="shared" si="21"/>
        <v>0.14458145189301841</v>
      </c>
      <c r="N650" s="5">
        <v>7.9745370370370369E-3</v>
      </c>
      <c r="O650" s="5">
        <v>1.2800925925925926E-2</v>
      </c>
      <c r="P650" s="5"/>
      <c r="Q650" s="5"/>
      <c r="R650" s="5"/>
      <c r="S650" s="5">
        <v>1.3587962962962963E-2</v>
      </c>
      <c r="T650" s="5">
        <v>4.178240740740741E-3</v>
      </c>
      <c r="U650" s="5"/>
      <c r="V650" s="5"/>
      <c r="W650" s="5"/>
    </row>
    <row r="651" spans="1:23" x14ac:dyDescent="0.25">
      <c r="A651" s="2">
        <v>46242</v>
      </c>
      <c r="B651" s="3" t="s">
        <v>114</v>
      </c>
      <c r="C651" s="3" t="s">
        <v>541</v>
      </c>
      <c r="D651" s="3" t="s">
        <v>104</v>
      </c>
      <c r="E651" s="3" t="s">
        <v>31</v>
      </c>
      <c r="F651" s="3" t="s">
        <v>105</v>
      </c>
      <c r="G651" s="4" t="s">
        <v>106</v>
      </c>
      <c r="H651" s="4">
        <v>4</v>
      </c>
      <c r="I651" s="5">
        <v>0.12832175925925926</v>
      </c>
      <c r="J651" s="5">
        <v>4.3692129629629629E-2</v>
      </c>
      <c r="K651" s="5">
        <f t="shared" si="20"/>
        <v>1.0923032407407407E-2</v>
      </c>
      <c r="L651" s="5">
        <v>5.6863425925925928E-2</v>
      </c>
      <c r="M651" s="6">
        <f t="shared" si="21"/>
        <v>0.44313159556237036</v>
      </c>
      <c r="N651" s="5">
        <v>6.0416666666666665E-3</v>
      </c>
      <c r="O651" s="5"/>
      <c r="P651" s="5"/>
      <c r="Q651" s="5"/>
      <c r="R651" s="5"/>
      <c r="S651" s="5"/>
      <c r="T651" s="5">
        <v>8.0787037037037043E-3</v>
      </c>
      <c r="U651" s="5">
        <v>8.1018518518518516E-5</v>
      </c>
      <c r="V651" s="5"/>
      <c r="W651" s="5">
        <v>4.266203703703704E-2</v>
      </c>
    </row>
    <row r="652" spans="1:23" x14ac:dyDescent="0.25">
      <c r="A652" s="2">
        <v>46242</v>
      </c>
      <c r="B652" s="3" t="s">
        <v>44</v>
      </c>
      <c r="C652" s="3" t="s">
        <v>506</v>
      </c>
      <c r="D652" s="3" t="s">
        <v>100</v>
      </c>
      <c r="E652" s="3" t="s">
        <v>31</v>
      </c>
      <c r="F652" s="3" t="s">
        <v>32</v>
      </c>
      <c r="G652" s="4" t="s">
        <v>33</v>
      </c>
      <c r="H652" s="4">
        <v>20</v>
      </c>
      <c r="I652" s="5">
        <v>0.26059027777777777</v>
      </c>
      <c r="J652" s="5">
        <v>9.4687499999999994E-2</v>
      </c>
      <c r="K652" s="5">
        <f t="shared" si="20"/>
        <v>4.7343749999999999E-3</v>
      </c>
      <c r="L652" s="5">
        <v>3.3113425925925928E-2</v>
      </c>
      <c r="M652" s="6">
        <f t="shared" si="21"/>
        <v>0.12707084166111482</v>
      </c>
      <c r="N652" s="5"/>
      <c r="O652" s="5">
        <v>1.3784722222222223E-2</v>
      </c>
      <c r="P652" s="5"/>
      <c r="Q652" s="5"/>
      <c r="R652" s="5"/>
      <c r="S652" s="5">
        <v>1.3865740740740741E-2</v>
      </c>
      <c r="T652" s="5">
        <v>8.1018518518518516E-4</v>
      </c>
      <c r="U652" s="5">
        <v>6.018518518518519E-4</v>
      </c>
      <c r="V652" s="5"/>
      <c r="W652" s="5">
        <v>3.9004629629629628E-3</v>
      </c>
    </row>
    <row r="653" spans="1:23" x14ac:dyDescent="0.25">
      <c r="A653" s="2">
        <v>46242</v>
      </c>
      <c r="B653" s="3" t="s">
        <v>609</v>
      </c>
      <c r="C653" s="3" t="s">
        <v>632</v>
      </c>
      <c r="D653" s="3" t="s">
        <v>601</v>
      </c>
      <c r="E653" s="3" t="s">
        <v>31</v>
      </c>
      <c r="F653" s="3" t="s">
        <v>105</v>
      </c>
      <c r="G653" s="4" t="s">
        <v>33</v>
      </c>
      <c r="H653" s="4">
        <v>1</v>
      </c>
      <c r="I653" s="5">
        <v>0.16005787037037036</v>
      </c>
      <c r="J653" s="5">
        <v>2.5000000000000001E-2</v>
      </c>
      <c r="K653" s="5">
        <f t="shared" si="20"/>
        <v>2.5000000000000001E-2</v>
      </c>
      <c r="L653" s="5">
        <v>0.15347222222222223</v>
      </c>
      <c r="M653" s="6">
        <f t="shared" si="21"/>
        <v>0.95885458095306975</v>
      </c>
      <c r="N653" s="5">
        <v>6.222222222222222E-2</v>
      </c>
      <c r="O653" s="5">
        <v>2.2395833333333334E-2</v>
      </c>
      <c r="P653" s="5"/>
      <c r="Q653" s="5"/>
      <c r="R653" s="5"/>
      <c r="S653" s="5"/>
      <c r="T653" s="5">
        <v>3.3564814814814812E-4</v>
      </c>
      <c r="U653" s="5">
        <v>6.851851851851852E-2</v>
      </c>
      <c r="V653" s="5"/>
      <c r="W653" s="5"/>
    </row>
    <row r="654" spans="1:23" x14ac:dyDescent="0.25">
      <c r="A654" s="2">
        <v>46242</v>
      </c>
      <c r="B654" s="3" t="s">
        <v>240</v>
      </c>
      <c r="C654" s="3" t="s">
        <v>527</v>
      </c>
      <c r="D654" s="3" t="s">
        <v>233</v>
      </c>
      <c r="E654" s="3" t="s">
        <v>31</v>
      </c>
      <c r="F654" s="3" t="s">
        <v>32</v>
      </c>
      <c r="G654" s="4" t="s">
        <v>106</v>
      </c>
      <c r="H654" s="4">
        <v>7</v>
      </c>
      <c r="I654" s="5">
        <v>0.22756944444444444</v>
      </c>
      <c r="J654" s="5">
        <v>2.613425925925926E-2</v>
      </c>
      <c r="K654" s="5">
        <f t="shared" si="20"/>
        <v>3.7334656084656087E-3</v>
      </c>
      <c r="L654" s="5">
        <v>0.13238425925925926</v>
      </c>
      <c r="M654" s="6">
        <f t="shared" si="21"/>
        <v>0.58173125826467298</v>
      </c>
      <c r="N654" s="5">
        <v>1.462962962962963E-2</v>
      </c>
      <c r="O654" s="5">
        <v>1.4074074074074074E-2</v>
      </c>
      <c r="P654" s="5"/>
      <c r="Q654" s="5"/>
      <c r="R654" s="5"/>
      <c r="S654" s="5">
        <v>1.4502314814814815E-2</v>
      </c>
      <c r="T654" s="5">
        <v>2.3148148148148149E-4</v>
      </c>
      <c r="U654" s="5">
        <v>1.6203703703703703E-4</v>
      </c>
      <c r="V654" s="5"/>
      <c r="W654" s="5">
        <v>8.8784722222222223E-2</v>
      </c>
    </row>
    <row r="655" spans="1:23" x14ac:dyDescent="0.25">
      <c r="A655" s="2">
        <v>46242</v>
      </c>
      <c r="B655" s="3" t="s">
        <v>160</v>
      </c>
      <c r="C655" s="3" t="s">
        <v>544</v>
      </c>
      <c r="D655" s="3" t="s">
        <v>146</v>
      </c>
      <c r="E655" s="3" t="s">
        <v>79</v>
      </c>
      <c r="F655" s="3" t="s">
        <v>147</v>
      </c>
      <c r="G655" s="4" t="s">
        <v>106</v>
      </c>
      <c r="H655" s="4">
        <v>8</v>
      </c>
      <c r="I655" s="5">
        <v>0.24253472222222222</v>
      </c>
      <c r="J655" s="5">
        <v>1.7071759259259259E-2</v>
      </c>
      <c r="K655" s="5">
        <f t="shared" si="20"/>
        <v>2.1339699074074073E-3</v>
      </c>
      <c r="L655" s="5">
        <v>8.7094907407407413E-2</v>
      </c>
      <c r="M655" s="6">
        <f t="shared" si="21"/>
        <v>0.35910283941780008</v>
      </c>
      <c r="N655" s="5">
        <v>1.2395833333333333E-2</v>
      </c>
      <c r="O655" s="5">
        <v>1.5555555555555555E-2</v>
      </c>
      <c r="P655" s="5"/>
      <c r="Q655" s="5">
        <v>3.8599537037037036E-2</v>
      </c>
      <c r="R655" s="5"/>
      <c r="S655" s="5">
        <v>1.5682870370370371E-2</v>
      </c>
      <c r="T655" s="5">
        <v>5.7870370370370373E-5</v>
      </c>
      <c r="U655" s="5">
        <v>4.4791666666666669E-3</v>
      </c>
      <c r="V655" s="5"/>
      <c r="W655" s="5"/>
    </row>
    <row r="656" spans="1:23" x14ac:dyDescent="0.25">
      <c r="A656" s="2">
        <v>46242</v>
      </c>
      <c r="B656" s="3" t="s">
        <v>645</v>
      </c>
      <c r="C656" s="3" t="s">
        <v>646</v>
      </c>
      <c r="D656" s="3" t="s">
        <v>100</v>
      </c>
      <c r="E656" s="3" t="s">
        <v>31</v>
      </c>
      <c r="F656" s="3" t="s">
        <v>32</v>
      </c>
      <c r="G656" s="4" t="s">
        <v>33</v>
      </c>
      <c r="H656" s="4">
        <v>16</v>
      </c>
      <c r="I656" s="5">
        <v>0.25244212962962964</v>
      </c>
      <c r="J656" s="5">
        <v>0.12783564814814816</v>
      </c>
      <c r="K656" s="5">
        <f t="shared" si="20"/>
        <v>7.9897280092592598E-3</v>
      </c>
      <c r="L656" s="5">
        <v>4.3356481481481482E-2</v>
      </c>
      <c r="M656" s="6">
        <f t="shared" si="21"/>
        <v>0.17174820044931455</v>
      </c>
      <c r="N656" s="5">
        <v>2.3842592592592591E-3</v>
      </c>
      <c r="O656" s="5">
        <v>7.1643518518518514E-3</v>
      </c>
      <c r="P656" s="5"/>
      <c r="Q656" s="5"/>
      <c r="R656" s="5">
        <v>2.0601851851851853E-3</v>
      </c>
      <c r="S656" s="5">
        <v>1.4224537037037037E-2</v>
      </c>
      <c r="T656" s="5">
        <v>2.7083333333333334E-3</v>
      </c>
      <c r="U656" s="5">
        <v>3.0092592592592595E-4</v>
      </c>
      <c r="V656" s="5"/>
      <c r="W656" s="5">
        <v>1.3541666666666667E-2</v>
      </c>
    </row>
    <row r="657" spans="1:23" x14ac:dyDescent="0.25">
      <c r="A657" s="2">
        <v>46242</v>
      </c>
      <c r="B657" s="3" t="s">
        <v>120</v>
      </c>
      <c r="C657" s="3" t="s">
        <v>558</v>
      </c>
      <c r="D657" s="3" t="s">
        <v>233</v>
      </c>
      <c r="E657" s="3" t="s">
        <v>31</v>
      </c>
      <c r="F657" s="3" t="s">
        <v>32</v>
      </c>
      <c r="G657" s="4" t="s">
        <v>106</v>
      </c>
      <c r="H657" s="4">
        <v>19</v>
      </c>
      <c r="I657" s="5">
        <v>0.26364583333333336</v>
      </c>
      <c r="J657" s="5">
        <v>4.8344907407407406E-2</v>
      </c>
      <c r="K657" s="5">
        <f t="shared" si="20"/>
        <v>2.5444688109161791E-3</v>
      </c>
      <c r="L657" s="5">
        <v>4.87037037037037E-2</v>
      </c>
      <c r="M657" s="6">
        <f t="shared" si="21"/>
        <v>0.18473155098994684</v>
      </c>
      <c r="N657" s="5">
        <v>7.5810185185185182E-3</v>
      </c>
      <c r="O657" s="5">
        <v>1.3738425925925926E-2</v>
      </c>
      <c r="P657" s="5"/>
      <c r="Q657" s="5"/>
      <c r="R657" s="5"/>
      <c r="S657" s="5">
        <v>1.2511574074074074E-2</v>
      </c>
      <c r="T657" s="5">
        <v>1.1168981481481481E-2</v>
      </c>
      <c r="U657" s="5">
        <v>3.7037037037037038E-3</v>
      </c>
      <c r="V657" s="5"/>
      <c r="W657" s="5"/>
    </row>
    <row r="658" spans="1:23" x14ac:dyDescent="0.25">
      <c r="A658" s="2">
        <v>46242</v>
      </c>
      <c r="B658" s="3" t="s">
        <v>46</v>
      </c>
      <c r="C658" s="3" t="s">
        <v>507</v>
      </c>
      <c r="D658" s="3" t="s">
        <v>100</v>
      </c>
      <c r="E658" s="3" t="s">
        <v>31</v>
      </c>
      <c r="F658" s="3" t="s">
        <v>32</v>
      </c>
      <c r="G658" s="4" t="s">
        <v>33</v>
      </c>
      <c r="H658" s="4">
        <v>24</v>
      </c>
      <c r="I658" s="5">
        <v>0.24635416666666668</v>
      </c>
      <c r="J658" s="5">
        <v>8.6944444444444449E-2</v>
      </c>
      <c r="K658" s="5">
        <f t="shared" si="20"/>
        <v>3.6226851851851854E-3</v>
      </c>
      <c r="L658" s="5">
        <v>3.3935185185185186E-2</v>
      </c>
      <c r="M658" s="6">
        <f t="shared" si="21"/>
        <v>0.13774958891237959</v>
      </c>
      <c r="N658" s="5">
        <v>2.1296296296296298E-3</v>
      </c>
      <c r="O658" s="5">
        <v>1.4398148148148148E-2</v>
      </c>
      <c r="P658" s="5"/>
      <c r="Q658" s="5"/>
      <c r="R658" s="5"/>
      <c r="S658" s="5"/>
      <c r="T658" s="5">
        <v>3.8194444444444446E-4</v>
      </c>
      <c r="U658" s="5">
        <v>1.4814814814814814E-3</v>
      </c>
      <c r="V658" s="5"/>
      <c r="W658" s="5">
        <v>1.5474537037037037E-2</v>
      </c>
    </row>
    <row r="659" spans="1:23" x14ac:dyDescent="0.25">
      <c r="A659" s="2">
        <v>46242</v>
      </c>
      <c r="B659" s="3" t="s">
        <v>287</v>
      </c>
      <c r="C659" s="3" t="s">
        <v>542</v>
      </c>
      <c r="D659" s="3" t="s">
        <v>104</v>
      </c>
      <c r="E659" s="3" t="s">
        <v>31</v>
      </c>
      <c r="F659" s="3" t="s">
        <v>105</v>
      </c>
      <c r="G659" s="4" t="s">
        <v>106</v>
      </c>
      <c r="H659" s="4">
        <v>1</v>
      </c>
      <c r="I659" s="5">
        <v>0.15105324074074075</v>
      </c>
      <c r="J659" s="5">
        <v>1.8738425925925926E-2</v>
      </c>
      <c r="K659" s="5">
        <f t="shared" si="20"/>
        <v>1.8738425925925926E-2</v>
      </c>
      <c r="L659" s="5">
        <v>0.13662037037037036</v>
      </c>
      <c r="M659" s="6">
        <f t="shared" si="21"/>
        <v>0.90445176614818779</v>
      </c>
      <c r="N659" s="5"/>
      <c r="O659" s="5">
        <v>1.173611111111111E-2</v>
      </c>
      <c r="P659" s="5"/>
      <c r="Q659" s="5"/>
      <c r="R659" s="5"/>
      <c r="S659" s="5">
        <v>1.9652777777777779E-2</v>
      </c>
      <c r="T659" s="5">
        <v>8.564814814814815E-3</v>
      </c>
      <c r="U659" s="5"/>
      <c r="V659" s="5"/>
      <c r="W659" s="5">
        <v>9.6666666666666665E-2</v>
      </c>
    </row>
    <row r="660" spans="1:23" x14ac:dyDescent="0.25">
      <c r="A660" s="2">
        <v>46242</v>
      </c>
      <c r="B660" s="3" t="s">
        <v>499</v>
      </c>
      <c r="C660" s="3" t="s">
        <v>517</v>
      </c>
      <c r="D660" s="3" t="s">
        <v>146</v>
      </c>
      <c r="E660" s="3" t="s">
        <v>79</v>
      </c>
      <c r="F660" s="3" t="s">
        <v>147</v>
      </c>
      <c r="G660" s="4" t="s">
        <v>106</v>
      </c>
      <c r="H660" s="4">
        <v>8</v>
      </c>
      <c r="I660" s="5">
        <v>0.25729166666666664</v>
      </c>
      <c r="J660" s="5">
        <v>2.7314814814814816E-2</v>
      </c>
      <c r="K660" s="5">
        <f t="shared" si="20"/>
        <v>3.414351851851852E-3</v>
      </c>
      <c r="L660" s="5">
        <v>5.2488425925925924E-2</v>
      </c>
      <c r="M660" s="6">
        <f t="shared" si="21"/>
        <v>0.20400359874044086</v>
      </c>
      <c r="N660" s="5">
        <v>8.7152777777777784E-3</v>
      </c>
      <c r="O660" s="5">
        <v>1.4409722222222223E-2</v>
      </c>
      <c r="P660" s="5">
        <v>1.105324074074074E-2</v>
      </c>
      <c r="Q660" s="5"/>
      <c r="R660" s="5"/>
      <c r="S660" s="5">
        <v>1.3761574074074074E-2</v>
      </c>
      <c r="T660" s="5">
        <v>2.3611111111111111E-3</v>
      </c>
      <c r="U660" s="5">
        <v>1.7361111111111112E-4</v>
      </c>
      <c r="V660" s="5"/>
      <c r="W660" s="5">
        <v>2.0023148148148148E-3</v>
      </c>
    </row>
    <row r="661" spans="1:23" x14ac:dyDescent="0.25">
      <c r="A661" s="2">
        <v>46242</v>
      </c>
      <c r="B661" s="3" t="s">
        <v>647</v>
      </c>
      <c r="C661" s="3" t="s">
        <v>648</v>
      </c>
      <c r="D661" s="3" t="s">
        <v>233</v>
      </c>
      <c r="E661" s="3" t="s">
        <v>31</v>
      </c>
      <c r="F661" s="3" t="s">
        <v>32</v>
      </c>
      <c r="G661" s="4" t="s">
        <v>106</v>
      </c>
      <c r="H661" s="4">
        <v>18</v>
      </c>
      <c r="I661" s="5">
        <v>0.26380787037037035</v>
      </c>
      <c r="J661" s="5">
        <v>7.273148148148148E-2</v>
      </c>
      <c r="K661" s="5">
        <f t="shared" si="20"/>
        <v>4.0406378600823046E-3</v>
      </c>
      <c r="L661" s="5">
        <v>4.2141203703703702E-2</v>
      </c>
      <c r="M661" s="6">
        <f t="shared" si="21"/>
        <v>0.15974202606063265</v>
      </c>
      <c r="N661" s="5">
        <v>4.2129629629629626E-3</v>
      </c>
      <c r="O661" s="5">
        <v>1.4189814814814815E-2</v>
      </c>
      <c r="P661" s="5"/>
      <c r="Q661" s="5">
        <v>9.5601851851851855E-3</v>
      </c>
      <c r="R661" s="5"/>
      <c r="S661" s="5">
        <v>1.3194444444444444E-2</v>
      </c>
      <c r="T661" s="5">
        <v>9.837962962962962E-4</v>
      </c>
      <c r="U661" s="5"/>
      <c r="V661" s="5"/>
      <c r="W661" s="5"/>
    </row>
    <row r="662" spans="1:23" x14ac:dyDescent="0.25">
      <c r="A662" s="2">
        <v>46242</v>
      </c>
      <c r="B662" s="3" t="s">
        <v>651</v>
      </c>
      <c r="C662" s="3" t="s">
        <v>652</v>
      </c>
      <c r="D662" s="3" t="s">
        <v>100</v>
      </c>
      <c r="E662" s="3" t="s">
        <v>31</v>
      </c>
      <c r="F662" s="3" t="s">
        <v>32</v>
      </c>
      <c r="G662" s="4" t="s">
        <v>33</v>
      </c>
      <c r="H662" s="4">
        <v>15</v>
      </c>
      <c r="I662" s="5">
        <v>0.26076388888888891</v>
      </c>
      <c r="J662" s="5">
        <v>0.10092592592592593</v>
      </c>
      <c r="K662" s="5">
        <f t="shared" si="20"/>
        <v>6.7283950617283957E-3</v>
      </c>
      <c r="L662" s="5">
        <v>8.0416666666666664E-2</v>
      </c>
      <c r="M662" s="6">
        <f t="shared" si="21"/>
        <v>0.30838881491344872</v>
      </c>
      <c r="N662" s="5">
        <v>9.2129629629629627E-3</v>
      </c>
      <c r="O662" s="5">
        <v>1.8807870370370371E-2</v>
      </c>
      <c r="P662" s="5"/>
      <c r="Q662" s="5"/>
      <c r="R662" s="5"/>
      <c r="S662" s="5">
        <v>1.4421296296296297E-2</v>
      </c>
      <c r="T662" s="5">
        <v>2.0023148148148148E-2</v>
      </c>
      <c r="U662" s="5">
        <v>2.0833333333333335E-4</v>
      </c>
      <c r="V662" s="5"/>
      <c r="W662" s="5">
        <v>1.773148148148148E-2</v>
      </c>
    </row>
    <row r="663" spans="1:23" x14ac:dyDescent="0.25">
      <c r="A663" s="2">
        <v>46242</v>
      </c>
      <c r="B663" s="3" t="s">
        <v>246</v>
      </c>
      <c r="C663" s="3" t="s">
        <v>568</v>
      </c>
      <c r="D663" s="3" t="s">
        <v>233</v>
      </c>
      <c r="E663" s="3" t="s">
        <v>31</v>
      </c>
      <c r="F663" s="3" t="s">
        <v>32</v>
      </c>
      <c r="G663" s="4" t="s">
        <v>106</v>
      </c>
      <c r="H663" s="4">
        <v>21</v>
      </c>
      <c r="I663" s="5">
        <v>0.26557870370370368</v>
      </c>
      <c r="J663" s="5">
        <v>5.4293981481481485E-2</v>
      </c>
      <c r="K663" s="5">
        <f t="shared" si="20"/>
        <v>2.5854276895943564E-3</v>
      </c>
      <c r="L663" s="5">
        <v>3.8229166666666668E-2</v>
      </c>
      <c r="M663" s="6">
        <f t="shared" si="21"/>
        <v>0.14394665736947618</v>
      </c>
      <c r="N663" s="5">
        <v>3.2638888888888891E-3</v>
      </c>
      <c r="O663" s="5">
        <v>1.3993055555555555E-2</v>
      </c>
      <c r="P663" s="5"/>
      <c r="Q663" s="5"/>
      <c r="R663" s="5"/>
      <c r="S663" s="5">
        <v>1.3935185185185186E-2</v>
      </c>
      <c r="T663" s="5">
        <v>7.037037037037037E-3</v>
      </c>
      <c r="U663" s="5"/>
      <c r="V663" s="5"/>
      <c r="W663" s="5"/>
    </row>
    <row r="664" spans="1:23" x14ac:dyDescent="0.25">
      <c r="A664" s="2">
        <v>46242</v>
      </c>
      <c r="B664" s="3" t="s">
        <v>48</v>
      </c>
      <c r="C664" s="3" t="s">
        <v>508</v>
      </c>
      <c r="D664" s="3" t="s">
        <v>100</v>
      </c>
      <c r="E664" s="3" t="s">
        <v>31</v>
      </c>
      <c r="F664" s="3" t="s">
        <v>32</v>
      </c>
      <c r="G664" s="4" t="s">
        <v>33</v>
      </c>
      <c r="H664" s="4">
        <v>18</v>
      </c>
      <c r="I664" s="5">
        <v>0.26195601851851852</v>
      </c>
      <c r="J664" s="5">
        <v>8.1099537037037039E-2</v>
      </c>
      <c r="K664" s="5">
        <f t="shared" si="20"/>
        <v>4.5055298353909468E-3</v>
      </c>
      <c r="L664" s="5">
        <v>6.1076388888888888E-2</v>
      </c>
      <c r="M664" s="6">
        <f t="shared" si="21"/>
        <v>0.23315512746874034</v>
      </c>
      <c r="N664" s="5">
        <v>3.9583333333333337E-3</v>
      </c>
      <c r="O664" s="5">
        <v>6.9907407407407409E-3</v>
      </c>
      <c r="P664" s="5"/>
      <c r="Q664" s="5"/>
      <c r="R664" s="5">
        <v>6.9675925925925929E-3</v>
      </c>
      <c r="S664" s="5">
        <v>1.3900462962962963E-2</v>
      </c>
      <c r="T664" s="5">
        <v>8.1018518518518516E-4</v>
      </c>
      <c r="U664" s="5"/>
      <c r="V664" s="5"/>
      <c r="W664" s="5">
        <v>2.8449074074074075E-2</v>
      </c>
    </row>
    <row r="665" spans="1:23" x14ac:dyDescent="0.25">
      <c r="A665" s="2">
        <v>46242</v>
      </c>
      <c r="B665" s="3" t="s">
        <v>50</v>
      </c>
      <c r="C665" s="3" t="s">
        <v>538</v>
      </c>
      <c r="D665" s="3" t="s">
        <v>100</v>
      </c>
      <c r="E665" s="3" t="s">
        <v>31</v>
      </c>
      <c r="F665" s="3" t="s">
        <v>32</v>
      </c>
      <c r="G665" s="4" t="s">
        <v>33</v>
      </c>
      <c r="H665" s="4">
        <v>1</v>
      </c>
      <c r="I665" s="5">
        <v>0.1436574074074074</v>
      </c>
      <c r="J665" s="5">
        <v>1.9907407407407408E-2</v>
      </c>
      <c r="K665" s="5">
        <f t="shared" si="20"/>
        <v>1.9907407407407408E-2</v>
      </c>
      <c r="L665" s="5">
        <v>0.12428240740740741</v>
      </c>
      <c r="M665" s="6">
        <f t="shared" si="21"/>
        <v>0.86513051885272318</v>
      </c>
      <c r="N665" s="5">
        <v>1.2175925925925925E-2</v>
      </c>
      <c r="O665" s="5">
        <v>7.9282407407407409E-3</v>
      </c>
      <c r="P665" s="5"/>
      <c r="Q665" s="5"/>
      <c r="R665" s="5"/>
      <c r="S665" s="5"/>
      <c r="T665" s="5">
        <v>4.861111111111111E-4</v>
      </c>
      <c r="U665" s="5"/>
      <c r="V665" s="5"/>
      <c r="W665" s="5">
        <v>0.10369212962962963</v>
      </c>
    </row>
    <row r="666" spans="1:23" x14ac:dyDescent="0.25">
      <c r="A666" s="2">
        <v>46242</v>
      </c>
      <c r="B666" s="3" t="s">
        <v>242</v>
      </c>
      <c r="C666" s="3" t="s">
        <v>603</v>
      </c>
      <c r="D666" s="3" t="s">
        <v>233</v>
      </c>
      <c r="E666" s="3" t="s">
        <v>31</v>
      </c>
      <c r="F666" s="3" t="s">
        <v>32</v>
      </c>
      <c r="G666" s="4" t="s">
        <v>106</v>
      </c>
      <c r="H666" s="4">
        <v>22</v>
      </c>
      <c r="I666" s="5">
        <v>0.26996527777777779</v>
      </c>
      <c r="J666" s="5">
        <v>0.1348263888888889</v>
      </c>
      <c r="K666" s="5">
        <f t="shared" si="20"/>
        <v>6.1284722222222227E-3</v>
      </c>
      <c r="L666" s="5">
        <v>1.8217592592592594E-2</v>
      </c>
      <c r="M666" s="6">
        <f t="shared" si="21"/>
        <v>6.7481243301178995E-2</v>
      </c>
      <c r="N666" s="5"/>
      <c r="O666" s="5">
        <v>9.8032407407407408E-3</v>
      </c>
      <c r="P666" s="5"/>
      <c r="Q666" s="5"/>
      <c r="R666" s="5"/>
      <c r="S666" s="5">
        <v>6.7592592592592591E-3</v>
      </c>
      <c r="T666" s="5">
        <v>3.2407407407407406E-4</v>
      </c>
      <c r="U666" s="5">
        <v>1.2847222222222223E-3</v>
      </c>
      <c r="V666" s="5"/>
      <c r="W666" s="5"/>
    </row>
    <row r="667" spans="1:23" x14ac:dyDescent="0.25">
      <c r="A667" s="2">
        <v>46242</v>
      </c>
      <c r="B667" s="3" t="s">
        <v>289</v>
      </c>
      <c r="C667" s="3" t="s">
        <v>559</v>
      </c>
      <c r="D667" s="3" t="s">
        <v>104</v>
      </c>
      <c r="E667" s="3" t="s">
        <v>31</v>
      </c>
      <c r="F667" s="3" t="s">
        <v>105</v>
      </c>
      <c r="G667" s="4" t="s">
        <v>106</v>
      </c>
      <c r="H667" s="4">
        <v>2</v>
      </c>
      <c r="I667" s="5">
        <v>0.1630324074074074</v>
      </c>
      <c r="J667" s="5">
        <v>1.2766203703703703E-2</v>
      </c>
      <c r="K667" s="5">
        <f t="shared" si="20"/>
        <v>6.3831018518518516E-3</v>
      </c>
      <c r="L667" s="5">
        <v>0.11677083333333334</v>
      </c>
      <c r="M667" s="6">
        <f t="shared" si="21"/>
        <v>0.71624307823370725</v>
      </c>
      <c r="N667" s="5">
        <v>1.3333333333333334E-2</v>
      </c>
      <c r="O667" s="5">
        <v>1.0185185185185186E-2</v>
      </c>
      <c r="P667" s="5"/>
      <c r="Q667" s="5"/>
      <c r="R667" s="5"/>
      <c r="S667" s="5">
        <v>1.8194444444444444E-2</v>
      </c>
      <c r="T667" s="5">
        <v>2.6967592592592594E-3</v>
      </c>
      <c r="U667" s="5"/>
      <c r="V667" s="5"/>
      <c r="W667" s="5">
        <v>7.2361111111111112E-2</v>
      </c>
    </row>
    <row r="668" spans="1:23" x14ac:dyDescent="0.25">
      <c r="A668" s="2">
        <v>46242</v>
      </c>
      <c r="B668" s="3" t="s">
        <v>500</v>
      </c>
      <c r="C668" s="3" t="s">
        <v>518</v>
      </c>
      <c r="D668" s="3" t="s">
        <v>274</v>
      </c>
      <c r="E668" s="3" t="s">
        <v>79</v>
      </c>
      <c r="F668" s="3" t="s">
        <v>147</v>
      </c>
      <c r="G668" s="4" t="s">
        <v>33</v>
      </c>
      <c r="H668" s="4">
        <v>8</v>
      </c>
      <c r="I668" s="5">
        <v>0.26024305555555555</v>
      </c>
      <c r="J668" s="5">
        <v>4.2488425925925923E-2</v>
      </c>
      <c r="K668" s="5">
        <f t="shared" si="20"/>
        <v>5.3110532407407403E-3</v>
      </c>
      <c r="L668" s="5">
        <v>4.1712962962962966E-2</v>
      </c>
      <c r="M668" s="6">
        <f t="shared" si="21"/>
        <v>0.16028463420057817</v>
      </c>
      <c r="N668" s="5">
        <v>1.8518518518518519E-3</v>
      </c>
      <c r="O668" s="5">
        <v>1.2800925925925926E-2</v>
      </c>
      <c r="P668" s="5"/>
      <c r="Q668" s="5">
        <v>4.4560185185185189E-3</v>
      </c>
      <c r="R668" s="5">
        <v>5.3819444444444444E-3</v>
      </c>
      <c r="S668" s="5">
        <v>1.5613425925925926E-2</v>
      </c>
      <c r="T668" s="5">
        <v>6.9444444444444447E-4</v>
      </c>
      <c r="U668" s="5">
        <v>8.7962962962962962E-4</v>
      </c>
      <c r="V668" s="5"/>
      <c r="W668" s="5"/>
    </row>
    <row r="669" spans="1:23" x14ac:dyDescent="0.25">
      <c r="A669" s="2">
        <v>46242</v>
      </c>
      <c r="B669" s="3" t="s">
        <v>683</v>
      </c>
      <c r="C669" s="3" t="s">
        <v>684</v>
      </c>
      <c r="D669" s="3" t="s">
        <v>233</v>
      </c>
      <c r="E669" s="3" t="s">
        <v>31</v>
      </c>
      <c r="F669" s="3" t="s">
        <v>32</v>
      </c>
      <c r="G669" s="4" t="s">
        <v>106</v>
      </c>
      <c r="H669" s="4">
        <v>19</v>
      </c>
      <c r="I669" s="5">
        <v>0.26332175925925927</v>
      </c>
      <c r="J669" s="5">
        <v>5.4884259259259258E-2</v>
      </c>
      <c r="K669" s="5">
        <f t="shared" si="20"/>
        <v>2.8886452241715399E-3</v>
      </c>
      <c r="L669" s="5">
        <v>3.7222222222222219E-2</v>
      </c>
      <c r="M669" s="6">
        <f t="shared" si="21"/>
        <v>0.14135642389345521</v>
      </c>
      <c r="N669" s="5">
        <v>7.1180555555555554E-3</v>
      </c>
      <c r="O669" s="5">
        <v>1.5706018518518518E-2</v>
      </c>
      <c r="P669" s="5"/>
      <c r="Q669" s="5"/>
      <c r="R669" s="5"/>
      <c r="S669" s="5">
        <v>1.2465277777777778E-2</v>
      </c>
      <c r="T669" s="5">
        <v>1.6203703703703703E-3</v>
      </c>
      <c r="U669" s="5">
        <v>3.1250000000000001E-4</v>
      </c>
      <c r="V669" s="5"/>
      <c r="W669" s="5"/>
    </row>
    <row r="670" spans="1:23" x14ac:dyDescent="0.25">
      <c r="A670" s="2">
        <v>46242</v>
      </c>
      <c r="B670" s="3" t="s">
        <v>653</v>
      </c>
      <c r="C670" s="3" t="s">
        <v>654</v>
      </c>
      <c r="D670" s="3" t="s">
        <v>100</v>
      </c>
      <c r="E670" s="3" t="s">
        <v>31</v>
      </c>
      <c r="F670" s="3" t="s">
        <v>32</v>
      </c>
      <c r="G670" s="4" t="s">
        <v>33</v>
      </c>
      <c r="H670" s="4">
        <v>21</v>
      </c>
      <c r="I670" s="5">
        <v>0.25611111111111112</v>
      </c>
      <c r="J670" s="5">
        <v>0.10456018518518519</v>
      </c>
      <c r="K670" s="5">
        <f t="shared" si="20"/>
        <v>4.979056437389771E-3</v>
      </c>
      <c r="L670" s="5">
        <v>7.4606481481481482E-2</v>
      </c>
      <c r="M670" s="6">
        <f t="shared" si="21"/>
        <v>0.29130513376717282</v>
      </c>
      <c r="N670" s="5">
        <v>6.5393518518518517E-3</v>
      </c>
      <c r="O670" s="5">
        <v>1.474537037037037E-2</v>
      </c>
      <c r="P670" s="5"/>
      <c r="Q670" s="5"/>
      <c r="R670" s="5">
        <v>1.8564814814814815E-2</v>
      </c>
      <c r="S670" s="5">
        <v>1.457175925925926E-2</v>
      </c>
      <c r="T670" s="5">
        <v>2.7777777777777778E-4</v>
      </c>
      <c r="U670" s="5">
        <v>1.9675925925925924E-3</v>
      </c>
      <c r="V670" s="5"/>
      <c r="W670" s="5">
        <v>1.7847222222222223E-2</v>
      </c>
    </row>
    <row r="671" spans="1:23" x14ac:dyDescent="0.25">
      <c r="A671" s="2">
        <v>46242</v>
      </c>
      <c r="B671" s="3" t="s">
        <v>52</v>
      </c>
      <c r="C671" s="3" t="s">
        <v>509</v>
      </c>
      <c r="D671" s="3" t="s">
        <v>100</v>
      </c>
      <c r="E671" s="3" t="s">
        <v>31</v>
      </c>
      <c r="F671" s="3" t="s">
        <v>32</v>
      </c>
      <c r="G671" s="4" t="s">
        <v>33</v>
      </c>
      <c r="H671" s="4">
        <v>0</v>
      </c>
      <c r="I671" s="5">
        <v>0.19811342592592593</v>
      </c>
      <c r="J671" s="5">
        <v>0</v>
      </c>
      <c r="K671" s="5">
        <f t="shared" si="20"/>
        <v>0</v>
      </c>
      <c r="L671" s="5">
        <v>0.19811342592592593</v>
      </c>
      <c r="M671" s="6">
        <f t="shared" si="21"/>
        <v>1</v>
      </c>
      <c r="N671" s="5">
        <v>2.9502314814814815E-2</v>
      </c>
      <c r="O671" s="5">
        <v>1.4363425925925925E-2</v>
      </c>
      <c r="P671" s="5"/>
      <c r="Q671" s="5"/>
      <c r="R671" s="5"/>
      <c r="S671" s="5"/>
      <c r="T671" s="5">
        <v>3.3680555555555556E-3</v>
      </c>
      <c r="U671" s="5"/>
      <c r="V671" s="5"/>
      <c r="W671" s="5">
        <v>0.15087962962962964</v>
      </c>
    </row>
    <row r="672" spans="1:23" x14ac:dyDescent="0.25">
      <c r="A672" s="2">
        <v>46242</v>
      </c>
      <c r="B672" s="3" t="s">
        <v>655</v>
      </c>
      <c r="C672" s="3" t="s">
        <v>656</v>
      </c>
      <c r="D672" s="3" t="s">
        <v>100</v>
      </c>
      <c r="E672" s="3" t="s">
        <v>31</v>
      </c>
      <c r="F672" s="3" t="s">
        <v>32</v>
      </c>
      <c r="G672" s="4" t="s">
        <v>33</v>
      </c>
      <c r="H672" s="4">
        <v>22</v>
      </c>
      <c r="I672" s="5">
        <v>0.25866898148148149</v>
      </c>
      <c r="J672" s="5">
        <v>9.6701388888888892E-2</v>
      </c>
      <c r="K672" s="5">
        <f t="shared" si="20"/>
        <v>4.3955176767676773E-3</v>
      </c>
      <c r="L672" s="5">
        <v>4.8020833333333332E-2</v>
      </c>
      <c r="M672" s="6">
        <f t="shared" si="21"/>
        <v>0.18564589019642935</v>
      </c>
      <c r="N672" s="5">
        <v>4.2476851851851851E-3</v>
      </c>
      <c r="O672" s="5">
        <v>1.4386574074074074E-2</v>
      </c>
      <c r="P672" s="5"/>
      <c r="Q672" s="5"/>
      <c r="R672" s="5">
        <v>3.0092592592592593E-3</v>
      </c>
      <c r="S672" s="5">
        <v>1.3564814814814814E-2</v>
      </c>
      <c r="T672" s="5">
        <v>7.291666666666667E-4</v>
      </c>
      <c r="U672" s="5">
        <v>1.2847222222222223E-3</v>
      </c>
      <c r="V672" s="5"/>
      <c r="W672" s="5">
        <v>1.0775462962962962E-2</v>
      </c>
    </row>
    <row r="673" spans="1:23" x14ac:dyDescent="0.25">
      <c r="A673" s="2">
        <v>46242</v>
      </c>
      <c r="B673" s="3" t="s">
        <v>657</v>
      </c>
      <c r="C673" s="3" t="s">
        <v>658</v>
      </c>
      <c r="D673" s="3" t="s">
        <v>274</v>
      </c>
      <c r="E673" s="3" t="s">
        <v>79</v>
      </c>
      <c r="F673" s="3" t="s">
        <v>147</v>
      </c>
      <c r="G673" s="4" t="s">
        <v>33</v>
      </c>
      <c r="H673" s="4">
        <v>5</v>
      </c>
      <c r="I673" s="5">
        <v>0.26283564814814814</v>
      </c>
      <c r="J673" s="5">
        <v>1.4594907407407407E-2</v>
      </c>
      <c r="K673" s="5">
        <f t="shared" si="20"/>
        <v>2.9189814814814816E-3</v>
      </c>
      <c r="L673" s="5">
        <v>6.3368055555555552E-2</v>
      </c>
      <c r="M673" s="6">
        <f t="shared" si="21"/>
        <v>0.24109383944691531</v>
      </c>
      <c r="N673" s="5">
        <v>7.3611111111111108E-3</v>
      </c>
      <c r="O673" s="5"/>
      <c r="P673" s="5"/>
      <c r="Q673" s="5"/>
      <c r="R673" s="5">
        <v>5.1655092592592593E-2</v>
      </c>
      <c r="S673" s="5"/>
      <c r="T673" s="5">
        <v>2.6620370370370372E-4</v>
      </c>
      <c r="U673" s="5">
        <v>3.6226851851851854E-3</v>
      </c>
      <c r="V673" s="5"/>
      <c r="W673" s="5"/>
    </row>
    <row r="674" spans="1:23" x14ac:dyDescent="0.25">
      <c r="A674" s="2">
        <v>46242</v>
      </c>
      <c r="B674" s="3" t="s">
        <v>166</v>
      </c>
      <c r="C674" s="3" t="s">
        <v>167</v>
      </c>
      <c r="D674" s="3" t="s">
        <v>146</v>
      </c>
      <c r="E674" s="3" t="s">
        <v>79</v>
      </c>
      <c r="F674" s="3" t="s">
        <v>147</v>
      </c>
      <c r="G674" s="4" t="s">
        <v>106</v>
      </c>
      <c r="H674" s="4">
        <v>12</v>
      </c>
      <c r="I674" s="5">
        <v>0.25516203703703705</v>
      </c>
      <c r="J674" s="5">
        <v>2.960648148148148E-2</v>
      </c>
      <c r="K674" s="5">
        <f t="shared" si="20"/>
        <v>2.4672067901234567E-3</v>
      </c>
      <c r="L674" s="5">
        <v>4.0069444444444442E-2</v>
      </c>
      <c r="M674" s="6">
        <f t="shared" si="21"/>
        <v>0.15703528984849857</v>
      </c>
      <c r="N674" s="5">
        <v>1.1828703703703704E-2</v>
      </c>
      <c r="O674" s="5">
        <v>7.5578703703703702E-3</v>
      </c>
      <c r="P674" s="5"/>
      <c r="Q674" s="5">
        <v>6.2384259259259259E-3</v>
      </c>
      <c r="R674" s="5"/>
      <c r="S674" s="5">
        <v>1.4375000000000001E-2</v>
      </c>
      <c r="T674" s="5">
        <v>6.9444444444444444E-5</v>
      </c>
      <c r="U674" s="5"/>
      <c r="V674" s="5"/>
      <c r="W674" s="5"/>
    </row>
    <row r="675" spans="1:23" x14ac:dyDescent="0.25">
      <c r="A675" s="2">
        <v>46242</v>
      </c>
      <c r="B675" s="3" t="s">
        <v>659</v>
      </c>
      <c r="C675" s="3" t="s">
        <v>660</v>
      </c>
      <c r="D675" s="3" t="s">
        <v>100</v>
      </c>
      <c r="E675" s="3" t="s">
        <v>31</v>
      </c>
      <c r="F675" s="3" t="s">
        <v>32</v>
      </c>
      <c r="G675" s="4" t="s">
        <v>33</v>
      </c>
      <c r="H675" s="4">
        <v>1</v>
      </c>
      <c r="I675" s="5">
        <v>0.20329861111111111</v>
      </c>
      <c r="J675" s="5">
        <v>1.4236111111111112E-3</v>
      </c>
      <c r="K675" s="5">
        <f t="shared" si="20"/>
        <v>1.4236111111111112E-3</v>
      </c>
      <c r="L675" s="5">
        <v>0.19465277777777779</v>
      </c>
      <c r="M675" s="6">
        <f t="shared" si="21"/>
        <v>0.957472245943638</v>
      </c>
      <c r="N675" s="5">
        <v>3.6921296296296299E-2</v>
      </c>
      <c r="O675" s="5"/>
      <c r="P675" s="5"/>
      <c r="Q675" s="5"/>
      <c r="R675" s="5"/>
      <c r="S675" s="5">
        <v>3.5416666666666665E-3</v>
      </c>
      <c r="T675" s="5">
        <v>7.0601851851851847E-4</v>
      </c>
      <c r="U675" s="5">
        <v>1.5046296296296297E-4</v>
      </c>
      <c r="V675" s="5"/>
      <c r="W675" s="5">
        <v>0.15333333333333332</v>
      </c>
    </row>
    <row r="676" spans="1:23" x14ac:dyDescent="0.25">
      <c r="A676" s="2">
        <v>46242</v>
      </c>
      <c r="B676" s="3" t="s">
        <v>254</v>
      </c>
      <c r="C676" s="3" t="s">
        <v>528</v>
      </c>
      <c r="D676" s="3" t="s">
        <v>233</v>
      </c>
      <c r="E676" s="3" t="s">
        <v>31</v>
      </c>
      <c r="F676" s="3" t="s">
        <v>32</v>
      </c>
      <c r="G676" s="4" t="s">
        <v>106</v>
      </c>
      <c r="H676" s="4">
        <v>13</v>
      </c>
      <c r="I676" s="5">
        <v>0.25268518518518518</v>
      </c>
      <c r="J676" s="5">
        <v>5.9282407407407409E-2</v>
      </c>
      <c r="K676" s="5">
        <f t="shared" si="20"/>
        <v>4.5601851851851853E-3</v>
      </c>
      <c r="L676" s="5">
        <v>4.6238425925925926E-2</v>
      </c>
      <c r="M676" s="6">
        <f t="shared" si="21"/>
        <v>0.18298827409307439</v>
      </c>
      <c r="N676" s="5">
        <v>1.3599537037037037E-2</v>
      </c>
      <c r="O676" s="5">
        <v>1.4201388888888888E-2</v>
      </c>
      <c r="P676" s="5"/>
      <c r="Q676" s="5"/>
      <c r="R676" s="5"/>
      <c r="S676" s="5">
        <v>1.5185185185185185E-2</v>
      </c>
      <c r="T676" s="5">
        <v>8.9120370370370373E-4</v>
      </c>
      <c r="U676" s="5">
        <v>2.3379629629629631E-3</v>
      </c>
      <c r="V676" s="5"/>
      <c r="W676" s="5"/>
    </row>
    <row r="677" spans="1:23" x14ac:dyDescent="0.25">
      <c r="A677" s="2">
        <v>46242</v>
      </c>
      <c r="B677" s="3" t="s">
        <v>201</v>
      </c>
      <c r="C677" s="3" t="s">
        <v>545</v>
      </c>
      <c r="D677" s="3" t="s">
        <v>601</v>
      </c>
      <c r="E677" s="3" t="s">
        <v>31</v>
      </c>
      <c r="F677" s="3" t="s">
        <v>600</v>
      </c>
      <c r="G677" s="4" t="s">
        <v>33</v>
      </c>
      <c r="H677" s="4">
        <v>19</v>
      </c>
      <c r="I677" s="5">
        <v>0.22131944444444446</v>
      </c>
      <c r="J677" s="5">
        <v>7.3715277777777782E-2</v>
      </c>
      <c r="K677" s="5">
        <f t="shared" si="20"/>
        <v>3.8797514619883042E-3</v>
      </c>
      <c r="L677" s="5">
        <v>3.9872685185185185E-2</v>
      </c>
      <c r="M677" s="6">
        <f t="shared" si="21"/>
        <v>0.18015897918627757</v>
      </c>
      <c r="N677" s="5">
        <v>2.662037037037037E-3</v>
      </c>
      <c r="O677" s="5">
        <v>1.2719907407407407E-2</v>
      </c>
      <c r="P677" s="5">
        <v>1.8113425925925925E-2</v>
      </c>
      <c r="Q677" s="5">
        <v>2.8009259259259259E-3</v>
      </c>
      <c r="R677" s="5"/>
      <c r="S677" s="5"/>
      <c r="T677" s="5">
        <v>3.5069444444444445E-3</v>
      </c>
      <c r="U677" s="5">
        <v>6.9444444444444444E-5</v>
      </c>
      <c r="V677" s="5"/>
      <c r="W677" s="5"/>
    </row>
    <row r="678" spans="1:23" x14ac:dyDescent="0.25">
      <c r="A678" s="2">
        <v>46242</v>
      </c>
      <c r="B678" s="3" t="s">
        <v>168</v>
      </c>
      <c r="C678" s="3" t="s">
        <v>520</v>
      </c>
      <c r="D678" s="3" t="s">
        <v>274</v>
      </c>
      <c r="E678" s="3" t="s">
        <v>79</v>
      </c>
      <c r="F678" s="3" t="s">
        <v>147</v>
      </c>
      <c r="G678" s="4" t="s">
        <v>33</v>
      </c>
      <c r="H678" s="4">
        <v>9</v>
      </c>
      <c r="I678" s="5">
        <v>0.2645601851851852</v>
      </c>
      <c r="J678" s="5">
        <v>4.9953703703703702E-2</v>
      </c>
      <c r="K678" s="5">
        <f t="shared" si="20"/>
        <v>5.5504115226337443E-3</v>
      </c>
      <c r="L678" s="5">
        <v>3.7465277777777778E-2</v>
      </c>
      <c r="M678" s="6">
        <f t="shared" si="21"/>
        <v>0.1416134394960189</v>
      </c>
      <c r="N678" s="5">
        <v>6.4467592592592588E-3</v>
      </c>
      <c r="O678" s="5">
        <v>7.2222222222222219E-3</v>
      </c>
      <c r="P678" s="5"/>
      <c r="Q678" s="5"/>
      <c r="R678" s="5">
        <v>2.2847222222222224E-2</v>
      </c>
      <c r="S678" s="5"/>
      <c r="T678" s="5">
        <v>3.2407407407407406E-4</v>
      </c>
      <c r="U678" s="5">
        <v>5.9027777777777778E-4</v>
      </c>
      <c r="V678" s="5"/>
      <c r="W678" s="5"/>
    </row>
    <row r="679" spans="1:23" x14ac:dyDescent="0.25">
      <c r="A679" s="2">
        <v>46242</v>
      </c>
      <c r="B679" s="3" t="s">
        <v>170</v>
      </c>
      <c r="C679" s="3" t="s">
        <v>521</v>
      </c>
      <c r="D679" s="3" t="s">
        <v>146</v>
      </c>
      <c r="E679" s="3" t="s">
        <v>79</v>
      </c>
      <c r="F679" s="3" t="s">
        <v>147</v>
      </c>
      <c r="G679" s="4" t="s">
        <v>106</v>
      </c>
      <c r="H679" s="4">
        <v>8</v>
      </c>
      <c r="I679" s="5">
        <v>0.26277777777777778</v>
      </c>
      <c r="J679" s="5">
        <v>4.0914351851851855E-2</v>
      </c>
      <c r="K679" s="5">
        <f t="shared" si="20"/>
        <v>5.1142939814814818E-3</v>
      </c>
      <c r="L679" s="5">
        <v>5.3252314814814815E-2</v>
      </c>
      <c r="M679" s="6">
        <f t="shared" si="21"/>
        <v>0.20265151515151517</v>
      </c>
      <c r="N679" s="5">
        <v>6.7013888888888887E-3</v>
      </c>
      <c r="O679" s="5">
        <v>2.2534722222222223E-2</v>
      </c>
      <c r="P679" s="5"/>
      <c r="Q679" s="5">
        <v>5.6365740740740742E-3</v>
      </c>
      <c r="R679" s="5"/>
      <c r="S679" s="5">
        <v>1.5231481481481481E-2</v>
      </c>
      <c r="T679" s="5">
        <v>5.7870370370370373E-5</v>
      </c>
      <c r="U679" s="5">
        <v>3.0324074074074073E-3</v>
      </c>
      <c r="V679" s="5"/>
      <c r="W679" s="5"/>
    </row>
    <row r="680" spans="1:23" x14ac:dyDescent="0.25">
      <c r="A680" s="2">
        <v>46242</v>
      </c>
      <c r="B680" s="3" t="s">
        <v>293</v>
      </c>
      <c r="C680" s="3" t="s">
        <v>543</v>
      </c>
      <c r="D680" s="3" t="s">
        <v>104</v>
      </c>
      <c r="E680" s="3" t="s">
        <v>31</v>
      </c>
      <c r="F680" s="3" t="s">
        <v>600</v>
      </c>
      <c r="G680" s="4" t="s">
        <v>106</v>
      </c>
      <c r="H680" s="4">
        <v>35</v>
      </c>
      <c r="I680" s="5">
        <v>0.22918981481481482</v>
      </c>
      <c r="J680" s="5">
        <v>4.7094907407407405E-2</v>
      </c>
      <c r="K680" s="5">
        <f t="shared" si="20"/>
        <v>1.3455687830687829E-3</v>
      </c>
      <c r="L680" s="5">
        <v>0.13869212962962962</v>
      </c>
      <c r="M680" s="6">
        <f t="shared" si="21"/>
        <v>0.60514089485910505</v>
      </c>
      <c r="N680" s="5">
        <v>1.6145833333333335E-2</v>
      </c>
      <c r="O680" s="5">
        <v>2.1296296296296296E-2</v>
      </c>
      <c r="P680" s="5"/>
      <c r="Q680" s="5"/>
      <c r="R680" s="5"/>
      <c r="S680" s="5">
        <v>1.5879629629629629E-2</v>
      </c>
      <c r="T680" s="5">
        <v>1.6203703703703703E-4</v>
      </c>
      <c r="U680" s="5">
        <v>6.9444444444444444E-5</v>
      </c>
      <c r="V680" s="5"/>
      <c r="W680" s="5">
        <v>8.5138888888888889E-2</v>
      </c>
    </row>
    <row r="681" spans="1:23" x14ac:dyDescent="0.25">
      <c r="A681" s="2">
        <v>46242</v>
      </c>
      <c r="B681" s="3" t="s">
        <v>606</v>
      </c>
      <c r="C681" s="3" t="s">
        <v>633</v>
      </c>
      <c r="D681" s="3" t="s">
        <v>146</v>
      </c>
      <c r="E681" s="3" t="s">
        <v>79</v>
      </c>
      <c r="F681" s="3" t="s">
        <v>147</v>
      </c>
      <c r="G681" s="4" t="s">
        <v>106</v>
      </c>
      <c r="H681" s="4">
        <v>5</v>
      </c>
      <c r="I681" s="5">
        <v>0.2618287037037037</v>
      </c>
      <c r="J681" s="5">
        <v>5.6377314814814818E-2</v>
      </c>
      <c r="K681" s="5">
        <f t="shared" si="20"/>
        <v>1.1275462962962963E-2</v>
      </c>
      <c r="L681" s="5">
        <v>6.4861111111111105E-2</v>
      </c>
      <c r="M681" s="6">
        <f t="shared" si="21"/>
        <v>0.2477234550437627</v>
      </c>
      <c r="N681" s="5">
        <v>2.3101851851851853E-2</v>
      </c>
      <c r="O681" s="5">
        <v>1.3784722222222223E-2</v>
      </c>
      <c r="P681" s="5"/>
      <c r="Q681" s="5"/>
      <c r="R681" s="5"/>
      <c r="S681" s="5">
        <v>1.4189814814814815E-2</v>
      </c>
      <c r="T681" s="5">
        <v>5.2083333333333333E-4</v>
      </c>
      <c r="U681" s="5">
        <v>1.3194444444444444E-2</v>
      </c>
      <c r="V681" s="5"/>
      <c r="W681" s="5"/>
    </row>
    <row r="682" spans="1:23" x14ac:dyDescent="0.25">
      <c r="A682" s="2">
        <v>46242</v>
      </c>
      <c r="B682" s="3" t="s">
        <v>256</v>
      </c>
      <c r="C682" s="3" t="s">
        <v>529</v>
      </c>
      <c r="D682" s="3" t="s">
        <v>233</v>
      </c>
      <c r="E682" s="3" t="s">
        <v>31</v>
      </c>
      <c r="F682" s="3" t="s">
        <v>32</v>
      </c>
      <c r="G682" s="4" t="s">
        <v>106</v>
      </c>
      <c r="H682" s="4">
        <v>14</v>
      </c>
      <c r="I682" s="5">
        <v>0.22844907407407408</v>
      </c>
      <c r="J682" s="5">
        <v>6.643518518518518E-2</v>
      </c>
      <c r="K682" s="5">
        <f t="shared" si="20"/>
        <v>4.7453703703703703E-3</v>
      </c>
      <c r="L682" s="5">
        <v>3.8877314814814816E-2</v>
      </c>
      <c r="M682" s="6">
        <f t="shared" si="21"/>
        <v>0.17017934947816396</v>
      </c>
      <c r="N682" s="5">
        <v>4.8032407407407407E-3</v>
      </c>
      <c r="O682" s="5">
        <v>1.5729166666666666E-2</v>
      </c>
      <c r="P682" s="5"/>
      <c r="Q682" s="5"/>
      <c r="R682" s="5"/>
      <c r="S682" s="5">
        <v>1.4444444444444444E-2</v>
      </c>
      <c r="T682" s="5">
        <v>4.3981481481481481E-4</v>
      </c>
      <c r="U682" s="5">
        <v>3.425925925925926E-3</v>
      </c>
      <c r="V682" s="5"/>
      <c r="W682" s="5"/>
    </row>
    <row r="683" spans="1:23" x14ac:dyDescent="0.25">
      <c r="A683" s="2">
        <v>46242</v>
      </c>
      <c r="B683" s="3" t="s">
        <v>258</v>
      </c>
      <c r="C683" s="3" t="s">
        <v>554</v>
      </c>
      <c r="D683" s="3" t="s">
        <v>233</v>
      </c>
      <c r="E683" s="3" t="s">
        <v>31</v>
      </c>
      <c r="F683" s="3" t="s">
        <v>32</v>
      </c>
      <c r="G683" s="4" t="s">
        <v>106</v>
      </c>
      <c r="H683" s="4">
        <v>4</v>
      </c>
      <c r="I683" s="5">
        <v>0.22621527777777778</v>
      </c>
      <c r="J683" s="5">
        <v>6.5729166666666672E-2</v>
      </c>
      <c r="K683" s="5">
        <f t="shared" si="20"/>
        <v>1.6432291666666668E-2</v>
      </c>
      <c r="L683" s="5">
        <v>0.15033564814814815</v>
      </c>
      <c r="M683" s="6">
        <f t="shared" si="21"/>
        <v>0.66456894346380146</v>
      </c>
      <c r="N683" s="5"/>
      <c r="O683" s="5"/>
      <c r="P683" s="5"/>
      <c r="Q683" s="5"/>
      <c r="R683" s="5"/>
      <c r="S683" s="5">
        <v>1.3460648148148149E-2</v>
      </c>
      <c r="T683" s="5">
        <v>1.3888888888888889E-4</v>
      </c>
      <c r="U683" s="5"/>
      <c r="V683" s="5"/>
      <c r="W683" s="5">
        <v>0.13673611111111111</v>
      </c>
    </row>
    <row r="684" spans="1:23" x14ac:dyDescent="0.25">
      <c r="A684" s="2">
        <v>46242</v>
      </c>
      <c r="B684" s="3" t="s">
        <v>661</v>
      </c>
      <c r="C684" s="3" t="s">
        <v>662</v>
      </c>
      <c r="D684" s="3" t="s">
        <v>100</v>
      </c>
      <c r="E684" s="3" t="s">
        <v>31</v>
      </c>
      <c r="F684" s="3" t="s">
        <v>32</v>
      </c>
      <c r="G684" s="4" t="s">
        <v>33</v>
      </c>
      <c r="H684" s="4">
        <v>20</v>
      </c>
      <c r="I684" s="5">
        <v>0.25841435185185185</v>
      </c>
      <c r="J684" s="5">
        <v>9.7569444444444445E-2</v>
      </c>
      <c r="K684" s="5">
        <f t="shared" si="20"/>
        <v>4.8784722222222224E-3</v>
      </c>
      <c r="L684" s="5">
        <v>6.6250000000000003E-2</v>
      </c>
      <c r="M684" s="6">
        <f t="shared" si="21"/>
        <v>0.25637120974604738</v>
      </c>
      <c r="N684" s="5">
        <v>4.5833333333333334E-3</v>
      </c>
      <c r="O684" s="5">
        <v>1.923611111111111E-2</v>
      </c>
      <c r="P684" s="5"/>
      <c r="Q684" s="5"/>
      <c r="R684" s="5">
        <v>4.0277777777777777E-3</v>
      </c>
      <c r="S684" s="5">
        <v>3.2222222222222222E-2</v>
      </c>
      <c r="T684" s="5">
        <v>3.5995370370370369E-3</v>
      </c>
      <c r="U684" s="5">
        <v>2.5115740740740741E-3</v>
      </c>
      <c r="V684" s="5"/>
      <c r="W684" s="5"/>
    </row>
    <row r="685" spans="1:23" x14ac:dyDescent="0.25">
      <c r="A685" s="2">
        <v>46242</v>
      </c>
      <c r="B685" s="3" t="s">
        <v>663</v>
      </c>
      <c r="C685" s="3" t="s">
        <v>664</v>
      </c>
      <c r="D685" s="3" t="s">
        <v>233</v>
      </c>
      <c r="E685" s="3" t="s">
        <v>31</v>
      </c>
      <c r="F685" s="3" t="s">
        <v>32</v>
      </c>
      <c r="G685" s="4" t="s">
        <v>106</v>
      </c>
      <c r="H685" s="4">
        <v>17</v>
      </c>
      <c r="I685" s="5">
        <v>0.25994212962962965</v>
      </c>
      <c r="J685" s="5">
        <v>9.5474537037037038E-2</v>
      </c>
      <c r="K685" s="5">
        <f t="shared" si="20"/>
        <v>5.6161492374727671E-3</v>
      </c>
      <c r="L685" s="5">
        <v>3.1458333333333331E-2</v>
      </c>
      <c r="M685" s="6">
        <f t="shared" si="21"/>
        <v>0.12102052629235494</v>
      </c>
      <c r="N685" s="5">
        <v>2.4421296296296296E-3</v>
      </c>
      <c r="O685" s="5">
        <v>1.3182870370370371E-2</v>
      </c>
      <c r="P685" s="5"/>
      <c r="Q685" s="5"/>
      <c r="R685" s="5"/>
      <c r="S685" s="5">
        <v>1.5682870370370371E-2</v>
      </c>
      <c r="T685" s="5">
        <v>6.9444444444444444E-5</v>
      </c>
      <c r="U685" s="5">
        <v>8.1018518518518516E-5</v>
      </c>
      <c r="V685" s="5"/>
      <c r="W685" s="5"/>
    </row>
    <row r="686" spans="1:23" x14ac:dyDescent="0.25">
      <c r="A686" s="2">
        <v>46242</v>
      </c>
      <c r="B686" s="3" t="s">
        <v>203</v>
      </c>
      <c r="C686" s="3" t="s">
        <v>565</v>
      </c>
      <c r="D686" s="3" t="s">
        <v>601</v>
      </c>
      <c r="E686" s="3" t="s">
        <v>31</v>
      </c>
      <c r="F686" s="3" t="s">
        <v>105</v>
      </c>
      <c r="G686" s="4" t="s">
        <v>33</v>
      </c>
      <c r="H686" s="4">
        <v>1</v>
      </c>
      <c r="I686" s="5">
        <v>0.19206018518518519</v>
      </c>
      <c r="J686" s="5">
        <v>2.3703703703703703E-2</v>
      </c>
      <c r="K686" s="5">
        <f t="shared" si="20"/>
        <v>2.3703703703703703E-2</v>
      </c>
      <c r="L686" s="5">
        <v>0.18138888888888888</v>
      </c>
      <c r="M686" s="6">
        <f t="shared" si="21"/>
        <v>0.94443774858382534</v>
      </c>
      <c r="N686" s="5"/>
      <c r="O686" s="5">
        <v>1.787037037037037E-2</v>
      </c>
      <c r="P686" s="5"/>
      <c r="Q686" s="5"/>
      <c r="R686" s="5"/>
      <c r="S686" s="5">
        <v>1.2141203703703704E-2</v>
      </c>
      <c r="T686" s="5">
        <v>2.9745370370370373E-3</v>
      </c>
      <c r="U686" s="5">
        <v>0.11680555555555555</v>
      </c>
      <c r="V686" s="5"/>
      <c r="W686" s="5">
        <v>3.1597222222222221E-2</v>
      </c>
    </row>
    <row r="687" spans="1:23" x14ac:dyDescent="0.25">
      <c r="A687" s="2">
        <v>46242</v>
      </c>
      <c r="B687" s="3" t="s">
        <v>665</v>
      </c>
      <c r="C687" s="3" t="s">
        <v>666</v>
      </c>
      <c r="D687" s="3" t="s">
        <v>100</v>
      </c>
      <c r="E687" s="3" t="s">
        <v>31</v>
      </c>
      <c r="F687" s="3" t="s">
        <v>32</v>
      </c>
      <c r="G687" s="4" t="s">
        <v>33</v>
      </c>
      <c r="H687" s="4">
        <v>26</v>
      </c>
      <c r="I687" s="5">
        <v>0.25166666666666665</v>
      </c>
      <c r="J687" s="5">
        <v>0.14269675925925926</v>
      </c>
      <c r="K687" s="5">
        <f t="shared" si="20"/>
        <v>5.4883368945868949E-3</v>
      </c>
      <c r="L687" s="5">
        <v>4.9155092592592591E-2</v>
      </c>
      <c r="M687" s="6">
        <f t="shared" si="21"/>
        <v>0.19531824871228845</v>
      </c>
      <c r="N687" s="5">
        <v>1.724537037037037E-3</v>
      </c>
      <c r="O687" s="5">
        <v>1.6886574074074075E-2</v>
      </c>
      <c r="P687" s="5"/>
      <c r="Q687" s="5"/>
      <c r="R687" s="5">
        <v>1.3518518518518518E-2</v>
      </c>
      <c r="S687" s="5"/>
      <c r="T687" s="5">
        <v>3.2407407407407406E-4</v>
      </c>
      <c r="U687" s="5">
        <v>2.0370370370370369E-3</v>
      </c>
      <c r="V687" s="5"/>
      <c r="W687" s="5">
        <v>1.4618055555555556E-2</v>
      </c>
    </row>
    <row r="688" spans="1:23" x14ac:dyDescent="0.25">
      <c r="A688" s="2">
        <v>46242</v>
      </c>
      <c r="B688" s="3" t="s">
        <v>264</v>
      </c>
      <c r="C688" s="3" t="s">
        <v>530</v>
      </c>
      <c r="D688" s="3" t="s">
        <v>78</v>
      </c>
      <c r="E688" s="3" t="s">
        <v>79</v>
      </c>
      <c r="F688" s="3" t="s">
        <v>80</v>
      </c>
      <c r="G688" s="4" t="s">
        <v>106</v>
      </c>
      <c r="H688" s="4">
        <v>0</v>
      </c>
      <c r="I688" s="5">
        <v>0.38004629629629627</v>
      </c>
      <c r="J688" s="5">
        <v>0</v>
      </c>
      <c r="K688" s="5">
        <f t="shared" si="20"/>
        <v>0</v>
      </c>
      <c r="L688" s="5">
        <v>0.37874999999999998</v>
      </c>
      <c r="M688" s="6">
        <f t="shared" si="21"/>
        <v>0.99658910951394808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x14ac:dyDescent="0.25">
      <c r="A689" s="2">
        <v>46242</v>
      </c>
      <c r="B689" s="3" t="s">
        <v>128</v>
      </c>
      <c r="C689" s="3" t="s">
        <v>555</v>
      </c>
      <c r="D689" s="3" t="s">
        <v>233</v>
      </c>
      <c r="E689" s="3" t="s">
        <v>31</v>
      </c>
      <c r="F689" s="3" t="s">
        <v>32</v>
      </c>
      <c r="G689" s="4" t="s">
        <v>106</v>
      </c>
      <c r="H689" s="4">
        <v>17</v>
      </c>
      <c r="I689" s="5">
        <v>0.24747685185185186</v>
      </c>
      <c r="J689" s="5">
        <v>7.1423611111111104E-2</v>
      </c>
      <c r="K689" s="5">
        <f t="shared" si="20"/>
        <v>4.2013888888888882E-3</v>
      </c>
      <c r="L689" s="5">
        <v>7.2974537037037032E-2</v>
      </c>
      <c r="M689" s="6">
        <f t="shared" si="21"/>
        <v>0.29487419324665604</v>
      </c>
      <c r="N689" s="5">
        <v>3.2233796296296295E-2</v>
      </c>
      <c r="O689" s="5">
        <v>2.2546296296296297E-2</v>
      </c>
      <c r="P689" s="5"/>
      <c r="Q689" s="5"/>
      <c r="R689" s="5"/>
      <c r="S689" s="5">
        <v>1.6550925925925927E-2</v>
      </c>
      <c r="T689" s="5">
        <v>1.3888888888888889E-3</v>
      </c>
      <c r="U689" s="5">
        <v>2.3148148148148149E-4</v>
      </c>
      <c r="V689" s="5"/>
      <c r="W689" s="5"/>
    </row>
    <row r="690" spans="1:23" x14ac:dyDescent="0.25">
      <c r="A690" s="2">
        <v>46242</v>
      </c>
      <c r="B690" s="3" t="s">
        <v>178</v>
      </c>
      <c r="C690" s="3" t="s">
        <v>522</v>
      </c>
      <c r="D690" s="3" t="s">
        <v>146</v>
      </c>
      <c r="E690" s="3" t="s">
        <v>79</v>
      </c>
      <c r="F690" s="3" t="s">
        <v>147</v>
      </c>
      <c r="G690" s="4" t="s">
        <v>106</v>
      </c>
      <c r="H690" s="4">
        <v>7</v>
      </c>
      <c r="I690" s="5">
        <v>0.26156249999999998</v>
      </c>
      <c r="J690" s="5">
        <v>7.856481481481481E-2</v>
      </c>
      <c r="K690" s="5">
        <f t="shared" si="20"/>
        <v>1.1223544973544972E-2</v>
      </c>
      <c r="L690" s="5">
        <v>3.6319444444444446E-2</v>
      </c>
      <c r="M690" s="6">
        <f t="shared" si="21"/>
        <v>0.13885570157971594</v>
      </c>
      <c r="N690" s="5">
        <v>3.9236111111111112E-3</v>
      </c>
      <c r="O690" s="5">
        <v>1.5520833333333333E-2</v>
      </c>
      <c r="P690" s="5"/>
      <c r="Q690" s="5"/>
      <c r="R690" s="5"/>
      <c r="S690" s="5">
        <v>1.5613425925925926E-2</v>
      </c>
      <c r="T690" s="5">
        <v>1.0416666666666667E-4</v>
      </c>
      <c r="U690" s="5">
        <v>1.1226851851851851E-3</v>
      </c>
      <c r="V690" s="5"/>
      <c r="W690" s="5"/>
    </row>
    <row r="691" spans="1:23" x14ac:dyDescent="0.25">
      <c r="A691" s="2">
        <v>46242</v>
      </c>
      <c r="B691" s="3" t="s">
        <v>266</v>
      </c>
      <c r="C691" s="3" t="s">
        <v>531</v>
      </c>
      <c r="D691" s="3" t="s">
        <v>233</v>
      </c>
      <c r="E691" s="3" t="s">
        <v>31</v>
      </c>
      <c r="F691" s="3" t="s">
        <v>32</v>
      </c>
      <c r="G691" s="4" t="s">
        <v>106</v>
      </c>
      <c r="H691" s="4">
        <v>7</v>
      </c>
      <c r="I691" s="5">
        <v>0.25298611111111113</v>
      </c>
      <c r="J691" s="5">
        <v>2.2800925925925926E-2</v>
      </c>
      <c r="K691" s="5">
        <f t="shared" si="20"/>
        <v>3.2572751322751323E-3</v>
      </c>
      <c r="L691" s="5">
        <v>0.17324074074074075</v>
      </c>
      <c r="M691" s="6">
        <f t="shared" si="21"/>
        <v>0.68478360325738863</v>
      </c>
      <c r="N691" s="5">
        <v>2.3842592592592591E-3</v>
      </c>
      <c r="O691" s="5">
        <v>1.3912037037037037E-2</v>
      </c>
      <c r="P691" s="5"/>
      <c r="Q691" s="5"/>
      <c r="R691" s="5"/>
      <c r="S691" s="5">
        <v>1.3726851851851851E-2</v>
      </c>
      <c r="T691" s="5">
        <v>2.4305555555555555E-4</v>
      </c>
      <c r="U691" s="5"/>
      <c r="V691" s="5"/>
      <c r="W691" s="5">
        <v>0.14297453703703702</v>
      </c>
    </row>
    <row r="692" spans="1:23" x14ac:dyDescent="0.25">
      <c r="A692" s="2">
        <v>46242</v>
      </c>
      <c r="B692" s="3" t="s">
        <v>297</v>
      </c>
      <c r="C692" s="3" t="s">
        <v>667</v>
      </c>
      <c r="D692" s="3" t="s">
        <v>104</v>
      </c>
      <c r="E692" s="3" t="s">
        <v>31</v>
      </c>
      <c r="F692" s="3" t="s">
        <v>105</v>
      </c>
      <c r="G692" s="4" t="s">
        <v>106</v>
      </c>
      <c r="H692" s="4">
        <v>3</v>
      </c>
      <c r="I692" s="5">
        <v>0.20611111111111111</v>
      </c>
      <c r="J692" s="5">
        <v>3.1377314814814816E-2</v>
      </c>
      <c r="K692" s="5">
        <f t="shared" si="20"/>
        <v>1.0459104938271605E-2</v>
      </c>
      <c r="L692" s="5">
        <v>0.16296296296296298</v>
      </c>
      <c r="M692" s="6">
        <f t="shared" si="21"/>
        <v>0.79065588499550776</v>
      </c>
      <c r="N692" s="5">
        <v>2.0046296296296295E-2</v>
      </c>
      <c r="O692" s="5">
        <v>1.6516203703703703E-2</v>
      </c>
      <c r="P692" s="5"/>
      <c r="Q692" s="5"/>
      <c r="R692" s="5"/>
      <c r="S692" s="5">
        <v>8.1018518518518516E-5</v>
      </c>
      <c r="T692" s="5">
        <v>1.4351851851851852E-2</v>
      </c>
      <c r="U692" s="5">
        <v>1.8518518518518518E-4</v>
      </c>
      <c r="V692" s="5"/>
      <c r="W692" s="5">
        <v>0.11178240740740741</v>
      </c>
    </row>
    <row r="693" spans="1:23" x14ac:dyDescent="0.25">
      <c r="A693" s="2">
        <v>46242</v>
      </c>
      <c r="B693" s="3" t="s">
        <v>207</v>
      </c>
      <c r="C693" s="3" t="s">
        <v>566</v>
      </c>
      <c r="D693" s="3" t="s">
        <v>274</v>
      </c>
      <c r="E693" s="3" t="s">
        <v>79</v>
      </c>
      <c r="F693" s="3" t="s">
        <v>147</v>
      </c>
      <c r="G693" s="4" t="s">
        <v>33</v>
      </c>
      <c r="H693" s="4">
        <v>7</v>
      </c>
      <c r="I693" s="5">
        <v>0.26001157407407405</v>
      </c>
      <c r="J693" s="5">
        <v>5.8020833333333334E-2</v>
      </c>
      <c r="K693" s="5">
        <f t="shared" si="20"/>
        <v>8.2886904761904755E-3</v>
      </c>
      <c r="L693" s="5">
        <v>4.3043981481481482E-2</v>
      </c>
      <c r="M693" s="6">
        <f t="shared" si="21"/>
        <v>0.16554640551969732</v>
      </c>
      <c r="N693" s="5">
        <v>8.8310185185185193E-3</v>
      </c>
      <c r="O693" s="5">
        <v>1.53125E-2</v>
      </c>
      <c r="P693" s="5"/>
      <c r="Q693" s="5"/>
      <c r="R693" s="5">
        <v>1.1226851851851851E-3</v>
      </c>
      <c r="S693" s="5">
        <v>1.5208333333333334E-2</v>
      </c>
      <c r="T693" s="5">
        <v>1.9675925925925926E-4</v>
      </c>
      <c r="U693" s="5">
        <v>1.8055555555555555E-3</v>
      </c>
      <c r="V693" s="5"/>
      <c r="W693" s="5"/>
    </row>
    <row r="694" spans="1:23" x14ac:dyDescent="0.25">
      <c r="A694" s="2">
        <v>46242</v>
      </c>
      <c r="B694" s="3" t="s">
        <v>614</v>
      </c>
      <c r="C694" s="3" t="s">
        <v>635</v>
      </c>
      <c r="D694" s="3" t="s">
        <v>601</v>
      </c>
      <c r="E694" s="3" t="s">
        <v>31</v>
      </c>
      <c r="F694" s="3" t="s">
        <v>105</v>
      </c>
      <c r="G694" s="4" t="s">
        <v>33</v>
      </c>
      <c r="H694" s="4">
        <v>3</v>
      </c>
      <c r="I694" s="5">
        <v>0.22039351851851852</v>
      </c>
      <c r="J694" s="5">
        <v>2.7650462962962963E-2</v>
      </c>
      <c r="K694" s="5">
        <f t="shared" si="20"/>
        <v>9.2168209876543217E-3</v>
      </c>
      <c r="L694" s="5">
        <v>0.21817129629629631</v>
      </c>
      <c r="M694" s="6">
        <f t="shared" si="21"/>
        <v>0.98991702552252925</v>
      </c>
      <c r="N694" s="5"/>
      <c r="O694" s="5">
        <v>1.6527777777777777E-2</v>
      </c>
      <c r="P694" s="5"/>
      <c r="Q694" s="5"/>
      <c r="R694" s="5"/>
      <c r="S694" s="5">
        <v>1.5173611111111112E-2</v>
      </c>
      <c r="T694" s="5">
        <v>1.1863425925925927E-2</v>
      </c>
      <c r="U694" s="5">
        <v>0.1570138888888889</v>
      </c>
      <c r="V694" s="5"/>
      <c r="W694" s="5">
        <v>1.7592592592592594E-2</v>
      </c>
    </row>
    <row r="695" spans="1:23" x14ac:dyDescent="0.25">
      <c r="A695" s="2">
        <v>46242</v>
      </c>
      <c r="B695" s="3" t="s">
        <v>180</v>
      </c>
      <c r="C695" s="3" t="s">
        <v>523</v>
      </c>
      <c r="D695" s="3" t="s">
        <v>146</v>
      </c>
      <c r="E695" s="3" t="s">
        <v>79</v>
      </c>
      <c r="F695" s="3" t="s">
        <v>147</v>
      </c>
      <c r="G695" s="4" t="s">
        <v>106</v>
      </c>
      <c r="H695" s="4">
        <v>10</v>
      </c>
      <c r="I695" s="5">
        <v>0.26144675925925925</v>
      </c>
      <c r="J695" s="5">
        <v>6.7060185185185181E-2</v>
      </c>
      <c r="K695" s="5">
        <f t="shared" si="20"/>
        <v>6.7060185185185183E-3</v>
      </c>
      <c r="L695" s="5">
        <v>3.4918981481481481E-2</v>
      </c>
      <c r="M695" s="6">
        <f t="shared" si="21"/>
        <v>0.13356058258444375</v>
      </c>
      <c r="N695" s="5">
        <v>5.9027777777777776E-3</v>
      </c>
      <c r="O695" s="5">
        <v>1.4421296296296297E-2</v>
      </c>
      <c r="P695" s="5"/>
      <c r="Q695" s="5"/>
      <c r="R695" s="5"/>
      <c r="S695" s="5">
        <v>1.3877314814814815E-2</v>
      </c>
      <c r="T695" s="5">
        <v>3.7037037037037035E-4</v>
      </c>
      <c r="U695" s="5">
        <v>3.3564814814814812E-4</v>
      </c>
      <c r="V695" s="5"/>
      <c r="W695" s="5"/>
    </row>
    <row r="696" spans="1:23" x14ac:dyDescent="0.25">
      <c r="A696" s="2">
        <v>46242</v>
      </c>
      <c r="B696" s="3" t="s">
        <v>615</v>
      </c>
      <c r="C696" s="3" t="s">
        <v>636</v>
      </c>
      <c r="D696" s="3" t="s">
        <v>601</v>
      </c>
      <c r="E696" s="3" t="s">
        <v>31</v>
      </c>
      <c r="F696" s="3" t="s">
        <v>105</v>
      </c>
      <c r="G696" s="4" t="s">
        <v>33</v>
      </c>
      <c r="H696" s="4">
        <v>1</v>
      </c>
      <c r="I696" s="5">
        <v>0.16665509259259259</v>
      </c>
      <c r="J696" s="5">
        <v>2.3090277777777779E-2</v>
      </c>
      <c r="K696" s="5">
        <f t="shared" si="20"/>
        <v>2.3090277777777779E-2</v>
      </c>
      <c r="L696" s="5">
        <v>0.16116898148148148</v>
      </c>
      <c r="M696" s="6">
        <f t="shared" si="21"/>
        <v>0.96708104729495104</v>
      </c>
      <c r="N696" s="5"/>
      <c r="O696" s="5">
        <v>7.2685185185185188E-3</v>
      </c>
      <c r="P696" s="5"/>
      <c r="Q696" s="5"/>
      <c r="R696" s="5"/>
      <c r="S696" s="5">
        <v>1.1956018518518519E-2</v>
      </c>
      <c r="T696" s="5">
        <v>4.1666666666666669E-4</v>
      </c>
      <c r="U696" s="5">
        <v>0.14142361111111112</v>
      </c>
      <c r="V696" s="5"/>
      <c r="W696" s="5">
        <v>1.0416666666666667E-4</v>
      </c>
    </row>
    <row r="697" spans="1:23" x14ac:dyDescent="0.25">
      <c r="A697" s="2">
        <v>46242</v>
      </c>
      <c r="B697" s="3" t="s">
        <v>616</v>
      </c>
      <c r="C697" s="3" t="s">
        <v>637</v>
      </c>
      <c r="D697" s="3" t="s">
        <v>601</v>
      </c>
      <c r="E697" s="3" t="s">
        <v>31</v>
      </c>
      <c r="F697" s="3" t="s">
        <v>105</v>
      </c>
      <c r="G697" s="4" t="s">
        <v>33</v>
      </c>
      <c r="H697" s="4">
        <v>1</v>
      </c>
      <c r="I697" s="5">
        <v>0.1749074074074074</v>
      </c>
      <c r="J697" s="5">
        <v>1.7245370370370369E-2</v>
      </c>
      <c r="K697" s="5">
        <f t="shared" si="20"/>
        <v>1.7245370370370369E-2</v>
      </c>
      <c r="L697" s="5">
        <v>0.1650925925925926</v>
      </c>
      <c r="M697" s="6">
        <f t="shared" si="21"/>
        <v>0.9438856537850715</v>
      </c>
      <c r="N697" s="5">
        <v>4.2013888888888891E-3</v>
      </c>
      <c r="O697" s="5">
        <v>7.083333333333333E-3</v>
      </c>
      <c r="P697" s="5"/>
      <c r="Q697" s="5"/>
      <c r="R697" s="5"/>
      <c r="S697" s="5">
        <v>1.4004629629629629E-2</v>
      </c>
      <c r="T697" s="5">
        <v>7.407407407407407E-4</v>
      </c>
      <c r="U697" s="5">
        <v>0.13906250000000001</v>
      </c>
      <c r="V697" s="5"/>
      <c r="W697" s="5"/>
    </row>
    <row r="698" spans="1:23" x14ac:dyDescent="0.25">
      <c r="A698" s="2">
        <v>46242</v>
      </c>
      <c r="B698" s="3" t="s">
        <v>209</v>
      </c>
      <c r="C698" s="3" t="s">
        <v>567</v>
      </c>
      <c r="D698" s="3" t="s">
        <v>601</v>
      </c>
      <c r="E698" s="3" t="s">
        <v>31</v>
      </c>
      <c r="F698" s="3" t="s">
        <v>105</v>
      </c>
      <c r="G698" s="4" t="s">
        <v>33</v>
      </c>
      <c r="H698" s="4">
        <v>1</v>
      </c>
      <c r="I698" s="5">
        <v>0.20287037037037037</v>
      </c>
      <c r="J698" s="5">
        <v>2.7164351851851853E-2</v>
      </c>
      <c r="K698" s="5">
        <f t="shared" si="20"/>
        <v>2.7164351851851853E-2</v>
      </c>
      <c r="L698" s="5">
        <v>0.18943287037037038</v>
      </c>
      <c r="M698" s="6">
        <f t="shared" si="21"/>
        <v>0.93376312186216348</v>
      </c>
      <c r="N698" s="5">
        <v>4.9652777777777777E-3</v>
      </c>
      <c r="O698" s="5">
        <v>7.1064814814814819E-3</v>
      </c>
      <c r="P698" s="5"/>
      <c r="Q698" s="5"/>
      <c r="R698" s="5"/>
      <c r="S698" s="5">
        <v>7.1990740740740739E-3</v>
      </c>
      <c r="T698" s="5">
        <v>9.837962962962962E-4</v>
      </c>
      <c r="U698" s="5">
        <v>0.16917824074074075</v>
      </c>
      <c r="V698" s="5"/>
      <c r="W698" s="5"/>
    </row>
    <row r="699" spans="1:23" x14ac:dyDescent="0.25">
      <c r="A699" s="2">
        <v>46242</v>
      </c>
      <c r="B699" s="3" t="s">
        <v>60</v>
      </c>
      <c r="C699" s="3" t="s">
        <v>510</v>
      </c>
      <c r="D699" s="3" t="s">
        <v>100</v>
      </c>
      <c r="E699" s="3" t="s">
        <v>31</v>
      </c>
      <c r="F699" s="3" t="s">
        <v>32</v>
      </c>
      <c r="G699" s="4" t="s">
        <v>33</v>
      </c>
      <c r="H699" s="4">
        <v>27</v>
      </c>
      <c r="I699" s="5">
        <v>0.26958333333333334</v>
      </c>
      <c r="J699" s="5">
        <v>0.1076388888888889</v>
      </c>
      <c r="K699" s="5">
        <f t="shared" si="20"/>
        <v>3.9866255144032922E-3</v>
      </c>
      <c r="L699" s="5">
        <v>4.9548611111111113E-2</v>
      </c>
      <c r="M699" s="6">
        <f t="shared" si="21"/>
        <v>0.18379701184956207</v>
      </c>
      <c r="N699" s="5">
        <v>1.9675925925925926E-4</v>
      </c>
      <c r="O699" s="5">
        <v>7.7083333333333335E-3</v>
      </c>
      <c r="P699" s="5"/>
      <c r="Q699" s="5"/>
      <c r="R699" s="5">
        <v>1.7025462962962964E-2</v>
      </c>
      <c r="S699" s="5">
        <v>1.380787037037037E-2</v>
      </c>
      <c r="T699" s="5">
        <v>1.8518518518518518E-4</v>
      </c>
      <c r="U699" s="5">
        <v>1.8518518518518519E-3</v>
      </c>
      <c r="V699" s="5"/>
      <c r="W699" s="5">
        <v>8.6805555555555559E-3</v>
      </c>
    </row>
    <row r="700" spans="1:23" x14ac:dyDescent="0.25">
      <c r="A700" s="2">
        <v>46242</v>
      </c>
      <c r="B700" s="3" t="s">
        <v>132</v>
      </c>
      <c r="C700" s="3" t="s">
        <v>512</v>
      </c>
      <c r="D700" s="3" t="s">
        <v>104</v>
      </c>
      <c r="E700" s="3" t="s">
        <v>31</v>
      </c>
      <c r="F700" s="3" t="s">
        <v>105</v>
      </c>
      <c r="G700" s="4" t="s">
        <v>106</v>
      </c>
      <c r="H700" s="4">
        <v>2</v>
      </c>
      <c r="I700" s="5">
        <v>0.22877314814814814</v>
      </c>
      <c r="J700" s="5">
        <v>1.2511574074074074E-2</v>
      </c>
      <c r="K700" s="5">
        <f t="shared" si="20"/>
        <v>6.2557870370370371E-3</v>
      </c>
      <c r="L700" s="5">
        <v>0.16876157407407408</v>
      </c>
      <c r="M700" s="6">
        <f t="shared" si="21"/>
        <v>0.73768086613376505</v>
      </c>
      <c r="N700" s="5">
        <v>4.9305555555555552E-3</v>
      </c>
      <c r="O700" s="5">
        <v>1.6412037037037037E-2</v>
      </c>
      <c r="P700" s="5"/>
      <c r="Q700" s="5"/>
      <c r="R700" s="5"/>
      <c r="S700" s="5">
        <v>1.0983796296296297E-2</v>
      </c>
      <c r="T700" s="5">
        <v>3.3101851851851851E-3</v>
      </c>
      <c r="U700" s="5">
        <v>5.7060185185185183E-3</v>
      </c>
      <c r="V700" s="5"/>
      <c r="W700" s="5">
        <v>0.12741898148148148</v>
      </c>
    </row>
    <row r="701" spans="1:23" x14ac:dyDescent="0.25">
      <c r="A701" s="2">
        <v>46242</v>
      </c>
      <c r="B701" s="3" t="s">
        <v>134</v>
      </c>
      <c r="C701" s="3" t="s">
        <v>560</v>
      </c>
      <c r="D701" s="3" t="s">
        <v>104</v>
      </c>
      <c r="E701" s="3" t="s">
        <v>31</v>
      </c>
      <c r="F701" s="3" t="s">
        <v>105</v>
      </c>
      <c r="G701" s="4" t="s">
        <v>106</v>
      </c>
      <c r="H701" s="4">
        <v>5</v>
      </c>
      <c r="I701" s="5">
        <v>0.23093749999999999</v>
      </c>
      <c r="J701" s="5">
        <v>4.884259259259259E-2</v>
      </c>
      <c r="K701" s="5">
        <f t="shared" si="20"/>
        <v>9.7685185185185184E-3</v>
      </c>
      <c r="L701" s="5">
        <v>0.14900462962962963</v>
      </c>
      <c r="M701" s="6">
        <f t="shared" si="21"/>
        <v>0.64521625820678596</v>
      </c>
      <c r="N701" s="5">
        <v>2.1157407407407406E-2</v>
      </c>
      <c r="O701" s="5">
        <v>8.1944444444444452E-3</v>
      </c>
      <c r="P701" s="5"/>
      <c r="Q701" s="5"/>
      <c r="R701" s="5"/>
      <c r="S701" s="5">
        <v>5.6365740740740742E-3</v>
      </c>
      <c r="T701" s="5">
        <v>1.3298611111111112E-2</v>
      </c>
      <c r="U701" s="5">
        <v>3.2407407407407406E-4</v>
      </c>
      <c r="V701" s="5"/>
      <c r="W701" s="5">
        <v>0.10039351851851852</v>
      </c>
    </row>
    <row r="702" spans="1:23" x14ac:dyDescent="0.25">
      <c r="A702" s="2">
        <v>46242</v>
      </c>
      <c r="B702" s="3" t="s">
        <v>211</v>
      </c>
      <c r="C702" s="3" t="s">
        <v>546</v>
      </c>
      <c r="D702" s="3" t="s">
        <v>104</v>
      </c>
      <c r="E702" s="3" t="s">
        <v>31</v>
      </c>
      <c r="F702" s="3" t="s">
        <v>105</v>
      </c>
      <c r="G702" s="4" t="s">
        <v>106</v>
      </c>
      <c r="H702" s="4">
        <v>2</v>
      </c>
      <c r="I702" s="5">
        <v>0.19791666666666666</v>
      </c>
      <c r="J702" s="5">
        <v>3.8379629629629632E-2</v>
      </c>
      <c r="K702" s="5">
        <f t="shared" si="20"/>
        <v>1.9189814814814816E-2</v>
      </c>
      <c r="L702" s="5">
        <v>0.13077546296296297</v>
      </c>
      <c r="M702" s="6">
        <f t="shared" si="21"/>
        <v>0.66076023391812866</v>
      </c>
      <c r="N702" s="5"/>
      <c r="O702" s="5">
        <v>6.6203703703703702E-3</v>
      </c>
      <c r="P702" s="5">
        <v>1.6435185185185185E-3</v>
      </c>
      <c r="Q702" s="5"/>
      <c r="R702" s="5"/>
      <c r="S702" s="5">
        <v>1.1840277777777778E-2</v>
      </c>
      <c r="T702" s="5">
        <v>3.4722222222222224E-4</v>
      </c>
      <c r="U702" s="5">
        <v>4.8958333333333336E-3</v>
      </c>
      <c r="V702" s="5"/>
      <c r="W702" s="5">
        <v>0.10542824074074074</v>
      </c>
    </row>
    <row r="703" spans="1:23" x14ac:dyDescent="0.25">
      <c r="A703" s="2">
        <v>46242</v>
      </c>
      <c r="B703" s="3" t="s">
        <v>617</v>
      </c>
      <c r="C703" s="3" t="s">
        <v>638</v>
      </c>
      <c r="D703" s="3" t="s">
        <v>601</v>
      </c>
      <c r="E703" s="3" t="s">
        <v>31</v>
      </c>
      <c r="F703" s="3" t="s">
        <v>105</v>
      </c>
      <c r="G703" s="4" t="s">
        <v>33</v>
      </c>
      <c r="H703" s="4">
        <v>1</v>
      </c>
      <c r="I703" s="5">
        <v>0.16059027777777779</v>
      </c>
      <c r="J703" s="5">
        <v>1.6307870370370372E-2</v>
      </c>
      <c r="K703" s="5">
        <f t="shared" si="20"/>
        <v>1.6307870370370372E-2</v>
      </c>
      <c r="L703" s="5">
        <v>0.15403935185185186</v>
      </c>
      <c r="M703" s="6">
        <f t="shared" si="21"/>
        <v>0.9592072072072072</v>
      </c>
      <c r="N703" s="5">
        <v>1.2824074074074075E-2</v>
      </c>
      <c r="O703" s="5">
        <v>1.7187500000000001E-2</v>
      </c>
      <c r="P703" s="5"/>
      <c r="Q703" s="5"/>
      <c r="R703" s="5"/>
      <c r="S703" s="5"/>
      <c r="T703" s="5">
        <v>1.1921296296296296E-2</v>
      </c>
      <c r="U703" s="5">
        <v>9.7106481481481488E-2</v>
      </c>
      <c r="V703" s="5"/>
      <c r="W703" s="5">
        <v>1.4999999999999999E-2</v>
      </c>
    </row>
    <row r="704" spans="1:23" x14ac:dyDescent="0.25">
      <c r="A704" s="2">
        <v>46242</v>
      </c>
      <c r="B704" s="3" t="s">
        <v>213</v>
      </c>
      <c r="C704" s="3" t="s">
        <v>572</v>
      </c>
      <c r="D704" s="3" t="s">
        <v>601</v>
      </c>
      <c r="E704" s="3" t="s">
        <v>31</v>
      </c>
      <c r="F704" s="3" t="s">
        <v>105</v>
      </c>
      <c r="G704" s="4" t="s">
        <v>33</v>
      </c>
      <c r="H704" s="4">
        <v>2</v>
      </c>
      <c r="I704" s="5">
        <v>0.23894675925925926</v>
      </c>
      <c r="J704" s="5">
        <v>3.5034722222222224E-2</v>
      </c>
      <c r="K704" s="5">
        <f t="shared" si="20"/>
        <v>1.7517361111111112E-2</v>
      </c>
      <c r="L704" s="5">
        <v>0.21957175925925926</v>
      </c>
      <c r="M704" s="6">
        <f t="shared" si="21"/>
        <v>0.91891499152337131</v>
      </c>
      <c r="N704" s="5">
        <v>8.7152777777777784E-3</v>
      </c>
      <c r="O704" s="5">
        <v>1.7638888888888888E-2</v>
      </c>
      <c r="P704" s="5"/>
      <c r="Q704" s="5"/>
      <c r="R704" s="5"/>
      <c r="S704" s="5"/>
      <c r="T704" s="5">
        <v>3.7731481481481483E-3</v>
      </c>
      <c r="U704" s="5">
        <v>0.18944444444444444</v>
      </c>
      <c r="V704" s="5"/>
      <c r="W704" s="5"/>
    </row>
    <row r="705" spans="1:23" x14ac:dyDescent="0.25">
      <c r="A705" s="2">
        <v>46242</v>
      </c>
      <c r="B705" s="3" t="s">
        <v>668</v>
      </c>
      <c r="C705" s="3" t="s">
        <v>669</v>
      </c>
      <c r="D705" s="3" t="s">
        <v>233</v>
      </c>
      <c r="E705" s="3" t="s">
        <v>31</v>
      </c>
      <c r="F705" s="3" t="s">
        <v>32</v>
      </c>
      <c r="G705" s="4" t="s">
        <v>106</v>
      </c>
      <c r="H705" s="4">
        <v>18</v>
      </c>
      <c r="I705" s="5">
        <v>0.26305555555555554</v>
      </c>
      <c r="J705" s="5">
        <v>6.6087962962962959E-2</v>
      </c>
      <c r="K705" s="5">
        <f t="shared" si="20"/>
        <v>3.6715534979423867E-3</v>
      </c>
      <c r="L705" s="5">
        <v>4.7256944444444442E-2</v>
      </c>
      <c r="M705" s="6">
        <f t="shared" si="21"/>
        <v>0.17964625131995776</v>
      </c>
      <c r="N705" s="5">
        <v>8.7962962962962968E-3</v>
      </c>
      <c r="O705" s="5">
        <v>1.4467592592592593E-2</v>
      </c>
      <c r="P705" s="5"/>
      <c r="Q705" s="5"/>
      <c r="R705" s="5"/>
      <c r="S705" s="5">
        <v>1.3171296296296296E-2</v>
      </c>
      <c r="T705" s="5">
        <v>1.0092592592592592E-2</v>
      </c>
      <c r="U705" s="5">
        <v>7.1759259259259259E-4</v>
      </c>
      <c r="V705" s="5"/>
      <c r="W705" s="5"/>
    </row>
    <row r="706" spans="1:23" x14ac:dyDescent="0.25">
      <c r="A706" s="2">
        <v>46242</v>
      </c>
      <c r="B706" s="3" t="s">
        <v>744</v>
      </c>
      <c r="C706" s="3" t="s">
        <v>670</v>
      </c>
      <c r="D706" s="3" t="s">
        <v>100</v>
      </c>
      <c r="E706" s="3" t="s">
        <v>31</v>
      </c>
      <c r="F706" s="3" t="s">
        <v>32</v>
      </c>
      <c r="G706" s="4" t="s">
        <v>33</v>
      </c>
      <c r="H706" s="4">
        <v>26</v>
      </c>
      <c r="I706" s="5">
        <v>0.23601851851851852</v>
      </c>
      <c r="J706" s="5">
        <v>5.5717592592592589E-2</v>
      </c>
      <c r="K706" s="5">
        <f t="shared" ref="K706:K769" si="22">IFERROR(J706/H706,0)</f>
        <v>2.1429843304843306E-3</v>
      </c>
      <c r="L706" s="5">
        <v>7.1770833333333339E-2</v>
      </c>
      <c r="M706" s="6">
        <f t="shared" ref="M706:M769" si="23">IFERROR(L706/I706,0)</f>
        <v>0.3040898391526089</v>
      </c>
      <c r="N706" s="5">
        <v>3.2187500000000001E-2</v>
      </c>
      <c r="O706" s="5">
        <v>7.0949074074074074E-3</v>
      </c>
      <c r="P706" s="5"/>
      <c r="Q706" s="5"/>
      <c r="R706" s="5">
        <v>1.4976851851851852E-2</v>
      </c>
      <c r="S706" s="5"/>
      <c r="T706" s="5">
        <v>2.199074074074074E-4</v>
      </c>
      <c r="U706" s="5">
        <v>7.7546296296296293E-4</v>
      </c>
      <c r="V706" s="5"/>
      <c r="W706" s="5">
        <v>1.6516203703703703E-2</v>
      </c>
    </row>
    <row r="707" spans="1:23" x14ac:dyDescent="0.25">
      <c r="A707" s="2">
        <v>46242</v>
      </c>
      <c r="B707" s="3" t="s">
        <v>219</v>
      </c>
      <c r="C707" s="3" t="s">
        <v>548</v>
      </c>
      <c r="D707" s="3" t="s">
        <v>104</v>
      </c>
      <c r="E707" s="3" t="s">
        <v>31</v>
      </c>
      <c r="F707" s="3" t="s">
        <v>105</v>
      </c>
      <c r="G707" s="4" t="s">
        <v>106</v>
      </c>
      <c r="H707" s="4">
        <v>2</v>
      </c>
      <c r="I707" s="5">
        <v>0.19215277777777778</v>
      </c>
      <c r="J707" s="5">
        <v>3.3020833333333333E-2</v>
      </c>
      <c r="K707" s="5">
        <f t="shared" si="22"/>
        <v>1.6510416666666666E-2</v>
      </c>
      <c r="L707" s="5">
        <v>0.1582638888888889</v>
      </c>
      <c r="M707" s="6">
        <f t="shared" si="23"/>
        <v>0.82363570654138063</v>
      </c>
      <c r="N707" s="5">
        <v>2.042824074074074E-2</v>
      </c>
      <c r="O707" s="5">
        <v>4.2476851851851851E-3</v>
      </c>
      <c r="P707" s="5"/>
      <c r="Q707" s="5"/>
      <c r="R707" s="5"/>
      <c r="S707" s="5"/>
      <c r="T707" s="5">
        <v>5.4456018518518522E-2</v>
      </c>
      <c r="U707" s="5">
        <v>1.8634259259259259E-3</v>
      </c>
      <c r="V707" s="5"/>
      <c r="W707" s="5">
        <v>7.7268518518518514E-2</v>
      </c>
    </row>
    <row r="708" spans="1:23" x14ac:dyDescent="0.25">
      <c r="A708" s="2">
        <v>46242</v>
      </c>
      <c r="B708" s="3" t="s">
        <v>305</v>
      </c>
      <c r="C708" s="3" t="s">
        <v>306</v>
      </c>
      <c r="D708" s="3" t="s">
        <v>100</v>
      </c>
      <c r="E708" s="3" t="s">
        <v>31</v>
      </c>
      <c r="F708" s="3" t="s">
        <v>32</v>
      </c>
      <c r="G708" s="4" t="s">
        <v>33</v>
      </c>
      <c r="H708" s="4">
        <v>18</v>
      </c>
      <c r="I708" s="5">
        <v>0.24925925925925926</v>
      </c>
      <c r="J708" s="5">
        <v>6.6446759259259261E-2</v>
      </c>
      <c r="K708" s="5">
        <f t="shared" si="22"/>
        <v>3.6914866255144032E-3</v>
      </c>
      <c r="L708" s="5">
        <v>7.0798611111111118E-2</v>
      </c>
      <c r="M708" s="6">
        <f t="shared" si="23"/>
        <v>0.28403603268945027</v>
      </c>
      <c r="N708" s="5">
        <v>2.6238425925925925E-2</v>
      </c>
      <c r="O708" s="5"/>
      <c r="P708" s="5"/>
      <c r="Q708" s="5"/>
      <c r="R708" s="5">
        <v>3.6689814814814814E-3</v>
      </c>
      <c r="S708" s="5">
        <v>1.5428240740740741E-2</v>
      </c>
      <c r="T708" s="5">
        <v>1.0185185185185184E-3</v>
      </c>
      <c r="U708" s="5"/>
      <c r="V708" s="5"/>
      <c r="W708" s="5">
        <v>2.4444444444444446E-2</v>
      </c>
    </row>
    <row r="709" spans="1:23" x14ac:dyDescent="0.25">
      <c r="A709" s="2">
        <v>46242</v>
      </c>
      <c r="B709" s="3" t="s">
        <v>620</v>
      </c>
      <c r="C709" s="3" t="s">
        <v>641</v>
      </c>
      <c r="D709" s="3" t="s">
        <v>601</v>
      </c>
      <c r="E709" s="3" t="s">
        <v>31</v>
      </c>
      <c r="F709" s="3" t="s">
        <v>105</v>
      </c>
      <c r="G709" s="4" t="s">
        <v>33</v>
      </c>
      <c r="H709" s="4">
        <v>1</v>
      </c>
      <c r="I709" s="5">
        <v>0.19230324074074073</v>
      </c>
      <c r="J709" s="5">
        <v>2.8009259259259258E-2</v>
      </c>
      <c r="K709" s="5">
        <f t="shared" si="22"/>
        <v>2.8009259259259258E-2</v>
      </c>
      <c r="L709" s="5">
        <v>0.17996527777777777</v>
      </c>
      <c r="M709" s="6">
        <f t="shared" si="23"/>
        <v>0.93584110743304239</v>
      </c>
      <c r="N709" s="5">
        <v>2.7314814814814814E-3</v>
      </c>
      <c r="O709" s="5">
        <v>1.4976851851851852E-2</v>
      </c>
      <c r="P709" s="5"/>
      <c r="Q709" s="5"/>
      <c r="R709" s="5"/>
      <c r="S709" s="5">
        <v>1.1678240740740741E-2</v>
      </c>
      <c r="T709" s="5">
        <v>3.1250000000000002E-3</v>
      </c>
      <c r="U709" s="5">
        <v>0.1474537037037037</v>
      </c>
      <c r="V709" s="5"/>
      <c r="W709" s="5"/>
    </row>
    <row r="710" spans="1:23" x14ac:dyDescent="0.25">
      <c r="A710" s="2">
        <v>46242</v>
      </c>
      <c r="B710" s="3" t="s">
        <v>138</v>
      </c>
      <c r="C710" s="3" t="s">
        <v>556</v>
      </c>
      <c r="D710" s="3" t="s">
        <v>104</v>
      </c>
      <c r="E710" s="3" t="s">
        <v>31</v>
      </c>
      <c r="F710" s="3" t="s">
        <v>105</v>
      </c>
      <c r="G710" s="4" t="s">
        <v>106</v>
      </c>
      <c r="H710" s="4">
        <v>4</v>
      </c>
      <c r="I710" s="5">
        <v>0.20349537037037038</v>
      </c>
      <c r="J710" s="5">
        <v>6.3379629629629633E-2</v>
      </c>
      <c r="K710" s="5">
        <f t="shared" si="22"/>
        <v>1.5844907407407408E-2</v>
      </c>
      <c r="L710" s="5">
        <v>0.12318287037037037</v>
      </c>
      <c r="M710" s="6">
        <f t="shared" si="23"/>
        <v>0.60533500170629051</v>
      </c>
      <c r="N710" s="5">
        <v>5.5787037037037038E-3</v>
      </c>
      <c r="O710" s="5">
        <v>1.9490740740740739E-2</v>
      </c>
      <c r="P710" s="5"/>
      <c r="Q710" s="5"/>
      <c r="R710" s="5"/>
      <c r="S710" s="5">
        <v>1.6319444444444445E-2</v>
      </c>
      <c r="T710" s="5">
        <v>9.9768518518518513E-3</v>
      </c>
      <c r="U710" s="5">
        <v>1.238425925925926E-3</v>
      </c>
      <c r="V710" s="5"/>
      <c r="W710" s="5">
        <v>7.0578703703703699E-2</v>
      </c>
    </row>
    <row r="711" spans="1:23" x14ac:dyDescent="0.25">
      <c r="A711" s="2">
        <v>46242</v>
      </c>
      <c r="B711" s="3" t="s">
        <v>276</v>
      </c>
      <c r="C711" s="3" t="s">
        <v>532</v>
      </c>
      <c r="D711" s="3" t="s">
        <v>233</v>
      </c>
      <c r="E711" s="3" t="s">
        <v>31</v>
      </c>
      <c r="F711" s="3" t="s">
        <v>32</v>
      </c>
      <c r="G711" s="4" t="s">
        <v>106</v>
      </c>
      <c r="H711" s="4">
        <v>6</v>
      </c>
      <c r="I711" s="5">
        <v>0.10363425925925926</v>
      </c>
      <c r="J711" s="5">
        <v>2.7534722222222221E-2</v>
      </c>
      <c r="K711" s="5">
        <f t="shared" si="22"/>
        <v>4.5891203703703701E-3</v>
      </c>
      <c r="L711" s="5">
        <v>3.2708333333333332E-2</v>
      </c>
      <c r="M711" s="6">
        <f t="shared" si="23"/>
        <v>0.31561313379495198</v>
      </c>
      <c r="N711" s="5">
        <v>4.4791666666666669E-3</v>
      </c>
      <c r="O711" s="5">
        <v>6.5393518518518517E-3</v>
      </c>
      <c r="P711" s="5"/>
      <c r="Q711" s="5"/>
      <c r="R711" s="5"/>
      <c r="S711" s="5"/>
      <c r="T711" s="5">
        <v>2.1689814814814815E-2</v>
      </c>
      <c r="U711" s="5"/>
      <c r="V711" s="5"/>
      <c r="W711" s="5"/>
    </row>
    <row r="712" spans="1:23" x14ac:dyDescent="0.25">
      <c r="A712" s="2">
        <v>46242</v>
      </c>
      <c r="B712" s="3" t="s">
        <v>278</v>
      </c>
      <c r="C712" s="3" t="s">
        <v>533</v>
      </c>
      <c r="D712" s="3" t="s">
        <v>233</v>
      </c>
      <c r="E712" s="3" t="s">
        <v>31</v>
      </c>
      <c r="F712" s="3" t="s">
        <v>32</v>
      </c>
      <c r="G712" s="4" t="s">
        <v>106</v>
      </c>
      <c r="H712" s="4">
        <v>16</v>
      </c>
      <c r="I712" s="5">
        <v>0.2696412037037037</v>
      </c>
      <c r="J712" s="5">
        <v>0.10398148148148148</v>
      </c>
      <c r="K712" s="5">
        <f t="shared" si="22"/>
        <v>6.4988425925925925E-3</v>
      </c>
      <c r="L712" s="5">
        <v>3.2708333333333332E-2</v>
      </c>
      <c r="M712" s="6">
        <f t="shared" si="23"/>
        <v>0.12130317208224234</v>
      </c>
      <c r="N712" s="5">
        <v>2.8703703703703703E-3</v>
      </c>
      <c r="O712" s="5">
        <v>1.3900462962962963E-2</v>
      </c>
      <c r="P712" s="5"/>
      <c r="Q712" s="5">
        <v>5.7870370370370373E-5</v>
      </c>
      <c r="R712" s="5"/>
      <c r="S712" s="5">
        <v>1.3888888888888888E-2</v>
      </c>
      <c r="T712" s="5">
        <v>1.9907407407407408E-3</v>
      </c>
      <c r="U712" s="5"/>
      <c r="V712" s="5"/>
      <c r="W712" s="5"/>
    </row>
    <row r="713" spans="1:23" x14ac:dyDescent="0.25">
      <c r="A713" s="2">
        <v>46242</v>
      </c>
      <c r="B713" s="3" t="s">
        <v>313</v>
      </c>
      <c r="C713" s="3" t="s">
        <v>511</v>
      </c>
      <c r="D713" s="3" t="s">
        <v>78</v>
      </c>
      <c r="E713" s="3" t="s">
        <v>79</v>
      </c>
      <c r="F713" s="3" t="s">
        <v>80</v>
      </c>
      <c r="G713" s="4" t="s">
        <v>81</v>
      </c>
      <c r="H713" s="4">
        <v>1</v>
      </c>
      <c r="I713" s="5">
        <v>0.26002314814814814</v>
      </c>
      <c r="J713" s="5">
        <v>1.6319444444444445E-2</v>
      </c>
      <c r="K713" s="5">
        <f t="shared" si="22"/>
        <v>1.6319444444444445E-2</v>
      </c>
      <c r="L713" s="5">
        <v>1.6828703703703703E-2</v>
      </c>
      <c r="M713" s="6">
        <f t="shared" si="23"/>
        <v>6.4720021365619163E-2</v>
      </c>
      <c r="N713" s="5">
        <v>3.0092592592592593E-3</v>
      </c>
      <c r="O713" s="5">
        <v>1.3680555555555555E-2</v>
      </c>
      <c r="P713" s="5"/>
      <c r="Q713" s="5"/>
      <c r="R713" s="5"/>
      <c r="S713" s="5"/>
      <c r="T713" s="5">
        <v>1.3888888888888889E-4</v>
      </c>
      <c r="U713" s="5"/>
      <c r="V713" s="5"/>
      <c r="W713" s="5"/>
    </row>
    <row r="714" spans="1:23" x14ac:dyDescent="0.25">
      <c r="A714" s="2">
        <v>46242</v>
      </c>
      <c r="B714" s="3" t="s">
        <v>673</v>
      </c>
      <c r="C714" s="3" t="s">
        <v>674</v>
      </c>
      <c r="D714" s="3" t="s">
        <v>104</v>
      </c>
      <c r="E714" s="3" t="s">
        <v>31</v>
      </c>
      <c r="F714" s="3" t="s">
        <v>105</v>
      </c>
      <c r="G714" s="4" t="s">
        <v>106</v>
      </c>
      <c r="H714" s="4">
        <v>2</v>
      </c>
      <c r="I714" s="5">
        <v>0.22541666666666665</v>
      </c>
      <c r="J714" s="5">
        <v>1.5856481481481481E-3</v>
      </c>
      <c r="K714" s="5">
        <f t="shared" si="22"/>
        <v>7.9282407407407405E-4</v>
      </c>
      <c r="L714" s="5">
        <v>0.19417824074074075</v>
      </c>
      <c r="M714" s="6">
        <f t="shared" si="23"/>
        <v>0.86141918258369288</v>
      </c>
      <c r="N714" s="5">
        <v>8.0092592592592594E-3</v>
      </c>
      <c r="O714" s="5">
        <v>7.9166666666666673E-3</v>
      </c>
      <c r="P714" s="5"/>
      <c r="Q714" s="5">
        <v>3.0115740740740742E-2</v>
      </c>
      <c r="R714" s="5"/>
      <c r="S714" s="5">
        <v>1.3888888888888888E-2</v>
      </c>
      <c r="T714" s="5">
        <v>2.4305555555555555E-4</v>
      </c>
      <c r="U714" s="5">
        <v>2.3148148148148149E-4</v>
      </c>
      <c r="V714" s="5"/>
      <c r="W714" s="5">
        <v>0.13377314814814814</v>
      </c>
    </row>
    <row r="715" spans="1:23" x14ac:dyDescent="0.25">
      <c r="A715" s="2">
        <v>46242</v>
      </c>
      <c r="B715" s="3" t="s">
        <v>225</v>
      </c>
      <c r="C715" s="3" t="s">
        <v>549</v>
      </c>
      <c r="D715" s="3" t="s">
        <v>601</v>
      </c>
      <c r="E715" s="3" t="s">
        <v>31</v>
      </c>
      <c r="F715" s="3" t="s">
        <v>105</v>
      </c>
      <c r="G715" s="4" t="s">
        <v>33</v>
      </c>
      <c r="H715" s="4">
        <v>1</v>
      </c>
      <c r="I715" s="5">
        <v>0.11417824074074075</v>
      </c>
      <c r="J715" s="5">
        <v>1.7199074074074075E-2</v>
      </c>
      <c r="K715" s="5">
        <f t="shared" si="22"/>
        <v>1.7199074074074075E-2</v>
      </c>
      <c r="L715" s="5">
        <v>9.6087962962962958E-2</v>
      </c>
      <c r="M715" s="6">
        <f t="shared" si="23"/>
        <v>0.84156107450582862</v>
      </c>
      <c r="N715" s="5">
        <v>4.0740740740740737E-3</v>
      </c>
      <c r="O715" s="5">
        <v>6.3425925925925924E-3</v>
      </c>
      <c r="P715" s="5"/>
      <c r="Q715" s="5"/>
      <c r="R715" s="5"/>
      <c r="S715" s="5">
        <v>1.2175925925925925E-2</v>
      </c>
      <c r="T715" s="5">
        <v>1.3773148148148147E-3</v>
      </c>
      <c r="U715" s="5">
        <v>7.211805555555556E-2</v>
      </c>
      <c r="V715" s="5"/>
      <c r="W715" s="5"/>
    </row>
    <row r="716" spans="1:23" x14ac:dyDescent="0.25">
      <c r="A716" s="2">
        <v>46242</v>
      </c>
      <c r="B716" s="3" t="s">
        <v>299</v>
      </c>
      <c r="C716" s="3" t="s">
        <v>571</v>
      </c>
      <c r="D716" s="3" t="s">
        <v>104</v>
      </c>
      <c r="E716" s="3" t="s">
        <v>31</v>
      </c>
      <c r="F716" s="3" t="s">
        <v>105</v>
      </c>
      <c r="G716" s="4" t="s">
        <v>106</v>
      </c>
      <c r="H716" s="4">
        <v>4</v>
      </c>
      <c r="I716" s="5">
        <v>0.23300925925925925</v>
      </c>
      <c r="J716" s="5">
        <v>4.2465277777777775E-2</v>
      </c>
      <c r="K716" s="5">
        <f t="shared" si="22"/>
        <v>1.0616319444444444E-2</v>
      </c>
      <c r="L716" s="5">
        <v>0.15592592592592591</v>
      </c>
      <c r="M716" s="6">
        <f t="shared" si="23"/>
        <v>0.66918338962845214</v>
      </c>
      <c r="N716" s="5">
        <v>3.8912037037037037E-2</v>
      </c>
      <c r="O716" s="5">
        <v>1.474537037037037E-2</v>
      </c>
      <c r="P716" s="5"/>
      <c r="Q716" s="5"/>
      <c r="R716" s="5"/>
      <c r="S716" s="5">
        <v>1.3425925925925926E-2</v>
      </c>
      <c r="T716" s="5">
        <v>4.3981481481481481E-4</v>
      </c>
      <c r="U716" s="5">
        <v>6.9675925925925929E-3</v>
      </c>
      <c r="V716" s="5"/>
      <c r="W716" s="5">
        <v>8.143518518518518E-2</v>
      </c>
    </row>
    <row r="717" spans="1:23" x14ac:dyDescent="0.25">
      <c r="A717" s="2">
        <v>46242</v>
      </c>
      <c r="B717" s="3" t="s">
        <v>227</v>
      </c>
      <c r="C717" s="3" t="s">
        <v>557</v>
      </c>
      <c r="D717" s="3" t="s">
        <v>146</v>
      </c>
      <c r="E717" s="3" t="s">
        <v>79</v>
      </c>
      <c r="F717" s="3" t="s">
        <v>147</v>
      </c>
      <c r="G717" s="4" t="s">
        <v>106</v>
      </c>
      <c r="H717" s="4">
        <v>8</v>
      </c>
      <c r="I717" s="5">
        <v>0.25780092592592591</v>
      </c>
      <c r="J717" s="5">
        <v>2.087962962962963E-2</v>
      </c>
      <c r="K717" s="5">
        <f t="shared" si="22"/>
        <v>2.6099537037037037E-3</v>
      </c>
      <c r="L717" s="5">
        <v>3.6608796296296299E-2</v>
      </c>
      <c r="M717" s="6">
        <f t="shared" si="23"/>
        <v>0.14200413037622342</v>
      </c>
      <c r="N717" s="5">
        <v>6.6319444444444446E-3</v>
      </c>
      <c r="O717" s="5">
        <v>1.2372685185185184E-2</v>
      </c>
      <c r="P717" s="5"/>
      <c r="Q717" s="5">
        <v>2.8124999999999999E-3</v>
      </c>
      <c r="R717" s="5"/>
      <c r="S717" s="5">
        <v>1.3541666666666667E-2</v>
      </c>
      <c r="T717" s="5">
        <v>5.7870370370370373E-5</v>
      </c>
      <c r="U717" s="5">
        <v>1.1342592592592593E-3</v>
      </c>
      <c r="V717" s="5"/>
      <c r="W717" s="5"/>
    </row>
    <row r="718" spans="1:23" x14ac:dyDescent="0.25">
      <c r="A718" s="2">
        <v>46242</v>
      </c>
      <c r="B718" s="3" t="s">
        <v>282</v>
      </c>
      <c r="C718" s="3" t="s">
        <v>535</v>
      </c>
      <c r="D718" s="3" t="s">
        <v>233</v>
      </c>
      <c r="E718" s="3" t="s">
        <v>31</v>
      </c>
      <c r="F718" s="3" t="s">
        <v>32</v>
      </c>
      <c r="G718" s="4" t="s">
        <v>106</v>
      </c>
      <c r="H718" s="4">
        <v>1</v>
      </c>
      <c r="I718" s="5">
        <v>3.0960648148148147E-2</v>
      </c>
      <c r="J718" s="5">
        <v>3.8310185185185183E-3</v>
      </c>
      <c r="K718" s="5">
        <f t="shared" si="22"/>
        <v>3.8310185185185183E-3</v>
      </c>
      <c r="L718" s="5">
        <v>4.9768518518518521E-4</v>
      </c>
      <c r="M718" s="6">
        <f t="shared" si="23"/>
        <v>1.6074766355140189E-2</v>
      </c>
      <c r="N718" s="5"/>
      <c r="O718" s="5"/>
      <c r="P718" s="5"/>
      <c r="Q718" s="5"/>
      <c r="R718" s="5"/>
      <c r="S718" s="5"/>
      <c r="T718" s="5">
        <v>4.9768518518518521E-4</v>
      </c>
      <c r="U718" s="5"/>
      <c r="V718" s="5"/>
      <c r="W718" s="5"/>
    </row>
    <row r="719" spans="1:23" x14ac:dyDescent="0.25">
      <c r="A719" s="2">
        <v>46242</v>
      </c>
      <c r="B719" s="3" t="s">
        <v>675</v>
      </c>
      <c r="C719" s="3" t="s">
        <v>676</v>
      </c>
      <c r="D719" s="3" t="s">
        <v>104</v>
      </c>
      <c r="E719" s="3" t="s">
        <v>31</v>
      </c>
      <c r="F719" s="3" t="s">
        <v>105</v>
      </c>
      <c r="G719" s="4" t="s">
        <v>106</v>
      </c>
      <c r="H719" s="4">
        <v>3</v>
      </c>
      <c r="I719" s="5">
        <v>0.22050925925925927</v>
      </c>
      <c r="J719" s="5">
        <v>6.0451388888888888E-2</v>
      </c>
      <c r="K719" s="5">
        <f t="shared" si="22"/>
        <v>2.0150462962962964E-2</v>
      </c>
      <c r="L719" s="5">
        <v>0.1333449074074074</v>
      </c>
      <c r="M719" s="6">
        <f t="shared" si="23"/>
        <v>0.60471341591433969</v>
      </c>
      <c r="N719" s="5">
        <v>2.2685185185185187E-3</v>
      </c>
      <c r="O719" s="5">
        <v>6.7708333333333336E-3</v>
      </c>
      <c r="P719" s="5"/>
      <c r="Q719" s="5">
        <v>3.1747685185185184E-2</v>
      </c>
      <c r="R719" s="5"/>
      <c r="S719" s="5">
        <v>6.3194444444444444E-3</v>
      </c>
      <c r="T719" s="5">
        <v>6.018518518518519E-4</v>
      </c>
      <c r="U719" s="5"/>
      <c r="V719" s="5"/>
      <c r="W719" s="5">
        <v>8.5636574074074073E-2</v>
      </c>
    </row>
    <row r="720" spans="1:23" x14ac:dyDescent="0.25">
      <c r="A720" s="2">
        <v>46242</v>
      </c>
      <c r="B720" s="3" t="s">
        <v>677</v>
      </c>
      <c r="C720" s="3" t="s">
        <v>678</v>
      </c>
      <c r="D720" s="3" t="s">
        <v>274</v>
      </c>
      <c r="E720" s="3" t="s">
        <v>79</v>
      </c>
      <c r="F720" s="3" t="s">
        <v>147</v>
      </c>
      <c r="G720" s="4" t="s">
        <v>33</v>
      </c>
      <c r="H720" s="4">
        <v>9</v>
      </c>
      <c r="I720" s="5">
        <v>0.26234953703703706</v>
      </c>
      <c r="J720" s="5">
        <v>5.1574074074074071E-2</v>
      </c>
      <c r="K720" s="5">
        <f t="shared" si="22"/>
        <v>5.7304526748971187E-3</v>
      </c>
      <c r="L720" s="5">
        <v>4.3472222222222225E-2</v>
      </c>
      <c r="M720" s="6">
        <f t="shared" si="23"/>
        <v>0.16570344553756561</v>
      </c>
      <c r="N720" s="5">
        <v>2.9861111111111113E-3</v>
      </c>
      <c r="O720" s="5">
        <v>1.4108796296296296E-2</v>
      </c>
      <c r="P720" s="5"/>
      <c r="Q720" s="5"/>
      <c r="R720" s="5">
        <v>9.432870370370371E-3</v>
      </c>
      <c r="S720" s="5">
        <v>1.3969907407407407E-2</v>
      </c>
      <c r="T720" s="5">
        <v>2.6620370370370372E-4</v>
      </c>
      <c r="U720" s="5">
        <v>2.6157407407407405E-3</v>
      </c>
      <c r="V720" s="5"/>
      <c r="W720" s="5"/>
    </row>
    <row r="721" spans="1:23" x14ac:dyDescent="0.25">
      <c r="A721" s="2">
        <v>46244</v>
      </c>
      <c r="B721" s="3" t="s">
        <v>186</v>
      </c>
      <c r="C721" s="3" t="s">
        <v>562</v>
      </c>
      <c r="D721" s="3" t="s">
        <v>78</v>
      </c>
      <c r="E721" s="3" t="s">
        <v>79</v>
      </c>
      <c r="F721" s="3" t="s">
        <v>80</v>
      </c>
      <c r="G721" s="4" t="s">
        <v>33</v>
      </c>
      <c r="H721" s="4">
        <v>2</v>
      </c>
      <c r="I721" s="5">
        <v>0.26806712962962964</v>
      </c>
      <c r="J721" s="5">
        <v>6.1921296296296299E-3</v>
      </c>
      <c r="K721" s="5">
        <f t="shared" si="22"/>
        <v>3.0960648148148149E-3</v>
      </c>
      <c r="L721" s="5">
        <v>3.9386574074074074E-2</v>
      </c>
      <c r="M721" s="6">
        <f t="shared" si="23"/>
        <v>0.14692802556020895</v>
      </c>
      <c r="N721" s="5">
        <v>6.5277777777777782E-3</v>
      </c>
      <c r="O721" s="5">
        <v>1.5543981481481482E-2</v>
      </c>
      <c r="P721" s="5"/>
      <c r="Q721" s="5"/>
      <c r="R721" s="5"/>
      <c r="S721" s="5">
        <v>1.6111111111111111E-2</v>
      </c>
      <c r="T721" s="5">
        <v>5.2083333333333333E-4</v>
      </c>
      <c r="U721" s="5">
        <v>6.5972222222222224E-4</v>
      </c>
      <c r="V721" s="5"/>
      <c r="W721" s="5"/>
    </row>
    <row r="722" spans="1:23" x14ac:dyDescent="0.25">
      <c r="A722" s="2">
        <v>46244</v>
      </c>
      <c r="B722" s="3" t="s">
        <v>643</v>
      </c>
      <c r="C722" s="3" t="s">
        <v>644</v>
      </c>
      <c r="D722" s="3" t="s">
        <v>233</v>
      </c>
      <c r="E722" s="3" t="s">
        <v>31</v>
      </c>
      <c r="F722" s="3" t="s">
        <v>32</v>
      </c>
      <c r="G722" s="4" t="s">
        <v>106</v>
      </c>
      <c r="H722" s="4">
        <v>20</v>
      </c>
      <c r="I722" s="5">
        <v>0.25575231481481481</v>
      </c>
      <c r="J722" s="5">
        <v>0.16665509259259259</v>
      </c>
      <c r="K722" s="5">
        <f t="shared" si="22"/>
        <v>8.3327546296296292E-3</v>
      </c>
      <c r="L722" s="5">
        <v>3.5347222222222224E-2</v>
      </c>
      <c r="M722" s="6">
        <f t="shared" si="23"/>
        <v>0.13820880662533377</v>
      </c>
      <c r="N722" s="5">
        <v>6.6435185185185182E-3</v>
      </c>
      <c r="O722" s="5">
        <v>1.4328703703703703E-2</v>
      </c>
      <c r="P722" s="5"/>
      <c r="Q722" s="5"/>
      <c r="R722" s="5"/>
      <c r="S722" s="5">
        <v>1.3703703703703704E-2</v>
      </c>
      <c r="T722" s="5">
        <v>6.9444444444444444E-5</v>
      </c>
      <c r="U722" s="5">
        <v>5.9027777777777778E-4</v>
      </c>
      <c r="V722" s="5"/>
      <c r="W722" s="5"/>
    </row>
    <row r="723" spans="1:23" x14ac:dyDescent="0.25">
      <c r="A723" s="2">
        <v>46244</v>
      </c>
      <c r="B723" s="3" t="s">
        <v>193</v>
      </c>
      <c r="C723" s="3" t="s">
        <v>563</v>
      </c>
      <c r="D723" s="3" t="s">
        <v>274</v>
      </c>
      <c r="E723" s="3" t="s">
        <v>79</v>
      </c>
      <c r="F723" s="3" t="s">
        <v>147</v>
      </c>
      <c r="G723" s="4" t="s">
        <v>33</v>
      </c>
      <c r="H723" s="4">
        <v>18</v>
      </c>
      <c r="I723" s="5">
        <v>0.26671296296296299</v>
      </c>
      <c r="J723" s="5">
        <v>6.4548611111111112E-2</v>
      </c>
      <c r="K723" s="5">
        <f t="shared" si="22"/>
        <v>3.5860339506172839E-3</v>
      </c>
      <c r="L723" s="5">
        <v>2.795138888888889E-2</v>
      </c>
      <c r="M723" s="6">
        <f t="shared" si="23"/>
        <v>0.10479951397326853</v>
      </c>
      <c r="N723" s="5"/>
      <c r="O723" s="5">
        <v>6.9328703703703705E-3</v>
      </c>
      <c r="P723" s="5"/>
      <c r="Q723" s="5"/>
      <c r="R723" s="5">
        <v>6.9675925925925929E-3</v>
      </c>
      <c r="S723" s="5">
        <v>1.3993055555555555E-2</v>
      </c>
      <c r="T723" s="5">
        <v>5.7870370370370373E-5</v>
      </c>
      <c r="U723" s="5"/>
      <c r="V723" s="5"/>
      <c r="W723" s="5"/>
    </row>
    <row r="724" spans="1:23" x14ac:dyDescent="0.25">
      <c r="A724" s="2">
        <v>46244</v>
      </c>
      <c r="B724" s="3" t="s">
        <v>231</v>
      </c>
      <c r="C724" s="3" t="s">
        <v>525</v>
      </c>
      <c r="D724" s="3" t="s">
        <v>233</v>
      </c>
      <c r="E724" s="3" t="s">
        <v>31</v>
      </c>
      <c r="F724" s="3" t="s">
        <v>32</v>
      </c>
      <c r="G724" s="4" t="s">
        <v>106</v>
      </c>
      <c r="H724" s="4">
        <v>41</v>
      </c>
      <c r="I724" s="5">
        <v>0.2628125</v>
      </c>
      <c r="J724" s="5">
        <v>0.13798611111111111</v>
      </c>
      <c r="K724" s="5">
        <f t="shared" si="22"/>
        <v>3.3655149051490516E-3</v>
      </c>
      <c r="L724" s="5">
        <v>4.7881944444444442E-2</v>
      </c>
      <c r="M724" s="6">
        <f t="shared" si="23"/>
        <v>0.18219051393843308</v>
      </c>
      <c r="N724" s="5">
        <v>3.414351851851852E-3</v>
      </c>
      <c r="O724" s="5">
        <v>1.3877314814814815E-2</v>
      </c>
      <c r="P724" s="5"/>
      <c r="Q724" s="5"/>
      <c r="R724" s="5">
        <v>1.2592592592592593E-2</v>
      </c>
      <c r="S724" s="5">
        <v>1.3645833333333333E-2</v>
      </c>
      <c r="T724" s="5">
        <v>3.8773148148148148E-3</v>
      </c>
      <c r="U724" s="5">
        <v>4.2824074074074075E-4</v>
      </c>
      <c r="V724" s="5"/>
      <c r="W724" s="5"/>
    </row>
    <row r="725" spans="1:23" x14ac:dyDescent="0.25">
      <c r="A725" s="2">
        <v>46244</v>
      </c>
      <c r="B725" s="3" t="s">
        <v>148</v>
      </c>
      <c r="C725" s="3" t="s">
        <v>513</v>
      </c>
      <c r="D725" s="3" t="s">
        <v>104</v>
      </c>
      <c r="E725" s="3" t="s">
        <v>31</v>
      </c>
      <c r="F725" s="3" t="s">
        <v>105</v>
      </c>
      <c r="G725" s="4" t="s">
        <v>106</v>
      </c>
      <c r="H725" s="4">
        <v>7</v>
      </c>
      <c r="I725" s="5">
        <v>0.23854166666666668</v>
      </c>
      <c r="J725" s="5">
        <v>0.14166666666666666</v>
      </c>
      <c r="K725" s="5">
        <f t="shared" si="22"/>
        <v>2.0238095238095239E-2</v>
      </c>
      <c r="L725" s="5">
        <v>0.14334490740740741</v>
      </c>
      <c r="M725" s="6">
        <f t="shared" si="23"/>
        <v>0.60092188258127122</v>
      </c>
      <c r="N725" s="5">
        <v>3.2175925925925926E-3</v>
      </c>
      <c r="O725" s="5">
        <v>1.4097222222222223E-2</v>
      </c>
      <c r="P725" s="5"/>
      <c r="Q725" s="5"/>
      <c r="R725" s="5"/>
      <c r="S725" s="5">
        <v>1.40625E-2</v>
      </c>
      <c r="T725" s="5">
        <v>1.3136574074074075E-2</v>
      </c>
      <c r="U725" s="5">
        <v>3.4722222222222224E-4</v>
      </c>
      <c r="V725" s="5"/>
      <c r="W725" s="5">
        <v>9.8483796296296292E-2</v>
      </c>
    </row>
    <row r="726" spans="1:23" x14ac:dyDescent="0.25">
      <c r="A726" s="2">
        <v>46244</v>
      </c>
      <c r="B726" s="3" t="s">
        <v>82</v>
      </c>
      <c r="C726" s="3" t="s">
        <v>83</v>
      </c>
      <c r="D726" s="3" t="s">
        <v>78</v>
      </c>
      <c r="E726" s="3" t="s">
        <v>79</v>
      </c>
      <c r="F726" s="3" t="s">
        <v>80</v>
      </c>
      <c r="G726" s="4" t="s">
        <v>81</v>
      </c>
      <c r="H726" s="4">
        <v>0</v>
      </c>
      <c r="I726" s="5">
        <v>0.31284722222222222</v>
      </c>
      <c r="J726" s="5">
        <v>0</v>
      </c>
      <c r="K726" s="5">
        <f t="shared" si="22"/>
        <v>0</v>
      </c>
      <c r="L726" s="5">
        <v>0.26165509259259262</v>
      </c>
      <c r="M726" s="6">
        <f t="shared" si="23"/>
        <v>0.8363669996300408</v>
      </c>
      <c r="N726" s="5"/>
      <c r="O726" s="5"/>
      <c r="P726" s="5"/>
      <c r="Q726" s="5"/>
      <c r="R726" s="5">
        <v>5.0312500000000003E-2</v>
      </c>
      <c r="S726" s="5"/>
      <c r="T726" s="5">
        <v>0.21131944444444445</v>
      </c>
      <c r="U726" s="5"/>
      <c r="V726" s="5"/>
      <c r="W726" s="5"/>
    </row>
    <row r="727" spans="1:23" x14ac:dyDescent="0.25">
      <c r="A727" s="2">
        <v>46244</v>
      </c>
      <c r="B727" s="3" t="s">
        <v>234</v>
      </c>
      <c r="C727" s="3" t="s">
        <v>550</v>
      </c>
      <c r="D727" s="3" t="s">
        <v>233</v>
      </c>
      <c r="E727" s="3" t="s">
        <v>31</v>
      </c>
      <c r="F727" s="3" t="s">
        <v>32</v>
      </c>
      <c r="G727" s="4" t="s">
        <v>106</v>
      </c>
      <c r="H727" s="4">
        <v>32</v>
      </c>
      <c r="I727" s="5">
        <v>0.26538194444444446</v>
      </c>
      <c r="J727" s="5">
        <v>0.1514699074074074</v>
      </c>
      <c r="K727" s="5">
        <f t="shared" si="22"/>
        <v>4.7334346064814813E-3</v>
      </c>
      <c r="L727" s="5">
        <v>3.9849537037037037E-2</v>
      </c>
      <c r="M727" s="6">
        <f t="shared" si="23"/>
        <v>0.15015918705569364</v>
      </c>
      <c r="N727" s="5">
        <v>6.3425925925925924E-3</v>
      </c>
      <c r="O727" s="5">
        <v>1.5416666666666667E-2</v>
      </c>
      <c r="P727" s="5"/>
      <c r="Q727" s="5">
        <v>3.4722222222222222E-5</v>
      </c>
      <c r="R727" s="5"/>
      <c r="S727" s="5">
        <v>1.4085648148148147E-2</v>
      </c>
      <c r="T727" s="5">
        <v>2.2337962962962962E-3</v>
      </c>
      <c r="U727" s="5">
        <v>1.712962962962963E-3</v>
      </c>
      <c r="V727" s="5"/>
      <c r="W727" s="5"/>
    </row>
    <row r="728" spans="1:23" x14ac:dyDescent="0.25">
      <c r="A728" s="2">
        <v>46244</v>
      </c>
      <c r="B728" s="3" t="s">
        <v>34</v>
      </c>
      <c r="C728" s="3" t="s">
        <v>505</v>
      </c>
      <c r="D728" s="3" t="s">
        <v>233</v>
      </c>
      <c r="E728" s="3" t="s">
        <v>31</v>
      </c>
      <c r="F728" s="3" t="s">
        <v>32</v>
      </c>
      <c r="G728" s="4" t="s">
        <v>106</v>
      </c>
      <c r="H728" s="4">
        <v>38</v>
      </c>
      <c r="I728" s="5">
        <v>0.26442129629629629</v>
      </c>
      <c r="J728" s="5">
        <v>0.14078703703703704</v>
      </c>
      <c r="K728" s="5">
        <f t="shared" si="22"/>
        <v>3.7049220272904484E-3</v>
      </c>
      <c r="L728" s="5">
        <v>3.5844907407407409E-2</v>
      </c>
      <c r="M728" s="6">
        <f t="shared" si="23"/>
        <v>0.13555983541976716</v>
      </c>
      <c r="N728" s="5">
        <v>1.8055555555555555E-3</v>
      </c>
      <c r="O728" s="5">
        <v>1.3321759259259259E-2</v>
      </c>
      <c r="P728" s="5"/>
      <c r="Q728" s="5"/>
      <c r="R728" s="5"/>
      <c r="S728" s="5">
        <v>1.3865740740740741E-2</v>
      </c>
      <c r="T728" s="5">
        <v>9.2592592592592588E-5</v>
      </c>
      <c r="U728" s="5">
        <v>5.208333333333333E-3</v>
      </c>
      <c r="V728" s="5"/>
      <c r="W728" s="5"/>
    </row>
    <row r="729" spans="1:23" x14ac:dyDescent="0.25">
      <c r="A729" s="2">
        <v>46244</v>
      </c>
      <c r="B729" s="3" t="s">
        <v>493</v>
      </c>
      <c r="C729" s="3" t="s">
        <v>569</v>
      </c>
      <c r="D729" s="3" t="s">
        <v>104</v>
      </c>
      <c r="E729" s="3" t="s">
        <v>31</v>
      </c>
      <c r="F729" s="3" t="s">
        <v>105</v>
      </c>
      <c r="G729" s="4" t="s">
        <v>106</v>
      </c>
      <c r="H729" s="4">
        <v>6</v>
      </c>
      <c r="I729" s="5">
        <v>0.25368055555555558</v>
      </c>
      <c r="J729" s="5">
        <v>8.532407407407408E-2</v>
      </c>
      <c r="K729" s="5">
        <f t="shared" si="22"/>
        <v>1.422067901234568E-2</v>
      </c>
      <c r="L729" s="5">
        <v>0.19922453703703705</v>
      </c>
      <c r="M729" s="6">
        <f t="shared" si="23"/>
        <v>0.78533625330778356</v>
      </c>
      <c r="N729" s="5">
        <v>1.1967592592592592E-2</v>
      </c>
      <c r="O729" s="5">
        <v>1.5127314814814816E-2</v>
      </c>
      <c r="P729" s="5"/>
      <c r="Q729" s="5"/>
      <c r="R729" s="5">
        <v>1.9085648148148147E-2</v>
      </c>
      <c r="S729" s="5">
        <v>1.3298611111111112E-2</v>
      </c>
      <c r="T729" s="5">
        <v>3.5879629629629629E-4</v>
      </c>
      <c r="U729" s="5">
        <v>4.8726851851851848E-3</v>
      </c>
      <c r="V729" s="5"/>
      <c r="W729" s="5">
        <v>0.13268518518518518</v>
      </c>
    </row>
    <row r="730" spans="1:23" x14ac:dyDescent="0.25">
      <c r="A730" s="2">
        <v>46244</v>
      </c>
      <c r="B730" s="3" t="s">
        <v>236</v>
      </c>
      <c r="C730" s="3" t="s">
        <v>551</v>
      </c>
      <c r="D730" s="3" t="s">
        <v>233</v>
      </c>
      <c r="E730" s="3" t="s">
        <v>31</v>
      </c>
      <c r="F730" s="3" t="s">
        <v>32</v>
      </c>
      <c r="G730" s="4" t="s">
        <v>106</v>
      </c>
      <c r="H730" s="4">
        <v>3</v>
      </c>
      <c r="I730" s="5">
        <v>0.25321759259259258</v>
      </c>
      <c r="J730" s="5">
        <v>1.0300925925925926E-3</v>
      </c>
      <c r="K730" s="5">
        <f t="shared" si="22"/>
        <v>3.433641975308642E-4</v>
      </c>
      <c r="L730" s="5">
        <v>0.24899305555555556</v>
      </c>
      <c r="M730" s="6">
        <f t="shared" si="23"/>
        <v>0.98331657372703185</v>
      </c>
      <c r="N730" s="5">
        <v>9.8611111111111104E-3</v>
      </c>
      <c r="O730" s="5">
        <v>5.2789351851851851E-2</v>
      </c>
      <c r="P730" s="5"/>
      <c r="Q730" s="5"/>
      <c r="R730" s="5"/>
      <c r="S730" s="5">
        <v>2.2465277777777778E-2</v>
      </c>
      <c r="T730" s="5">
        <v>0.12760416666666666</v>
      </c>
      <c r="U730" s="5"/>
      <c r="V730" s="5"/>
      <c r="W730" s="5">
        <v>3.6273148148148152E-2</v>
      </c>
    </row>
    <row r="731" spans="1:23" x14ac:dyDescent="0.25">
      <c r="A731" s="2">
        <v>46244</v>
      </c>
      <c r="B731" s="3" t="s">
        <v>238</v>
      </c>
      <c r="C731" s="3" t="s">
        <v>526</v>
      </c>
      <c r="D731" s="3" t="s">
        <v>233</v>
      </c>
      <c r="E731" s="3" t="s">
        <v>31</v>
      </c>
      <c r="F731" s="3" t="s">
        <v>32</v>
      </c>
      <c r="G731" s="4" t="s">
        <v>106</v>
      </c>
      <c r="H731" s="4">
        <v>0</v>
      </c>
      <c r="I731" s="5">
        <v>0.17890046296296297</v>
      </c>
      <c r="J731" s="5">
        <v>0</v>
      </c>
      <c r="K731" s="5">
        <f t="shared" si="22"/>
        <v>0</v>
      </c>
      <c r="L731" s="5">
        <v>0.17890046296296297</v>
      </c>
      <c r="M731" s="6">
        <f t="shared" si="23"/>
        <v>1</v>
      </c>
      <c r="N731" s="5"/>
      <c r="O731" s="5">
        <v>5.2893518518518515E-3</v>
      </c>
      <c r="P731" s="5"/>
      <c r="Q731" s="5"/>
      <c r="R731" s="5"/>
      <c r="S731" s="5">
        <v>1.3657407407407408E-2</v>
      </c>
      <c r="T731" s="5">
        <v>4.9768518518518521E-4</v>
      </c>
      <c r="U731" s="5"/>
      <c r="V731" s="5"/>
      <c r="W731" s="5">
        <v>0.15945601851851851</v>
      </c>
    </row>
    <row r="732" spans="1:23" x14ac:dyDescent="0.25">
      <c r="A732" s="2">
        <v>46244</v>
      </c>
      <c r="B732" s="3" t="s">
        <v>608</v>
      </c>
      <c r="C732" s="3" t="s">
        <v>631</v>
      </c>
      <c r="D732" s="3" t="s">
        <v>601</v>
      </c>
      <c r="E732" s="3" t="s">
        <v>31</v>
      </c>
      <c r="F732" s="3" t="s">
        <v>105</v>
      </c>
      <c r="G732" s="4" t="s">
        <v>33</v>
      </c>
      <c r="H732" s="4">
        <v>3</v>
      </c>
      <c r="I732" s="5">
        <v>0.21611111111111111</v>
      </c>
      <c r="J732" s="5">
        <v>8.1678240740740746E-2</v>
      </c>
      <c r="K732" s="5">
        <f t="shared" si="22"/>
        <v>2.7226080246913583E-2</v>
      </c>
      <c r="L732" s="5">
        <v>0.18746527777777777</v>
      </c>
      <c r="M732" s="6">
        <f t="shared" si="23"/>
        <v>0.86744858611825193</v>
      </c>
      <c r="N732" s="5"/>
      <c r="O732" s="5">
        <v>1.4224537037037037E-2</v>
      </c>
      <c r="P732" s="5"/>
      <c r="Q732" s="5"/>
      <c r="R732" s="5"/>
      <c r="S732" s="5">
        <v>1.3703703703703704E-2</v>
      </c>
      <c r="T732" s="5">
        <v>9.3749999999999997E-4</v>
      </c>
      <c r="U732" s="5">
        <v>0.15859953703703702</v>
      </c>
      <c r="V732" s="5"/>
      <c r="W732" s="5"/>
    </row>
    <row r="733" spans="1:23" x14ac:dyDescent="0.25">
      <c r="A733" s="2">
        <v>46244</v>
      </c>
      <c r="B733" s="3" t="s">
        <v>307</v>
      </c>
      <c r="C733" s="3" t="s">
        <v>308</v>
      </c>
      <c r="D733" s="3" t="s">
        <v>78</v>
      </c>
      <c r="E733" s="3" t="s">
        <v>79</v>
      </c>
      <c r="F733" s="3" t="s">
        <v>80</v>
      </c>
      <c r="G733" s="4" t="s">
        <v>81</v>
      </c>
      <c r="H733" s="4">
        <v>0</v>
      </c>
      <c r="I733" s="5">
        <v>0.36019675925925926</v>
      </c>
      <c r="J733" s="5">
        <v>0</v>
      </c>
      <c r="K733" s="5">
        <f t="shared" si="22"/>
        <v>0</v>
      </c>
      <c r="L733" s="5">
        <v>0.13211805555555556</v>
      </c>
      <c r="M733" s="6">
        <f t="shared" si="23"/>
        <v>0.36679412615275858</v>
      </c>
      <c r="N733" s="5"/>
      <c r="O733" s="5"/>
      <c r="P733" s="5"/>
      <c r="Q733" s="5"/>
      <c r="R733" s="5">
        <v>8.1018518518518516E-5</v>
      </c>
      <c r="S733" s="5">
        <v>2.4525462962962964E-2</v>
      </c>
      <c r="T733" s="5"/>
      <c r="U733" s="5">
        <v>0.10737268518518518</v>
      </c>
      <c r="V733" s="5"/>
      <c r="W733" s="5"/>
    </row>
    <row r="734" spans="1:23" x14ac:dyDescent="0.25">
      <c r="A734" s="2">
        <v>46244</v>
      </c>
      <c r="B734" s="3" t="s">
        <v>197</v>
      </c>
      <c r="C734" s="3" t="s">
        <v>564</v>
      </c>
      <c r="D734" s="3" t="s">
        <v>601</v>
      </c>
      <c r="E734" s="3" t="s">
        <v>31</v>
      </c>
      <c r="F734" s="3" t="s">
        <v>105</v>
      </c>
      <c r="G734" s="4" t="s">
        <v>33</v>
      </c>
      <c r="H734" s="4">
        <v>1</v>
      </c>
      <c r="I734" s="5">
        <v>0.18006944444444445</v>
      </c>
      <c r="J734" s="5">
        <v>2.4236111111111111E-2</v>
      </c>
      <c r="K734" s="5">
        <f t="shared" si="22"/>
        <v>2.4236111111111111E-2</v>
      </c>
      <c r="L734" s="5">
        <v>0.17141203703703703</v>
      </c>
      <c r="M734" s="6">
        <f t="shared" si="23"/>
        <v>0.95192184085358011</v>
      </c>
      <c r="N734" s="5"/>
      <c r="O734" s="5">
        <v>7.4884259259259262E-3</v>
      </c>
      <c r="P734" s="5"/>
      <c r="Q734" s="5">
        <v>5.138888888888889E-3</v>
      </c>
      <c r="R734" s="5"/>
      <c r="S734" s="5">
        <v>1.9212962962962964E-3</v>
      </c>
      <c r="T734" s="5">
        <v>3.1481481481481482E-3</v>
      </c>
      <c r="U734" s="5">
        <v>0.15371527777777777</v>
      </c>
      <c r="V734" s="5"/>
      <c r="W734" s="5"/>
    </row>
    <row r="735" spans="1:23" x14ac:dyDescent="0.25">
      <c r="A735" s="2">
        <v>46244</v>
      </c>
      <c r="B735" s="3" t="s">
        <v>38</v>
      </c>
      <c r="C735" s="3" t="s">
        <v>536</v>
      </c>
      <c r="D735" s="3" t="s">
        <v>100</v>
      </c>
      <c r="E735" s="3" t="s">
        <v>31</v>
      </c>
      <c r="F735" s="3" t="s">
        <v>32</v>
      </c>
      <c r="G735" s="4" t="s">
        <v>33</v>
      </c>
      <c r="H735" s="4">
        <v>4</v>
      </c>
      <c r="I735" s="5">
        <v>0.25114583333333335</v>
      </c>
      <c r="J735" s="5">
        <v>1.744212962962963E-2</v>
      </c>
      <c r="K735" s="5">
        <f t="shared" si="22"/>
        <v>4.3605324074074076E-3</v>
      </c>
      <c r="L735" s="5">
        <v>0.23752314814814815</v>
      </c>
      <c r="M735" s="6">
        <f t="shared" si="23"/>
        <v>0.94575786902622239</v>
      </c>
      <c r="N735" s="5">
        <v>9.3634259259259261E-3</v>
      </c>
      <c r="O735" s="5">
        <v>1.4976851851851852E-2</v>
      </c>
      <c r="P735" s="5"/>
      <c r="Q735" s="5"/>
      <c r="R735" s="5"/>
      <c r="S735" s="5">
        <v>4.6192129629629632E-2</v>
      </c>
      <c r="T735" s="5">
        <v>4.6296296296296298E-4</v>
      </c>
      <c r="U735" s="5"/>
      <c r="V735" s="5"/>
      <c r="W735" s="5">
        <v>0.16652777777777777</v>
      </c>
    </row>
    <row r="736" spans="1:23" x14ac:dyDescent="0.25">
      <c r="A736" s="2">
        <v>46244</v>
      </c>
      <c r="B736" s="3" t="s">
        <v>681</v>
      </c>
      <c r="C736" s="3" t="s">
        <v>682</v>
      </c>
      <c r="D736" s="3" t="s">
        <v>601</v>
      </c>
      <c r="E736" s="3" t="s">
        <v>31</v>
      </c>
      <c r="F736" s="3" t="s">
        <v>105</v>
      </c>
      <c r="G736" s="4" t="s">
        <v>33</v>
      </c>
      <c r="H736" s="4">
        <v>1</v>
      </c>
      <c r="I736" s="5">
        <v>0.19715277777777779</v>
      </c>
      <c r="J736" s="5">
        <v>3.9247685185185184E-2</v>
      </c>
      <c r="K736" s="5">
        <f t="shared" si="22"/>
        <v>3.9247685185185184E-2</v>
      </c>
      <c r="L736" s="5">
        <v>0.17505787037037038</v>
      </c>
      <c r="M736" s="6">
        <f t="shared" si="23"/>
        <v>0.88793002230832452</v>
      </c>
      <c r="N736" s="5">
        <v>4.2708333333333331E-3</v>
      </c>
      <c r="O736" s="5">
        <v>1.6805555555555556E-2</v>
      </c>
      <c r="P736" s="5"/>
      <c r="Q736" s="5">
        <v>1.6307870370370372E-2</v>
      </c>
      <c r="R736" s="5"/>
      <c r="S736" s="5">
        <v>1.4444444444444444E-2</v>
      </c>
      <c r="T736" s="5">
        <v>7.407407407407407E-4</v>
      </c>
      <c r="U736" s="5">
        <v>0.12248842592592593</v>
      </c>
      <c r="V736" s="5"/>
      <c r="W736" s="5"/>
    </row>
    <row r="737" spans="1:23" x14ac:dyDescent="0.25">
      <c r="A737" s="2">
        <v>46244</v>
      </c>
      <c r="B737" s="3" t="s">
        <v>154</v>
      </c>
      <c r="C737" s="3" t="s">
        <v>515</v>
      </c>
      <c r="D737" s="3" t="s">
        <v>146</v>
      </c>
      <c r="E737" s="3" t="s">
        <v>79</v>
      </c>
      <c r="F737" s="3" t="s">
        <v>147</v>
      </c>
      <c r="G737" s="4" t="s">
        <v>106</v>
      </c>
      <c r="H737" s="4">
        <v>29</v>
      </c>
      <c r="I737" s="5">
        <v>0.2628240740740741</v>
      </c>
      <c r="J737" s="5">
        <v>5.5775462962962964E-2</v>
      </c>
      <c r="K737" s="5">
        <f t="shared" si="22"/>
        <v>1.9232918263090678E-3</v>
      </c>
      <c r="L737" s="5">
        <v>3.4756944444444444E-2</v>
      </c>
      <c r="M737" s="6">
        <f t="shared" si="23"/>
        <v>0.13224414303329221</v>
      </c>
      <c r="N737" s="5">
        <v>6.9560185185185185E-3</v>
      </c>
      <c r="O737" s="5">
        <v>9.8495370370370369E-3</v>
      </c>
      <c r="P737" s="5"/>
      <c r="Q737" s="5">
        <v>2.7314814814814814E-3</v>
      </c>
      <c r="R737" s="5"/>
      <c r="S737" s="5">
        <v>1.3761574074074074E-2</v>
      </c>
      <c r="T737" s="5">
        <v>4.861111111111111E-4</v>
      </c>
      <c r="U737" s="5">
        <v>9.1435185185185185E-4</v>
      </c>
      <c r="V737" s="5"/>
      <c r="W737" s="5"/>
    </row>
    <row r="738" spans="1:23" x14ac:dyDescent="0.25">
      <c r="A738" s="2">
        <v>46244</v>
      </c>
      <c r="B738" s="3" t="s">
        <v>112</v>
      </c>
      <c r="C738" s="3" t="s">
        <v>570</v>
      </c>
      <c r="D738" s="3" t="s">
        <v>104</v>
      </c>
      <c r="E738" s="3" t="s">
        <v>31</v>
      </c>
      <c r="F738" s="3" t="s">
        <v>105</v>
      </c>
      <c r="G738" s="4" t="s">
        <v>106</v>
      </c>
      <c r="H738" s="4">
        <v>5</v>
      </c>
      <c r="I738" s="5">
        <v>0.2429050925925926</v>
      </c>
      <c r="J738" s="5">
        <v>0.1547337962962963</v>
      </c>
      <c r="K738" s="5">
        <f t="shared" si="22"/>
        <v>3.0946759259259261E-2</v>
      </c>
      <c r="L738" s="5">
        <v>0.12387731481481482</v>
      </c>
      <c r="M738" s="6">
        <f t="shared" si="23"/>
        <v>0.50998237003859526</v>
      </c>
      <c r="N738" s="5">
        <v>1.4999999999999999E-2</v>
      </c>
      <c r="O738" s="5">
        <v>1.8136574074074076E-2</v>
      </c>
      <c r="P738" s="5"/>
      <c r="Q738" s="5"/>
      <c r="R738" s="5"/>
      <c r="S738" s="5">
        <v>1.4548611111111111E-2</v>
      </c>
      <c r="T738" s="5">
        <v>3.6226851851851854E-3</v>
      </c>
      <c r="U738" s="5">
        <v>1.0416666666666667E-4</v>
      </c>
      <c r="V738" s="5"/>
      <c r="W738" s="5">
        <v>7.2465277777777781E-2</v>
      </c>
    </row>
    <row r="739" spans="1:23" x14ac:dyDescent="0.25">
      <c r="A739" s="2">
        <v>46244</v>
      </c>
      <c r="B739" s="3" t="s">
        <v>156</v>
      </c>
      <c r="C739" s="3" t="s">
        <v>516</v>
      </c>
      <c r="D739" s="3" t="s">
        <v>146</v>
      </c>
      <c r="E739" s="3" t="s">
        <v>79</v>
      </c>
      <c r="F739" s="3" t="s">
        <v>147</v>
      </c>
      <c r="G739" s="4" t="s">
        <v>106</v>
      </c>
      <c r="H739" s="4">
        <v>27</v>
      </c>
      <c r="I739" s="5">
        <v>0.27464120370370371</v>
      </c>
      <c r="J739" s="5">
        <v>5.7789351851851849E-2</v>
      </c>
      <c r="K739" s="5">
        <f t="shared" si="22"/>
        <v>2.1403463648834017E-3</v>
      </c>
      <c r="L739" s="5">
        <v>4.9756944444444444E-2</v>
      </c>
      <c r="M739" s="6">
        <f t="shared" si="23"/>
        <v>0.1811707193729192</v>
      </c>
      <c r="N739" s="5">
        <v>1.4930555555555556E-3</v>
      </c>
      <c r="O739" s="5">
        <v>1.2962962962962963E-2</v>
      </c>
      <c r="P739" s="5">
        <v>1.2337962962962964E-2</v>
      </c>
      <c r="Q739" s="5">
        <v>7.5231481481481482E-4</v>
      </c>
      <c r="R739" s="5"/>
      <c r="S739" s="5">
        <v>1.4016203703703704E-2</v>
      </c>
      <c r="T739" s="5">
        <v>3.8194444444444443E-3</v>
      </c>
      <c r="U739" s="5">
        <v>4.2245370370370371E-3</v>
      </c>
      <c r="V739" s="5"/>
      <c r="W739" s="5">
        <v>3.4722222222222222E-5</v>
      </c>
    </row>
    <row r="740" spans="1:23" x14ac:dyDescent="0.25">
      <c r="A740" s="2">
        <v>46244</v>
      </c>
      <c r="B740" s="3" t="s">
        <v>114</v>
      </c>
      <c r="C740" s="3" t="s">
        <v>541</v>
      </c>
      <c r="D740" s="3" t="s">
        <v>104</v>
      </c>
      <c r="E740" s="3" t="s">
        <v>31</v>
      </c>
      <c r="F740" s="3" t="s">
        <v>105</v>
      </c>
      <c r="G740" s="4" t="s">
        <v>106</v>
      </c>
      <c r="H740" s="4">
        <v>7</v>
      </c>
      <c r="I740" s="5">
        <v>0.23296296296296296</v>
      </c>
      <c r="J740" s="5">
        <v>0.14543981481481483</v>
      </c>
      <c r="K740" s="5">
        <f t="shared" si="22"/>
        <v>2.0777116402116404E-2</v>
      </c>
      <c r="L740" s="5">
        <v>0.13608796296296297</v>
      </c>
      <c r="M740" s="6">
        <f t="shared" si="23"/>
        <v>0.58416136724960255</v>
      </c>
      <c r="N740" s="5">
        <v>5.0694444444444441E-3</v>
      </c>
      <c r="O740" s="5">
        <v>1.3935185185185186E-2</v>
      </c>
      <c r="P740" s="5"/>
      <c r="Q740" s="5"/>
      <c r="R740" s="5"/>
      <c r="S740" s="5">
        <v>1.525462962962963E-2</v>
      </c>
      <c r="T740" s="5">
        <v>9.432870370370371E-3</v>
      </c>
      <c r="U740" s="5">
        <v>2.0833333333333335E-4</v>
      </c>
      <c r="V740" s="5"/>
      <c r="W740" s="5">
        <v>9.2187500000000006E-2</v>
      </c>
    </row>
    <row r="741" spans="1:23" x14ac:dyDescent="0.25">
      <c r="A741" s="2">
        <v>46244</v>
      </c>
      <c r="B741" s="3" t="s">
        <v>44</v>
      </c>
      <c r="C741" s="3" t="s">
        <v>506</v>
      </c>
      <c r="D741" s="3" t="s">
        <v>100</v>
      </c>
      <c r="E741" s="3" t="s">
        <v>31</v>
      </c>
      <c r="F741" s="3" t="s">
        <v>32</v>
      </c>
      <c r="G741" s="4" t="s">
        <v>33</v>
      </c>
      <c r="H741" s="4">
        <v>33</v>
      </c>
      <c r="I741" s="5">
        <v>0.26233796296296297</v>
      </c>
      <c r="J741" s="5">
        <v>0.16623842592592591</v>
      </c>
      <c r="K741" s="5">
        <f t="shared" si="22"/>
        <v>5.0375280583613916E-3</v>
      </c>
      <c r="L741" s="5">
        <v>3.9120370370370368E-2</v>
      </c>
      <c r="M741" s="6">
        <f t="shared" si="23"/>
        <v>0.1491220330009706</v>
      </c>
      <c r="N741" s="5">
        <v>2.9513888888888888E-3</v>
      </c>
      <c r="O741" s="5">
        <v>1.4375000000000001E-2</v>
      </c>
      <c r="P741" s="5"/>
      <c r="Q741" s="5"/>
      <c r="R741" s="5"/>
      <c r="S741" s="5">
        <v>1.4097222222222223E-2</v>
      </c>
      <c r="T741" s="5">
        <v>3.9351851851851852E-4</v>
      </c>
      <c r="U741" s="5">
        <v>3.2870370370370371E-3</v>
      </c>
      <c r="V741" s="5"/>
      <c r="W741" s="5">
        <v>3.5416666666666665E-3</v>
      </c>
    </row>
    <row r="742" spans="1:23" x14ac:dyDescent="0.25">
      <c r="A742" s="2">
        <v>46244</v>
      </c>
      <c r="B742" s="3" t="s">
        <v>609</v>
      </c>
      <c r="C742" s="3" t="s">
        <v>632</v>
      </c>
      <c r="D742" s="3" t="s">
        <v>601</v>
      </c>
      <c r="E742" s="3" t="s">
        <v>31</v>
      </c>
      <c r="F742" s="3" t="s">
        <v>105</v>
      </c>
      <c r="G742" s="4" t="s">
        <v>33</v>
      </c>
      <c r="H742" s="4">
        <v>2</v>
      </c>
      <c r="I742" s="5">
        <v>0.21304398148148149</v>
      </c>
      <c r="J742" s="5">
        <v>4.0868055555555553E-2</v>
      </c>
      <c r="K742" s="5">
        <f t="shared" si="22"/>
        <v>2.0434027777777777E-2</v>
      </c>
      <c r="L742" s="5">
        <v>0.20399305555555555</v>
      </c>
      <c r="M742" s="6">
        <f t="shared" si="23"/>
        <v>0.9575161623295485</v>
      </c>
      <c r="N742" s="5">
        <v>2.9942129629629631E-2</v>
      </c>
      <c r="O742" s="5">
        <v>1.7071759259259259E-2</v>
      </c>
      <c r="P742" s="5"/>
      <c r="Q742" s="5"/>
      <c r="R742" s="5"/>
      <c r="S742" s="5">
        <v>3.6574074074074074E-3</v>
      </c>
      <c r="T742" s="5">
        <v>3.2407407407407406E-4</v>
      </c>
      <c r="U742" s="5">
        <v>0.15299768518518519</v>
      </c>
      <c r="V742" s="5"/>
      <c r="W742" s="5"/>
    </row>
    <row r="743" spans="1:23" x14ac:dyDescent="0.25">
      <c r="A743" s="2">
        <v>46244</v>
      </c>
      <c r="B743" s="3" t="s">
        <v>240</v>
      </c>
      <c r="C743" s="3" t="s">
        <v>527</v>
      </c>
      <c r="D743" s="3" t="s">
        <v>233</v>
      </c>
      <c r="E743" s="3" t="s">
        <v>31</v>
      </c>
      <c r="F743" s="3" t="s">
        <v>32</v>
      </c>
      <c r="G743" s="4" t="s">
        <v>106</v>
      </c>
      <c r="H743" s="4">
        <v>0</v>
      </c>
      <c r="I743" s="5">
        <v>0.2389236111111111</v>
      </c>
      <c r="J743" s="5">
        <v>0</v>
      </c>
      <c r="K743" s="5">
        <f t="shared" si="22"/>
        <v>0</v>
      </c>
      <c r="L743" s="5">
        <v>0.2389236111111111</v>
      </c>
      <c r="M743" s="6">
        <f t="shared" si="23"/>
        <v>1</v>
      </c>
      <c r="N743" s="5">
        <v>1.6041666666666666E-2</v>
      </c>
      <c r="O743" s="5">
        <v>1.050925925925926E-2</v>
      </c>
      <c r="P743" s="5"/>
      <c r="Q743" s="5"/>
      <c r="R743" s="5"/>
      <c r="S743" s="5">
        <v>1.3969907407407407E-2</v>
      </c>
      <c r="T743" s="5">
        <v>7.7777777777777776E-3</v>
      </c>
      <c r="U743" s="5"/>
      <c r="V743" s="5"/>
      <c r="W743" s="5">
        <v>0.19062499999999999</v>
      </c>
    </row>
    <row r="744" spans="1:23" x14ac:dyDescent="0.25">
      <c r="A744" s="2">
        <v>46244</v>
      </c>
      <c r="B744" s="3" t="s">
        <v>497</v>
      </c>
      <c r="C744" s="3" t="s">
        <v>498</v>
      </c>
      <c r="D744" s="3" t="s">
        <v>78</v>
      </c>
      <c r="E744" s="3" t="s">
        <v>79</v>
      </c>
      <c r="F744" s="3" t="s">
        <v>80</v>
      </c>
      <c r="G744" s="4" t="s">
        <v>81</v>
      </c>
      <c r="H744" s="4">
        <v>0</v>
      </c>
      <c r="I744" s="5">
        <v>0.34225694444444443</v>
      </c>
      <c r="J744" s="5">
        <v>0</v>
      </c>
      <c r="K744" s="5">
        <f t="shared" si="22"/>
        <v>0</v>
      </c>
      <c r="L744" s="5">
        <v>0.11194444444444444</v>
      </c>
      <c r="M744" s="6">
        <f t="shared" si="23"/>
        <v>0.32707720401744955</v>
      </c>
      <c r="N744" s="5">
        <v>2.6967592592592594E-3</v>
      </c>
      <c r="O744" s="5">
        <v>1.2604166666666666E-2</v>
      </c>
      <c r="P744" s="5"/>
      <c r="Q744" s="5"/>
      <c r="R744" s="5"/>
      <c r="S744" s="5">
        <v>9.5891203703703701E-2</v>
      </c>
      <c r="T744" s="5">
        <v>7.1759259259259259E-4</v>
      </c>
      <c r="U744" s="5"/>
      <c r="V744" s="5"/>
      <c r="W744" s="5"/>
    </row>
    <row r="745" spans="1:23" x14ac:dyDescent="0.25">
      <c r="A745" s="2">
        <v>46244</v>
      </c>
      <c r="B745" s="3" t="s">
        <v>309</v>
      </c>
      <c r="C745" s="3" t="s">
        <v>310</v>
      </c>
      <c r="D745" s="3" t="s">
        <v>78</v>
      </c>
      <c r="E745" s="3" t="s">
        <v>79</v>
      </c>
      <c r="F745" s="3" t="s">
        <v>80</v>
      </c>
      <c r="G745" s="4" t="s">
        <v>81</v>
      </c>
      <c r="H745" s="4">
        <v>0</v>
      </c>
      <c r="I745" s="5">
        <v>0.34369212962962964</v>
      </c>
      <c r="J745" s="5">
        <v>0</v>
      </c>
      <c r="K745" s="5">
        <f t="shared" si="22"/>
        <v>0</v>
      </c>
      <c r="L745" s="5">
        <v>5.6504629629629627E-2</v>
      </c>
      <c r="M745" s="6">
        <f t="shared" si="23"/>
        <v>0.16440478194982319</v>
      </c>
      <c r="N745" s="5">
        <v>5.2199074074074075E-3</v>
      </c>
      <c r="O745" s="5">
        <v>4.2534722222222224E-2</v>
      </c>
      <c r="P745" s="5"/>
      <c r="Q745" s="5"/>
      <c r="R745" s="5"/>
      <c r="S745" s="5">
        <v>7.9398148148148145E-3</v>
      </c>
      <c r="T745" s="5">
        <v>3.5879629629629629E-4</v>
      </c>
      <c r="U745" s="5">
        <v>4.5138888888888887E-4</v>
      </c>
      <c r="V745" s="5"/>
      <c r="W745" s="5"/>
    </row>
    <row r="746" spans="1:23" x14ac:dyDescent="0.25">
      <c r="A746" s="2">
        <v>46244</v>
      </c>
      <c r="B746" s="3" t="s">
        <v>160</v>
      </c>
      <c r="C746" s="3" t="s">
        <v>544</v>
      </c>
      <c r="D746" s="3" t="s">
        <v>146</v>
      </c>
      <c r="E746" s="3" t="s">
        <v>79</v>
      </c>
      <c r="F746" s="3" t="s">
        <v>147</v>
      </c>
      <c r="G746" s="4" t="s">
        <v>106</v>
      </c>
      <c r="H746" s="4">
        <v>29</v>
      </c>
      <c r="I746" s="5">
        <v>0.26765046296296297</v>
      </c>
      <c r="J746" s="5">
        <v>5.6585648148148149E-2</v>
      </c>
      <c r="K746" s="5">
        <f t="shared" si="22"/>
        <v>1.9512292464878673E-3</v>
      </c>
      <c r="L746" s="5">
        <v>5.2847222222222219E-2</v>
      </c>
      <c r="M746" s="6">
        <f t="shared" si="23"/>
        <v>0.19744864864864864</v>
      </c>
      <c r="N746" s="5">
        <v>5.4050925925925924E-3</v>
      </c>
      <c r="O746" s="5">
        <v>1.6932870370370369E-2</v>
      </c>
      <c r="P746" s="5"/>
      <c r="Q746" s="5">
        <v>5.3356481481481484E-3</v>
      </c>
      <c r="R746" s="5"/>
      <c r="S746" s="5">
        <v>1.4513888888888889E-2</v>
      </c>
      <c r="T746" s="5">
        <v>6.4583333333333333E-3</v>
      </c>
      <c r="U746" s="5">
        <v>3.9351851851851848E-3</v>
      </c>
      <c r="V746" s="5"/>
      <c r="W746" s="5"/>
    </row>
    <row r="747" spans="1:23" x14ac:dyDescent="0.25">
      <c r="A747" s="2">
        <v>46244</v>
      </c>
      <c r="B747" s="3" t="s">
        <v>645</v>
      </c>
      <c r="C747" s="3" t="s">
        <v>646</v>
      </c>
      <c r="D747" s="3" t="s">
        <v>100</v>
      </c>
      <c r="E747" s="3" t="s">
        <v>31</v>
      </c>
      <c r="F747" s="3" t="s">
        <v>32</v>
      </c>
      <c r="G747" s="4" t="s">
        <v>33</v>
      </c>
      <c r="H747" s="4">
        <v>43</v>
      </c>
      <c r="I747" s="5">
        <v>0.26349537037037035</v>
      </c>
      <c r="J747" s="5">
        <v>0.17996527777777777</v>
      </c>
      <c r="K747" s="5">
        <f t="shared" si="22"/>
        <v>4.1852390180878553E-3</v>
      </c>
      <c r="L747" s="5">
        <v>3.4386574074074076E-2</v>
      </c>
      <c r="M747" s="6">
        <f t="shared" si="23"/>
        <v>0.13050162523060707</v>
      </c>
      <c r="N747" s="5">
        <v>3.8425925925925928E-3</v>
      </c>
      <c r="O747" s="5">
        <v>1.40625E-2</v>
      </c>
      <c r="P747" s="5"/>
      <c r="Q747" s="5"/>
      <c r="R747" s="5"/>
      <c r="S747" s="5">
        <v>1.3773148148148149E-2</v>
      </c>
      <c r="T747" s="5">
        <v>1.3773148148148147E-3</v>
      </c>
      <c r="U747" s="5">
        <v>1.261574074074074E-3</v>
      </c>
      <c r="V747" s="5"/>
      <c r="W747" s="5"/>
    </row>
    <row r="748" spans="1:23" x14ac:dyDescent="0.25">
      <c r="A748" s="2">
        <v>46244</v>
      </c>
      <c r="B748" s="3" t="s">
        <v>120</v>
      </c>
      <c r="C748" s="3" t="s">
        <v>558</v>
      </c>
      <c r="D748" s="3" t="s">
        <v>233</v>
      </c>
      <c r="E748" s="3" t="s">
        <v>31</v>
      </c>
      <c r="F748" s="3" t="s">
        <v>32</v>
      </c>
      <c r="G748" s="4" t="s">
        <v>106</v>
      </c>
      <c r="H748" s="4">
        <v>48</v>
      </c>
      <c r="I748" s="5">
        <v>0.25944444444444442</v>
      </c>
      <c r="J748" s="5">
        <v>0.13994212962962962</v>
      </c>
      <c r="K748" s="5">
        <f t="shared" si="22"/>
        <v>2.9154610339506173E-3</v>
      </c>
      <c r="L748" s="5">
        <v>3.5046296296296298E-2</v>
      </c>
      <c r="M748" s="6">
        <f t="shared" si="23"/>
        <v>0.13508208422555321</v>
      </c>
      <c r="N748" s="5">
        <v>6.2962962962962964E-3</v>
      </c>
      <c r="O748" s="5">
        <v>1.3182870370370371E-2</v>
      </c>
      <c r="P748" s="5"/>
      <c r="Q748" s="5"/>
      <c r="R748" s="5"/>
      <c r="S748" s="5">
        <v>1.2592592592592593E-2</v>
      </c>
      <c r="T748" s="5">
        <v>7.407407407407407E-4</v>
      </c>
      <c r="U748" s="5">
        <v>2.2106481481481482E-3</v>
      </c>
      <c r="V748" s="5"/>
      <c r="W748" s="5"/>
    </row>
    <row r="749" spans="1:23" x14ac:dyDescent="0.25">
      <c r="A749" s="2">
        <v>46244</v>
      </c>
      <c r="B749" s="3" t="s">
        <v>46</v>
      </c>
      <c r="C749" s="3" t="s">
        <v>507</v>
      </c>
      <c r="D749" s="3" t="s">
        <v>100</v>
      </c>
      <c r="E749" s="3" t="s">
        <v>31</v>
      </c>
      <c r="F749" s="3" t="s">
        <v>32</v>
      </c>
      <c r="G749" s="4" t="s">
        <v>33</v>
      </c>
      <c r="H749" s="4">
        <v>44</v>
      </c>
      <c r="I749" s="5">
        <v>0.26416666666666666</v>
      </c>
      <c r="J749" s="5">
        <v>0.17393518518518519</v>
      </c>
      <c r="K749" s="5">
        <f t="shared" si="22"/>
        <v>3.9530723905723906E-3</v>
      </c>
      <c r="L749" s="5">
        <v>3.4884259259259261E-2</v>
      </c>
      <c r="M749" s="6">
        <f t="shared" si="23"/>
        <v>0.13205397826848933</v>
      </c>
      <c r="N749" s="5">
        <v>2.5462962962962965E-3</v>
      </c>
      <c r="O749" s="5">
        <v>1.4270833333333333E-2</v>
      </c>
      <c r="P749" s="5"/>
      <c r="Q749" s="5"/>
      <c r="R749" s="5"/>
      <c r="S749" s="5">
        <v>1.3981481481481482E-2</v>
      </c>
      <c r="T749" s="5">
        <v>1.6203703703703703E-4</v>
      </c>
      <c r="U749" s="5">
        <v>2.1412037037037038E-3</v>
      </c>
      <c r="V749" s="5"/>
      <c r="W749" s="5">
        <v>1.712962962962963E-3</v>
      </c>
    </row>
    <row r="750" spans="1:23" x14ac:dyDescent="0.25">
      <c r="A750" s="2">
        <v>46244</v>
      </c>
      <c r="B750" s="3" t="s">
        <v>287</v>
      </c>
      <c r="C750" s="3" t="s">
        <v>542</v>
      </c>
      <c r="D750" s="3" t="s">
        <v>104</v>
      </c>
      <c r="E750" s="3" t="s">
        <v>31</v>
      </c>
      <c r="F750" s="3" t="s">
        <v>105</v>
      </c>
      <c r="G750" s="4" t="s">
        <v>106</v>
      </c>
      <c r="H750" s="4">
        <v>4</v>
      </c>
      <c r="I750" s="5">
        <v>0.24258101851851852</v>
      </c>
      <c r="J750" s="5">
        <v>8.7766203703703707E-2</v>
      </c>
      <c r="K750" s="5">
        <f t="shared" si="22"/>
        <v>2.1941550925925927E-2</v>
      </c>
      <c r="L750" s="5">
        <v>0.19160879629629629</v>
      </c>
      <c r="M750" s="6">
        <f t="shared" si="23"/>
        <v>0.78987547115797507</v>
      </c>
      <c r="N750" s="5">
        <v>2.9571759259259259E-2</v>
      </c>
      <c r="O750" s="5">
        <v>2.5914351851851852E-2</v>
      </c>
      <c r="P750" s="5"/>
      <c r="Q750" s="5"/>
      <c r="R750" s="5"/>
      <c r="S750" s="5">
        <v>1.4849537037037038E-2</v>
      </c>
      <c r="T750" s="5">
        <v>3.7037037037037038E-3</v>
      </c>
      <c r="U750" s="5"/>
      <c r="V750" s="5"/>
      <c r="W750" s="5">
        <v>0.11756944444444445</v>
      </c>
    </row>
    <row r="751" spans="1:23" x14ac:dyDescent="0.25">
      <c r="A751" s="2">
        <v>46244</v>
      </c>
      <c r="B751" s="3" t="s">
        <v>499</v>
      </c>
      <c r="C751" s="3" t="s">
        <v>517</v>
      </c>
      <c r="D751" s="3" t="s">
        <v>146</v>
      </c>
      <c r="E751" s="3" t="s">
        <v>79</v>
      </c>
      <c r="F751" s="3" t="s">
        <v>147</v>
      </c>
      <c r="G751" s="4" t="s">
        <v>106</v>
      </c>
      <c r="H751" s="4">
        <v>24</v>
      </c>
      <c r="I751" s="5">
        <v>0.25908564814814816</v>
      </c>
      <c r="J751" s="5">
        <v>7.4050925925925923E-2</v>
      </c>
      <c r="K751" s="5">
        <f t="shared" si="22"/>
        <v>3.0854552469135803E-3</v>
      </c>
      <c r="L751" s="5">
        <v>4.3541666666666666E-2</v>
      </c>
      <c r="M751" s="6">
        <f t="shared" si="23"/>
        <v>0.16805896805896806</v>
      </c>
      <c r="N751" s="5">
        <v>6.0069444444444441E-3</v>
      </c>
      <c r="O751" s="5">
        <v>1.5613425925925926E-2</v>
      </c>
      <c r="P751" s="5">
        <v>1.7708333333333332E-3</v>
      </c>
      <c r="Q751" s="5"/>
      <c r="R751" s="5"/>
      <c r="S751" s="5">
        <v>1.4988425925925926E-2</v>
      </c>
      <c r="T751" s="5">
        <v>2.0949074074074073E-3</v>
      </c>
      <c r="U751" s="5">
        <v>1.6319444444444445E-3</v>
      </c>
      <c r="V751" s="5"/>
      <c r="W751" s="5">
        <v>1.25E-3</v>
      </c>
    </row>
    <row r="752" spans="1:23" x14ac:dyDescent="0.25">
      <c r="A752" s="2">
        <v>46244</v>
      </c>
      <c r="B752" s="3" t="s">
        <v>647</v>
      </c>
      <c r="C752" s="3" t="s">
        <v>648</v>
      </c>
      <c r="D752" s="3" t="s">
        <v>233</v>
      </c>
      <c r="E752" s="3" t="s">
        <v>31</v>
      </c>
      <c r="F752" s="3" t="s">
        <v>32</v>
      </c>
      <c r="G752" s="4" t="s">
        <v>106</v>
      </c>
      <c r="H752" s="4">
        <v>33</v>
      </c>
      <c r="I752" s="5">
        <v>0.26017361111111109</v>
      </c>
      <c r="J752" s="5">
        <v>0.14221064814814816</v>
      </c>
      <c r="K752" s="5">
        <f t="shared" si="22"/>
        <v>4.3094135802469137E-3</v>
      </c>
      <c r="L752" s="5">
        <v>4.2060185185185187E-2</v>
      </c>
      <c r="M752" s="6">
        <f t="shared" si="23"/>
        <v>0.16166199564037548</v>
      </c>
      <c r="N752" s="5">
        <v>9.7106481481481488E-3</v>
      </c>
      <c r="O752" s="5">
        <v>8.0208333333333329E-3</v>
      </c>
      <c r="P752" s="5"/>
      <c r="Q752" s="5">
        <v>4.4675925925925924E-3</v>
      </c>
      <c r="R752" s="5"/>
      <c r="S752" s="5">
        <v>1.4594907407407407E-2</v>
      </c>
      <c r="T752" s="5">
        <v>5.0578703703703706E-3</v>
      </c>
      <c r="U752" s="5">
        <v>1.9675925925925926E-4</v>
      </c>
      <c r="V752" s="5"/>
      <c r="W752" s="5"/>
    </row>
    <row r="753" spans="1:23" x14ac:dyDescent="0.25">
      <c r="A753" s="2">
        <v>46244</v>
      </c>
      <c r="B753" s="3" t="s">
        <v>649</v>
      </c>
      <c r="C753" s="3" t="s">
        <v>650</v>
      </c>
      <c r="D753" s="3" t="s">
        <v>104</v>
      </c>
      <c r="E753" s="3" t="s">
        <v>31</v>
      </c>
      <c r="F753" s="3" t="s">
        <v>105</v>
      </c>
      <c r="G753" s="4" t="s">
        <v>106</v>
      </c>
      <c r="H753" s="4">
        <v>18</v>
      </c>
      <c r="I753" s="5">
        <v>0.34038194444444442</v>
      </c>
      <c r="J753" s="5">
        <v>0.22212962962962962</v>
      </c>
      <c r="K753" s="5">
        <f t="shared" si="22"/>
        <v>1.2340534979423869E-2</v>
      </c>
      <c r="L753" s="5">
        <v>0.17054398148148148</v>
      </c>
      <c r="M753" s="6">
        <f t="shared" si="23"/>
        <v>0.50103709748716385</v>
      </c>
      <c r="N753" s="5">
        <v>8.9930555555555562E-3</v>
      </c>
      <c r="O753" s="5">
        <v>1.3969907407407407E-2</v>
      </c>
      <c r="P753" s="5"/>
      <c r="Q753" s="5"/>
      <c r="R753" s="5"/>
      <c r="S753" s="5">
        <v>1.380787037037037E-2</v>
      </c>
      <c r="T753" s="5">
        <v>4.1666666666666669E-4</v>
      </c>
      <c r="U753" s="5">
        <v>2.4305555555555556E-2</v>
      </c>
      <c r="V753" s="5"/>
      <c r="W753" s="5">
        <v>0.10902777777777778</v>
      </c>
    </row>
    <row r="754" spans="1:23" x14ac:dyDescent="0.25">
      <c r="A754" s="2">
        <v>46244</v>
      </c>
      <c r="B754" s="3" t="s">
        <v>246</v>
      </c>
      <c r="C754" s="3" t="s">
        <v>568</v>
      </c>
      <c r="D754" s="3" t="s">
        <v>233</v>
      </c>
      <c r="E754" s="3" t="s">
        <v>31</v>
      </c>
      <c r="F754" s="3" t="s">
        <v>32</v>
      </c>
      <c r="G754" s="4" t="s">
        <v>106</v>
      </c>
      <c r="H754" s="4">
        <v>40</v>
      </c>
      <c r="I754" s="5">
        <v>0.3556597222222222</v>
      </c>
      <c r="J754" s="5">
        <v>0.20607638888888888</v>
      </c>
      <c r="K754" s="5">
        <f t="shared" si="22"/>
        <v>5.1519097222222218E-3</v>
      </c>
      <c r="L754" s="5">
        <v>4.6990740740740743E-2</v>
      </c>
      <c r="M754" s="6">
        <f t="shared" si="23"/>
        <v>0.13212275049627389</v>
      </c>
      <c r="N754" s="5">
        <v>4.1203703703703706E-3</v>
      </c>
      <c r="O754" s="5">
        <v>1.5046296296296295E-2</v>
      </c>
      <c r="P754" s="5"/>
      <c r="Q754" s="5">
        <v>2.8356481481481483E-3</v>
      </c>
      <c r="R754" s="5"/>
      <c r="S754" s="5">
        <v>1.3993055555555555E-2</v>
      </c>
      <c r="T754" s="5">
        <v>1.0601851851851852E-2</v>
      </c>
      <c r="U754" s="5">
        <v>3.9351851851851852E-4</v>
      </c>
      <c r="V754" s="5"/>
      <c r="W754" s="5"/>
    </row>
    <row r="755" spans="1:23" x14ac:dyDescent="0.25">
      <c r="A755" s="2">
        <v>46244</v>
      </c>
      <c r="B755" s="3" t="s">
        <v>50</v>
      </c>
      <c r="C755" s="3" t="s">
        <v>538</v>
      </c>
      <c r="D755" s="3" t="s">
        <v>100</v>
      </c>
      <c r="E755" s="3" t="s">
        <v>31</v>
      </c>
      <c r="F755" s="3" t="s">
        <v>32</v>
      </c>
      <c r="G755" s="4" t="s">
        <v>33</v>
      </c>
      <c r="H755" s="4">
        <v>7</v>
      </c>
      <c r="I755" s="5">
        <v>0.24403935185185185</v>
      </c>
      <c r="J755" s="5">
        <v>1.7465277777777777E-2</v>
      </c>
      <c r="K755" s="5">
        <f t="shared" si="22"/>
        <v>2.4950396825396824E-3</v>
      </c>
      <c r="L755" s="5">
        <v>0.22443287037037038</v>
      </c>
      <c r="M755" s="6">
        <f t="shared" si="23"/>
        <v>0.91965852501778522</v>
      </c>
      <c r="N755" s="5">
        <v>1.3206018518518518E-2</v>
      </c>
      <c r="O755" s="5">
        <v>1.5243055555555555E-2</v>
      </c>
      <c r="P755" s="5"/>
      <c r="Q755" s="5"/>
      <c r="R755" s="5"/>
      <c r="S755" s="5"/>
      <c r="T755" s="5">
        <v>4.2824074074074075E-4</v>
      </c>
      <c r="U755" s="5">
        <v>2.7314814814814814E-3</v>
      </c>
      <c r="V755" s="5"/>
      <c r="W755" s="5">
        <v>0.19282407407407406</v>
      </c>
    </row>
    <row r="756" spans="1:23" x14ac:dyDescent="0.25">
      <c r="A756" s="2">
        <v>46244</v>
      </c>
      <c r="B756" s="3" t="s">
        <v>242</v>
      </c>
      <c r="C756" s="3" t="s">
        <v>603</v>
      </c>
      <c r="D756" s="3" t="s">
        <v>233</v>
      </c>
      <c r="E756" s="3" t="s">
        <v>31</v>
      </c>
      <c r="F756" s="3" t="s">
        <v>32</v>
      </c>
      <c r="G756" s="4" t="s">
        <v>106</v>
      </c>
      <c r="H756" s="4">
        <v>28</v>
      </c>
      <c r="I756" s="5">
        <v>0.26511574074074074</v>
      </c>
      <c r="J756" s="5">
        <v>0.15961805555555555</v>
      </c>
      <c r="K756" s="5">
        <f t="shared" si="22"/>
        <v>5.7006448412698415E-3</v>
      </c>
      <c r="L756" s="5">
        <v>1.5196759259259259E-2</v>
      </c>
      <c r="M756" s="6">
        <f t="shared" si="23"/>
        <v>5.7321225879682178E-2</v>
      </c>
      <c r="N756" s="5"/>
      <c r="O756" s="5"/>
      <c r="P756" s="5"/>
      <c r="Q756" s="5"/>
      <c r="R756" s="5"/>
      <c r="S756" s="5">
        <v>1.2881944444444444E-2</v>
      </c>
      <c r="T756" s="5">
        <v>5.7870370370370373E-5</v>
      </c>
      <c r="U756" s="5">
        <v>2.1643518518518518E-3</v>
      </c>
      <c r="V756" s="5"/>
      <c r="W756" s="5">
        <v>2.3148148148148147E-5</v>
      </c>
    </row>
    <row r="757" spans="1:23" x14ac:dyDescent="0.25">
      <c r="A757" s="2">
        <v>46244</v>
      </c>
      <c r="B757" s="3" t="s">
        <v>248</v>
      </c>
      <c r="C757" s="3" t="s">
        <v>249</v>
      </c>
      <c r="D757" s="3" t="s">
        <v>78</v>
      </c>
      <c r="E757" s="3" t="s">
        <v>79</v>
      </c>
      <c r="F757" s="3" t="s">
        <v>80</v>
      </c>
      <c r="G757" s="4" t="s">
        <v>81</v>
      </c>
      <c r="H757" s="4">
        <v>1</v>
      </c>
      <c r="I757" s="5">
        <v>0.29121527777777778</v>
      </c>
      <c r="J757" s="5">
        <v>3.7870370370370374E-2</v>
      </c>
      <c r="K757" s="5">
        <f t="shared" si="22"/>
        <v>3.7870370370370374E-2</v>
      </c>
      <c r="L757" s="5">
        <v>3.1944444444444446E-3</v>
      </c>
      <c r="M757" s="6">
        <f t="shared" si="23"/>
        <v>1.0969357338738524E-2</v>
      </c>
      <c r="N757" s="5"/>
      <c r="O757" s="5"/>
      <c r="P757" s="5"/>
      <c r="Q757" s="5"/>
      <c r="R757" s="5"/>
      <c r="S757" s="5"/>
      <c r="T757" s="5">
        <v>2.0833333333333335E-4</v>
      </c>
      <c r="U757" s="5">
        <v>2.9745370370370373E-3</v>
      </c>
      <c r="V757" s="5"/>
      <c r="W757" s="5"/>
    </row>
    <row r="758" spans="1:23" x14ac:dyDescent="0.25">
      <c r="A758" s="2">
        <v>46244</v>
      </c>
      <c r="B758" s="3" t="s">
        <v>289</v>
      </c>
      <c r="C758" s="3" t="s">
        <v>559</v>
      </c>
      <c r="D758" s="3" t="s">
        <v>104</v>
      </c>
      <c r="E758" s="3" t="s">
        <v>31</v>
      </c>
      <c r="F758" s="3" t="s">
        <v>105</v>
      </c>
      <c r="G758" s="4" t="s">
        <v>106</v>
      </c>
      <c r="H758" s="4">
        <v>8</v>
      </c>
      <c r="I758" s="5">
        <v>0.24024305555555556</v>
      </c>
      <c r="J758" s="5">
        <v>0.14472222222222222</v>
      </c>
      <c r="K758" s="5">
        <f t="shared" si="22"/>
        <v>1.8090277777777778E-2</v>
      </c>
      <c r="L758" s="5">
        <v>0.1454050925925926</v>
      </c>
      <c r="M758" s="6">
        <f t="shared" si="23"/>
        <v>0.60524160524160531</v>
      </c>
      <c r="N758" s="5">
        <v>5.1967592592592595E-3</v>
      </c>
      <c r="O758" s="5">
        <v>1.3738425925925926E-2</v>
      </c>
      <c r="P758" s="5">
        <v>2.6111111111111113E-2</v>
      </c>
      <c r="Q758" s="5"/>
      <c r="R758" s="5"/>
      <c r="S758" s="5">
        <v>2.2280092592592591E-2</v>
      </c>
      <c r="T758" s="5">
        <v>2.476851851851852E-3</v>
      </c>
      <c r="U758" s="5">
        <v>9.3749999999999997E-4</v>
      </c>
      <c r="V758" s="5"/>
      <c r="W758" s="5">
        <v>7.4652777777777776E-2</v>
      </c>
    </row>
    <row r="759" spans="1:23" x14ac:dyDescent="0.25">
      <c r="A759" s="2">
        <v>46244</v>
      </c>
      <c r="B759" s="3" t="s">
        <v>252</v>
      </c>
      <c r="C759" s="3" t="s">
        <v>553</v>
      </c>
      <c r="D759" s="3" t="s">
        <v>78</v>
      </c>
      <c r="E759" s="3" t="s">
        <v>79</v>
      </c>
      <c r="F759" s="3" t="s">
        <v>80</v>
      </c>
      <c r="G759" s="4" t="s">
        <v>81</v>
      </c>
      <c r="H759" s="4">
        <v>0</v>
      </c>
      <c r="I759" s="5">
        <v>0.36846064814814816</v>
      </c>
      <c r="J759" s="5">
        <v>0</v>
      </c>
      <c r="K759" s="5">
        <f t="shared" si="22"/>
        <v>0</v>
      </c>
      <c r="L759" s="5">
        <v>1.1111111111111111E-3</v>
      </c>
      <c r="M759" s="6">
        <f t="shared" si="23"/>
        <v>3.0155489241400972E-3</v>
      </c>
      <c r="N759" s="5"/>
      <c r="O759" s="5"/>
      <c r="P759" s="5"/>
      <c r="Q759" s="5"/>
      <c r="R759" s="5"/>
      <c r="S759" s="5"/>
      <c r="T759" s="5">
        <v>6.9444444444444444E-5</v>
      </c>
      <c r="U759" s="5">
        <v>1.0185185185185184E-3</v>
      </c>
      <c r="V759" s="5"/>
      <c r="W759" s="5"/>
    </row>
    <row r="760" spans="1:23" x14ac:dyDescent="0.25">
      <c r="A760" s="2">
        <v>46244</v>
      </c>
      <c r="B760" s="3" t="s">
        <v>500</v>
      </c>
      <c r="C760" s="3" t="s">
        <v>518</v>
      </c>
      <c r="D760" s="3" t="s">
        <v>274</v>
      </c>
      <c r="E760" s="3" t="s">
        <v>79</v>
      </c>
      <c r="F760" s="3" t="s">
        <v>147</v>
      </c>
      <c r="G760" s="4" t="s">
        <v>33</v>
      </c>
      <c r="H760" s="4">
        <v>23</v>
      </c>
      <c r="I760" s="5">
        <v>0.26100694444444444</v>
      </c>
      <c r="J760" s="5">
        <v>6.8032407407407403E-2</v>
      </c>
      <c r="K760" s="5">
        <f t="shared" si="22"/>
        <v>2.9579307568438E-3</v>
      </c>
      <c r="L760" s="5">
        <v>2.6064814814814815E-2</v>
      </c>
      <c r="M760" s="6">
        <f t="shared" si="23"/>
        <v>9.98625338122478E-2</v>
      </c>
      <c r="N760" s="5">
        <v>2.2800925925925927E-3</v>
      </c>
      <c r="O760" s="5">
        <v>1.1319444444444444E-2</v>
      </c>
      <c r="P760" s="5"/>
      <c r="Q760" s="5"/>
      <c r="R760" s="5"/>
      <c r="S760" s="5">
        <v>1.2303240740740741E-2</v>
      </c>
      <c r="T760" s="5">
        <v>6.9444444444444444E-5</v>
      </c>
      <c r="U760" s="5">
        <v>8.1018518518518516E-5</v>
      </c>
      <c r="V760" s="5"/>
      <c r="W760" s="5"/>
    </row>
    <row r="761" spans="1:23" x14ac:dyDescent="0.25">
      <c r="A761" s="2">
        <v>46244</v>
      </c>
      <c r="B761" s="3" t="s">
        <v>683</v>
      </c>
      <c r="C761" s="3" t="s">
        <v>684</v>
      </c>
      <c r="D761" s="3" t="s">
        <v>233</v>
      </c>
      <c r="E761" s="3" t="s">
        <v>31</v>
      </c>
      <c r="F761" s="3" t="s">
        <v>32</v>
      </c>
      <c r="G761" s="4" t="s">
        <v>106</v>
      </c>
      <c r="H761" s="4">
        <v>30</v>
      </c>
      <c r="I761" s="5">
        <v>0.25524305555555554</v>
      </c>
      <c r="J761" s="5">
        <v>0.14435185185185184</v>
      </c>
      <c r="K761" s="5">
        <f t="shared" si="22"/>
        <v>4.8117283950617285E-3</v>
      </c>
      <c r="L761" s="5">
        <v>4.445601851851852E-2</v>
      </c>
      <c r="M761" s="6">
        <f t="shared" si="23"/>
        <v>0.17417131456037729</v>
      </c>
      <c r="N761" s="5">
        <v>2.8356481481481483E-3</v>
      </c>
      <c r="O761" s="5">
        <v>8.067129629629629E-3</v>
      </c>
      <c r="P761" s="5"/>
      <c r="Q761" s="5">
        <v>3.3333333333333335E-3</v>
      </c>
      <c r="R761" s="5"/>
      <c r="S761" s="5">
        <v>1.0046296296296296E-2</v>
      </c>
      <c r="T761" s="5">
        <v>1.7361111111111112E-4</v>
      </c>
      <c r="U761" s="5">
        <v>1.9988425925925927E-2</v>
      </c>
      <c r="V761" s="5"/>
      <c r="W761" s="5"/>
    </row>
    <row r="762" spans="1:23" x14ac:dyDescent="0.25">
      <c r="A762" s="2">
        <v>46244</v>
      </c>
      <c r="B762" s="3" t="s">
        <v>653</v>
      </c>
      <c r="C762" s="3" t="s">
        <v>654</v>
      </c>
      <c r="D762" s="3" t="s">
        <v>100</v>
      </c>
      <c r="E762" s="3" t="s">
        <v>31</v>
      </c>
      <c r="F762" s="3" t="s">
        <v>32</v>
      </c>
      <c r="G762" s="4" t="s">
        <v>33</v>
      </c>
      <c r="H762" s="4">
        <v>41</v>
      </c>
      <c r="I762" s="5">
        <v>0.25082175925925926</v>
      </c>
      <c r="J762" s="5">
        <v>0.1519212962962963</v>
      </c>
      <c r="K762" s="5">
        <f t="shared" si="22"/>
        <v>3.7053974706413731E-3</v>
      </c>
      <c r="L762" s="5">
        <v>3.6701388888888888E-2</v>
      </c>
      <c r="M762" s="6">
        <f t="shared" si="23"/>
        <v>0.14632458123759862</v>
      </c>
      <c r="N762" s="5">
        <v>3.3449074074074076E-3</v>
      </c>
      <c r="O762" s="5">
        <v>1.4467592592592593E-2</v>
      </c>
      <c r="P762" s="5"/>
      <c r="Q762" s="5"/>
      <c r="R762" s="5"/>
      <c r="S762" s="5">
        <v>1.3773148148148149E-2</v>
      </c>
      <c r="T762" s="5">
        <v>1.1805555555555556E-3</v>
      </c>
      <c r="U762" s="5">
        <v>3.8310185185185183E-3</v>
      </c>
      <c r="V762" s="5"/>
      <c r="W762" s="5"/>
    </row>
    <row r="763" spans="1:23" x14ac:dyDescent="0.25">
      <c r="A763" s="2">
        <v>46244</v>
      </c>
      <c r="B763" s="3" t="s">
        <v>52</v>
      </c>
      <c r="C763" s="3" t="s">
        <v>509</v>
      </c>
      <c r="D763" s="3" t="s">
        <v>100</v>
      </c>
      <c r="E763" s="3" t="s">
        <v>31</v>
      </c>
      <c r="F763" s="3" t="s">
        <v>32</v>
      </c>
      <c r="G763" s="4" t="s">
        <v>33</v>
      </c>
      <c r="H763" s="4">
        <v>7</v>
      </c>
      <c r="I763" s="5">
        <v>0.25140046296296298</v>
      </c>
      <c r="J763" s="5">
        <v>3.9745370370370368E-2</v>
      </c>
      <c r="K763" s="5">
        <f t="shared" si="22"/>
        <v>5.6779100529100526E-3</v>
      </c>
      <c r="L763" s="5">
        <v>0.21981481481481482</v>
      </c>
      <c r="M763" s="6">
        <f t="shared" si="23"/>
        <v>0.87436121725519078</v>
      </c>
      <c r="N763" s="5">
        <v>1.4976851851851852E-2</v>
      </c>
      <c r="O763" s="5">
        <v>7.9976851851851858E-3</v>
      </c>
      <c r="P763" s="5"/>
      <c r="Q763" s="5"/>
      <c r="R763" s="5"/>
      <c r="S763" s="5">
        <v>1.3634259259259259E-2</v>
      </c>
      <c r="T763" s="5">
        <v>1.1458333333333333E-3</v>
      </c>
      <c r="U763" s="5">
        <v>4.2824074074074075E-4</v>
      </c>
      <c r="V763" s="5"/>
      <c r="W763" s="5">
        <v>0.18163194444444444</v>
      </c>
    </row>
    <row r="764" spans="1:23" x14ac:dyDescent="0.25">
      <c r="A764" s="2">
        <v>46244</v>
      </c>
      <c r="B764" s="3" t="s">
        <v>655</v>
      </c>
      <c r="C764" s="3" t="s">
        <v>656</v>
      </c>
      <c r="D764" s="3" t="s">
        <v>100</v>
      </c>
      <c r="E764" s="3" t="s">
        <v>31</v>
      </c>
      <c r="F764" s="3" t="s">
        <v>32</v>
      </c>
      <c r="G764" s="4" t="s">
        <v>33</v>
      </c>
      <c r="H764" s="4">
        <v>35</v>
      </c>
      <c r="I764" s="5">
        <v>0.26194444444444442</v>
      </c>
      <c r="J764" s="5">
        <v>0.16173611111111111</v>
      </c>
      <c r="K764" s="5">
        <f t="shared" si="22"/>
        <v>4.6210317460317462E-3</v>
      </c>
      <c r="L764" s="5">
        <v>3.3113425925925928E-2</v>
      </c>
      <c r="M764" s="6">
        <f t="shared" si="23"/>
        <v>0.1264139271827501</v>
      </c>
      <c r="N764" s="5">
        <v>3.1944444444444446E-3</v>
      </c>
      <c r="O764" s="5">
        <v>2.8148148148148148E-2</v>
      </c>
      <c r="P764" s="5"/>
      <c r="Q764" s="5"/>
      <c r="R764" s="5"/>
      <c r="S764" s="5"/>
      <c r="T764" s="5">
        <v>1.3888888888888889E-4</v>
      </c>
      <c r="U764" s="5">
        <v>1.5625000000000001E-3</v>
      </c>
      <c r="V764" s="5"/>
      <c r="W764" s="5"/>
    </row>
    <row r="765" spans="1:23" x14ac:dyDescent="0.25">
      <c r="A765" s="2">
        <v>46244</v>
      </c>
      <c r="B765" s="3" t="s">
        <v>657</v>
      </c>
      <c r="C765" s="3" t="s">
        <v>658</v>
      </c>
      <c r="D765" s="3" t="s">
        <v>274</v>
      </c>
      <c r="E765" s="3" t="s">
        <v>79</v>
      </c>
      <c r="F765" s="3" t="s">
        <v>147</v>
      </c>
      <c r="G765" s="4" t="s">
        <v>33</v>
      </c>
      <c r="H765" s="4">
        <v>18</v>
      </c>
      <c r="I765" s="5">
        <v>0.26459490740740743</v>
      </c>
      <c r="J765" s="5">
        <v>8.4988425925925926E-2</v>
      </c>
      <c r="K765" s="5">
        <f t="shared" si="22"/>
        <v>4.7215792181069961E-3</v>
      </c>
      <c r="L765" s="5">
        <v>3.0787037037037036E-2</v>
      </c>
      <c r="M765" s="6">
        <f t="shared" si="23"/>
        <v>0.11635536503215081</v>
      </c>
      <c r="N765" s="5">
        <v>2.673611111111111E-3</v>
      </c>
      <c r="O765" s="5">
        <v>8.1018518518518514E-3</v>
      </c>
      <c r="P765" s="5"/>
      <c r="Q765" s="5"/>
      <c r="R765" s="5">
        <v>6.4236111111111108E-3</v>
      </c>
      <c r="S765" s="5">
        <v>1.3530092592592592E-2</v>
      </c>
      <c r="T765" s="5">
        <v>5.7870370370370373E-5</v>
      </c>
      <c r="U765" s="5"/>
      <c r="V765" s="5"/>
      <c r="W765" s="5"/>
    </row>
    <row r="766" spans="1:23" x14ac:dyDescent="0.25">
      <c r="A766" s="2">
        <v>46244</v>
      </c>
      <c r="B766" s="3" t="s">
        <v>166</v>
      </c>
      <c r="C766" s="3" t="s">
        <v>167</v>
      </c>
      <c r="D766" s="3" t="s">
        <v>146</v>
      </c>
      <c r="E766" s="3" t="s">
        <v>79</v>
      </c>
      <c r="F766" s="3" t="s">
        <v>147</v>
      </c>
      <c r="G766" s="4" t="s">
        <v>106</v>
      </c>
      <c r="H766" s="4">
        <v>31</v>
      </c>
      <c r="I766" s="5">
        <v>0.25230324074074073</v>
      </c>
      <c r="J766" s="5">
        <v>4.8993055555555554E-2</v>
      </c>
      <c r="K766" s="5">
        <f t="shared" si="22"/>
        <v>1.580421146953405E-3</v>
      </c>
      <c r="L766" s="5">
        <v>4.4710648148148145E-2</v>
      </c>
      <c r="M766" s="6">
        <f t="shared" si="23"/>
        <v>0.17720996375980549</v>
      </c>
      <c r="N766" s="5">
        <v>3.7152777777777778E-3</v>
      </c>
      <c r="O766" s="5">
        <v>1.2430555555555556E-2</v>
      </c>
      <c r="P766" s="5"/>
      <c r="Q766" s="5"/>
      <c r="R766" s="5"/>
      <c r="S766" s="5">
        <v>1.1643518518518518E-2</v>
      </c>
      <c r="T766" s="5">
        <v>2.0138888888888888E-3</v>
      </c>
      <c r="U766" s="5">
        <v>1.4548611111111111E-2</v>
      </c>
      <c r="V766" s="5"/>
      <c r="W766" s="5"/>
    </row>
    <row r="767" spans="1:23" x14ac:dyDescent="0.25">
      <c r="A767" s="2">
        <v>46244</v>
      </c>
      <c r="B767" s="3" t="s">
        <v>659</v>
      </c>
      <c r="C767" s="3" t="s">
        <v>660</v>
      </c>
      <c r="D767" s="3" t="s">
        <v>100</v>
      </c>
      <c r="E767" s="3" t="s">
        <v>31</v>
      </c>
      <c r="F767" s="3" t="s">
        <v>32</v>
      </c>
      <c r="G767" s="4" t="s">
        <v>33</v>
      </c>
      <c r="H767" s="4">
        <v>5</v>
      </c>
      <c r="I767" s="5">
        <v>0.22777777777777777</v>
      </c>
      <c r="J767" s="5">
        <v>3.6736111111111108E-2</v>
      </c>
      <c r="K767" s="5">
        <f t="shared" si="22"/>
        <v>7.347222222222222E-3</v>
      </c>
      <c r="L767" s="5">
        <v>0.19533564814814816</v>
      </c>
      <c r="M767" s="6">
        <f t="shared" si="23"/>
        <v>0.8575711382113822</v>
      </c>
      <c r="N767" s="5"/>
      <c r="O767" s="5">
        <v>5.7407407407407407E-3</v>
      </c>
      <c r="P767" s="5"/>
      <c r="Q767" s="5"/>
      <c r="R767" s="5"/>
      <c r="S767" s="5"/>
      <c r="T767" s="5">
        <v>3.8194444444444446E-4</v>
      </c>
      <c r="U767" s="5">
        <v>2.0833333333333335E-4</v>
      </c>
      <c r="V767" s="5"/>
      <c r="W767" s="5">
        <v>0.18899305555555557</v>
      </c>
    </row>
    <row r="768" spans="1:23" x14ac:dyDescent="0.25">
      <c r="A768" s="2">
        <v>46244</v>
      </c>
      <c r="B768" s="3" t="s">
        <v>254</v>
      </c>
      <c r="C768" s="3" t="s">
        <v>528</v>
      </c>
      <c r="D768" s="3" t="s">
        <v>233</v>
      </c>
      <c r="E768" s="3" t="s">
        <v>31</v>
      </c>
      <c r="F768" s="3" t="s">
        <v>32</v>
      </c>
      <c r="G768" s="4" t="s">
        <v>106</v>
      </c>
      <c r="H768" s="4">
        <v>26</v>
      </c>
      <c r="I768" s="5">
        <v>0.2682060185185185</v>
      </c>
      <c r="J768" s="5">
        <v>0.12406250000000001</v>
      </c>
      <c r="K768" s="5">
        <f t="shared" si="22"/>
        <v>4.771634615384616E-3</v>
      </c>
      <c r="L768" s="5">
        <v>5.3229166666666668E-2</v>
      </c>
      <c r="M768" s="6">
        <f t="shared" si="23"/>
        <v>0.19846372934018039</v>
      </c>
      <c r="N768" s="5">
        <v>1.4016203703703704E-2</v>
      </c>
      <c r="O768" s="5">
        <v>9.2476851851851852E-3</v>
      </c>
      <c r="P768" s="5"/>
      <c r="Q768" s="5">
        <v>4.8148148148148152E-3</v>
      </c>
      <c r="R768" s="5">
        <v>4.5138888888888887E-4</v>
      </c>
      <c r="S768" s="5">
        <v>1.3622685185185186E-2</v>
      </c>
      <c r="T768" s="5">
        <v>5.9606481481481481E-3</v>
      </c>
      <c r="U768" s="5">
        <v>5.0810185185185186E-3</v>
      </c>
      <c r="V768" s="5"/>
      <c r="W768" s="5"/>
    </row>
    <row r="769" spans="1:23" x14ac:dyDescent="0.25">
      <c r="A769" s="2">
        <v>46244</v>
      </c>
      <c r="B769" s="3" t="s">
        <v>201</v>
      </c>
      <c r="C769" s="3" t="s">
        <v>545</v>
      </c>
      <c r="D769" s="3" t="s">
        <v>601</v>
      </c>
      <c r="E769" s="3" t="s">
        <v>31</v>
      </c>
      <c r="F769" s="3" t="s">
        <v>600</v>
      </c>
      <c r="G769" s="4" t="s">
        <v>33</v>
      </c>
      <c r="H769" s="4">
        <v>23</v>
      </c>
      <c r="I769" s="5">
        <v>0.2444212962962963</v>
      </c>
      <c r="J769" s="5">
        <v>7.6516203703703697E-2</v>
      </c>
      <c r="K769" s="5">
        <f t="shared" si="22"/>
        <v>3.3267914653784215E-3</v>
      </c>
      <c r="L769" s="5">
        <v>6.958333333333333E-2</v>
      </c>
      <c r="M769" s="6">
        <f t="shared" si="23"/>
        <v>0.28468604981532342</v>
      </c>
      <c r="N769" s="5">
        <v>9.0740740740740747E-3</v>
      </c>
      <c r="O769" s="5">
        <v>2.2928240740740742E-2</v>
      </c>
      <c r="P769" s="5">
        <v>1.9641203703703702E-2</v>
      </c>
      <c r="Q769" s="5"/>
      <c r="R769" s="5"/>
      <c r="S769" s="5"/>
      <c r="T769" s="5">
        <v>5.2662037037037035E-3</v>
      </c>
      <c r="U769" s="5">
        <v>1.2662037037037038E-2</v>
      </c>
      <c r="V769" s="5"/>
      <c r="W769" s="5"/>
    </row>
    <row r="770" spans="1:23" x14ac:dyDescent="0.25">
      <c r="A770" s="2">
        <v>46244</v>
      </c>
      <c r="B770" s="3" t="s">
        <v>168</v>
      </c>
      <c r="C770" s="3" t="s">
        <v>520</v>
      </c>
      <c r="D770" s="3" t="s">
        <v>274</v>
      </c>
      <c r="E770" s="3" t="s">
        <v>79</v>
      </c>
      <c r="F770" s="3" t="s">
        <v>147</v>
      </c>
      <c r="G770" s="4" t="s">
        <v>33</v>
      </c>
      <c r="H770" s="4">
        <v>23</v>
      </c>
      <c r="I770" s="5">
        <v>0.26947916666666666</v>
      </c>
      <c r="J770" s="5">
        <v>6.3495370370370369E-2</v>
      </c>
      <c r="K770" s="5">
        <f t="shared" ref="K770:K833" si="24">IFERROR(J770/H770,0)</f>
        <v>2.7606682769726249E-3</v>
      </c>
      <c r="L770" s="5">
        <v>3.9050925925925926E-2</v>
      </c>
      <c r="M770" s="6">
        <f t="shared" ref="M770:M833" si="25">IFERROR(L770/I770,0)</f>
        <v>0.1449125971739037</v>
      </c>
      <c r="N770" s="5">
        <v>4.1319444444444442E-3</v>
      </c>
      <c r="O770" s="5">
        <v>1.4270833333333333E-2</v>
      </c>
      <c r="P770" s="5">
        <v>6.7939814814814816E-3</v>
      </c>
      <c r="Q770" s="5"/>
      <c r="R770" s="5"/>
      <c r="S770" s="5">
        <v>1.3356481481481481E-2</v>
      </c>
      <c r="T770" s="5">
        <v>6.9444444444444444E-5</v>
      </c>
      <c r="U770" s="5">
        <v>4.0509259259259258E-4</v>
      </c>
      <c r="V770" s="5"/>
      <c r="W770" s="5"/>
    </row>
    <row r="771" spans="1:23" x14ac:dyDescent="0.25">
      <c r="A771" s="2">
        <v>46244</v>
      </c>
      <c r="B771" s="3" t="s">
        <v>170</v>
      </c>
      <c r="C771" s="3" t="s">
        <v>521</v>
      </c>
      <c r="D771" s="3" t="s">
        <v>146</v>
      </c>
      <c r="E771" s="3" t="s">
        <v>79</v>
      </c>
      <c r="F771" s="3" t="s">
        <v>147</v>
      </c>
      <c r="G771" s="4" t="s">
        <v>106</v>
      </c>
      <c r="H771" s="4">
        <v>18</v>
      </c>
      <c r="I771" s="5">
        <v>0.25451388888888887</v>
      </c>
      <c r="J771" s="5">
        <v>0.10163194444444444</v>
      </c>
      <c r="K771" s="5">
        <f t="shared" si="24"/>
        <v>5.6462191358024692E-3</v>
      </c>
      <c r="L771" s="5">
        <v>4.4259259259259262E-2</v>
      </c>
      <c r="M771" s="6">
        <f t="shared" si="25"/>
        <v>0.17389722601182359</v>
      </c>
      <c r="N771" s="5">
        <v>1.2430555555555556E-2</v>
      </c>
      <c r="O771" s="5">
        <v>1.5381944444444445E-2</v>
      </c>
      <c r="P771" s="5"/>
      <c r="Q771" s="5">
        <v>2.5115740740740741E-3</v>
      </c>
      <c r="R771" s="5"/>
      <c r="S771" s="5">
        <v>1.2268518518518519E-2</v>
      </c>
      <c r="T771" s="5">
        <v>8.1018518518518516E-5</v>
      </c>
      <c r="U771" s="5">
        <v>1.5509259259259259E-3</v>
      </c>
      <c r="V771" s="5"/>
      <c r="W771" s="5"/>
    </row>
    <row r="772" spans="1:23" x14ac:dyDescent="0.25">
      <c r="A772" s="2">
        <v>46244</v>
      </c>
      <c r="B772" s="3" t="s">
        <v>92</v>
      </c>
      <c r="C772" s="3" t="s">
        <v>93</v>
      </c>
      <c r="D772" s="3" t="s">
        <v>78</v>
      </c>
      <c r="E772" s="3" t="s">
        <v>79</v>
      </c>
      <c r="F772" s="3" t="s">
        <v>80</v>
      </c>
      <c r="G772" s="4" t="s">
        <v>81</v>
      </c>
      <c r="H772" s="4">
        <v>0</v>
      </c>
      <c r="I772" s="5">
        <v>0.33258101851851851</v>
      </c>
      <c r="J772" s="5">
        <v>0</v>
      </c>
      <c r="K772" s="5">
        <f t="shared" si="24"/>
        <v>0</v>
      </c>
      <c r="L772" s="5">
        <v>8.7222222222222229E-2</v>
      </c>
      <c r="M772" s="6">
        <f t="shared" si="25"/>
        <v>0.26225856968853317</v>
      </c>
      <c r="N772" s="5">
        <v>5.3819444444444444E-3</v>
      </c>
      <c r="O772" s="5">
        <v>4.2592592592592592E-2</v>
      </c>
      <c r="P772" s="5"/>
      <c r="Q772" s="5"/>
      <c r="R772" s="5"/>
      <c r="S772" s="5">
        <v>3.0775462962962963E-2</v>
      </c>
      <c r="T772" s="5">
        <v>7.2453703703703708E-3</v>
      </c>
      <c r="U772" s="5">
        <v>1.2152777777777778E-3</v>
      </c>
      <c r="V772" s="5"/>
      <c r="W772" s="5"/>
    </row>
    <row r="773" spans="1:23" x14ac:dyDescent="0.25">
      <c r="A773" s="2">
        <v>46244</v>
      </c>
      <c r="B773" s="3" t="s">
        <v>94</v>
      </c>
      <c r="C773" s="3" t="s">
        <v>95</v>
      </c>
      <c r="D773" s="3" t="s">
        <v>78</v>
      </c>
      <c r="E773" s="3" t="s">
        <v>79</v>
      </c>
      <c r="F773" s="3" t="s">
        <v>80</v>
      </c>
      <c r="G773" s="4" t="s">
        <v>81</v>
      </c>
      <c r="H773" s="4">
        <v>0</v>
      </c>
      <c r="I773" s="5">
        <v>0.2953587962962963</v>
      </c>
      <c r="J773" s="5">
        <v>0</v>
      </c>
      <c r="K773" s="5">
        <f t="shared" si="24"/>
        <v>0</v>
      </c>
      <c r="L773" s="5">
        <v>9.3425925925925926E-2</v>
      </c>
      <c r="M773" s="6">
        <f t="shared" si="25"/>
        <v>0.31631333516203614</v>
      </c>
      <c r="N773" s="5"/>
      <c r="O773" s="5"/>
      <c r="P773" s="5"/>
      <c r="Q773" s="5"/>
      <c r="R773" s="5">
        <v>9.3425925925925926E-2</v>
      </c>
      <c r="S773" s="5"/>
      <c r="T773" s="5"/>
      <c r="U773" s="5"/>
      <c r="V773" s="5"/>
      <c r="W773" s="5"/>
    </row>
    <row r="774" spans="1:23" x14ac:dyDescent="0.25">
      <c r="A774" s="2">
        <v>46244</v>
      </c>
      <c r="B774" s="3" t="s">
        <v>293</v>
      </c>
      <c r="C774" s="3" t="s">
        <v>543</v>
      </c>
      <c r="D774" s="3" t="s">
        <v>104</v>
      </c>
      <c r="E774" s="3" t="s">
        <v>31</v>
      </c>
      <c r="F774" s="3" t="s">
        <v>600</v>
      </c>
      <c r="G774" s="4" t="s">
        <v>106</v>
      </c>
      <c r="H774" s="4">
        <v>53</v>
      </c>
      <c r="I774" s="5">
        <v>0.26197916666666665</v>
      </c>
      <c r="J774" s="5">
        <v>8.9907407407407408E-2</v>
      </c>
      <c r="K774" s="5">
        <f t="shared" si="24"/>
        <v>1.696366177498253E-3</v>
      </c>
      <c r="L774" s="5">
        <v>0.1152662037037037</v>
      </c>
      <c r="M774" s="6">
        <f t="shared" si="25"/>
        <v>0.439982328252706</v>
      </c>
      <c r="N774" s="5">
        <v>1.1898148148148149E-2</v>
      </c>
      <c r="O774" s="5">
        <v>2.1979166666666668E-2</v>
      </c>
      <c r="P774" s="5"/>
      <c r="Q774" s="5"/>
      <c r="R774" s="5"/>
      <c r="S774" s="5">
        <v>1.3472222222222222E-2</v>
      </c>
      <c r="T774" s="5">
        <v>1.6747685185185185E-2</v>
      </c>
      <c r="U774" s="5"/>
      <c r="V774" s="5"/>
      <c r="W774" s="5">
        <v>5.1168981481481482E-2</v>
      </c>
    </row>
    <row r="775" spans="1:23" x14ac:dyDescent="0.25">
      <c r="A775" s="2">
        <v>46244</v>
      </c>
      <c r="B775" s="3" t="s">
        <v>256</v>
      </c>
      <c r="C775" s="3" t="s">
        <v>529</v>
      </c>
      <c r="D775" s="3" t="s">
        <v>233</v>
      </c>
      <c r="E775" s="3" t="s">
        <v>31</v>
      </c>
      <c r="F775" s="3" t="s">
        <v>32</v>
      </c>
      <c r="G775" s="4" t="s">
        <v>106</v>
      </c>
      <c r="H775" s="4">
        <v>27</v>
      </c>
      <c r="I775" s="5">
        <v>0.24931712962962962</v>
      </c>
      <c r="J775" s="5">
        <v>7.1006944444444442E-2</v>
      </c>
      <c r="K775" s="5">
        <f t="shared" si="24"/>
        <v>2.6298868312757202E-3</v>
      </c>
      <c r="L775" s="5">
        <v>7.0567129629629632E-2</v>
      </c>
      <c r="M775" s="6">
        <f t="shared" si="25"/>
        <v>0.28304164152082079</v>
      </c>
      <c r="N775" s="5">
        <v>2.0995370370370369E-2</v>
      </c>
      <c r="O775" s="5">
        <v>1.7106481481481483E-2</v>
      </c>
      <c r="P775" s="5"/>
      <c r="Q775" s="5"/>
      <c r="R775" s="5"/>
      <c r="S775" s="5">
        <v>2.1087962962962965E-2</v>
      </c>
      <c r="T775" s="5">
        <v>1.273148148148148E-4</v>
      </c>
      <c r="U775" s="5">
        <v>1.119212962962963E-2</v>
      </c>
      <c r="V775" s="5"/>
      <c r="W775" s="5"/>
    </row>
    <row r="776" spans="1:23" x14ac:dyDescent="0.25">
      <c r="A776" s="2">
        <v>46244</v>
      </c>
      <c r="B776" s="3" t="s">
        <v>612</v>
      </c>
      <c r="C776" s="3" t="s">
        <v>634</v>
      </c>
      <c r="D776" s="3" t="s">
        <v>601</v>
      </c>
      <c r="E776" s="3" t="s">
        <v>31</v>
      </c>
      <c r="F776" s="3" t="s">
        <v>105</v>
      </c>
      <c r="G776" s="4" t="s">
        <v>33</v>
      </c>
      <c r="H776" s="4">
        <v>1</v>
      </c>
      <c r="I776" s="5">
        <v>0.19530092592592593</v>
      </c>
      <c r="J776" s="5">
        <v>3.1805555555555552E-2</v>
      </c>
      <c r="K776" s="5">
        <f t="shared" si="24"/>
        <v>3.1805555555555552E-2</v>
      </c>
      <c r="L776" s="5">
        <v>0.18412037037037038</v>
      </c>
      <c r="M776" s="6">
        <f t="shared" si="25"/>
        <v>0.94275216309114618</v>
      </c>
      <c r="N776" s="5">
        <v>7.9398148148148145E-3</v>
      </c>
      <c r="O776" s="5">
        <v>1.0752314814814815E-2</v>
      </c>
      <c r="P776" s="5"/>
      <c r="Q776" s="5">
        <v>2.9259259259259259E-2</v>
      </c>
      <c r="R776" s="5"/>
      <c r="S776" s="5"/>
      <c r="T776" s="5">
        <v>3.3101851851851855E-2</v>
      </c>
      <c r="U776" s="5">
        <v>0.10300925925925926</v>
      </c>
      <c r="V776" s="5"/>
      <c r="W776" s="5">
        <v>5.7870370370370373E-5</v>
      </c>
    </row>
    <row r="777" spans="1:23" x14ac:dyDescent="0.25">
      <c r="A777" s="2">
        <v>46244</v>
      </c>
      <c r="B777" s="3" t="s">
        <v>258</v>
      </c>
      <c r="C777" s="3" t="s">
        <v>554</v>
      </c>
      <c r="D777" s="3" t="s">
        <v>233</v>
      </c>
      <c r="E777" s="3" t="s">
        <v>31</v>
      </c>
      <c r="F777" s="3" t="s">
        <v>32</v>
      </c>
      <c r="G777" s="4" t="s">
        <v>106</v>
      </c>
      <c r="H777" s="4">
        <v>4</v>
      </c>
      <c r="I777" s="5">
        <v>0.24201388888888889</v>
      </c>
      <c r="J777" s="5">
        <v>1.5671296296296298E-2</v>
      </c>
      <c r="K777" s="5">
        <f t="shared" si="24"/>
        <v>3.9178240740740744E-3</v>
      </c>
      <c r="L777" s="5">
        <v>0.21930555555555556</v>
      </c>
      <c r="M777" s="6">
        <f t="shared" si="25"/>
        <v>0.90616929698708748</v>
      </c>
      <c r="N777" s="5"/>
      <c r="O777" s="5"/>
      <c r="P777" s="5"/>
      <c r="Q777" s="5"/>
      <c r="R777" s="5"/>
      <c r="S777" s="5">
        <v>1.3506944444444445E-2</v>
      </c>
      <c r="T777" s="5">
        <v>3.2407407407407406E-4</v>
      </c>
      <c r="U777" s="5"/>
      <c r="V777" s="5"/>
      <c r="W777" s="5">
        <v>0.20547453703703702</v>
      </c>
    </row>
    <row r="778" spans="1:23" x14ac:dyDescent="0.25">
      <c r="A778" s="2">
        <v>46244</v>
      </c>
      <c r="B778" s="3" t="s">
        <v>661</v>
      </c>
      <c r="C778" s="3" t="s">
        <v>662</v>
      </c>
      <c r="D778" s="3" t="s">
        <v>100</v>
      </c>
      <c r="E778" s="3" t="s">
        <v>31</v>
      </c>
      <c r="F778" s="3" t="s">
        <v>32</v>
      </c>
      <c r="G778" s="4" t="s">
        <v>33</v>
      </c>
      <c r="H778" s="4">
        <v>45</v>
      </c>
      <c r="I778" s="5">
        <v>0.26120370370370372</v>
      </c>
      <c r="J778" s="5">
        <v>0.15459490740740742</v>
      </c>
      <c r="K778" s="5">
        <f t="shared" si="24"/>
        <v>3.4354423868312761E-3</v>
      </c>
      <c r="L778" s="5">
        <v>4.4224537037037034E-2</v>
      </c>
      <c r="M778" s="6">
        <f t="shared" si="25"/>
        <v>0.16931052818149592</v>
      </c>
      <c r="N778" s="5">
        <v>4.0972222222222226E-3</v>
      </c>
      <c r="O778" s="5">
        <v>1.4988425925925926E-2</v>
      </c>
      <c r="P778" s="5"/>
      <c r="Q778" s="5">
        <v>1.9791666666666668E-3</v>
      </c>
      <c r="R778" s="5"/>
      <c r="S778" s="5">
        <v>1.4143518518518519E-2</v>
      </c>
      <c r="T778" s="5">
        <v>3.7037037037037038E-3</v>
      </c>
      <c r="U778" s="5">
        <v>5.1967592592592595E-3</v>
      </c>
      <c r="V778" s="5"/>
      <c r="W778" s="5"/>
    </row>
    <row r="779" spans="1:23" x14ac:dyDescent="0.25">
      <c r="A779" s="2">
        <v>46244</v>
      </c>
      <c r="B779" s="3" t="s">
        <v>663</v>
      </c>
      <c r="C779" s="3" t="s">
        <v>664</v>
      </c>
      <c r="D779" s="3" t="s">
        <v>233</v>
      </c>
      <c r="E779" s="3" t="s">
        <v>31</v>
      </c>
      <c r="F779" s="3" t="s">
        <v>32</v>
      </c>
      <c r="G779" s="4" t="s">
        <v>106</v>
      </c>
      <c r="H779" s="4">
        <v>22</v>
      </c>
      <c r="I779" s="5">
        <v>0.25586805555555553</v>
      </c>
      <c r="J779" s="5">
        <v>0.15608796296296296</v>
      </c>
      <c r="K779" s="5">
        <f t="shared" si="24"/>
        <v>7.0949074074074074E-3</v>
      </c>
      <c r="L779" s="5">
        <v>4.0972222222222222E-2</v>
      </c>
      <c r="M779" s="6">
        <f t="shared" si="25"/>
        <v>0.16013027547835529</v>
      </c>
      <c r="N779" s="5">
        <v>6.4120370370370373E-3</v>
      </c>
      <c r="O779" s="5">
        <v>1.7754629629629631E-2</v>
      </c>
      <c r="P779" s="5"/>
      <c r="Q779" s="5"/>
      <c r="R779" s="5">
        <v>1.1574074074074075E-4</v>
      </c>
      <c r="S779" s="5">
        <v>1.3634259259259259E-2</v>
      </c>
      <c r="T779" s="5">
        <v>8.9120370370370373E-4</v>
      </c>
      <c r="U779" s="5">
        <v>1.0648148148148149E-3</v>
      </c>
      <c r="V779" s="5"/>
      <c r="W779" s="5">
        <v>1.0763888888888889E-3</v>
      </c>
    </row>
    <row r="780" spans="1:23" x14ac:dyDescent="0.25">
      <c r="A780" s="2">
        <v>46244</v>
      </c>
      <c r="B780" s="3" t="s">
        <v>203</v>
      </c>
      <c r="C780" s="3" t="s">
        <v>565</v>
      </c>
      <c r="D780" s="3" t="s">
        <v>601</v>
      </c>
      <c r="E780" s="3" t="s">
        <v>31</v>
      </c>
      <c r="F780" s="3" t="s">
        <v>105</v>
      </c>
      <c r="G780" s="4" t="s">
        <v>33</v>
      </c>
      <c r="H780" s="4">
        <v>1</v>
      </c>
      <c r="I780" s="5">
        <v>0.24332175925925925</v>
      </c>
      <c r="J780" s="5">
        <v>2.4502314814814814E-2</v>
      </c>
      <c r="K780" s="5">
        <f t="shared" si="24"/>
        <v>2.4502314814814814E-2</v>
      </c>
      <c r="L780" s="5">
        <v>0.23430555555555554</v>
      </c>
      <c r="M780" s="6">
        <f t="shared" si="25"/>
        <v>0.96294534557389522</v>
      </c>
      <c r="N780" s="5"/>
      <c r="O780" s="5">
        <v>1.9108796296296297E-2</v>
      </c>
      <c r="P780" s="5"/>
      <c r="Q780" s="5"/>
      <c r="R780" s="5"/>
      <c r="S780" s="5">
        <v>1.4502314814814815E-2</v>
      </c>
      <c r="T780" s="5">
        <v>1.3773148148148147E-3</v>
      </c>
      <c r="U780" s="5">
        <v>0.19931712962962964</v>
      </c>
      <c r="V780" s="5"/>
      <c r="W780" s="5"/>
    </row>
    <row r="781" spans="1:23" x14ac:dyDescent="0.25">
      <c r="A781" s="2">
        <v>46244</v>
      </c>
      <c r="B781" s="3" t="s">
        <v>665</v>
      </c>
      <c r="C781" s="3" t="s">
        <v>666</v>
      </c>
      <c r="D781" s="3" t="s">
        <v>100</v>
      </c>
      <c r="E781" s="3" t="s">
        <v>31</v>
      </c>
      <c r="F781" s="3" t="s">
        <v>32</v>
      </c>
      <c r="G781" s="4" t="s">
        <v>33</v>
      </c>
      <c r="H781" s="4">
        <v>41</v>
      </c>
      <c r="I781" s="5">
        <v>0.25532407407407409</v>
      </c>
      <c r="J781" s="5">
        <v>0.1733912037037037</v>
      </c>
      <c r="K781" s="5">
        <f t="shared" si="24"/>
        <v>4.2290537488708221E-3</v>
      </c>
      <c r="L781" s="5">
        <v>2.2395833333333334E-2</v>
      </c>
      <c r="M781" s="6">
        <f t="shared" si="25"/>
        <v>8.7715321849501357E-2</v>
      </c>
      <c r="N781" s="5"/>
      <c r="O781" s="5">
        <v>6.5393518518518517E-3</v>
      </c>
      <c r="P781" s="5"/>
      <c r="Q781" s="5"/>
      <c r="R781" s="5"/>
      <c r="S781" s="5">
        <v>1.4050925925925927E-2</v>
      </c>
      <c r="T781" s="5">
        <v>1.8518518518518518E-4</v>
      </c>
      <c r="U781" s="5">
        <v>1.5393518518518519E-3</v>
      </c>
      <c r="V781" s="5"/>
      <c r="W781" s="5"/>
    </row>
    <row r="782" spans="1:23" x14ac:dyDescent="0.25">
      <c r="A782" s="2">
        <v>46244</v>
      </c>
      <c r="B782" s="3" t="s">
        <v>128</v>
      </c>
      <c r="C782" s="3" t="s">
        <v>555</v>
      </c>
      <c r="D782" s="3" t="s">
        <v>233</v>
      </c>
      <c r="E782" s="3" t="s">
        <v>31</v>
      </c>
      <c r="F782" s="3" t="s">
        <v>32</v>
      </c>
      <c r="G782" s="4" t="s">
        <v>106</v>
      </c>
      <c r="H782" s="4">
        <v>34</v>
      </c>
      <c r="I782" s="5">
        <v>0.25048611111111113</v>
      </c>
      <c r="J782" s="5">
        <v>0.13476851851851851</v>
      </c>
      <c r="K782" s="5">
        <f t="shared" si="24"/>
        <v>3.9637799564270146E-3</v>
      </c>
      <c r="L782" s="5">
        <v>5.7604166666666665E-2</v>
      </c>
      <c r="M782" s="6">
        <f t="shared" si="25"/>
        <v>0.22996950374272246</v>
      </c>
      <c r="N782" s="5">
        <v>1.3113425925925926E-2</v>
      </c>
      <c r="O782" s="5">
        <v>2.0833333333333332E-2</v>
      </c>
      <c r="P782" s="5"/>
      <c r="Q782" s="5"/>
      <c r="R782" s="5"/>
      <c r="S782" s="5">
        <v>1.4687499999999999E-2</v>
      </c>
      <c r="T782" s="5">
        <v>8.0555555555555554E-3</v>
      </c>
      <c r="U782" s="5">
        <v>8.564814814814815E-4</v>
      </c>
      <c r="V782" s="5"/>
      <c r="W782" s="5"/>
    </row>
    <row r="783" spans="1:23" x14ac:dyDescent="0.25">
      <c r="A783" s="2">
        <v>46244</v>
      </c>
      <c r="B783" s="3" t="s">
        <v>178</v>
      </c>
      <c r="C783" s="3" t="s">
        <v>522</v>
      </c>
      <c r="D783" s="3" t="s">
        <v>146</v>
      </c>
      <c r="E783" s="3" t="s">
        <v>79</v>
      </c>
      <c r="F783" s="3" t="s">
        <v>147</v>
      </c>
      <c r="G783" s="4" t="s">
        <v>106</v>
      </c>
      <c r="H783" s="4">
        <v>17</v>
      </c>
      <c r="I783" s="5">
        <v>0.26386574074074076</v>
      </c>
      <c r="J783" s="5">
        <v>0.13115740740740742</v>
      </c>
      <c r="K783" s="5">
        <f t="shared" si="24"/>
        <v>7.7151416122004362E-3</v>
      </c>
      <c r="L783" s="5">
        <v>2.5300925925925925E-2</v>
      </c>
      <c r="M783" s="6">
        <f t="shared" si="25"/>
        <v>9.5885604000350899E-2</v>
      </c>
      <c r="N783" s="5">
        <v>2.0833333333333333E-3</v>
      </c>
      <c r="O783" s="5">
        <v>6.7939814814814816E-3</v>
      </c>
      <c r="P783" s="5">
        <v>2.0370370370370369E-3</v>
      </c>
      <c r="Q783" s="5"/>
      <c r="R783" s="5"/>
      <c r="S783" s="5">
        <v>1.105324074074074E-2</v>
      </c>
      <c r="T783" s="5">
        <v>4.6296296296296298E-4</v>
      </c>
      <c r="U783" s="5">
        <v>2.7662037037037039E-3</v>
      </c>
      <c r="V783" s="5"/>
      <c r="W783" s="5"/>
    </row>
    <row r="784" spans="1:23" x14ac:dyDescent="0.25">
      <c r="A784" s="2">
        <v>46244</v>
      </c>
      <c r="B784" s="3" t="s">
        <v>266</v>
      </c>
      <c r="C784" s="3" t="s">
        <v>531</v>
      </c>
      <c r="D784" s="3" t="s">
        <v>233</v>
      </c>
      <c r="E784" s="3" t="s">
        <v>31</v>
      </c>
      <c r="F784" s="3" t="s">
        <v>32</v>
      </c>
      <c r="G784" s="4" t="s">
        <v>106</v>
      </c>
      <c r="H784" s="4">
        <v>0</v>
      </c>
      <c r="I784" s="5">
        <v>0.25077546296296294</v>
      </c>
      <c r="J784" s="5">
        <v>0</v>
      </c>
      <c r="K784" s="5">
        <f t="shared" si="24"/>
        <v>0</v>
      </c>
      <c r="L784" s="5">
        <v>0.25077546296296294</v>
      </c>
      <c r="M784" s="6">
        <f t="shared" si="25"/>
        <v>1</v>
      </c>
      <c r="N784" s="5"/>
      <c r="O784" s="5">
        <v>1.2812499999999999E-2</v>
      </c>
      <c r="P784" s="5"/>
      <c r="Q784" s="5"/>
      <c r="R784" s="5"/>
      <c r="S784" s="5">
        <v>8.3217592592592596E-3</v>
      </c>
      <c r="T784" s="5">
        <v>5.7870370370370367E-4</v>
      </c>
      <c r="U784" s="5"/>
      <c r="V784" s="5"/>
      <c r="W784" s="5">
        <v>0.2290625</v>
      </c>
    </row>
    <row r="785" spans="1:23" x14ac:dyDescent="0.25">
      <c r="A785" s="2">
        <v>46244</v>
      </c>
      <c r="B785" s="3" t="s">
        <v>297</v>
      </c>
      <c r="C785" s="3" t="s">
        <v>667</v>
      </c>
      <c r="D785" s="3" t="s">
        <v>104</v>
      </c>
      <c r="E785" s="3" t="s">
        <v>31</v>
      </c>
      <c r="F785" s="3" t="s">
        <v>105</v>
      </c>
      <c r="G785" s="4" t="s">
        <v>106</v>
      </c>
      <c r="H785" s="4">
        <v>8</v>
      </c>
      <c r="I785" s="5">
        <v>0.24731481481481482</v>
      </c>
      <c r="J785" s="5">
        <v>0.13532407407407407</v>
      </c>
      <c r="K785" s="5">
        <f t="shared" si="24"/>
        <v>1.6915509259259259E-2</v>
      </c>
      <c r="L785" s="5">
        <v>0.18322916666666667</v>
      </c>
      <c r="M785" s="6">
        <f t="shared" si="25"/>
        <v>0.74087420441782104</v>
      </c>
      <c r="N785" s="5">
        <v>1.019675925925926E-2</v>
      </c>
      <c r="O785" s="5">
        <v>1.7638888888888888E-2</v>
      </c>
      <c r="P785" s="5"/>
      <c r="Q785" s="5"/>
      <c r="R785" s="5"/>
      <c r="S785" s="5">
        <v>1.4513888888888889E-2</v>
      </c>
      <c r="T785" s="5">
        <v>7.1759259259259259E-3</v>
      </c>
      <c r="U785" s="5">
        <v>1.7361111111111112E-4</v>
      </c>
      <c r="V785" s="5"/>
      <c r="W785" s="5">
        <v>0.13351851851851851</v>
      </c>
    </row>
    <row r="786" spans="1:23" x14ac:dyDescent="0.25">
      <c r="A786" s="2">
        <v>46244</v>
      </c>
      <c r="B786" s="3" t="s">
        <v>207</v>
      </c>
      <c r="C786" s="3" t="s">
        <v>566</v>
      </c>
      <c r="D786" s="3" t="s">
        <v>274</v>
      </c>
      <c r="E786" s="3" t="s">
        <v>79</v>
      </c>
      <c r="F786" s="3" t="s">
        <v>147</v>
      </c>
      <c r="G786" s="4" t="s">
        <v>33</v>
      </c>
      <c r="H786" s="4">
        <v>18</v>
      </c>
      <c r="I786" s="5">
        <v>0.26521990740740742</v>
      </c>
      <c r="J786" s="5">
        <v>5.5405092592592596E-2</v>
      </c>
      <c r="K786" s="5">
        <f t="shared" si="24"/>
        <v>3.0780606995884775E-3</v>
      </c>
      <c r="L786" s="5">
        <v>3.3472222222222223E-2</v>
      </c>
      <c r="M786" s="6">
        <f t="shared" si="25"/>
        <v>0.12620554222125246</v>
      </c>
      <c r="N786" s="5">
        <v>3.1481481481481482E-3</v>
      </c>
      <c r="O786" s="5">
        <v>1.4606481481481481E-2</v>
      </c>
      <c r="P786" s="5"/>
      <c r="Q786" s="5"/>
      <c r="R786" s="5">
        <v>7.6388888888888893E-4</v>
      </c>
      <c r="S786" s="5">
        <v>1.4027777777777778E-2</v>
      </c>
      <c r="T786" s="5">
        <v>6.9444444444444444E-5</v>
      </c>
      <c r="U786" s="5">
        <v>8.4490740740740739E-4</v>
      </c>
      <c r="V786" s="5"/>
      <c r="W786" s="5"/>
    </row>
    <row r="787" spans="1:23" x14ac:dyDescent="0.25">
      <c r="A787" s="2">
        <v>46244</v>
      </c>
      <c r="B787" s="3" t="s">
        <v>614</v>
      </c>
      <c r="C787" s="3" t="s">
        <v>635</v>
      </c>
      <c r="D787" s="3" t="s">
        <v>601</v>
      </c>
      <c r="E787" s="3" t="s">
        <v>31</v>
      </c>
      <c r="F787" s="3" t="s">
        <v>105</v>
      </c>
      <c r="G787" s="4" t="s">
        <v>33</v>
      </c>
      <c r="H787" s="4">
        <v>1</v>
      </c>
      <c r="I787" s="5">
        <v>0.18759259259259259</v>
      </c>
      <c r="J787" s="5">
        <v>3.2731481481481479E-2</v>
      </c>
      <c r="K787" s="5">
        <f t="shared" si="24"/>
        <v>3.2731481481481479E-2</v>
      </c>
      <c r="L787" s="5">
        <v>0.17546296296296296</v>
      </c>
      <c r="M787" s="6">
        <f t="shared" si="25"/>
        <v>0.93534057255676206</v>
      </c>
      <c r="N787" s="5"/>
      <c r="O787" s="5">
        <v>1.6006944444444445E-2</v>
      </c>
      <c r="P787" s="5"/>
      <c r="Q787" s="5"/>
      <c r="R787" s="5"/>
      <c r="S787" s="5">
        <v>9.9189814814814817E-3</v>
      </c>
      <c r="T787" s="5">
        <v>4.1435185185185186E-2</v>
      </c>
      <c r="U787" s="5">
        <v>0.10810185185185185</v>
      </c>
      <c r="V787" s="5"/>
      <c r="W787" s="5"/>
    </row>
    <row r="788" spans="1:23" x14ac:dyDescent="0.25">
      <c r="A788" s="2">
        <v>46244</v>
      </c>
      <c r="B788" s="3" t="s">
        <v>96</v>
      </c>
      <c r="C788" s="3" t="s">
        <v>97</v>
      </c>
      <c r="D788" s="3" t="s">
        <v>78</v>
      </c>
      <c r="E788" s="3" t="s">
        <v>79</v>
      </c>
      <c r="F788" s="3" t="s">
        <v>80</v>
      </c>
      <c r="G788" s="4" t="s">
        <v>81</v>
      </c>
      <c r="H788" s="4">
        <v>0</v>
      </c>
      <c r="I788" s="5">
        <v>0.33701388888888889</v>
      </c>
      <c r="J788" s="5">
        <v>0</v>
      </c>
      <c r="K788" s="5">
        <f t="shared" si="24"/>
        <v>0</v>
      </c>
      <c r="L788" s="5">
        <v>5.8564814814814813E-2</v>
      </c>
      <c r="M788" s="6">
        <f t="shared" si="25"/>
        <v>0.17377567140600314</v>
      </c>
      <c r="N788" s="5">
        <v>2.8703703703703703E-3</v>
      </c>
      <c r="O788" s="5">
        <v>4.1539351851851855E-2</v>
      </c>
      <c r="P788" s="5"/>
      <c r="Q788" s="5"/>
      <c r="R788" s="5"/>
      <c r="S788" s="5">
        <v>1.4039351851851851E-2</v>
      </c>
      <c r="T788" s="5">
        <v>6.9444444444444444E-5</v>
      </c>
      <c r="U788" s="5">
        <v>4.6296296296296294E-5</v>
      </c>
      <c r="V788" s="5"/>
      <c r="W788" s="5"/>
    </row>
    <row r="789" spans="1:23" x14ac:dyDescent="0.25">
      <c r="A789" s="2">
        <v>46244</v>
      </c>
      <c r="B789" s="3" t="s">
        <v>180</v>
      </c>
      <c r="C789" s="3" t="s">
        <v>523</v>
      </c>
      <c r="D789" s="3" t="s">
        <v>146</v>
      </c>
      <c r="E789" s="3" t="s">
        <v>79</v>
      </c>
      <c r="F789" s="3" t="s">
        <v>147</v>
      </c>
      <c r="G789" s="4" t="s">
        <v>106</v>
      </c>
      <c r="H789" s="4">
        <v>28</v>
      </c>
      <c r="I789" s="5">
        <v>0.32145833333333335</v>
      </c>
      <c r="J789" s="5">
        <v>9.4803240740740743E-2</v>
      </c>
      <c r="K789" s="5">
        <f t="shared" si="24"/>
        <v>3.3858300264550264E-3</v>
      </c>
      <c r="L789" s="5">
        <v>3.2118055555555552E-2</v>
      </c>
      <c r="M789" s="6">
        <f t="shared" si="25"/>
        <v>9.9913588248001714E-2</v>
      </c>
      <c r="N789" s="5">
        <v>2.6041666666666665E-3</v>
      </c>
      <c r="O789" s="5">
        <v>1.4328703703703703E-2</v>
      </c>
      <c r="P789" s="5"/>
      <c r="Q789" s="5">
        <v>2.8935185185185184E-4</v>
      </c>
      <c r="R789" s="5"/>
      <c r="S789" s="5">
        <v>1.3738425925925926E-2</v>
      </c>
      <c r="T789" s="5">
        <v>9.2592592592592596E-4</v>
      </c>
      <c r="U789" s="5">
        <v>2.199074074074074E-4</v>
      </c>
      <c r="V789" s="5"/>
      <c r="W789" s="5"/>
    </row>
    <row r="790" spans="1:23" x14ac:dyDescent="0.25">
      <c r="A790" s="2">
        <v>46244</v>
      </c>
      <c r="B790" s="3" t="s">
        <v>615</v>
      </c>
      <c r="C790" s="3" t="s">
        <v>636</v>
      </c>
      <c r="D790" s="3" t="s">
        <v>601</v>
      </c>
      <c r="E790" s="3" t="s">
        <v>31</v>
      </c>
      <c r="F790" s="3" t="s">
        <v>105</v>
      </c>
      <c r="G790" s="4" t="s">
        <v>33</v>
      </c>
      <c r="H790" s="4">
        <v>3</v>
      </c>
      <c r="I790" s="5">
        <v>0.22512731481481482</v>
      </c>
      <c r="J790" s="5">
        <v>6.3148148148148148E-2</v>
      </c>
      <c r="K790" s="5">
        <f t="shared" si="24"/>
        <v>2.1049382716049381E-2</v>
      </c>
      <c r="L790" s="5">
        <v>0.20373842592592592</v>
      </c>
      <c r="M790" s="6">
        <f t="shared" si="25"/>
        <v>0.90499203125803296</v>
      </c>
      <c r="N790" s="5">
        <v>2.9513888888888888E-3</v>
      </c>
      <c r="O790" s="5">
        <v>1.5740740740740739E-2</v>
      </c>
      <c r="P790" s="5"/>
      <c r="Q790" s="5"/>
      <c r="R790" s="5"/>
      <c r="S790" s="5">
        <v>1.1643518518518518E-2</v>
      </c>
      <c r="T790" s="5">
        <v>1.273148148148148E-4</v>
      </c>
      <c r="U790" s="5">
        <v>0.17304398148148148</v>
      </c>
      <c r="V790" s="5"/>
      <c r="W790" s="5">
        <v>2.3148148148148149E-4</v>
      </c>
    </row>
    <row r="791" spans="1:23" x14ac:dyDescent="0.25">
      <c r="A791" s="2">
        <v>46244</v>
      </c>
      <c r="B791" s="3" t="s">
        <v>616</v>
      </c>
      <c r="C791" s="3" t="s">
        <v>637</v>
      </c>
      <c r="D791" s="3" t="s">
        <v>601</v>
      </c>
      <c r="E791" s="3" t="s">
        <v>31</v>
      </c>
      <c r="F791" s="3" t="s">
        <v>105</v>
      </c>
      <c r="G791" s="4" t="s">
        <v>33</v>
      </c>
      <c r="H791" s="4">
        <v>1</v>
      </c>
      <c r="I791" s="5">
        <v>0.20846064814814816</v>
      </c>
      <c r="J791" s="5">
        <v>2.9641203703703704E-2</v>
      </c>
      <c r="K791" s="5">
        <f t="shared" si="24"/>
        <v>2.9641203703703704E-2</v>
      </c>
      <c r="L791" s="5">
        <v>0.19712962962962963</v>
      </c>
      <c r="M791" s="6">
        <f t="shared" si="25"/>
        <v>0.94564432846593738</v>
      </c>
      <c r="N791" s="5">
        <v>5.4050925925925924E-3</v>
      </c>
      <c r="O791" s="5">
        <v>1.4710648148148148E-2</v>
      </c>
      <c r="P791" s="5"/>
      <c r="Q791" s="5"/>
      <c r="R791" s="5"/>
      <c r="S791" s="5">
        <v>1.3449074074074073E-2</v>
      </c>
      <c r="T791" s="5">
        <v>4.5138888888888887E-4</v>
      </c>
      <c r="U791" s="5">
        <v>0.16311342592592593</v>
      </c>
      <c r="V791" s="5"/>
      <c r="W791" s="5"/>
    </row>
    <row r="792" spans="1:23" x14ac:dyDescent="0.25">
      <c r="A792" s="2">
        <v>46244</v>
      </c>
      <c r="B792" s="3" t="s">
        <v>209</v>
      </c>
      <c r="C792" s="3" t="s">
        <v>567</v>
      </c>
      <c r="D792" s="3" t="s">
        <v>601</v>
      </c>
      <c r="E792" s="3" t="s">
        <v>31</v>
      </c>
      <c r="F792" s="3" t="s">
        <v>105</v>
      </c>
      <c r="G792" s="4" t="s">
        <v>33</v>
      </c>
      <c r="H792" s="4">
        <v>1</v>
      </c>
      <c r="I792" s="5">
        <v>0.21016203703703704</v>
      </c>
      <c r="J792" s="5">
        <v>2.7604166666666666E-2</v>
      </c>
      <c r="K792" s="5">
        <f t="shared" si="24"/>
        <v>2.7604166666666666E-2</v>
      </c>
      <c r="L792" s="5">
        <v>0.19850694444444444</v>
      </c>
      <c r="M792" s="6">
        <f t="shared" si="25"/>
        <v>0.94454235047912771</v>
      </c>
      <c r="N792" s="5">
        <v>2.9976851851851853E-3</v>
      </c>
      <c r="O792" s="5">
        <v>1.380787037037037E-2</v>
      </c>
      <c r="P792" s="5"/>
      <c r="Q792" s="5"/>
      <c r="R792" s="5"/>
      <c r="S792" s="5">
        <v>1.4224537037037037E-2</v>
      </c>
      <c r="T792" s="5">
        <v>2.5347222222222221E-3</v>
      </c>
      <c r="U792" s="5">
        <v>0.16494212962962962</v>
      </c>
      <c r="V792" s="5"/>
      <c r="W792" s="5"/>
    </row>
    <row r="793" spans="1:23" x14ac:dyDescent="0.25">
      <c r="A793" s="2">
        <v>46244</v>
      </c>
      <c r="B793" s="3" t="s">
        <v>60</v>
      </c>
      <c r="C793" s="3" t="s">
        <v>510</v>
      </c>
      <c r="D793" s="3" t="s">
        <v>100</v>
      </c>
      <c r="E793" s="3" t="s">
        <v>31</v>
      </c>
      <c r="F793" s="3" t="s">
        <v>32</v>
      </c>
      <c r="G793" s="4" t="s">
        <v>33</v>
      </c>
      <c r="H793" s="4">
        <v>23</v>
      </c>
      <c r="I793" s="5">
        <v>0.11918981481481482</v>
      </c>
      <c r="J793" s="5">
        <v>0.1072337962962963</v>
      </c>
      <c r="K793" s="5">
        <f t="shared" si="24"/>
        <v>4.6623389694041865E-3</v>
      </c>
      <c r="L793" s="5">
        <v>1.2222222222222223E-2</v>
      </c>
      <c r="M793" s="6">
        <f t="shared" si="25"/>
        <v>0.10254418333657021</v>
      </c>
      <c r="N793" s="5">
        <v>2.3148148148148147E-3</v>
      </c>
      <c r="O793" s="5">
        <v>8.5995370370370375E-3</v>
      </c>
      <c r="P793" s="5"/>
      <c r="Q793" s="5"/>
      <c r="R793" s="5"/>
      <c r="S793" s="5"/>
      <c r="T793" s="5">
        <v>1.0416666666666667E-4</v>
      </c>
      <c r="U793" s="5">
        <v>1.1689814814814816E-3</v>
      </c>
      <c r="V793" s="5"/>
      <c r="W793" s="5"/>
    </row>
    <row r="794" spans="1:23" x14ac:dyDescent="0.25">
      <c r="A794" s="2">
        <v>46244</v>
      </c>
      <c r="B794" s="3" t="s">
        <v>132</v>
      </c>
      <c r="C794" s="3" t="s">
        <v>512</v>
      </c>
      <c r="D794" s="3" t="s">
        <v>104</v>
      </c>
      <c r="E794" s="3" t="s">
        <v>31</v>
      </c>
      <c r="F794" s="3" t="s">
        <v>105</v>
      </c>
      <c r="G794" s="4" t="s">
        <v>106</v>
      </c>
      <c r="H794" s="4">
        <v>9</v>
      </c>
      <c r="I794" s="5">
        <v>0.26550925925925928</v>
      </c>
      <c r="J794" s="5">
        <v>0.14924768518518519</v>
      </c>
      <c r="K794" s="5">
        <f t="shared" si="24"/>
        <v>1.6583076131687243E-2</v>
      </c>
      <c r="L794" s="5">
        <v>0.19828703703703704</v>
      </c>
      <c r="M794" s="6">
        <f t="shared" si="25"/>
        <v>0.74681778552746292</v>
      </c>
      <c r="N794" s="5">
        <v>1.9097222222222222E-3</v>
      </c>
      <c r="O794" s="5">
        <v>1.6562500000000001E-2</v>
      </c>
      <c r="P794" s="5"/>
      <c r="Q794" s="5"/>
      <c r="R794" s="5">
        <v>1.9016203703703705E-2</v>
      </c>
      <c r="S794" s="5">
        <v>1.4930555555555556E-2</v>
      </c>
      <c r="T794" s="5">
        <v>1.8912037037037036E-2</v>
      </c>
      <c r="U794" s="5">
        <v>3.449074074074074E-3</v>
      </c>
      <c r="V794" s="5"/>
      <c r="W794" s="5">
        <v>0.12350694444444445</v>
      </c>
    </row>
    <row r="795" spans="1:23" x14ac:dyDescent="0.25">
      <c r="A795" s="2">
        <v>46244</v>
      </c>
      <c r="B795" s="3" t="s">
        <v>134</v>
      </c>
      <c r="C795" s="3" t="s">
        <v>560</v>
      </c>
      <c r="D795" s="3" t="s">
        <v>104</v>
      </c>
      <c r="E795" s="3" t="s">
        <v>31</v>
      </c>
      <c r="F795" s="3" t="s">
        <v>105</v>
      </c>
      <c r="G795" s="4" t="s">
        <v>106</v>
      </c>
      <c r="H795" s="4">
        <v>9</v>
      </c>
      <c r="I795" s="5">
        <v>0.2630439814814815</v>
      </c>
      <c r="J795" s="5">
        <v>0.18839120370370371</v>
      </c>
      <c r="K795" s="5">
        <f t="shared" si="24"/>
        <v>2.0932355967078192E-2</v>
      </c>
      <c r="L795" s="5">
        <v>0.15893518518518518</v>
      </c>
      <c r="M795" s="6">
        <f t="shared" si="25"/>
        <v>0.60421525058300696</v>
      </c>
      <c r="N795" s="5">
        <v>7.2569444444444443E-3</v>
      </c>
      <c r="O795" s="5">
        <v>6.7129629629629631E-3</v>
      </c>
      <c r="P795" s="5"/>
      <c r="Q795" s="5"/>
      <c r="R795" s="5"/>
      <c r="S795" s="5">
        <v>1.3275462962962963E-2</v>
      </c>
      <c r="T795" s="5">
        <v>1.4837962962962963E-2</v>
      </c>
      <c r="U795" s="5">
        <v>2.2916666666666667E-3</v>
      </c>
      <c r="V795" s="5"/>
      <c r="W795" s="5">
        <v>0.11454861111111111</v>
      </c>
    </row>
    <row r="796" spans="1:23" x14ac:dyDescent="0.25">
      <c r="A796" s="2">
        <v>46244</v>
      </c>
      <c r="B796" s="3" t="s">
        <v>617</v>
      </c>
      <c r="C796" s="3" t="s">
        <v>638</v>
      </c>
      <c r="D796" s="3" t="s">
        <v>601</v>
      </c>
      <c r="E796" s="3" t="s">
        <v>31</v>
      </c>
      <c r="F796" s="3" t="s">
        <v>105</v>
      </c>
      <c r="G796" s="4" t="s">
        <v>33</v>
      </c>
      <c r="H796" s="4">
        <v>1</v>
      </c>
      <c r="I796" s="5">
        <v>0.19327546296296297</v>
      </c>
      <c r="J796" s="5">
        <v>3.0636574074074073E-2</v>
      </c>
      <c r="K796" s="5">
        <f t="shared" si="24"/>
        <v>3.0636574074074073E-2</v>
      </c>
      <c r="L796" s="5">
        <v>0.18106481481481482</v>
      </c>
      <c r="M796" s="6">
        <f t="shared" si="25"/>
        <v>0.93682256422540267</v>
      </c>
      <c r="N796" s="5">
        <v>3.6921296296296298E-3</v>
      </c>
      <c r="O796" s="5">
        <v>7.2222222222222219E-3</v>
      </c>
      <c r="P796" s="5"/>
      <c r="Q796" s="5"/>
      <c r="R796" s="5"/>
      <c r="S796" s="5">
        <v>2.5185185185185185E-2</v>
      </c>
      <c r="T796" s="5">
        <v>3.965277777777778E-2</v>
      </c>
      <c r="U796" s="5">
        <v>0.1053125</v>
      </c>
      <c r="V796" s="5"/>
      <c r="W796" s="5"/>
    </row>
    <row r="797" spans="1:23" x14ac:dyDescent="0.25">
      <c r="A797" s="2">
        <v>46244</v>
      </c>
      <c r="B797" s="3" t="s">
        <v>618</v>
      </c>
      <c r="C797" s="3" t="s">
        <v>639</v>
      </c>
      <c r="D797" s="3" t="s">
        <v>601</v>
      </c>
      <c r="E797" s="3" t="s">
        <v>31</v>
      </c>
      <c r="F797" s="3" t="s">
        <v>105</v>
      </c>
      <c r="G797" s="4" t="s">
        <v>33</v>
      </c>
      <c r="H797" s="4">
        <v>1</v>
      </c>
      <c r="I797" s="5">
        <v>0.20300925925925925</v>
      </c>
      <c r="J797" s="5">
        <v>2.585648148148148E-2</v>
      </c>
      <c r="K797" s="5">
        <f t="shared" si="24"/>
        <v>2.585648148148148E-2</v>
      </c>
      <c r="L797" s="5">
        <v>0.1962962962962963</v>
      </c>
      <c r="M797" s="6">
        <f t="shared" si="25"/>
        <v>0.96693272519954399</v>
      </c>
      <c r="N797" s="5">
        <v>2.662037037037037E-3</v>
      </c>
      <c r="O797" s="5">
        <v>1.8842592592592591E-2</v>
      </c>
      <c r="P797" s="5"/>
      <c r="Q797" s="5"/>
      <c r="R797" s="5"/>
      <c r="S797" s="5">
        <v>1.5266203703703704E-2</v>
      </c>
      <c r="T797" s="5">
        <v>6.3310185185185188E-3</v>
      </c>
      <c r="U797" s="5">
        <v>0.15319444444444444</v>
      </c>
      <c r="V797" s="5"/>
      <c r="W797" s="5"/>
    </row>
    <row r="798" spans="1:23" x14ac:dyDescent="0.25">
      <c r="A798" s="2">
        <v>46244</v>
      </c>
      <c r="B798" s="3" t="s">
        <v>501</v>
      </c>
      <c r="C798" s="3" t="s">
        <v>524</v>
      </c>
      <c r="D798" s="3" t="s">
        <v>274</v>
      </c>
      <c r="E798" s="3" t="s">
        <v>79</v>
      </c>
      <c r="F798" s="3" t="s">
        <v>147</v>
      </c>
      <c r="G798" s="4" t="s">
        <v>33</v>
      </c>
      <c r="H798" s="4">
        <v>21</v>
      </c>
      <c r="I798" s="5">
        <v>0.31214120370370368</v>
      </c>
      <c r="J798" s="5">
        <v>7.3888888888888893E-2</v>
      </c>
      <c r="K798" s="5">
        <f t="shared" si="24"/>
        <v>3.5185185185185189E-3</v>
      </c>
      <c r="L798" s="5">
        <v>4.4618055555555557E-2</v>
      </c>
      <c r="M798" s="6">
        <f t="shared" si="25"/>
        <v>0.14294189625125145</v>
      </c>
      <c r="N798" s="5">
        <v>3.0671296296296297E-3</v>
      </c>
      <c r="O798" s="5">
        <v>1.4699074074074074E-2</v>
      </c>
      <c r="P798" s="5"/>
      <c r="Q798" s="5"/>
      <c r="R798" s="5">
        <v>7.4652777777777781E-3</v>
      </c>
      <c r="S798" s="5">
        <v>1.8668981481481481E-2</v>
      </c>
      <c r="T798" s="5">
        <v>4.5138888888888887E-4</v>
      </c>
      <c r="U798" s="5">
        <v>2.4305555555555555E-4</v>
      </c>
      <c r="V798" s="5"/>
      <c r="W798" s="5"/>
    </row>
    <row r="799" spans="1:23" x14ac:dyDescent="0.25">
      <c r="A799" s="2">
        <v>46244</v>
      </c>
      <c r="B799" s="3" t="s">
        <v>213</v>
      </c>
      <c r="C799" s="3" t="s">
        <v>572</v>
      </c>
      <c r="D799" s="3" t="s">
        <v>601</v>
      </c>
      <c r="E799" s="3" t="s">
        <v>31</v>
      </c>
      <c r="F799" s="3" t="s">
        <v>105</v>
      </c>
      <c r="G799" s="4" t="s">
        <v>33</v>
      </c>
      <c r="H799" s="4">
        <v>1</v>
      </c>
      <c r="I799" s="5">
        <v>0.22920138888888889</v>
      </c>
      <c r="J799" s="5">
        <v>2.4340277777777777E-2</v>
      </c>
      <c r="K799" s="5">
        <f t="shared" si="24"/>
        <v>2.4340277777777777E-2</v>
      </c>
      <c r="L799" s="5">
        <v>0.2235300925925926</v>
      </c>
      <c r="M799" s="6">
        <f t="shared" si="25"/>
        <v>0.97525627430187345</v>
      </c>
      <c r="N799" s="5">
        <v>2.1365740740740741E-2</v>
      </c>
      <c r="O799" s="5">
        <v>1.6481481481481482E-2</v>
      </c>
      <c r="P799" s="5"/>
      <c r="Q799" s="5"/>
      <c r="R799" s="5"/>
      <c r="S799" s="5">
        <v>1.3877314814814815E-2</v>
      </c>
      <c r="T799" s="5">
        <v>8.7962962962962962E-4</v>
      </c>
      <c r="U799" s="5">
        <v>0.17092592592592593</v>
      </c>
      <c r="V799" s="5"/>
      <c r="W799" s="5"/>
    </row>
    <row r="800" spans="1:23" x14ac:dyDescent="0.25">
      <c r="A800" s="2">
        <v>46244</v>
      </c>
      <c r="B800" s="3" t="s">
        <v>619</v>
      </c>
      <c r="C800" s="3" t="s">
        <v>640</v>
      </c>
      <c r="D800" s="3" t="s">
        <v>601</v>
      </c>
      <c r="E800" s="3" t="s">
        <v>31</v>
      </c>
      <c r="F800" s="3" t="s">
        <v>105</v>
      </c>
      <c r="G800" s="4" t="s">
        <v>33</v>
      </c>
      <c r="H800" s="4">
        <v>1</v>
      </c>
      <c r="I800" s="5">
        <v>0.21048611111111112</v>
      </c>
      <c r="J800" s="5">
        <v>2.960648148148148E-2</v>
      </c>
      <c r="K800" s="5">
        <f t="shared" si="24"/>
        <v>2.960648148148148E-2</v>
      </c>
      <c r="L800" s="5">
        <v>0.2011226851851852</v>
      </c>
      <c r="M800" s="6">
        <f t="shared" si="25"/>
        <v>0.95551523149675577</v>
      </c>
      <c r="N800" s="5"/>
      <c r="O800" s="5">
        <v>1.7777777777777778E-2</v>
      </c>
      <c r="P800" s="5"/>
      <c r="Q800" s="5"/>
      <c r="R800" s="5"/>
      <c r="S800" s="5">
        <v>1.5509259259259259E-3</v>
      </c>
      <c r="T800" s="5">
        <v>4.2824074074074075E-4</v>
      </c>
      <c r="U800" s="5">
        <v>0.17258101851851851</v>
      </c>
      <c r="V800" s="5"/>
      <c r="W800" s="5">
        <v>8.7847222222222215E-3</v>
      </c>
    </row>
    <row r="801" spans="1:23" x14ac:dyDescent="0.25">
      <c r="A801" s="2">
        <v>46244</v>
      </c>
      <c r="B801" s="3" t="s">
        <v>146</v>
      </c>
      <c r="C801" s="3" t="s">
        <v>743</v>
      </c>
      <c r="D801" s="3" t="s">
        <v>146</v>
      </c>
      <c r="E801" s="3" t="s">
        <v>79</v>
      </c>
      <c r="F801" s="3" t="s">
        <v>147</v>
      </c>
      <c r="G801" s="4" t="s">
        <v>106</v>
      </c>
      <c r="H801" s="4">
        <v>0</v>
      </c>
      <c r="I801" s="5">
        <v>0</v>
      </c>
      <c r="J801" s="5">
        <v>0</v>
      </c>
      <c r="K801" s="5">
        <f t="shared" si="24"/>
        <v>0</v>
      </c>
      <c r="L801" s="5">
        <v>0</v>
      </c>
      <c r="M801" s="6">
        <f t="shared" si="25"/>
        <v>0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25">
      <c r="A802" s="2">
        <v>46244</v>
      </c>
      <c r="B802" s="3" t="s">
        <v>668</v>
      </c>
      <c r="C802" s="3" t="s">
        <v>669</v>
      </c>
      <c r="D802" s="3" t="s">
        <v>233</v>
      </c>
      <c r="E802" s="3" t="s">
        <v>31</v>
      </c>
      <c r="F802" s="3" t="s">
        <v>32</v>
      </c>
      <c r="G802" s="4" t="s">
        <v>106</v>
      </c>
      <c r="H802" s="4">
        <v>37</v>
      </c>
      <c r="I802" s="5">
        <v>0.25564814814814812</v>
      </c>
      <c r="J802" s="5">
        <v>0.15172453703703703</v>
      </c>
      <c r="K802" s="5">
        <f t="shared" si="24"/>
        <v>4.1006631631631627E-3</v>
      </c>
      <c r="L802" s="5">
        <v>3.6597222222222225E-2</v>
      </c>
      <c r="M802" s="6">
        <f t="shared" si="25"/>
        <v>0.14315465411082945</v>
      </c>
      <c r="N802" s="5">
        <v>3.8310185185185183E-3</v>
      </c>
      <c r="O802" s="5">
        <v>1.7800925925925925E-2</v>
      </c>
      <c r="P802" s="5"/>
      <c r="Q802" s="5"/>
      <c r="R802" s="5"/>
      <c r="S802" s="5">
        <v>3.3101851851851851E-3</v>
      </c>
      <c r="T802" s="5">
        <v>8.2870370370370372E-3</v>
      </c>
      <c r="U802" s="5">
        <v>3.3564814814814816E-3</v>
      </c>
      <c r="V802" s="5"/>
      <c r="W802" s="5"/>
    </row>
    <row r="803" spans="1:23" x14ac:dyDescent="0.25">
      <c r="A803" s="2">
        <v>46244</v>
      </c>
      <c r="B803" s="3" t="s">
        <v>744</v>
      </c>
      <c r="C803" s="3" t="s">
        <v>670</v>
      </c>
      <c r="D803" s="3" t="s">
        <v>100</v>
      </c>
      <c r="E803" s="3" t="s">
        <v>31</v>
      </c>
      <c r="F803" s="3" t="s">
        <v>32</v>
      </c>
      <c r="G803" s="4" t="s">
        <v>33</v>
      </c>
      <c r="H803" s="4">
        <v>35</v>
      </c>
      <c r="I803" s="5">
        <v>0.2581134259259259</v>
      </c>
      <c r="J803" s="5">
        <v>0.13523148148148148</v>
      </c>
      <c r="K803" s="5">
        <f t="shared" si="24"/>
        <v>3.8637566137566135E-3</v>
      </c>
      <c r="L803" s="5">
        <v>5.7615740740740738E-2</v>
      </c>
      <c r="M803" s="6">
        <f t="shared" si="25"/>
        <v>0.22321868974485451</v>
      </c>
      <c r="N803" s="5">
        <v>2.105324074074074E-2</v>
      </c>
      <c r="O803" s="5">
        <v>6.6550925925925927E-3</v>
      </c>
      <c r="P803" s="5"/>
      <c r="Q803" s="5"/>
      <c r="R803" s="5">
        <v>7.1180555555555554E-3</v>
      </c>
      <c r="S803" s="5">
        <v>1.3680555555555555E-2</v>
      </c>
      <c r="T803" s="5">
        <v>4.1666666666666669E-4</v>
      </c>
      <c r="U803" s="5">
        <v>8.0208333333333329E-3</v>
      </c>
      <c r="V803" s="5"/>
      <c r="W803" s="5">
        <v>6.7129629629629625E-4</v>
      </c>
    </row>
    <row r="804" spans="1:23" x14ac:dyDescent="0.25">
      <c r="A804" s="2">
        <v>46244</v>
      </c>
      <c r="B804" s="3" t="s">
        <v>219</v>
      </c>
      <c r="C804" s="3" t="s">
        <v>548</v>
      </c>
      <c r="D804" s="3" t="s">
        <v>104</v>
      </c>
      <c r="E804" s="3" t="s">
        <v>31</v>
      </c>
      <c r="F804" s="3" t="s">
        <v>105</v>
      </c>
      <c r="G804" s="4" t="s">
        <v>106</v>
      </c>
      <c r="H804" s="4">
        <v>6</v>
      </c>
      <c r="I804" s="5">
        <v>0.23708333333333334</v>
      </c>
      <c r="J804" s="5">
        <v>0.12835648148148149</v>
      </c>
      <c r="K804" s="5">
        <f t="shared" si="24"/>
        <v>2.1392746913580247E-2</v>
      </c>
      <c r="L804" s="5">
        <v>0.155</v>
      </c>
      <c r="M804" s="6">
        <f t="shared" si="25"/>
        <v>0.65377855887521963</v>
      </c>
      <c r="N804" s="5">
        <v>3.5300925925925925E-3</v>
      </c>
      <c r="O804" s="5">
        <v>1.638888888888889E-2</v>
      </c>
      <c r="P804" s="5"/>
      <c r="Q804" s="5"/>
      <c r="R804" s="5"/>
      <c r="S804" s="5">
        <v>1.3923611111111111E-2</v>
      </c>
      <c r="T804" s="5">
        <v>4.0740740740740737E-3</v>
      </c>
      <c r="U804" s="5">
        <v>1.1574074074074073E-3</v>
      </c>
      <c r="V804" s="5"/>
      <c r="W804" s="5">
        <v>0.11592592592592593</v>
      </c>
    </row>
    <row r="805" spans="1:23" x14ac:dyDescent="0.25">
      <c r="A805" s="2">
        <v>46244</v>
      </c>
      <c r="B805" s="3" t="s">
        <v>305</v>
      </c>
      <c r="C805" s="3" t="s">
        <v>306</v>
      </c>
      <c r="D805" s="3" t="s">
        <v>100</v>
      </c>
      <c r="E805" s="3" t="s">
        <v>31</v>
      </c>
      <c r="F805" s="3" t="s">
        <v>32</v>
      </c>
      <c r="G805" s="4" t="s">
        <v>33</v>
      </c>
      <c r="H805" s="4">
        <v>46</v>
      </c>
      <c r="I805" s="5">
        <v>0.2603240740740741</v>
      </c>
      <c r="J805" s="5">
        <v>0.1332986111111111</v>
      </c>
      <c r="K805" s="5">
        <f t="shared" si="24"/>
        <v>2.8977958937198068E-3</v>
      </c>
      <c r="L805" s="5">
        <v>5.8125000000000003E-2</v>
      </c>
      <c r="M805" s="6">
        <f t="shared" si="25"/>
        <v>0.22327938822692511</v>
      </c>
      <c r="N805" s="5">
        <v>2.5509259259259259E-2</v>
      </c>
      <c r="O805" s="5">
        <v>1.4293981481481482E-2</v>
      </c>
      <c r="P805" s="5"/>
      <c r="Q805" s="5"/>
      <c r="R805" s="5"/>
      <c r="S805" s="5">
        <v>1.5011574074074075E-2</v>
      </c>
      <c r="T805" s="5">
        <v>2.0833333333333335E-4</v>
      </c>
      <c r="U805" s="5">
        <v>6.9444444444444444E-5</v>
      </c>
      <c r="V805" s="5"/>
      <c r="W805" s="5">
        <v>3.0208333333333333E-3</v>
      </c>
    </row>
    <row r="806" spans="1:23" x14ac:dyDescent="0.25">
      <c r="A806" s="2">
        <v>46244</v>
      </c>
      <c r="B806" s="3" t="s">
        <v>620</v>
      </c>
      <c r="C806" s="3" t="s">
        <v>641</v>
      </c>
      <c r="D806" s="3" t="s">
        <v>601</v>
      </c>
      <c r="E806" s="3" t="s">
        <v>31</v>
      </c>
      <c r="F806" s="3" t="s">
        <v>105</v>
      </c>
      <c r="G806" s="4" t="s">
        <v>33</v>
      </c>
      <c r="H806" s="4">
        <v>2</v>
      </c>
      <c r="I806" s="5">
        <v>0.18957175925925926</v>
      </c>
      <c r="J806" s="5">
        <v>5.0509259259259261E-2</v>
      </c>
      <c r="K806" s="5">
        <f t="shared" si="24"/>
        <v>2.525462962962963E-2</v>
      </c>
      <c r="L806" s="5">
        <v>0.17258101851851851</v>
      </c>
      <c r="M806" s="6">
        <f t="shared" si="25"/>
        <v>0.91037303864704799</v>
      </c>
      <c r="N806" s="5">
        <v>8.7962962962962968E-3</v>
      </c>
      <c r="O806" s="5">
        <v>1.5775462962962963E-2</v>
      </c>
      <c r="P806" s="5"/>
      <c r="Q806" s="5"/>
      <c r="R806" s="5"/>
      <c r="S806" s="5">
        <v>1.1516203703703704E-2</v>
      </c>
      <c r="T806" s="5">
        <v>3.7152777777777778E-3</v>
      </c>
      <c r="U806" s="5">
        <v>0.13277777777777777</v>
      </c>
      <c r="V806" s="5"/>
      <c r="W806" s="5"/>
    </row>
    <row r="807" spans="1:23" x14ac:dyDescent="0.25">
      <c r="A807" s="2">
        <v>46244</v>
      </c>
      <c r="B807" s="3" t="s">
        <v>138</v>
      </c>
      <c r="C807" s="3" t="s">
        <v>556</v>
      </c>
      <c r="D807" s="3" t="s">
        <v>104</v>
      </c>
      <c r="E807" s="3" t="s">
        <v>31</v>
      </c>
      <c r="F807" s="3" t="s">
        <v>105</v>
      </c>
      <c r="G807" s="4" t="s">
        <v>106</v>
      </c>
      <c r="H807" s="4">
        <v>20</v>
      </c>
      <c r="I807" s="5">
        <v>0.32982638888888888</v>
      </c>
      <c r="J807" s="5">
        <v>0.23695601851851852</v>
      </c>
      <c r="K807" s="5">
        <f t="shared" si="24"/>
        <v>1.1847800925925927E-2</v>
      </c>
      <c r="L807" s="5">
        <v>0.16668981481481482</v>
      </c>
      <c r="M807" s="6">
        <f t="shared" si="25"/>
        <v>0.50538653191564031</v>
      </c>
      <c r="N807" s="5">
        <v>1.1805555555555555E-2</v>
      </c>
      <c r="O807" s="5">
        <v>1.9918981481481482E-2</v>
      </c>
      <c r="P807" s="5"/>
      <c r="Q807" s="5"/>
      <c r="R807" s="5"/>
      <c r="S807" s="5">
        <v>1.4606481481481481E-2</v>
      </c>
      <c r="T807" s="5">
        <v>2.8009259259259259E-3</v>
      </c>
      <c r="U807" s="5">
        <v>6.1111111111111114E-3</v>
      </c>
      <c r="V807" s="5"/>
      <c r="W807" s="5">
        <v>0.11142361111111111</v>
      </c>
    </row>
    <row r="808" spans="1:23" x14ac:dyDescent="0.25">
      <c r="A808" s="2">
        <v>46244</v>
      </c>
      <c r="B808" s="3" t="s">
        <v>276</v>
      </c>
      <c r="C808" s="3" t="s">
        <v>532</v>
      </c>
      <c r="D808" s="3" t="s">
        <v>233</v>
      </c>
      <c r="E808" s="3" t="s">
        <v>31</v>
      </c>
      <c r="F808" s="3" t="s">
        <v>32</v>
      </c>
      <c r="G808" s="4" t="s">
        <v>106</v>
      </c>
      <c r="H808" s="4">
        <v>44</v>
      </c>
      <c r="I808" s="5">
        <v>0.25979166666666664</v>
      </c>
      <c r="J808" s="5">
        <v>0.10769675925925926</v>
      </c>
      <c r="K808" s="5">
        <f t="shared" si="24"/>
        <v>2.4476536195286195E-3</v>
      </c>
      <c r="L808" s="5">
        <v>5.1562499999999997E-2</v>
      </c>
      <c r="M808" s="6">
        <f t="shared" si="25"/>
        <v>0.19847634322373697</v>
      </c>
      <c r="N808" s="5">
        <v>1.4513888888888889E-2</v>
      </c>
      <c r="O808" s="5">
        <v>1.2581018518518519E-2</v>
      </c>
      <c r="P808" s="5"/>
      <c r="Q808" s="5"/>
      <c r="R808" s="5"/>
      <c r="S808" s="5">
        <v>1.2777777777777779E-2</v>
      </c>
      <c r="T808" s="5">
        <v>1.1168981481481481E-2</v>
      </c>
      <c r="U808" s="5"/>
      <c r="V808" s="5"/>
      <c r="W808" s="5">
        <v>5.2083333333333333E-4</v>
      </c>
    </row>
    <row r="809" spans="1:23" x14ac:dyDescent="0.25">
      <c r="A809" s="2">
        <v>46244</v>
      </c>
      <c r="B809" s="3" t="s">
        <v>278</v>
      </c>
      <c r="C809" s="3" t="s">
        <v>533</v>
      </c>
      <c r="D809" s="3" t="s">
        <v>233</v>
      </c>
      <c r="E809" s="3" t="s">
        <v>31</v>
      </c>
      <c r="F809" s="3" t="s">
        <v>32</v>
      </c>
      <c r="G809" s="4" t="s">
        <v>106</v>
      </c>
      <c r="H809" s="4">
        <v>26</v>
      </c>
      <c r="I809" s="5">
        <v>0.26537037037037037</v>
      </c>
      <c r="J809" s="5">
        <v>0.12795138888888888</v>
      </c>
      <c r="K809" s="5">
        <f t="shared" si="24"/>
        <v>4.9212072649572648E-3</v>
      </c>
      <c r="L809" s="5">
        <v>3.8356481481481484E-2</v>
      </c>
      <c r="M809" s="6">
        <f t="shared" si="25"/>
        <v>0.14453942777390091</v>
      </c>
      <c r="N809" s="5">
        <v>2.2337962962962962E-3</v>
      </c>
      <c r="O809" s="5">
        <v>1.4050925925925927E-2</v>
      </c>
      <c r="P809" s="5"/>
      <c r="Q809" s="5">
        <v>4.6990740740740743E-3</v>
      </c>
      <c r="R809" s="5"/>
      <c r="S809" s="5">
        <v>1.412037037037037E-2</v>
      </c>
      <c r="T809" s="5">
        <v>2.7083333333333334E-3</v>
      </c>
      <c r="U809" s="5">
        <v>5.4398148148148144E-4</v>
      </c>
      <c r="V809" s="5"/>
      <c r="W809" s="5"/>
    </row>
    <row r="810" spans="1:23" x14ac:dyDescent="0.25">
      <c r="A810" s="2">
        <v>46244</v>
      </c>
      <c r="B810" s="3" t="s">
        <v>313</v>
      </c>
      <c r="C810" s="3" t="s">
        <v>511</v>
      </c>
      <c r="D810" s="3" t="s">
        <v>78</v>
      </c>
      <c r="E810" s="3" t="s">
        <v>79</v>
      </c>
      <c r="F810" s="3" t="s">
        <v>80</v>
      </c>
      <c r="G810" s="4" t="s">
        <v>81</v>
      </c>
      <c r="H810" s="4">
        <v>4</v>
      </c>
      <c r="I810" s="5">
        <v>0.2389236111111111</v>
      </c>
      <c r="J810" s="5">
        <v>7.9629629629629634E-3</v>
      </c>
      <c r="K810" s="5">
        <f t="shared" si="24"/>
        <v>1.9907407407407408E-3</v>
      </c>
      <c r="L810" s="5">
        <v>3.1192129629629629E-2</v>
      </c>
      <c r="M810" s="6">
        <f t="shared" si="25"/>
        <v>0.13055272973889454</v>
      </c>
      <c r="N810" s="5"/>
      <c r="O810" s="5">
        <v>1.2581018518518519E-2</v>
      </c>
      <c r="P810" s="5"/>
      <c r="Q810" s="5"/>
      <c r="R810" s="5"/>
      <c r="S810" s="5">
        <v>1.8530092592592591E-2</v>
      </c>
      <c r="T810" s="5">
        <v>8.1018518518518516E-5</v>
      </c>
      <c r="U810" s="5"/>
      <c r="V810" s="5"/>
      <c r="W810" s="5"/>
    </row>
    <row r="811" spans="1:23" x14ac:dyDescent="0.25">
      <c r="A811" s="2">
        <v>46244</v>
      </c>
      <c r="B811" s="3" t="s">
        <v>673</v>
      </c>
      <c r="C811" s="3" t="s">
        <v>674</v>
      </c>
      <c r="D811" s="3" t="s">
        <v>104</v>
      </c>
      <c r="E811" s="3" t="s">
        <v>31</v>
      </c>
      <c r="F811" s="3" t="s">
        <v>105</v>
      </c>
      <c r="G811" s="4" t="s">
        <v>106</v>
      </c>
      <c r="H811" s="4">
        <v>17</v>
      </c>
      <c r="I811" s="5">
        <v>0.29814814814814816</v>
      </c>
      <c r="J811" s="5">
        <v>0.2287962962962963</v>
      </c>
      <c r="K811" s="5">
        <f t="shared" si="24"/>
        <v>1.3458605664488019E-2</v>
      </c>
      <c r="L811" s="5">
        <v>0.15819444444444444</v>
      </c>
      <c r="M811" s="6">
        <f t="shared" si="25"/>
        <v>0.53059006211180126</v>
      </c>
      <c r="N811" s="5">
        <v>2.2337962962962962E-3</v>
      </c>
      <c r="O811" s="5">
        <v>1.457175925925926E-2</v>
      </c>
      <c r="P811" s="5"/>
      <c r="Q811" s="5"/>
      <c r="R811" s="5"/>
      <c r="S811" s="5">
        <v>1.3726851851851851E-2</v>
      </c>
      <c r="T811" s="5">
        <v>3.8194444444444446E-4</v>
      </c>
      <c r="U811" s="5">
        <v>1.3773148148148147E-3</v>
      </c>
      <c r="V811" s="5"/>
      <c r="W811" s="5">
        <v>0.12590277777777778</v>
      </c>
    </row>
    <row r="812" spans="1:23" x14ac:dyDescent="0.25">
      <c r="A812" s="2">
        <v>46244</v>
      </c>
      <c r="B812" s="3" t="s">
        <v>225</v>
      </c>
      <c r="C812" s="3" t="s">
        <v>549</v>
      </c>
      <c r="D812" s="3" t="s">
        <v>601</v>
      </c>
      <c r="E812" s="3" t="s">
        <v>31</v>
      </c>
      <c r="F812" s="3" t="s">
        <v>105</v>
      </c>
      <c r="G812" s="4" t="s">
        <v>33</v>
      </c>
      <c r="H812" s="4">
        <v>1</v>
      </c>
      <c r="I812" s="5">
        <v>0.24085648148148148</v>
      </c>
      <c r="J812" s="5">
        <v>3.591435185185185E-2</v>
      </c>
      <c r="K812" s="5">
        <f t="shared" si="24"/>
        <v>3.591435185185185E-2</v>
      </c>
      <c r="L812" s="5">
        <v>0.22340277777777778</v>
      </c>
      <c r="M812" s="6">
        <f t="shared" si="25"/>
        <v>0.92753483901970213</v>
      </c>
      <c r="N812" s="5">
        <v>3.8078703703703703E-3</v>
      </c>
      <c r="O812" s="5">
        <v>1.3055555555555556E-2</v>
      </c>
      <c r="P812" s="5"/>
      <c r="Q812" s="5"/>
      <c r="R812" s="5"/>
      <c r="S812" s="5">
        <v>1.5034722222222222E-2</v>
      </c>
      <c r="T812" s="5">
        <v>5.6712962962962967E-4</v>
      </c>
      <c r="U812" s="5">
        <v>0.19093750000000001</v>
      </c>
      <c r="V812" s="5"/>
      <c r="W812" s="5"/>
    </row>
    <row r="813" spans="1:23" x14ac:dyDescent="0.25">
      <c r="A813" s="2">
        <v>46244</v>
      </c>
      <c r="B813" s="3" t="s">
        <v>70</v>
      </c>
      <c r="C813" s="3" t="s">
        <v>71</v>
      </c>
      <c r="D813" s="3" t="s">
        <v>78</v>
      </c>
      <c r="E813" s="3" t="s">
        <v>79</v>
      </c>
      <c r="F813" s="3" t="s">
        <v>80</v>
      </c>
      <c r="G813" s="4" t="s">
        <v>33</v>
      </c>
      <c r="H813" s="4">
        <v>0</v>
      </c>
      <c r="I813" s="5">
        <v>0.3359375</v>
      </c>
      <c r="J813" s="5">
        <v>0</v>
      </c>
      <c r="K813" s="5">
        <f t="shared" si="24"/>
        <v>0</v>
      </c>
      <c r="L813" s="5">
        <v>6.0636574074074072E-2</v>
      </c>
      <c r="M813" s="6">
        <f t="shared" si="25"/>
        <v>0.18049956933677863</v>
      </c>
      <c r="N813" s="5"/>
      <c r="O813" s="5">
        <v>4.1585648148148149E-2</v>
      </c>
      <c r="P813" s="5"/>
      <c r="Q813" s="5"/>
      <c r="R813" s="5"/>
      <c r="S813" s="5">
        <v>1.6215277777777776E-2</v>
      </c>
      <c r="T813" s="5">
        <v>2.8356481481481483E-3</v>
      </c>
      <c r="U813" s="5"/>
      <c r="V813" s="5"/>
      <c r="W813" s="5"/>
    </row>
    <row r="814" spans="1:23" x14ac:dyDescent="0.25">
      <c r="A814" s="2">
        <v>46244</v>
      </c>
      <c r="B814" s="3" t="s">
        <v>280</v>
      </c>
      <c r="C814" s="3" t="s">
        <v>534</v>
      </c>
      <c r="D814" s="3" t="s">
        <v>233</v>
      </c>
      <c r="E814" s="3" t="s">
        <v>31</v>
      </c>
      <c r="F814" s="3" t="s">
        <v>32</v>
      </c>
      <c r="G814" s="4" t="s">
        <v>106</v>
      </c>
      <c r="H814" s="4">
        <v>3</v>
      </c>
      <c r="I814" s="5">
        <v>4.6759259259259257E-2</v>
      </c>
      <c r="J814" s="5">
        <v>6.2037037037037035E-3</v>
      </c>
      <c r="K814" s="5">
        <f t="shared" si="24"/>
        <v>2.0679012345679012E-3</v>
      </c>
      <c r="L814" s="5">
        <v>5.5439814814814813E-3</v>
      </c>
      <c r="M814" s="6">
        <f t="shared" si="25"/>
        <v>0.11856435643564357</v>
      </c>
      <c r="N814" s="5">
        <v>1.7824074074074075E-3</v>
      </c>
      <c r="O814" s="5"/>
      <c r="P814" s="5"/>
      <c r="Q814" s="5"/>
      <c r="R814" s="5"/>
      <c r="S814" s="5"/>
      <c r="T814" s="5">
        <v>1.5046296296296297E-4</v>
      </c>
      <c r="U814" s="5"/>
      <c r="V814" s="5"/>
      <c r="W814" s="5">
        <v>3.6111111111111109E-3</v>
      </c>
    </row>
    <row r="815" spans="1:23" x14ac:dyDescent="0.25">
      <c r="A815" s="2">
        <v>46244</v>
      </c>
      <c r="B815" s="3" t="s">
        <v>299</v>
      </c>
      <c r="C815" s="3" t="s">
        <v>571</v>
      </c>
      <c r="D815" s="3" t="s">
        <v>104</v>
      </c>
      <c r="E815" s="3" t="s">
        <v>31</v>
      </c>
      <c r="F815" s="3" t="s">
        <v>105</v>
      </c>
      <c r="G815" s="4" t="s">
        <v>106</v>
      </c>
      <c r="H815" s="4">
        <v>8</v>
      </c>
      <c r="I815" s="5">
        <v>0.24892361111111111</v>
      </c>
      <c r="J815" s="5">
        <v>0.19877314814814814</v>
      </c>
      <c r="K815" s="5">
        <f t="shared" si="24"/>
        <v>2.4846643518518518E-2</v>
      </c>
      <c r="L815" s="5">
        <v>0.10586805555555556</v>
      </c>
      <c r="M815" s="6">
        <f t="shared" si="25"/>
        <v>0.4253033895940857</v>
      </c>
      <c r="N815" s="5">
        <v>2.3842592592592591E-3</v>
      </c>
      <c r="O815" s="5">
        <v>1.4016203703703704E-2</v>
      </c>
      <c r="P815" s="5"/>
      <c r="Q815" s="5"/>
      <c r="R815" s="5"/>
      <c r="S815" s="5">
        <v>1.0543981481481482E-2</v>
      </c>
      <c r="T815" s="5">
        <v>1.7361111111111112E-4</v>
      </c>
      <c r="U815" s="5">
        <v>9.6874999999999999E-3</v>
      </c>
      <c r="V815" s="5"/>
      <c r="W815" s="5">
        <v>6.9050925925925932E-2</v>
      </c>
    </row>
    <row r="816" spans="1:23" x14ac:dyDescent="0.25">
      <c r="A816" s="2">
        <v>46244</v>
      </c>
      <c r="B816" s="3" t="s">
        <v>227</v>
      </c>
      <c r="C816" s="3" t="s">
        <v>557</v>
      </c>
      <c r="D816" s="3" t="s">
        <v>146</v>
      </c>
      <c r="E816" s="3" t="s">
        <v>79</v>
      </c>
      <c r="F816" s="3" t="s">
        <v>147</v>
      </c>
      <c r="G816" s="4" t="s">
        <v>106</v>
      </c>
      <c r="H816" s="4">
        <v>14</v>
      </c>
      <c r="I816" s="5">
        <v>0.26619212962962963</v>
      </c>
      <c r="J816" s="5">
        <v>7.4861111111111114E-2</v>
      </c>
      <c r="K816" s="5">
        <f t="shared" si="24"/>
        <v>5.3472222222222228E-3</v>
      </c>
      <c r="L816" s="5">
        <v>5.4178240740740742E-2</v>
      </c>
      <c r="M816" s="6">
        <f t="shared" si="25"/>
        <v>0.20353058828644724</v>
      </c>
      <c r="N816" s="5">
        <v>4.9421296296296297E-3</v>
      </c>
      <c r="O816" s="5">
        <v>1.3310185185185185E-2</v>
      </c>
      <c r="P816" s="5">
        <v>2.7546296296296294E-3</v>
      </c>
      <c r="Q816" s="5">
        <v>1.6157407407407409E-2</v>
      </c>
      <c r="R816" s="5">
        <v>1.1458333333333333E-3</v>
      </c>
      <c r="S816" s="5">
        <v>1.3310185185185185E-2</v>
      </c>
      <c r="T816" s="5">
        <v>1.0185185185185184E-3</v>
      </c>
      <c r="U816" s="5">
        <v>1.4004629629629629E-3</v>
      </c>
      <c r="V816" s="5"/>
      <c r="W816" s="5"/>
    </row>
    <row r="817" spans="1:23" x14ac:dyDescent="0.25">
      <c r="A817" s="2">
        <v>46244</v>
      </c>
      <c r="B817" s="3" t="s">
        <v>675</v>
      </c>
      <c r="C817" s="3" t="s">
        <v>676</v>
      </c>
      <c r="D817" s="3" t="s">
        <v>104</v>
      </c>
      <c r="E817" s="3" t="s">
        <v>31</v>
      </c>
      <c r="F817" s="3" t="s">
        <v>105</v>
      </c>
      <c r="G817" s="4" t="s">
        <v>106</v>
      </c>
      <c r="H817" s="4">
        <v>6</v>
      </c>
      <c r="I817" s="5">
        <v>0.20166666666666666</v>
      </c>
      <c r="J817" s="5">
        <v>0.19896990740740741</v>
      </c>
      <c r="K817" s="5">
        <f t="shared" si="24"/>
        <v>3.31616512345679E-2</v>
      </c>
      <c r="L817" s="5">
        <v>9.3854166666666669E-2</v>
      </c>
      <c r="M817" s="6">
        <f t="shared" si="25"/>
        <v>0.46539256198347112</v>
      </c>
      <c r="N817" s="5"/>
      <c r="O817" s="5">
        <v>7.2337962962962963E-3</v>
      </c>
      <c r="P817" s="5"/>
      <c r="Q817" s="5"/>
      <c r="R817" s="5"/>
      <c r="S817" s="5">
        <v>1.4004629629629629E-2</v>
      </c>
      <c r="T817" s="5">
        <v>6.5972222222222224E-4</v>
      </c>
      <c r="U817" s="5">
        <v>2.7893518518518519E-3</v>
      </c>
      <c r="V817" s="5"/>
      <c r="W817" s="5">
        <v>6.9166666666666668E-2</v>
      </c>
    </row>
    <row r="818" spans="1:23" x14ac:dyDescent="0.25">
      <c r="A818" s="2">
        <v>46244</v>
      </c>
      <c r="B818" s="3" t="s">
        <v>677</v>
      </c>
      <c r="C818" s="3" t="s">
        <v>678</v>
      </c>
      <c r="D818" s="3" t="s">
        <v>274</v>
      </c>
      <c r="E818" s="3" t="s">
        <v>79</v>
      </c>
      <c r="F818" s="3" t="s">
        <v>147</v>
      </c>
      <c r="G818" s="4" t="s">
        <v>33</v>
      </c>
      <c r="H818" s="4">
        <v>18</v>
      </c>
      <c r="I818" s="5">
        <v>0.26354166666666667</v>
      </c>
      <c r="J818" s="5">
        <v>7.8159722222222228E-2</v>
      </c>
      <c r="K818" s="5">
        <f t="shared" si="24"/>
        <v>4.3422067901234575E-3</v>
      </c>
      <c r="L818" s="5">
        <v>3.3599537037037039E-2</v>
      </c>
      <c r="M818" s="6">
        <f t="shared" si="25"/>
        <v>0.12749231444883619</v>
      </c>
      <c r="N818" s="5"/>
      <c r="O818" s="5">
        <v>1.4618055555555556E-2</v>
      </c>
      <c r="P818" s="5">
        <v>3.0902777777777777E-3</v>
      </c>
      <c r="Q818" s="5"/>
      <c r="R818" s="5"/>
      <c r="S818" s="5">
        <v>1.4027777777777778E-2</v>
      </c>
      <c r="T818" s="5">
        <v>4.1666666666666669E-4</v>
      </c>
      <c r="U818" s="5">
        <v>4.6296296296296294E-5</v>
      </c>
      <c r="V818" s="5"/>
      <c r="W818" s="5">
        <v>1.3888888888888889E-3</v>
      </c>
    </row>
    <row r="819" spans="1:23" x14ac:dyDescent="0.25">
      <c r="A819" s="2">
        <v>46245</v>
      </c>
      <c r="B819" s="3" t="s">
        <v>186</v>
      </c>
      <c r="C819" s="3" t="s">
        <v>562</v>
      </c>
      <c r="D819" s="3" t="s">
        <v>78</v>
      </c>
      <c r="E819" s="3" t="s">
        <v>79</v>
      </c>
      <c r="F819" s="3" t="s">
        <v>80</v>
      </c>
      <c r="G819" s="4" t="s">
        <v>33</v>
      </c>
      <c r="H819" s="4">
        <v>1</v>
      </c>
      <c r="I819" s="5">
        <v>0.26798611111111109</v>
      </c>
      <c r="J819" s="5">
        <v>2.0023148148148148E-2</v>
      </c>
      <c r="K819" s="5">
        <f t="shared" si="24"/>
        <v>2.0023148148148148E-2</v>
      </c>
      <c r="L819" s="5">
        <v>4.8240740740740744E-2</v>
      </c>
      <c r="M819" s="6">
        <f t="shared" si="25"/>
        <v>0.18001209294290405</v>
      </c>
      <c r="N819" s="5">
        <v>1.1886574074074074E-2</v>
      </c>
      <c r="O819" s="5">
        <v>1.6342592592592593E-2</v>
      </c>
      <c r="P819" s="5"/>
      <c r="Q819" s="5"/>
      <c r="R819" s="5"/>
      <c r="S819" s="5">
        <v>1.5613425925925926E-2</v>
      </c>
      <c r="T819" s="5">
        <v>4.3287037037037035E-3</v>
      </c>
      <c r="U819" s="5">
        <v>5.7870370370370373E-5</v>
      </c>
      <c r="V819" s="5"/>
      <c r="W819" s="5"/>
    </row>
    <row r="820" spans="1:23" x14ac:dyDescent="0.25">
      <c r="A820" s="2">
        <v>46245</v>
      </c>
      <c r="B820" s="3" t="s">
        <v>643</v>
      </c>
      <c r="C820" s="3" t="s">
        <v>644</v>
      </c>
      <c r="D820" s="3" t="s">
        <v>233</v>
      </c>
      <c r="E820" s="3" t="s">
        <v>31</v>
      </c>
      <c r="F820" s="3" t="s">
        <v>32</v>
      </c>
      <c r="G820" s="4" t="s">
        <v>106</v>
      </c>
      <c r="H820" s="4">
        <v>16</v>
      </c>
      <c r="I820" s="5">
        <v>0.25136574074074075</v>
      </c>
      <c r="J820" s="5">
        <v>0.11626157407407407</v>
      </c>
      <c r="K820" s="5">
        <f t="shared" si="24"/>
        <v>7.2663483796296295E-3</v>
      </c>
      <c r="L820" s="5">
        <v>3.6759259259259262E-2</v>
      </c>
      <c r="M820" s="6">
        <f t="shared" si="25"/>
        <v>0.14623814347545816</v>
      </c>
      <c r="N820" s="5">
        <v>5.6365740740740742E-3</v>
      </c>
      <c r="O820" s="5">
        <v>1.474537037037037E-2</v>
      </c>
      <c r="P820" s="5"/>
      <c r="Q820" s="5"/>
      <c r="R820" s="5"/>
      <c r="S820" s="5">
        <v>1.3842592592592592E-2</v>
      </c>
      <c r="T820" s="5">
        <v>1.6203703703703703E-4</v>
      </c>
      <c r="U820" s="5">
        <v>2.1990740740740742E-3</v>
      </c>
      <c r="V820" s="5"/>
      <c r="W820" s="5"/>
    </row>
    <row r="821" spans="1:23" x14ac:dyDescent="0.25">
      <c r="A821" s="2">
        <v>46245</v>
      </c>
      <c r="B821" s="3" t="s">
        <v>193</v>
      </c>
      <c r="C821" s="3" t="s">
        <v>563</v>
      </c>
      <c r="D821" s="3" t="s">
        <v>274</v>
      </c>
      <c r="E821" s="3" t="s">
        <v>79</v>
      </c>
      <c r="F821" s="3" t="s">
        <v>147</v>
      </c>
      <c r="G821" s="4" t="s">
        <v>33</v>
      </c>
      <c r="H821" s="4">
        <v>19</v>
      </c>
      <c r="I821" s="5">
        <v>0.25124999999999997</v>
      </c>
      <c r="J821" s="5">
        <v>8.6157407407407405E-2</v>
      </c>
      <c r="K821" s="5">
        <f t="shared" si="24"/>
        <v>4.5346003898635474E-3</v>
      </c>
      <c r="L821" s="5">
        <v>4.0914351851851855E-2</v>
      </c>
      <c r="M821" s="6">
        <f t="shared" si="25"/>
        <v>0.16284319145015666</v>
      </c>
      <c r="N821" s="5"/>
      <c r="O821" s="5">
        <v>7.0023148148148145E-3</v>
      </c>
      <c r="P821" s="5"/>
      <c r="Q821" s="5">
        <v>1.2719907407407407E-2</v>
      </c>
      <c r="R821" s="5">
        <v>6.9212962962962961E-3</v>
      </c>
      <c r="S821" s="5">
        <v>1.3923611111111111E-2</v>
      </c>
      <c r="T821" s="5">
        <v>1.1574074074074075E-4</v>
      </c>
      <c r="U821" s="5">
        <v>2.0833333333333335E-4</v>
      </c>
      <c r="V821" s="5"/>
      <c r="W821" s="5"/>
    </row>
    <row r="822" spans="1:23" x14ac:dyDescent="0.25">
      <c r="A822" s="2">
        <v>46245</v>
      </c>
      <c r="B822" s="3" t="s">
        <v>231</v>
      </c>
      <c r="C822" s="3" t="s">
        <v>525</v>
      </c>
      <c r="D822" s="3" t="s">
        <v>233</v>
      </c>
      <c r="E822" s="3" t="s">
        <v>31</v>
      </c>
      <c r="F822" s="3" t="s">
        <v>32</v>
      </c>
      <c r="G822" s="4" t="s">
        <v>106</v>
      </c>
      <c r="H822" s="4">
        <v>27</v>
      </c>
      <c r="I822" s="5">
        <v>0.25710648148148146</v>
      </c>
      <c r="J822" s="5">
        <v>0.12085648148148148</v>
      </c>
      <c r="K822" s="5">
        <f t="shared" si="24"/>
        <v>4.4761659807956104E-3</v>
      </c>
      <c r="L822" s="5">
        <v>2.9791666666666668E-2</v>
      </c>
      <c r="M822" s="6">
        <f t="shared" si="25"/>
        <v>0.11587287296299632</v>
      </c>
      <c r="N822" s="5"/>
      <c r="O822" s="5">
        <v>1.2812499999999999E-2</v>
      </c>
      <c r="P822" s="5"/>
      <c r="Q822" s="5"/>
      <c r="R822" s="5"/>
      <c r="S822" s="5">
        <v>1.4027777777777778E-2</v>
      </c>
      <c r="T822" s="5">
        <v>2.685185185185185E-3</v>
      </c>
      <c r="U822" s="5">
        <v>2.6620370370370372E-4</v>
      </c>
      <c r="V822" s="5"/>
      <c r="W822" s="5"/>
    </row>
    <row r="823" spans="1:23" x14ac:dyDescent="0.25">
      <c r="A823" s="2">
        <v>46245</v>
      </c>
      <c r="B823" s="3" t="s">
        <v>148</v>
      </c>
      <c r="C823" s="3" t="s">
        <v>513</v>
      </c>
      <c r="D823" s="3" t="s">
        <v>104</v>
      </c>
      <c r="E823" s="3" t="s">
        <v>31</v>
      </c>
      <c r="F823" s="3" t="s">
        <v>105</v>
      </c>
      <c r="G823" s="4" t="s">
        <v>106</v>
      </c>
      <c r="H823" s="4">
        <v>5</v>
      </c>
      <c r="I823" s="5">
        <v>0.23407407407407407</v>
      </c>
      <c r="J823" s="5">
        <v>7.8981481481481486E-2</v>
      </c>
      <c r="K823" s="5">
        <f t="shared" si="24"/>
        <v>1.5796296296296298E-2</v>
      </c>
      <c r="L823" s="5">
        <v>0.13819444444444445</v>
      </c>
      <c r="M823" s="6">
        <f t="shared" si="25"/>
        <v>0.59038765822784811</v>
      </c>
      <c r="N823" s="5">
        <v>1.5150462962962963E-2</v>
      </c>
      <c r="O823" s="5">
        <v>1.4988425925925926E-2</v>
      </c>
      <c r="P823" s="5"/>
      <c r="Q823" s="5"/>
      <c r="R823" s="5"/>
      <c r="S823" s="5">
        <v>7.9398148148148145E-3</v>
      </c>
      <c r="T823" s="5">
        <v>1.2592592592592593E-2</v>
      </c>
      <c r="U823" s="5">
        <v>4.5138888888888887E-4</v>
      </c>
      <c r="V823" s="5"/>
      <c r="W823" s="5">
        <v>8.7071759259259265E-2</v>
      </c>
    </row>
    <row r="824" spans="1:23" x14ac:dyDescent="0.25">
      <c r="A824" s="2">
        <v>46245</v>
      </c>
      <c r="B824" s="3" t="s">
        <v>82</v>
      </c>
      <c r="C824" s="3" t="s">
        <v>83</v>
      </c>
      <c r="D824" s="3" t="s">
        <v>78</v>
      </c>
      <c r="E824" s="3" t="s">
        <v>79</v>
      </c>
      <c r="F824" s="3" t="s">
        <v>80</v>
      </c>
      <c r="G824" s="4" t="s">
        <v>81</v>
      </c>
      <c r="H824" s="4">
        <v>0</v>
      </c>
      <c r="I824" s="5">
        <v>0.22681712962962963</v>
      </c>
      <c r="J824" s="5">
        <v>0</v>
      </c>
      <c r="K824" s="5">
        <f t="shared" si="24"/>
        <v>0</v>
      </c>
      <c r="L824" s="5">
        <v>0.14959490740740741</v>
      </c>
      <c r="M824" s="6">
        <f t="shared" si="25"/>
        <v>0.65953972546818396</v>
      </c>
      <c r="N824" s="5"/>
      <c r="O824" s="5"/>
      <c r="P824" s="5"/>
      <c r="Q824" s="5"/>
      <c r="R824" s="5">
        <v>0.14959490740740741</v>
      </c>
      <c r="S824" s="5"/>
      <c r="T824" s="5"/>
      <c r="U824" s="5"/>
      <c r="V824" s="5"/>
      <c r="W824" s="5"/>
    </row>
    <row r="825" spans="1:23" x14ac:dyDescent="0.25">
      <c r="A825" s="2">
        <v>46245</v>
      </c>
      <c r="B825" s="3" t="s">
        <v>234</v>
      </c>
      <c r="C825" s="3" t="s">
        <v>550</v>
      </c>
      <c r="D825" s="3" t="s">
        <v>233</v>
      </c>
      <c r="E825" s="3" t="s">
        <v>31</v>
      </c>
      <c r="F825" s="3" t="s">
        <v>32</v>
      </c>
      <c r="G825" s="4" t="s">
        <v>106</v>
      </c>
      <c r="H825" s="4">
        <v>36</v>
      </c>
      <c r="I825" s="5">
        <v>0.26188657407407406</v>
      </c>
      <c r="J825" s="5">
        <v>9.2824074074074073E-2</v>
      </c>
      <c r="K825" s="5">
        <f t="shared" si="24"/>
        <v>2.5784465020576132E-3</v>
      </c>
      <c r="L825" s="5">
        <v>3.6620370370370373E-2</v>
      </c>
      <c r="M825" s="6">
        <f t="shared" si="25"/>
        <v>0.13983294294427012</v>
      </c>
      <c r="N825" s="5">
        <v>5.9490740740740745E-3</v>
      </c>
      <c r="O825" s="5">
        <v>1.4050925925925927E-2</v>
      </c>
      <c r="P825" s="5"/>
      <c r="Q825" s="5">
        <v>3.4722222222222222E-5</v>
      </c>
      <c r="R825" s="5"/>
      <c r="S825" s="5">
        <v>1.2951388888888889E-2</v>
      </c>
      <c r="T825" s="5">
        <v>3.2523148148148147E-3</v>
      </c>
      <c r="U825" s="5">
        <v>3.7037037037037035E-4</v>
      </c>
      <c r="V825" s="5"/>
      <c r="W825" s="5"/>
    </row>
    <row r="826" spans="1:23" x14ac:dyDescent="0.25">
      <c r="A826" s="2">
        <v>46245</v>
      </c>
      <c r="B826" s="3" t="s">
        <v>34</v>
      </c>
      <c r="C826" s="3" t="s">
        <v>505</v>
      </c>
      <c r="D826" s="3" t="s">
        <v>233</v>
      </c>
      <c r="E826" s="3" t="s">
        <v>31</v>
      </c>
      <c r="F826" s="3" t="s">
        <v>32</v>
      </c>
      <c r="G826" s="4" t="s">
        <v>106</v>
      </c>
      <c r="H826" s="4">
        <v>32</v>
      </c>
      <c r="I826" s="5">
        <v>0.26040509259259259</v>
      </c>
      <c r="J826" s="5">
        <v>0.10459490740740741</v>
      </c>
      <c r="K826" s="5">
        <f t="shared" si="24"/>
        <v>3.2685908564814817E-3</v>
      </c>
      <c r="L826" s="5">
        <v>3.215277777777778E-2</v>
      </c>
      <c r="M826" s="6">
        <f t="shared" si="25"/>
        <v>0.12347215431796969</v>
      </c>
      <c r="N826" s="5">
        <v>4.7106481481481478E-3</v>
      </c>
      <c r="O826" s="5">
        <v>1.3553240740740741E-2</v>
      </c>
      <c r="P826" s="5"/>
      <c r="Q826" s="5"/>
      <c r="R826" s="5"/>
      <c r="S826" s="5">
        <v>1.2847222222222222E-2</v>
      </c>
      <c r="T826" s="5">
        <v>6.9444444444444444E-5</v>
      </c>
      <c r="U826" s="5">
        <v>9.7222222222222219E-4</v>
      </c>
      <c r="V826" s="5"/>
      <c r="W826" s="5"/>
    </row>
    <row r="827" spans="1:23" x14ac:dyDescent="0.25">
      <c r="A827" s="2">
        <v>46245</v>
      </c>
      <c r="B827" s="3" t="s">
        <v>493</v>
      </c>
      <c r="C827" s="3" t="s">
        <v>569</v>
      </c>
      <c r="D827" s="3" t="s">
        <v>104</v>
      </c>
      <c r="E827" s="3" t="s">
        <v>31</v>
      </c>
      <c r="F827" s="3" t="s">
        <v>105</v>
      </c>
      <c r="G827" s="4" t="s">
        <v>106</v>
      </c>
      <c r="H827" s="4">
        <v>7</v>
      </c>
      <c r="I827" s="5">
        <v>0.23118055555555556</v>
      </c>
      <c r="J827" s="5">
        <v>9.7766203703703702E-2</v>
      </c>
      <c r="K827" s="5">
        <f t="shared" si="24"/>
        <v>1.3966600529100528E-2</v>
      </c>
      <c r="L827" s="5">
        <v>0.13428240740740741</v>
      </c>
      <c r="M827" s="6">
        <f t="shared" si="25"/>
        <v>0.5808551116451387</v>
      </c>
      <c r="N827" s="5">
        <v>6.851851851851852E-3</v>
      </c>
      <c r="O827" s="5">
        <v>9.9652777777777778E-3</v>
      </c>
      <c r="P827" s="5">
        <v>4.3090277777777776E-2</v>
      </c>
      <c r="Q827" s="5"/>
      <c r="R827" s="5"/>
      <c r="S827" s="5">
        <v>3.7384259259259259E-3</v>
      </c>
      <c r="T827" s="5">
        <v>4.7453703703703704E-4</v>
      </c>
      <c r="U827" s="5">
        <v>2.0833333333333335E-4</v>
      </c>
      <c r="V827" s="5"/>
      <c r="W827" s="5">
        <v>6.9953703703703699E-2</v>
      </c>
    </row>
    <row r="828" spans="1:23" x14ac:dyDescent="0.25">
      <c r="A828" s="2">
        <v>46245</v>
      </c>
      <c r="B828" s="3" t="s">
        <v>238</v>
      </c>
      <c r="C828" s="3" t="s">
        <v>526</v>
      </c>
      <c r="D828" s="3" t="s">
        <v>233</v>
      </c>
      <c r="E828" s="3" t="s">
        <v>31</v>
      </c>
      <c r="F828" s="3" t="s">
        <v>32</v>
      </c>
      <c r="G828" s="4" t="s">
        <v>106</v>
      </c>
      <c r="H828" s="4">
        <v>0</v>
      </c>
      <c r="I828" s="5">
        <v>0.25001157407407409</v>
      </c>
      <c r="J828" s="5">
        <v>0</v>
      </c>
      <c r="K828" s="5">
        <f t="shared" si="24"/>
        <v>0</v>
      </c>
      <c r="L828" s="5">
        <v>0.24997685185185184</v>
      </c>
      <c r="M828" s="6">
        <f t="shared" si="25"/>
        <v>0.99986111754085449</v>
      </c>
      <c r="N828" s="5"/>
      <c r="O828" s="5">
        <v>6.7129629629629631E-3</v>
      </c>
      <c r="P828" s="5"/>
      <c r="Q828" s="5"/>
      <c r="R828" s="5"/>
      <c r="S828" s="5">
        <v>1.0069444444444445E-2</v>
      </c>
      <c r="T828" s="5">
        <v>5.3240740740740744E-4</v>
      </c>
      <c r="U828" s="5"/>
      <c r="V828" s="5"/>
      <c r="W828" s="5">
        <v>0.23266203703703703</v>
      </c>
    </row>
    <row r="829" spans="1:23" x14ac:dyDescent="0.25">
      <c r="A829" s="2">
        <v>46245</v>
      </c>
      <c r="B829" s="3" t="s">
        <v>608</v>
      </c>
      <c r="C829" s="3" t="s">
        <v>631</v>
      </c>
      <c r="D829" s="3" t="s">
        <v>601</v>
      </c>
      <c r="E829" s="3" t="s">
        <v>31</v>
      </c>
      <c r="F829" s="3" t="s">
        <v>105</v>
      </c>
      <c r="G829" s="4" t="s">
        <v>33</v>
      </c>
      <c r="H829" s="4">
        <v>4</v>
      </c>
      <c r="I829" s="5">
        <v>0.23406250000000001</v>
      </c>
      <c r="J829" s="5">
        <v>7.8414351851851846E-2</v>
      </c>
      <c r="K829" s="5">
        <f t="shared" si="24"/>
        <v>1.9603587962962962E-2</v>
      </c>
      <c r="L829" s="5">
        <v>0.20949074074074073</v>
      </c>
      <c r="M829" s="6">
        <f t="shared" si="25"/>
        <v>0.89502052118874542</v>
      </c>
      <c r="N829" s="5"/>
      <c r="O829" s="5">
        <v>1.3969907407407407E-2</v>
      </c>
      <c r="P829" s="5"/>
      <c r="Q829" s="5"/>
      <c r="R829" s="5"/>
      <c r="S829" s="5">
        <v>1.425925925925926E-2</v>
      </c>
      <c r="T829" s="5">
        <v>1.3078703703703703E-3</v>
      </c>
      <c r="U829" s="5">
        <v>0.1799537037037037</v>
      </c>
      <c r="V829" s="5"/>
      <c r="W829" s="5"/>
    </row>
    <row r="830" spans="1:23" x14ac:dyDescent="0.25">
      <c r="A830" s="2">
        <v>46245</v>
      </c>
      <c r="B830" s="3" t="s">
        <v>307</v>
      </c>
      <c r="C830" s="3" t="s">
        <v>308</v>
      </c>
      <c r="D830" s="3" t="s">
        <v>78</v>
      </c>
      <c r="E830" s="3" t="s">
        <v>79</v>
      </c>
      <c r="F830" s="3" t="s">
        <v>80</v>
      </c>
      <c r="G830" s="4" t="s">
        <v>81</v>
      </c>
      <c r="H830" s="4">
        <v>0</v>
      </c>
      <c r="I830" s="5">
        <v>0.3591435185185185</v>
      </c>
      <c r="J830" s="5">
        <v>0</v>
      </c>
      <c r="K830" s="5">
        <f t="shared" si="24"/>
        <v>0</v>
      </c>
      <c r="L830" s="5">
        <v>1.6180555555555556E-2</v>
      </c>
      <c r="M830" s="6">
        <f t="shared" si="25"/>
        <v>4.5053174347405738E-2</v>
      </c>
      <c r="N830" s="5"/>
      <c r="O830" s="5"/>
      <c r="P830" s="5"/>
      <c r="Q830" s="5"/>
      <c r="R830" s="5">
        <v>5.6365740740740742E-3</v>
      </c>
      <c r="S830" s="5">
        <v>6.9675925925925929E-3</v>
      </c>
      <c r="T830" s="5">
        <v>1.6203703703703703E-3</v>
      </c>
      <c r="U830" s="5">
        <v>1.7708333333333332E-3</v>
      </c>
      <c r="V830" s="5"/>
      <c r="W830" s="5"/>
    </row>
    <row r="831" spans="1:23" x14ac:dyDescent="0.25">
      <c r="A831" s="2">
        <v>46245</v>
      </c>
      <c r="B831" s="3" t="s">
        <v>197</v>
      </c>
      <c r="C831" s="3" t="s">
        <v>564</v>
      </c>
      <c r="D831" s="3" t="s">
        <v>601</v>
      </c>
      <c r="E831" s="3" t="s">
        <v>31</v>
      </c>
      <c r="F831" s="3" t="s">
        <v>105</v>
      </c>
      <c r="G831" s="4" t="s">
        <v>33</v>
      </c>
      <c r="H831" s="4">
        <v>2</v>
      </c>
      <c r="I831" s="5">
        <v>0.17856481481481482</v>
      </c>
      <c r="J831" s="5">
        <v>5.8067129629629628E-2</v>
      </c>
      <c r="K831" s="5">
        <f t="shared" si="24"/>
        <v>2.9033564814814814E-2</v>
      </c>
      <c r="L831" s="5">
        <v>0.15525462962962963</v>
      </c>
      <c r="M831" s="6">
        <f t="shared" si="25"/>
        <v>0.86945812807881773</v>
      </c>
      <c r="N831" s="5"/>
      <c r="O831" s="5">
        <v>1.5891203703703703E-2</v>
      </c>
      <c r="P831" s="5"/>
      <c r="Q831" s="5"/>
      <c r="R831" s="5"/>
      <c r="S831" s="5">
        <v>1.4872685185185185E-2</v>
      </c>
      <c r="T831" s="5">
        <v>7.4305555555555557E-3</v>
      </c>
      <c r="U831" s="5">
        <v>0.11706018518518518</v>
      </c>
      <c r="V831" s="5"/>
      <c r="W831" s="5"/>
    </row>
    <row r="832" spans="1:23" x14ac:dyDescent="0.25">
      <c r="A832" s="2">
        <v>46245</v>
      </c>
      <c r="B832" s="3" t="s">
        <v>150</v>
      </c>
      <c r="C832" s="3" t="s">
        <v>514</v>
      </c>
      <c r="D832" s="3" t="s">
        <v>146</v>
      </c>
      <c r="E832" s="3" t="s">
        <v>79</v>
      </c>
      <c r="F832" s="3" t="s">
        <v>147</v>
      </c>
      <c r="G832" s="4" t="s">
        <v>106</v>
      </c>
      <c r="H832" s="4">
        <v>18</v>
      </c>
      <c r="I832" s="5">
        <v>0.26234953703703706</v>
      </c>
      <c r="J832" s="5">
        <v>4.0706018518518516E-2</v>
      </c>
      <c r="K832" s="5">
        <f t="shared" si="24"/>
        <v>2.2614454732510286E-3</v>
      </c>
      <c r="L832" s="5">
        <v>3.1435185185185184E-2</v>
      </c>
      <c r="M832" s="6">
        <f t="shared" si="25"/>
        <v>0.11982176732695106</v>
      </c>
      <c r="N832" s="5"/>
      <c r="O832" s="5">
        <v>1.4074074074074074E-2</v>
      </c>
      <c r="P832" s="5"/>
      <c r="Q832" s="5">
        <v>3.0555555555555557E-3</v>
      </c>
      <c r="R832" s="5"/>
      <c r="S832" s="5">
        <v>1.4236111111111111E-2</v>
      </c>
      <c r="T832" s="5">
        <v>6.9444444444444444E-5</v>
      </c>
      <c r="U832" s="5"/>
      <c r="V832" s="5"/>
      <c r="W832" s="5"/>
    </row>
    <row r="833" spans="1:23" x14ac:dyDescent="0.25">
      <c r="A833" s="2">
        <v>46245</v>
      </c>
      <c r="B833" s="3" t="s">
        <v>681</v>
      </c>
      <c r="C833" s="3" t="s">
        <v>682</v>
      </c>
      <c r="D833" s="3" t="s">
        <v>601</v>
      </c>
      <c r="E833" s="3" t="s">
        <v>31</v>
      </c>
      <c r="F833" s="3" t="s">
        <v>105</v>
      </c>
      <c r="G833" s="4" t="s">
        <v>33</v>
      </c>
      <c r="H833" s="4">
        <v>3</v>
      </c>
      <c r="I833" s="5">
        <v>0.23373842592592592</v>
      </c>
      <c r="J833" s="5">
        <v>0.1257175925925926</v>
      </c>
      <c r="K833" s="5">
        <f t="shared" si="24"/>
        <v>4.1905864197530868E-2</v>
      </c>
      <c r="L833" s="5">
        <v>0.14782407407407408</v>
      </c>
      <c r="M833" s="6">
        <f t="shared" si="25"/>
        <v>0.63243377073533058</v>
      </c>
      <c r="N833" s="5">
        <v>5.324074074074074E-3</v>
      </c>
      <c r="O833" s="5">
        <v>1.5613425925925926E-2</v>
      </c>
      <c r="P833" s="5"/>
      <c r="Q833" s="5"/>
      <c r="R833" s="5"/>
      <c r="S833" s="5">
        <v>1.3229166666666667E-2</v>
      </c>
      <c r="T833" s="5">
        <v>7.6388888888888893E-4</v>
      </c>
      <c r="U833" s="5">
        <v>0.11289351851851852</v>
      </c>
      <c r="V833" s="5"/>
      <c r="W833" s="5"/>
    </row>
    <row r="834" spans="1:23" x14ac:dyDescent="0.25">
      <c r="A834" s="2">
        <v>46245</v>
      </c>
      <c r="B834" s="3" t="s">
        <v>154</v>
      </c>
      <c r="C834" s="3" t="s">
        <v>515</v>
      </c>
      <c r="D834" s="3" t="s">
        <v>146</v>
      </c>
      <c r="E834" s="3" t="s">
        <v>79</v>
      </c>
      <c r="F834" s="3" t="s">
        <v>147</v>
      </c>
      <c r="G834" s="4" t="s">
        <v>106</v>
      </c>
      <c r="H834" s="4">
        <v>14</v>
      </c>
      <c r="I834" s="5">
        <v>0.26498842592592592</v>
      </c>
      <c r="J834" s="5">
        <v>3.125E-2</v>
      </c>
      <c r="K834" s="5">
        <f t="shared" ref="K834:K897" si="26">IFERROR(J834/H834,0)</f>
        <v>2.232142857142857E-3</v>
      </c>
      <c r="L834" s="5">
        <v>2.7569444444444445E-2</v>
      </c>
      <c r="M834" s="6">
        <f t="shared" ref="M834:M897" si="27">IFERROR(L834/I834,0)</f>
        <v>0.10404018344616729</v>
      </c>
      <c r="N834" s="5">
        <v>3.9351851851851848E-3</v>
      </c>
      <c r="O834" s="5">
        <v>8.8773148148148153E-3</v>
      </c>
      <c r="P834" s="5"/>
      <c r="Q834" s="5"/>
      <c r="R834" s="5"/>
      <c r="S834" s="5">
        <v>1.3946759259259259E-2</v>
      </c>
      <c r="T834" s="5">
        <v>1.9675925925925926E-4</v>
      </c>
      <c r="U834" s="5">
        <v>6.018518518518519E-4</v>
      </c>
      <c r="V834" s="5"/>
      <c r="W834" s="5"/>
    </row>
    <row r="835" spans="1:23" x14ac:dyDescent="0.25">
      <c r="A835" s="2">
        <v>46245</v>
      </c>
      <c r="B835" s="3" t="s">
        <v>112</v>
      </c>
      <c r="C835" s="3" t="s">
        <v>570</v>
      </c>
      <c r="D835" s="3" t="s">
        <v>104</v>
      </c>
      <c r="E835" s="3" t="s">
        <v>31</v>
      </c>
      <c r="F835" s="3" t="s">
        <v>105</v>
      </c>
      <c r="G835" s="4" t="s">
        <v>106</v>
      </c>
      <c r="H835" s="4">
        <v>5</v>
      </c>
      <c r="I835" s="5">
        <v>0.23469907407407409</v>
      </c>
      <c r="J835" s="5">
        <v>9.8460648148148144E-2</v>
      </c>
      <c r="K835" s="5">
        <f t="shared" si="26"/>
        <v>1.9692129629629629E-2</v>
      </c>
      <c r="L835" s="5">
        <v>0.14082175925925927</v>
      </c>
      <c r="M835" s="6">
        <f t="shared" si="27"/>
        <v>0.60000986290561198</v>
      </c>
      <c r="N835" s="5">
        <v>1.7361111111111112E-2</v>
      </c>
      <c r="O835" s="5">
        <v>2.4594907407407409E-2</v>
      </c>
      <c r="P835" s="5"/>
      <c r="Q835" s="5"/>
      <c r="R835" s="5"/>
      <c r="S835" s="5">
        <v>4.6296296296296294E-3</v>
      </c>
      <c r="T835" s="5">
        <v>1.7939814814814815E-2</v>
      </c>
      <c r="U835" s="5">
        <v>3.3831018518518517E-2</v>
      </c>
      <c r="V835" s="5"/>
      <c r="W835" s="5">
        <v>4.2453703703703702E-2</v>
      </c>
    </row>
    <row r="836" spans="1:23" x14ac:dyDescent="0.25">
      <c r="A836" s="2">
        <v>46245</v>
      </c>
      <c r="B836" s="3" t="s">
        <v>42</v>
      </c>
      <c r="C836" s="3" t="s">
        <v>537</v>
      </c>
      <c r="D836" s="3" t="s">
        <v>104</v>
      </c>
      <c r="E836" s="3" t="s">
        <v>31</v>
      </c>
      <c r="F836" s="3" t="s">
        <v>105</v>
      </c>
      <c r="G836" s="4" t="s">
        <v>106</v>
      </c>
      <c r="H836" s="4">
        <v>9</v>
      </c>
      <c r="I836" s="5">
        <v>0.23618055555555556</v>
      </c>
      <c r="J836" s="5">
        <v>0.1228125</v>
      </c>
      <c r="K836" s="5">
        <f t="shared" si="26"/>
        <v>1.3645833333333334E-2</v>
      </c>
      <c r="L836" s="5">
        <v>0.17106481481481481</v>
      </c>
      <c r="M836" s="6">
        <f t="shared" si="27"/>
        <v>0.72429677545819848</v>
      </c>
      <c r="N836" s="5">
        <v>3.9236111111111112E-3</v>
      </c>
      <c r="O836" s="5">
        <v>1.457175925925926E-2</v>
      </c>
      <c r="P836" s="5"/>
      <c r="Q836" s="5"/>
      <c r="R836" s="5"/>
      <c r="S836" s="5">
        <v>1.4085648148148147E-2</v>
      </c>
      <c r="T836" s="5">
        <v>4.2824074074074075E-4</v>
      </c>
      <c r="U836" s="5">
        <v>7.0601851851851847E-4</v>
      </c>
      <c r="V836" s="5"/>
      <c r="W836" s="5">
        <v>0.13733796296296297</v>
      </c>
    </row>
    <row r="837" spans="1:23" x14ac:dyDescent="0.25">
      <c r="A837" s="2">
        <v>46245</v>
      </c>
      <c r="B837" s="3" t="s">
        <v>156</v>
      </c>
      <c r="C837" s="3" t="s">
        <v>516</v>
      </c>
      <c r="D837" s="3" t="s">
        <v>146</v>
      </c>
      <c r="E837" s="3" t="s">
        <v>79</v>
      </c>
      <c r="F837" s="3" t="s">
        <v>147</v>
      </c>
      <c r="G837" s="4" t="s">
        <v>106</v>
      </c>
      <c r="H837" s="4">
        <v>12</v>
      </c>
      <c r="I837" s="5">
        <v>0.27025462962962965</v>
      </c>
      <c r="J837" s="5">
        <v>3.3252314814814818E-2</v>
      </c>
      <c r="K837" s="5">
        <f t="shared" si="26"/>
        <v>2.7710262345679013E-3</v>
      </c>
      <c r="L837" s="5">
        <v>4.2696759259259261E-2</v>
      </c>
      <c r="M837" s="6">
        <f t="shared" si="27"/>
        <v>0.15798715203426122</v>
      </c>
      <c r="N837" s="5"/>
      <c r="O837" s="5">
        <v>6.9560185185185185E-3</v>
      </c>
      <c r="P837" s="5"/>
      <c r="Q837" s="5">
        <v>1.8148148148148149E-2</v>
      </c>
      <c r="R837" s="5"/>
      <c r="S837" s="5">
        <v>1.380787037037037E-2</v>
      </c>
      <c r="T837" s="5">
        <v>3.7847222222222223E-3</v>
      </c>
      <c r="U837" s="5"/>
      <c r="V837" s="5"/>
      <c r="W837" s="5"/>
    </row>
    <row r="838" spans="1:23" x14ac:dyDescent="0.25">
      <c r="A838" s="2">
        <v>46245</v>
      </c>
      <c r="B838" s="3" t="s">
        <v>114</v>
      </c>
      <c r="C838" s="3" t="s">
        <v>541</v>
      </c>
      <c r="D838" s="3" t="s">
        <v>104</v>
      </c>
      <c r="E838" s="3" t="s">
        <v>31</v>
      </c>
      <c r="F838" s="3" t="s">
        <v>105</v>
      </c>
      <c r="G838" s="4" t="s">
        <v>106</v>
      </c>
      <c r="H838" s="4">
        <v>6</v>
      </c>
      <c r="I838" s="5">
        <v>0.2492476851851852</v>
      </c>
      <c r="J838" s="5">
        <v>0.10204861111111112</v>
      </c>
      <c r="K838" s="5">
        <f t="shared" si="26"/>
        <v>1.7008101851851854E-2</v>
      </c>
      <c r="L838" s="5">
        <v>0.17921296296296296</v>
      </c>
      <c r="M838" s="6">
        <f t="shared" si="27"/>
        <v>0.71901555607151146</v>
      </c>
      <c r="N838" s="5">
        <v>3.5763888888888889E-3</v>
      </c>
      <c r="O838" s="5">
        <v>1.3842592592592592E-2</v>
      </c>
      <c r="P838" s="5"/>
      <c r="Q838" s="5"/>
      <c r="R838" s="5"/>
      <c r="S838" s="5">
        <v>1.712962962962963E-2</v>
      </c>
      <c r="T838" s="5">
        <v>2.8506944444444446E-2</v>
      </c>
      <c r="U838" s="5"/>
      <c r="V838" s="5"/>
      <c r="W838" s="5">
        <v>0.1161574074074074</v>
      </c>
    </row>
    <row r="839" spans="1:23" x14ac:dyDescent="0.25">
      <c r="A839" s="2">
        <v>46245</v>
      </c>
      <c r="B839" s="3" t="s">
        <v>44</v>
      </c>
      <c r="C839" s="3" t="s">
        <v>506</v>
      </c>
      <c r="D839" s="3" t="s">
        <v>100</v>
      </c>
      <c r="E839" s="3" t="s">
        <v>31</v>
      </c>
      <c r="F839" s="3" t="s">
        <v>32</v>
      </c>
      <c r="G839" s="4" t="s">
        <v>33</v>
      </c>
      <c r="H839" s="4">
        <v>29</v>
      </c>
      <c r="I839" s="5">
        <v>0.25689814814814815</v>
      </c>
      <c r="J839" s="5">
        <v>0.17787037037037037</v>
      </c>
      <c r="K839" s="5">
        <f t="shared" si="26"/>
        <v>6.1334610472541509E-3</v>
      </c>
      <c r="L839" s="5">
        <v>4.4259259259259262E-2</v>
      </c>
      <c r="M839" s="6">
        <f t="shared" si="27"/>
        <v>0.17228329428725897</v>
      </c>
      <c r="N839" s="5">
        <v>1.8402777777777777E-3</v>
      </c>
      <c r="O839" s="5">
        <v>1.5300925925925926E-2</v>
      </c>
      <c r="P839" s="5"/>
      <c r="Q839" s="5"/>
      <c r="R839" s="5">
        <v>2.488425925925926E-3</v>
      </c>
      <c r="S839" s="5">
        <v>1.4479166666666666E-2</v>
      </c>
      <c r="T839" s="5">
        <v>9.4907407407407408E-4</v>
      </c>
      <c r="U839" s="5">
        <v>6.3888888888888893E-3</v>
      </c>
      <c r="V839" s="5"/>
      <c r="W839" s="5">
        <v>2.7777777777777779E-3</v>
      </c>
    </row>
    <row r="840" spans="1:23" x14ac:dyDescent="0.25">
      <c r="A840" s="2">
        <v>46245</v>
      </c>
      <c r="B840" s="3" t="s">
        <v>609</v>
      </c>
      <c r="C840" s="3" t="s">
        <v>632</v>
      </c>
      <c r="D840" s="3" t="s">
        <v>601</v>
      </c>
      <c r="E840" s="3" t="s">
        <v>31</v>
      </c>
      <c r="F840" s="3" t="s">
        <v>105</v>
      </c>
      <c r="G840" s="4" t="s">
        <v>33</v>
      </c>
      <c r="H840" s="4">
        <v>2</v>
      </c>
      <c r="I840" s="5">
        <v>0.21865740740740741</v>
      </c>
      <c r="J840" s="5">
        <v>6.8831018518518514E-2</v>
      </c>
      <c r="K840" s="5">
        <f t="shared" si="26"/>
        <v>3.4415509259259257E-2</v>
      </c>
      <c r="L840" s="5">
        <v>0.18550925925925926</v>
      </c>
      <c r="M840" s="6">
        <f t="shared" si="27"/>
        <v>0.84840143976286264</v>
      </c>
      <c r="N840" s="5">
        <v>3.0243055555555554E-2</v>
      </c>
      <c r="O840" s="5">
        <v>1.5428240740740741E-2</v>
      </c>
      <c r="P840" s="5"/>
      <c r="Q840" s="5">
        <v>4.5138888888888887E-4</v>
      </c>
      <c r="R840" s="5"/>
      <c r="S840" s="5">
        <v>1.4444444444444444E-2</v>
      </c>
      <c r="T840" s="5">
        <v>3.8194444444444446E-4</v>
      </c>
      <c r="U840" s="5">
        <v>0.12456018518518519</v>
      </c>
      <c r="V840" s="5"/>
      <c r="W840" s="5"/>
    </row>
    <row r="841" spans="1:23" x14ac:dyDescent="0.25">
      <c r="A841" s="2">
        <v>46245</v>
      </c>
      <c r="B841" s="3" t="s">
        <v>240</v>
      </c>
      <c r="C841" s="3" t="s">
        <v>527</v>
      </c>
      <c r="D841" s="3" t="s">
        <v>233</v>
      </c>
      <c r="E841" s="3" t="s">
        <v>31</v>
      </c>
      <c r="F841" s="3" t="s">
        <v>32</v>
      </c>
      <c r="G841" s="4" t="s">
        <v>106</v>
      </c>
      <c r="H841" s="4">
        <v>0</v>
      </c>
      <c r="I841" s="5">
        <v>0.21399305555555556</v>
      </c>
      <c r="J841" s="5">
        <v>0</v>
      </c>
      <c r="K841" s="5">
        <f t="shared" si="26"/>
        <v>0</v>
      </c>
      <c r="L841" s="5">
        <v>0.21399305555555556</v>
      </c>
      <c r="M841" s="6">
        <f t="shared" si="27"/>
        <v>1</v>
      </c>
      <c r="N841" s="5">
        <v>1.7569444444444443E-2</v>
      </c>
      <c r="O841" s="5">
        <v>1.3402777777777777E-2</v>
      </c>
      <c r="P841" s="5"/>
      <c r="Q841" s="5"/>
      <c r="R841" s="5"/>
      <c r="S841" s="5">
        <v>2.7314814814814814E-3</v>
      </c>
      <c r="T841" s="5">
        <v>6.9444444444444447E-4</v>
      </c>
      <c r="U841" s="5"/>
      <c r="V841" s="5"/>
      <c r="W841" s="5">
        <v>0.17959490740740741</v>
      </c>
    </row>
    <row r="842" spans="1:23" x14ac:dyDescent="0.25">
      <c r="A842" s="2">
        <v>46245</v>
      </c>
      <c r="B842" s="3" t="s">
        <v>497</v>
      </c>
      <c r="C842" s="3" t="s">
        <v>498</v>
      </c>
      <c r="D842" s="3" t="s">
        <v>78</v>
      </c>
      <c r="E842" s="3" t="s">
        <v>79</v>
      </c>
      <c r="F842" s="3" t="s">
        <v>80</v>
      </c>
      <c r="G842" s="4" t="s">
        <v>81</v>
      </c>
      <c r="H842" s="4">
        <v>1</v>
      </c>
      <c r="I842" s="5">
        <v>0.34302083333333333</v>
      </c>
      <c r="J842" s="5">
        <v>1.0185185185185184E-3</v>
      </c>
      <c r="K842" s="5">
        <f t="shared" si="26"/>
        <v>1.0185185185185184E-3</v>
      </c>
      <c r="L842" s="5">
        <v>6.1701388888888889E-2</v>
      </c>
      <c r="M842" s="6">
        <f t="shared" si="27"/>
        <v>0.17987650571920236</v>
      </c>
      <c r="N842" s="5">
        <v>4.3981481481481484E-3</v>
      </c>
      <c r="O842" s="5">
        <v>1.4409722222222223E-2</v>
      </c>
      <c r="P842" s="5"/>
      <c r="Q842" s="5"/>
      <c r="R842" s="5"/>
      <c r="S842" s="5">
        <v>4.1296296296296296E-2</v>
      </c>
      <c r="T842" s="5">
        <v>1.5277777777777779E-3</v>
      </c>
      <c r="U842" s="5"/>
      <c r="V842" s="5"/>
      <c r="W842" s="5"/>
    </row>
    <row r="843" spans="1:23" x14ac:dyDescent="0.25">
      <c r="A843" s="2">
        <v>46245</v>
      </c>
      <c r="B843" s="3" t="s">
        <v>309</v>
      </c>
      <c r="C843" s="3" t="s">
        <v>310</v>
      </c>
      <c r="D843" s="3" t="s">
        <v>78</v>
      </c>
      <c r="E843" s="3" t="s">
        <v>79</v>
      </c>
      <c r="F843" s="3" t="s">
        <v>80</v>
      </c>
      <c r="G843" s="4" t="s">
        <v>81</v>
      </c>
      <c r="H843" s="4">
        <v>1</v>
      </c>
      <c r="I843" s="5">
        <v>0.34250000000000003</v>
      </c>
      <c r="J843" s="5">
        <v>1.1608796296296296E-2</v>
      </c>
      <c r="K843" s="5">
        <f t="shared" si="26"/>
        <v>1.1608796296296296E-2</v>
      </c>
      <c r="L843" s="5">
        <v>5.7986111111111113E-2</v>
      </c>
      <c r="M843" s="6">
        <f t="shared" si="27"/>
        <v>0.16930251419302514</v>
      </c>
      <c r="N843" s="5">
        <v>9.2013888888888892E-3</v>
      </c>
      <c r="O843" s="5">
        <v>4.1793981481481481E-2</v>
      </c>
      <c r="P843" s="5"/>
      <c r="Q843" s="5"/>
      <c r="R843" s="5"/>
      <c r="S843" s="5">
        <v>6.1921296296296299E-3</v>
      </c>
      <c r="T843" s="5">
        <v>5.7870370370370373E-5</v>
      </c>
      <c r="U843" s="5">
        <v>7.1759259259259259E-4</v>
      </c>
      <c r="V843" s="5"/>
      <c r="W843" s="5"/>
    </row>
    <row r="844" spans="1:23" x14ac:dyDescent="0.25">
      <c r="A844" s="2">
        <v>46245</v>
      </c>
      <c r="B844" s="3" t="s">
        <v>160</v>
      </c>
      <c r="C844" s="3" t="s">
        <v>544</v>
      </c>
      <c r="D844" s="3" t="s">
        <v>146</v>
      </c>
      <c r="E844" s="3" t="s">
        <v>79</v>
      </c>
      <c r="F844" s="3" t="s">
        <v>147</v>
      </c>
      <c r="G844" s="4" t="s">
        <v>106</v>
      </c>
      <c r="H844" s="4">
        <v>14</v>
      </c>
      <c r="I844" s="5">
        <v>0.26090277777777776</v>
      </c>
      <c r="J844" s="5">
        <v>3.829861111111111E-2</v>
      </c>
      <c r="K844" s="5">
        <f t="shared" si="26"/>
        <v>2.7356150793650794E-3</v>
      </c>
      <c r="L844" s="5">
        <v>5.7326388888888892E-2</v>
      </c>
      <c r="M844" s="6">
        <f t="shared" si="27"/>
        <v>0.2197231833910035</v>
      </c>
      <c r="N844" s="5">
        <v>5.7407407407407407E-3</v>
      </c>
      <c r="O844" s="5">
        <v>1.4444444444444444E-2</v>
      </c>
      <c r="P844" s="5"/>
      <c r="Q844" s="5">
        <v>1.6111111111111111E-2</v>
      </c>
      <c r="R844" s="5"/>
      <c r="S844" s="5">
        <v>1.4664351851851852E-2</v>
      </c>
      <c r="T844" s="5">
        <v>2.3148148148148149E-4</v>
      </c>
      <c r="U844" s="5">
        <v>6.053240740740741E-3</v>
      </c>
      <c r="V844" s="5"/>
      <c r="W844" s="5"/>
    </row>
    <row r="845" spans="1:23" x14ac:dyDescent="0.25">
      <c r="A845" s="2">
        <v>46245</v>
      </c>
      <c r="B845" s="3" t="s">
        <v>645</v>
      </c>
      <c r="C845" s="3" t="s">
        <v>646</v>
      </c>
      <c r="D845" s="3" t="s">
        <v>100</v>
      </c>
      <c r="E845" s="3" t="s">
        <v>31</v>
      </c>
      <c r="F845" s="3" t="s">
        <v>32</v>
      </c>
      <c r="G845" s="4" t="s">
        <v>33</v>
      </c>
      <c r="H845" s="4">
        <v>33</v>
      </c>
      <c r="I845" s="5">
        <v>0.26010416666666669</v>
      </c>
      <c r="J845" s="5">
        <v>0.19530092592592593</v>
      </c>
      <c r="K845" s="5">
        <f t="shared" si="26"/>
        <v>5.9182098765432102E-3</v>
      </c>
      <c r="L845" s="5">
        <v>4.1134259259259259E-2</v>
      </c>
      <c r="M845" s="6">
        <f t="shared" si="27"/>
        <v>0.15814532995149733</v>
      </c>
      <c r="N845" s="5">
        <v>3.8888888888888888E-3</v>
      </c>
      <c r="O845" s="5">
        <v>1.3298611111111112E-2</v>
      </c>
      <c r="P845" s="5"/>
      <c r="Q845" s="5">
        <v>4.861111111111111E-4</v>
      </c>
      <c r="R845" s="5"/>
      <c r="S845" s="5">
        <v>1.5011574074074075E-2</v>
      </c>
      <c r="T845" s="5">
        <v>1.3541666666666667E-3</v>
      </c>
      <c r="U845" s="5">
        <v>7.0486111111111114E-3</v>
      </c>
      <c r="V845" s="5"/>
      <c r="W845" s="5"/>
    </row>
    <row r="846" spans="1:23" x14ac:dyDescent="0.25">
      <c r="A846" s="2">
        <v>46245</v>
      </c>
      <c r="B846" s="3" t="s">
        <v>120</v>
      </c>
      <c r="C846" s="3" t="s">
        <v>558</v>
      </c>
      <c r="D846" s="3" t="s">
        <v>233</v>
      </c>
      <c r="E846" s="3" t="s">
        <v>31</v>
      </c>
      <c r="F846" s="3" t="s">
        <v>32</v>
      </c>
      <c r="G846" s="4" t="s">
        <v>106</v>
      </c>
      <c r="H846" s="4">
        <v>33</v>
      </c>
      <c r="I846" s="5">
        <v>0.26130787037037034</v>
      </c>
      <c r="J846" s="5">
        <v>9.8217592592592592E-2</v>
      </c>
      <c r="K846" s="5">
        <f t="shared" si="26"/>
        <v>2.976290684624018E-3</v>
      </c>
      <c r="L846" s="5">
        <v>3.2604166666666663E-2</v>
      </c>
      <c r="M846" s="6">
        <f t="shared" si="27"/>
        <v>0.12477299906984984</v>
      </c>
      <c r="N846" s="5">
        <v>4.7800925925925927E-3</v>
      </c>
      <c r="O846" s="5">
        <v>1.3599537037037037E-2</v>
      </c>
      <c r="P846" s="5"/>
      <c r="Q846" s="5"/>
      <c r="R846" s="5"/>
      <c r="S846" s="5">
        <v>1.2407407407407407E-2</v>
      </c>
      <c r="T846" s="5">
        <v>9.6064814814814819E-4</v>
      </c>
      <c r="U846" s="5">
        <v>8.4490740740740739E-4</v>
      </c>
      <c r="V846" s="5"/>
      <c r="W846" s="5"/>
    </row>
    <row r="847" spans="1:23" x14ac:dyDescent="0.25">
      <c r="A847" s="2">
        <v>46245</v>
      </c>
      <c r="B847" s="3" t="s">
        <v>46</v>
      </c>
      <c r="C847" s="3" t="s">
        <v>507</v>
      </c>
      <c r="D847" s="3" t="s">
        <v>100</v>
      </c>
      <c r="E847" s="3" t="s">
        <v>31</v>
      </c>
      <c r="F847" s="3" t="s">
        <v>32</v>
      </c>
      <c r="G847" s="4" t="s">
        <v>33</v>
      </c>
      <c r="H847" s="4">
        <v>35</v>
      </c>
      <c r="I847" s="5">
        <v>0.26310185185185186</v>
      </c>
      <c r="J847" s="5">
        <v>0.19304398148148147</v>
      </c>
      <c r="K847" s="5">
        <f t="shared" si="26"/>
        <v>5.5155423280423277E-3</v>
      </c>
      <c r="L847" s="5">
        <v>3.8518518518518521E-2</v>
      </c>
      <c r="M847" s="6">
        <f t="shared" si="27"/>
        <v>0.14640154847791659</v>
      </c>
      <c r="N847" s="5">
        <v>2.4189814814814816E-3</v>
      </c>
      <c r="O847" s="5">
        <v>1.4143518518518519E-2</v>
      </c>
      <c r="P847" s="5"/>
      <c r="Q847" s="5"/>
      <c r="R847" s="5"/>
      <c r="S847" s="5">
        <v>1.4050925925925927E-2</v>
      </c>
      <c r="T847" s="5">
        <v>6.9444444444444444E-5</v>
      </c>
      <c r="U847" s="5">
        <v>7.7314814814814815E-3</v>
      </c>
      <c r="V847" s="5"/>
      <c r="W847" s="5"/>
    </row>
    <row r="848" spans="1:23" x14ac:dyDescent="0.25">
      <c r="A848" s="2">
        <v>46245</v>
      </c>
      <c r="B848" s="3" t="s">
        <v>499</v>
      </c>
      <c r="C848" s="3" t="s">
        <v>517</v>
      </c>
      <c r="D848" s="3" t="s">
        <v>146</v>
      </c>
      <c r="E848" s="3" t="s">
        <v>79</v>
      </c>
      <c r="F848" s="3" t="s">
        <v>147</v>
      </c>
      <c r="G848" s="4" t="s">
        <v>106</v>
      </c>
      <c r="H848" s="4">
        <v>10</v>
      </c>
      <c r="I848" s="5">
        <v>0.24568287037037037</v>
      </c>
      <c r="J848" s="5">
        <v>3.9687500000000001E-2</v>
      </c>
      <c r="K848" s="5">
        <f t="shared" si="26"/>
        <v>3.9687500000000001E-3</v>
      </c>
      <c r="L848" s="5">
        <v>7.5023148148148144E-2</v>
      </c>
      <c r="M848" s="6">
        <f t="shared" si="27"/>
        <v>0.30536580769774341</v>
      </c>
      <c r="N848" s="5">
        <v>1.3726851851851851E-2</v>
      </c>
      <c r="O848" s="5">
        <v>1.59375E-2</v>
      </c>
      <c r="P848" s="5">
        <v>2.476851851851852E-3</v>
      </c>
      <c r="Q848" s="5">
        <v>2.4375000000000001E-2</v>
      </c>
      <c r="R848" s="5"/>
      <c r="S848" s="5">
        <v>1.4143518518518519E-2</v>
      </c>
      <c r="T848" s="5">
        <v>2.5462962962962961E-4</v>
      </c>
      <c r="U848" s="5">
        <v>4.3981481481481481E-4</v>
      </c>
      <c r="V848" s="5"/>
      <c r="W848" s="5">
        <v>3.6574074074074074E-3</v>
      </c>
    </row>
    <row r="849" spans="1:23" x14ac:dyDescent="0.25">
      <c r="A849" s="2">
        <v>46245</v>
      </c>
      <c r="B849" s="3" t="s">
        <v>647</v>
      </c>
      <c r="C849" s="3" t="s">
        <v>648</v>
      </c>
      <c r="D849" s="3" t="s">
        <v>233</v>
      </c>
      <c r="E849" s="3" t="s">
        <v>31</v>
      </c>
      <c r="F849" s="3" t="s">
        <v>32</v>
      </c>
      <c r="G849" s="4" t="s">
        <v>106</v>
      </c>
      <c r="H849" s="4">
        <v>32</v>
      </c>
      <c r="I849" s="5">
        <v>0.26373842592592595</v>
      </c>
      <c r="J849" s="5">
        <v>8.2430555555555562E-2</v>
      </c>
      <c r="K849" s="5">
        <f t="shared" si="26"/>
        <v>2.5759548611111113E-3</v>
      </c>
      <c r="L849" s="5">
        <v>3.7592592592592594E-2</v>
      </c>
      <c r="M849" s="6">
        <f t="shared" si="27"/>
        <v>0.14253741168209944</v>
      </c>
      <c r="N849" s="5">
        <v>5.5902777777777773E-3</v>
      </c>
      <c r="O849" s="5">
        <v>1.4780092592592593E-2</v>
      </c>
      <c r="P849" s="5"/>
      <c r="Q849" s="5">
        <v>2.2685185185185187E-3</v>
      </c>
      <c r="R849" s="5"/>
      <c r="S849" s="5">
        <v>1.4201388888888888E-2</v>
      </c>
      <c r="T849" s="5">
        <v>7.5231481481481482E-4</v>
      </c>
      <c r="U849" s="5"/>
      <c r="V849" s="5"/>
      <c r="W849" s="5"/>
    </row>
    <row r="850" spans="1:23" x14ac:dyDescent="0.25">
      <c r="A850" s="2">
        <v>46245</v>
      </c>
      <c r="B850" s="3" t="s">
        <v>649</v>
      </c>
      <c r="C850" s="3" t="s">
        <v>650</v>
      </c>
      <c r="D850" s="3" t="s">
        <v>104</v>
      </c>
      <c r="E850" s="3" t="s">
        <v>31</v>
      </c>
      <c r="F850" s="3" t="s">
        <v>105</v>
      </c>
      <c r="G850" s="4" t="s">
        <v>106</v>
      </c>
      <c r="H850" s="4">
        <v>6</v>
      </c>
      <c r="I850" s="5">
        <v>0.25480324074074073</v>
      </c>
      <c r="J850" s="5">
        <v>9.6701388888888892E-2</v>
      </c>
      <c r="K850" s="5">
        <f t="shared" si="26"/>
        <v>1.6116898148148148E-2</v>
      </c>
      <c r="L850" s="5">
        <v>0.15319444444444444</v>
      </c>
      <c r="M850" s="6">
        <f t="shared" si="27"/>
        <v>0.60122643652055419</v>
      </c>
      <c r="N850" s="5">
        <v>4.8495370370370368E-3</v>
      </c>
      <c r="O850" s="5">
        <v>1.5405092592592592E-2</v>
      </c>
      <c r="P850" s="5"/>
      <c r="Q850" s="5"/>
      <c r="R850" s="5"/>
      <c r="S850" s="5">
        <v>1.2835648148148148E-2</v>
      </c>
      <c r="T850" s="5">
        <v>1.8518518518518518E-4</v>
      </c>
      <c r="U850" s="5">
        <v>4.340277777777778E-3</v>
      </c>
      <c r="V850" s="5"/>
      <c r="W850" s="5">
        <v>0.1155787037037037</v>
      </c>
    </row>
    <row r="851" spans="1:23" x14ac:dyDescent="0.25">
      <c r="A851" s="2">
        <v>46245</v>
      </c>
      <c r="B851" s="3" t="s">
        <v>651</v>
      </c>
      <c r="C851" s="3" t="s">
        <v>652</v>
      </c>
      <c r="D851" s="3" t="s">
        <v>100</v>
      </c>
      <c r="E851" s="3" t="s">
        <v>31</v>
      </c>
      <c r="F851" s="3" t="s">
        <v>32</v>
      </c>
      <c r="G851" s="4" t="s">
        <v>33</v>
      </c>
      <c r="H851" s="4">
        <v>26</v>
      </c>
      <c r="I851" s="5">
        <v>0.26221064814814815</v>
      </c>
      <c r="J851" s="5">
        <v>0.16525462962962964</v>
      </c>
      <c r="K851" s="5">
        <f t="shared" si="26"/>
        <v>6.3559472934472941E-3</v>
      </c>
      <c r="L851" s="5">
        <v>4.4814814814814814E-2</v>
      </c>
      <c r="M851" s="6">
        <f t="shared" si="27"/>
        <v>0.17091149856543808</v>
      </c>
      <c r="N851" s="5">
        <v>1.2442129629629629E-2</v>
      </c>
      <c r="O851" s="5">
        <v>1.6006944444444445E-2</v>
      </c>
      <c r="P851" s="5"/>
      <c r="Q851" s="5"/>
      <c r="R851" s="5"/>
      <c r="S851" s="5">
        <v>1.2789351851851852E-2</v>
      </c>
      <c r="T851" s="5">
        <v>6.9444444444444444E-5</v>
      </c>
      <c r="U851" s="5">
        <v>3.4837962962962965E-3</v>
      </c>
      <c r="V851" s="5"/>
      <c r="W851" s="5"/>
    </row>
    <row r="852" spans="1:23" x14ac:dyDescent="0.25">
      <c r="A852" s="2">
        <v>46245</v>
      </c>
      <c r="B852" s="3" t="s">
        <v>246</v>
      </c>
      <c r="C852" s="3" t="s">
        <v>568</v>
      </c>
      <c r="D852" s="3" t="s">
        <v>233</v>
      </c>
      <c r="E852" s="3" t="s">
        <v>31</v>
      </c>
      <c r="F852" s="3" t="s">
        <v>32</v>
      </c>
      <c r="G852" s="4" t="s">
        <v>106</v>
      </c>
      <c r="H852" s="4">
        <v>47</v>
      </c>
      <c r="I852" s="5">
        <v>0.34641203703703705</v>
      </c>
      <c r="J852" s="5">
        <v>0.1632986111111111</v>
      </c>
      <c r="K852" s="5">
        <f t="shared" si="26"/>
        <v>3.4744385342789594E-3</v>
      </c>
      <c r="L852" s="5">
        <v>3.8796296296296294E-2</v>
      </c>
      <c r="M852" s="6">
        <f t="shared" si="27"/>
        <v>0.11199465419311726</v>
      </c>
      <c r="N852" s="5">
        <v>4.6643518518518518E-3</v>
      </c>
      <c r="O852" s="5">
        <v>1.3587962962962963E-2</v>
      </c>
      <c r="P852" s="5"/>
      <c r="Q852" s="5"/>
      <c r="R852" s="5"/>
      <c r="S852" s="5">
        <v>1.3761574074074074E-2</v>
      </c>
      <c r="T852" s="5">
        <v>6.7824074074074071E-3</v>
      </c>
      <c r="U852" s="5"/>
      <c r="V852" s="5"/>
      <c r="W852" s="5"/>
    </row>
    <row r="853" spans="1:23" x14ac:dyDescent="0.25">
      <c r="A853" s="2">
        <v>46245</v>
      </c>
      <c r="B853" s="3" t="s">
        <v>48</v>
      </c>
      <c r="C853" s="3" t="s">
        <v>508</v>
      </c>
      <c r="D853" s="3" t="s">
        <v>100</v>
      </c>
      <c r="E853" s="3" t="s">
        <v>31</v>
      </c>
      <c r="F853" s="3" t="s">
        <v>32</v>
      </c>
      <c r="G853" s="4" t="s">
        <v>33</v>
      </c>
      <c r="H853" s="4">
        <v>43</v>
      </c>
      <c r="I853" s="5">
        <v>0.25725694444444447</v>
      </c>
      <c r="J853" s="5">
        <v>0.15912037037037038</v>
      </c>
      <c r="K853" s="5">
        <f t="shared" si="26"/>
        <v>3.7004737295434974E-3</v>
      </c>
      <c r="L853" s="5">
        <v>5.6122685185185185E-2</v>
      </c>
      <c r="M853" s="6">
        <f t="shared" si="27"/>
        <v>0.21815809600935795</v>
      </c>
      <c r="N853" s="5">
        <v>5.0115740740740737E-3</v>
      </c>
      <c r="O853" s="5">
        <v>1.3958333333333333E-2</v>
      </c>
      <c r="P853" s="5"/>
      <c r="Q853" s="5"/>
      <c r="R853" s="5"/>
      <c r="S853" s="5">
        <v>1.3912037037037037E-2</v>
      </c>
      <c r="T853" s="5">
        <v>9.4907407407407408E-4</v>
      </c>
      <c r="U853" s="5">
        <v>1.3888888888888889E-4</v>
      </c>
      <c r="V853" s="5"/>
      <c r="W853" s="5">
        <v>2.2152777777777778E-2</v>
      </c>
    </row>
    <row r="854" spans="1:23" x14ac:dyDescent="0.25">
      <c r="A854" s="2">
        <v>46245</v>
      </c>
      <c r="B854" s="3" t="s">
        <v>50</v>
      </c>
      <c r="C854" s="3" t="s">
        <v>538</v>
      </c>
      <c r="D854" s="3" t="s">
        <v>100</v>
      </c>
      <c r="E854" s="3" t="s">
        <v>31</v>
      </c>
      <c r="F854" s="3" t="s">
        <v>32</v>
      </c>
      <c r="G854" s="4" t="s">
        <v>33</v>
      </c>
      <c r="H854" s="4">
        <v>5</v>
      </c>
      <c r="I854" s="5">
        <v>0.21496527777777777</v>
      </c>
      <c r="J854" s="5">
        <v>5.4722222222222221E-2</v>
      </c>
      <c r="K854" s="5">
        <f t="shared" si="26"/>
        <v>1.0944444444444444E-2</v>
      </c>
      <c r="L854" s="5">
        <v>0.19378472222222223</v>
      </c>
      <c r="M854" s="6">
        <f t="shared" si="27"/>
        <v>0.90146987562590863</v>
      </c>
      <c r="N854" s="5">
        <v>1.8715277777777779E-2</v>
      </c>
      <c r="O854" s="5">
        <v>8.7037037037037031E-3</v>
      </c>
      <c r="P854" s="5"/>
      <c r="Q854" s="5"/>
      <c r="R854" s="5"/>
      <c r="S854" s="5">
        <v>1.4189814814814815E-2</v>
      </c>
      <c r="T854" s="5">
        <v>2.6620370370370372E-4</v>
      </c>
      <c r="U854" s="5">
        <v>2.6620370370370372E-4</v>
      </c>
      <c r="V854" s="5"/>
      <c r="W854" s="5">
        <v>0.15164351851851851</v>
      </c>
    </row>
    <row r="855" spans="1:23" x14ac:dyDescent="0.25">
      <c r="A855" s="2">
        <v>46245</v>
      </c>
      <c r="B855" s="3" t="s">
        <v>242</v>
      </c>
      <c r="C855" s="3" t="s">
        <v>603</v>
      </c>
      <c r="D855" s="3" t="s">
        <v>233</v>
      </c>
      <c r="E855" s="3" t="s">
        <v>31</v>
      </c>
      <c r="F855" s="3" t="s">
        <v>32</v>
      </c>
      <c r="G855" s="4" t="s">
        <v>106</v>
      </c>
      <c r="H855" s="4">
        <v>25</v>
      </c>
      <c r="I855" s="5">
        <v>0.27013888888888887</v>
      </c>
      <c r="J855" s="5">
        <v>0.12487268518518518</v>
      </c>
      <c r="K855" s="5">
        <f t="shared" si="26"/>
        <v>4.9949074074074071E-3</v>
      </c>
      <c r="L855" s="5">
        <v>3.1215277777777779E-2</v>
      </c>
      <c r="M855" s="6">
        <f t="shared" si="27"/>
        <v>0.11555269922879179</v>
      </c>
      <c r="N855" s="5"/>
      <c r="O855" s="5"/>
      <c r="P855" s="5"/>
      <c r="Q855" s="5">
        <v>1.2407407407407407E-2</v>
      </c>
      <c r="R855" s="5"/>
      <c r="S855" s="5">
        <v>1.6828703703703703E-2</v>
      </c>
      <c r="T855" s="5">
        <v>1.0416666666666667E-4</v>
      </c>
      <c r="U855" s="5">
        <v>1.7939814814814815E-3</v>
      </c>
      <c r="V855" s="5"/>
      <c r="W855" s="5">
        <v>4.6296296296296294E-5</v>
      </c>
    </row>
    <row r="856" spans="1:23" x14ac:dyDescent="0.25">
      <c r="A856" s="2">
        <v>46245</v>
      </c>
      <c r="B856" s="3" t="s">
        <v>289</v>
      </c>
      <c r="C856" s="3" t="s">
        <v>559</v>
      </c>
      <c r="D856" s="3" t="s">
        <v>104</v>
      </c>
      <c r="E856" s="3" t="s">
        <v>31</v>
      </c>
      <c r="F856" s="3" t="s">
        <v>105</v>
      </c>
      <c r="G856" s="4" t="s">
        <v>106</v>
      </c>
      <c r="H856" s="4">
        <v>5</v>
      </c>
      <c r="I856" s="5">
        <v>0.20771990740740739</v>
      </c>
      <c r="J856" s="5">
        <v>8.9525462962962959E-2</v>
      </c>
      <c r="K856" s="5">
        <f t="shared" si="26"/>
        <v>1.7905092592592591E-2</v>
      </c>
      <c r="L856" s="5">
        <v>0.14141203703703703</v>
      </c>
      <c r="M856" s="6">
        <f t="shared" si="27"/>
        <v>0.68078230344904445</v>
      </c>
      <c r="N856" s="5">
        <v>6.7129629629629625E-4</v>
      </c>
      <c r="O856" s="5">
        <v>1.0937499999999999E-2</v>
      </c>
      <c r="P856" s="5"/>
      <c r="Q856" s="5"/>
      <c r="R856" s="5"/>
      <c r="S856" s="5">
        <v>1.7835648148148149E-2</v>
      </c>
      <c r="T856" s="5">
        <v>1.8807870370370371E-2</v>
      </c>
      <c r="U856" s="5">
        <v>6.2037037037037035E-3</v>
      </c>
      <c r="V856" s="5"/>
      <c r="W856" s="5">
        <v>8.6956018518518516E-2</v>
      </c>
    </row>
    <row r="857" spans="1:23" x14ac:dyDescent="0.25">
      <c r="A857" s="2">
        <v>46245</v>
      </c>
      <c r="B857" s="3" t="s">
        <v>252</v>
      </c>
      <c r="C857" s="3" t="s">
        <v>553</v>
      </c>
      <c r="D857" s="3" t="s">
        <v>78</v>
      </c>
      <c r="E857" s="3" t="s">
        <v>79</v>
      </c>
      <c r="F857" s="3" t="s">
        <v>80</v>
      </c>
      <c r="G857" s="4" t="s">
        <v>81</v>
      </c>
      <c r="H857" s="4">
        <v>1</v>
      </c>
      <c r="I857" s="5">
        <v>0.55401620370370375</v>
      </c>
      <c r="J857" s="5">
        <v>7.1064814814814819E-3</v>
      </c>
      <c r="K857" s="5">
        <f t="shared" si="26"/>
        <v>7.1064814814814819E-3</v>
      </c>
      <c r="L857" s="5">
        <v>1.5856481481481481E-3</v>
      </c>
      <c r="M857" s="6">
        <f t="shared" si="27"/>
        <v>2.862097060605427E-3</v>
      </c>
      <c r="N857" s="5"/>
      <c r="O857" s="5"/>
      <c r="P857" s="5"/>
      <c r="Q857" s="5"/>
      <c r="R857" s="5"/>
      <c r="S857" s="5"/>
      <c r="T857" s="5">
        <v>1.1574074074074075E-4</v>
      </c>
      <c r="U857" s="5">
        <v>1.4004629629629629E-3</v>
      </c>
      <c r="V857" s="5"/>
      <c r="W857" s="5"/>
    </row>
    <row r="858" spans="1:23" x14ac:dyDescent="0.25">
      <c r="A858" s="2">
        <v>46245</v>
      </c>
      <c r="B858" s="3" t="s">
        <v>500</v>
      </c>
      <c r="C858" s="3" t="s">
        <v>518</v>
      </c>
      <c r="D858" s="3" t="s">
        <v>274</v>
      </c>
      <c r="E858" s="3" t="s">
        <v>79</v>
      </c>
      <c r="F858" s="3" t="s">
        <v>147</v>
      </c>
      <c r="G858" s="4" t="s">
        <v>33</v>
      </c>
      <c r="H858" s="4">
        <v>18</v>
      </c>
      <c r="I858" s="5">
        <v>0.26149305555555558</v>
      </c>
      <c r="J858" s="5">
        <v>7.873842592592592E-2</v>
      </c>
      <c r="K858" s="5">
        <f t="shared" si="26"/>
        <v>4.3743569958847733E-3</v>
      </c>
      <c r="L858" s="5">
        <v>3.1759259259259258E-2</v>
      </c>
      <c r="M858" s="6">
        <f t="shared" si="27"/>
        <v>0.12145354755897843</v>
      </c>
      <c r="N858" s="5"/>
      <c r="O858" s="5">
        <v>5.3587962962962964E-3</v>
      </c>
      <c r="P858" s="5"/>
      <c r="Q858" s="5">
        <v>7.060185185185185E-3</v>
      </c>
      <c r="R858" s="5"/>
      <c r="S858" s="5">
        <v>1.894675925925926E-2</v>
      </c>
      <c r="T858" s="5">
        <v>1.273148148148148E-4</v>
      </c>
      <c r="U858" s="5">
        <v>2.5462962962962961E-4</v>
      </c>
      <c r="V858" s="5"/>
      <c r="W858" s="5"/>
    </row>
    <row r="859" spans="1:23" x14ac:dyDescent="0.25">
      <c r="A859" s="2">
        <v>46245</v>
      </c>
      <c r="B859" s="3" t="s">
        <v>683</v>
      </c>
      <c r="C859" s="3" t="s">
        <v>684</v>
      </c>
      <c r="D859" s="3" t="s">
        <v>233</v>
      </c>
      <c r="E859" s="3" t="s">
        <v>31</v>
      </c>
      <c r="F859" s="3" t="s">
        <v>32</v>
      </c>
      <c r="G859" s="4" t="s">
        <v>106</v>
      </c>
      <c r="H859" s="4">
        <v>27</v>
      </c>
      <c r="I859" s="5">
        <v>0.26393518518518516</v>
      </c>
      <c r="J859" s="5">
        <v>0.1082638888888889</v>
      </c>
      <c r="K859" s="5">
        <f t="shared" si="26"/>
        <v>4.0097736625514403E-3</v>
      </c>
      <c r="L859" s="5">
        <v>5.1076388888888886E-2</v>
      </c>
      <c r="M859" s="6">
        <f t="shared" si="27"/>
        <v>0.19351868093316962</v>
      </c>
      <c r="N859" s="5">
        <v>1.4641203703703703E-2</v>
      </c>
      <c r="O859" s="5">
        <v>6.851851851851852E-3</v>
      </c>
      <c r="P859" s="5"/>
      <c r="Q859" s="5"/>
      <c r="R859" s="5"/>
      <c r="S859" s="5">
        <v>1.2997685185185185E-2</v>
      </c>
      <c r="T859" s="5">
        <v>3.0671296296296297E-3</v>
      </c>
      <c r="U859" s="5">
        <v>6.1111111111111114E-3</v>
      </c>
      <c r="V859" s="5"/>
      <c r="W859" s="5">
        <v>7.4074074074074077E-3</v>
      </c>
    </row>
    <row r="860" spans="1:23" x14ac:dyDescent="0.25">
      <c r="A860" s="2">
        <v>46245</v>
      </c>
      <c r="B860" s="3" t="s">
        <v>653</v>
      </c>
      <c r="C860" s="3" t="s">
        <v>654</v>
      </c>
      <c r="D860" s="3" t="s">
        <v>100</v>
      </c>
      <c r="E860" s="3" t="s">
        <v>31</v>
      </c>
      <c r="F860" s="3" t="s">
        <v>32</v>
      </c>
      <c r="G860" s="4" t="s">
        <v>33</v>
      </c>
      <c r="H860" s="4">
        <v>26</v>
      </c>
      <c r="I860" s="5">
        <v>0.25392361111111111</v>
      </c>
      <c r="J860" s="5">
        <v>0.18335648148148148</v>
      </c>
      <c r="K860" s="5">
        <f t="shared" si="26"/>
        <v>7.052172364672365E-3</v>
      </c>
      <c r="L860" s="5">
        <v>4.494212962962963E-2</v>
      </c>
      <c r="M860" s="6">
        <f t="shared" si="27"/>
        <v>0.17699074707142531</v>
      </c>
      <c r="N860" s="5">
        <v>9.8032407407407408E-3</v>
      </c>
      <c r="O860" s="5">
        <v>1.576388888888889E-2</v>
      </c>
      <c r="P860" s="5"/>
      <c r="Q860" s="5"/>
      <c r="R860" s="5"/>
      <c r="S860" s="5">
        <v>1.3935185185185186E-2</v>
      </c>
      <c r="T860" s="5">
        <v>5.7870370370370367E-4</v>
      </c>
      <c r="U860" s="5">
        <v>4.8379629629629632E-3</v>
      </c>
      <c r="V860" s="5"/>
      <c r="W860" s="5"/>
    </row>
    <row r="861" spans="1:23" x14ac:dyDescent="0.25">
      <c r="A861" s="2">
        <v>46245</v>
      </c>
      <c r="B861" s="3" t="s">
        <v>52</v>
      </c>
      <c r="C861" s="3" t="s">
        <v>509</v>
      </c>
      <c r="D861" s="3" t="s">
        <v>100</v>
      </c>
      <c r="E861" s="3" t="s">
        <v>31</v>
      </c>
      <c r="F861" s="3" t="s">
        <v>32</v>
      </c>
      <c r="G861" s="4" t="s">
        <v>33</v>
      </c>
      <c r="H861" s="4">
        <v>5</v>
      </c>
      <c r="I861" s="5">
        <v>0.24372685185185186</v>
      </c>
      <c r="J861" s="5">
        <v>1.8101851851851852E-2</v>
      </c>
      <c r="K861" s="5">
        <f t="shared" si="26"/>
        <v>3.6203703703703701E-3</v>
      </c>
      <c r="L861" s="5">
        <v>0.22377314814814814</v>
      </c>
      <c r="M861" s="6">
        <f t="shared" si="27"/>
        <v>0.9181308766264602</v>
      </c>
      <c r="N861" s="5"/>
      <c r="O861" s="5">
        <v>1.4525462962962962E-2</v>
      </c>
      <c r="P861" s="5"/>
      <c r="Q861" s="5"/>
      <c r="R861" s="5"/>
      <c r="S861" s="5">
        <v>1.4548611111111111E-2</v>
      </c>
      <c r="T861" s="5">
        <v>1.3657407407407407E-3</v>
      </c>
      <c r="U861" s="5">
        <v>1.7488425925925925E-2</v>
      </c>
      <c r="V861" s="5"/>
      <c r="W861" s="5">
        <v>0.17584490740740741</v>
      </c>
    </row>
    <row r="862" spans="1:23" x14ac:dyDescent="0.25">
      <c r="A862" s="2">
        <v>46245</v>
      </c>
      <c r="B862" s="3" t="s">
        <v>655</v>
      </c>
      <c r="C862" s="3" t="s">
        <v>656</v>
      </c>
      <c r="D862" s="3" t="s">
        <v>100</v>
      </c>
      <c r="E862" s="3" t="s">
        <v>31</v>
      </c>
      <c r="F862" s="3" t="s">
        <v>32</v>
      </c>
      <c r="G862" s="4" t="s">
        <v>33</v>
      </c>
      <c r="H862" s="4">
        <v>39</v>
      </c>
      <c r="I862" s="5">
        <v>0.26163194444444443</v>
      </c>
      <c r="J862" s="5">
        <v>0.1653125</v>
      </c>
      <c r="K862" s="5">
        <f t="shared" si="26"/>
        <v>4.2387820512820515E-3</v>
      </c>
      <c r="L862" s="5">
        <v>3.9976851851851854E-2</v>
      </c>
      <c r="M862" s="6">
        <f t="shared" si="27"/>
        <v>0.15279805352798054</v>
      </c>
      <c r="N862" s="5">
        <v>3.3796296296296296E-3</v>
      </c>
      <c r="O862" s="5">
        <v>1.3541666666666667E-2</v>
      </c>
      <c r="P862" s="5"/>
      <c r="Q862" s="5"/>
      <c r="R862" s="5"/>
      <c r="S862" s="5">
        <v>1.412037037037037E-2</v>
      </c>
      <c r="T862" s="5">
        <v>2.4305555555555555E-4</v>
      </c>
      <c r="U862" s="5">
        <v>8.6342592592592599E-3</v>
      </c>
      <c r="V862" s="5"/>
      <c r="W862" s="5"/>
    </row>
    <row r="863" spans="1:23" x14ac:dyDescent="0.25">
      <c r="A863" s="2">
        <v>46245</v>
      </c>
      <c r="B863" s="3" t="s">
        <v>657</v>
      </c>
      <c r="C863" s="3" t="s">
        <v>658</v>
      </c>
      <c r="D863" s="3" t="s">
        <v>274</v>
      </c>
      <c r="E863" s="3" t="s">
        <v>79</v>
      </c>
      <c r="F863" s="3" t="s">
        <v>147</v>
      </c>
      <c r="G863" s="4" t="s">
        <v>33</v>
      </c>
      <c r="H863" s="4">
        <v>20</v>
      </c>
      <c r="I863" s="5">
        <v>0.26653935185185185</v>
      </c>
      <c r="J863" s="5">
        <v>8.8437500000000002E-2</v>
      </c>
      <c r="K863" s="5">
        <f t="shared" si="26"/>
        <v>4.4218750000000005E-3</v>
      </c>
      <c r="L863" s="5">
        <v>3.3761574074074076E-2</v>
      </c>
      <c r="M863" s="6">
        <f t="shared" si="27"/>
        <v>0.12666637717660342</v>
      </c>
      <c r="N863" s="5"/>
      <c r="O863" s="5">
        <v>6.4351851851851853E-3</v>
      </c>
      <c r="P863" s="5"/>
      <c r="Q863" s="5">
        <v>3.3680555555555556E-3</v>
      </c>
      <c r="R863" s="5">
        <v>7.7199074074074071E-3</v>
      </c>
      <c r="S863" s="5">
        <v>1.5682870370370371E-2</v>
      </c>
      <c r="T863" s="5">
        <v>5.7870370370370373E-5</v>
      </c>
      <c r="U863" s="5">
        <v>4.6296296296296298E-4</v>
      </c>
      <c r="V863" s="5"/>
      <c r="W863" s="5"/>
    </row>
    <row r="864" spans="1:23" x14ac:dyDescent="0.25">
      <c r="A864" s="2">
        <v>46245</v>
      </c>
      <c r="B864" s="3" t="s">
        <v>166</v>
      </c>
      <c r="C864" s="3" t="s">
        <v>167</v>
      </c>
      <c r="D864" s="3" t="s">
        <v>146</v>
      </c>
      <c r="E864" s="3" t="s">
        <v>79</v>
      </c>
      <c r="F864" s="3" t="s">
        <v>147</v>
      </c>
      <c r="G864" s="4" t="s">
        <v>106</v>
      </c>
      <c r="H864" s="4">
        <v>13</v>
      </c>
      <c r="I864" s="5">
        <v>0.2354050925925926</v>
      </c>
      <c r="J864" s="5">
        <v>4.0173611111111111E-2</v>
      </c>
      <c r="K864" s="5">
        <f t="shared" si="26"/>
        <v>3.0902777777777777E-3</v>
      </c>
      <c r="L864" s="5">
        <v>7.5543981481481476E-2</v>
      </c>
      <c r="M864" s="6">
        <f t="shared" si="27"/>
        <v>0.32091056590786171</v>
      </c>
      <c r="N864" s="5">
        <v>2.7430555555555554E-3</v>
      </c>
      <c r="O864" s="5">
        <v>1.1886574074074074E-2</v>
      </c>
      <c r="P864" s="5">
        <v>1.7280092592592593E-2</v>
      </c>
      <c r="Q864" s="5">
        <v>2.8668981481481483E-2</v>
      </c>
      <c r="R864" s="5"/>
      <c r="S864" s="5">
        <v>6.5856481481481478E-3</v>
      </c>
      <c r="T864" s="5">
        <v>6.9444444444444444E-5</v>
      </c>
      <c r="U864" s="5">
        <v>8.2986111111111108E-3</v>
      </c>
      <c r="V864" s="5"/>
      <c r="W864" s="5"/>
    </row>
    <row r="865" spans="1:23" x14ac:dyDescent="0.25">
      <c r="A865" s="2">
        <v>46245</v>
      </c>
      <c r="B865" s="3" t="s">
        <v>659</v>
      </c>
      <c r="C865" s="3" t="s">
        <v>660</v>
      </c>
      <c r="D865" s="3" t="s">
        <v>100</v>
      </c>
      <c r="E865" s="3" t="s">
        <v>31</v>
      </c>
      <c r="F865" s="3" t="s">
        <v>32</v>
      </c>
      <c r="G865" s="4" t="s">
        <v>33</v>
      </c>
      <c r="H865" s="4">
        <v>6</v>
      </c>
      <c r="I865" s="5">
        <v>0.24780092592592592</v>
      </c>
      <c r="J865" s="5">
        <v>2.0324074074074074E-2</v>
      </c>
      <c r="K865" s="5">
        <f t="shared" si="26"/>
        <v>3.3873456790123459E-3</v>
      </c>
      <c r="L865" s="5">
        <v>0.22407407407407406</v>
      </c>
      <c r="M865" s="6">
        <f t="shared" si="27"/>
        <v>0.90425035030359646</v>
      </c>
      <c r="N865" s="5">
        <v>1.5208333333333334E-2</v>
      </c>
      <c r="O865" s="5">
        <v>1.5277777777777777E-2</v>
      </c>
      <c r="P865" s="5"/>
      <c r="Q865" s="5"/>
      <c r="R865" s="5"/>
      <c r="S865" s="5">
        <v>2.3229166666666665E-2</v>
      </c>
      <c r="T865" s="5">
        <v>1.2268518518518518E-3</v>
      </c>
      <c r="U865" s="5">
        <v>8.1018518518518516E-5</v>
      </c>
      <c r="V865" s="5"/>
      <c r="W865" s="5">
        <v>0.16903935185185184</v>
      </c>
    </row>
    <row r="866" spans="1:23" x14ac:dyDescent="0.25">
      <c r="A866" s="2">
        <v>46245</v>
      </c>
      <c r="B866" s="3" t="s">
        <v>254</v>
      </c>
      <c r="C866" s="3" t="s">
        <v>528</v>
      </c>
      <c r="D866" s="3" t="s">
        <v>233</v>
      </c>
      <c r="E866" s="3" t="s">
        <v>31</v>
      </c>
      <c r="F866" s="3" t="s">
        <v>32</v>
      </c>
      <c r="G866" s="4" t="s">
        <v>106</v>
      </c>
      <c r="H866" s="4">
        <v>24</v>
      </c>
      <c r="I866" s="5">
        <v>0.26750000000000002</v>
      </c>
      <c r="J866" s="5">
        <v>0.1028587962962963</v>
      </c>
      <c r="K866" s="5">
        <f t="shared" si="26"/>
        <v>4.2857831790123454E-3</v>
      </c>
      <c r="L866" s="5">
        <v>4.3993055555555556E-2</v>
      </c>
      <c r="M866" s="6">
        <f t="shared" si="27"/>
        <v>0.16446002076843197</v>
      </c>
      <c r="N866" s="5">
        <v>1.8854166666666668E-2</v>
      </c>
      <c r="O866" s="5">
        <v>6.3194444444444444E-3</v>
      </c>
      <c r="P866" s="5"/>
      <c r="Q866" s="5">
        <v>1.6666666666666668E-3</v>
      </c>
      <c r="R866" s="5"/>
      <c r="S866" s="5">
        <v>1.1793981481481482E-2</v>
      </c>
      <c r="T866" s="5">
        <v>3.9004629629629628E-3</v>
      </c>
      <c r="U866" s="5">
        <v>1.4004629629629629E-3</v>
      </c>
      <c r="V866" s="5"/>
      <c r="W866" s="5"/>
    </row>
    <row r="867" spans="1:23" x14ac:dyDescent="0.25">
      <c r="A867" s="2">
        <v>46245</v>
      </c>
      <c r="B867" s="3" t="s">
        <v>201</v>
      </c>
      <c r="C867" s="3" t="s">
        <v>545</v>
      </c>
      <c r="D867" s="3" t="s">
        <v>601</v>
      </c>
      <c r="E867" s="3" t="s">
        <v>31</v>
      </c>
      <c r="F867" s="3" t="s">
        <v>600</v>
      </c>
      <c r="G867" s="4" t="s">
        <v>33</v>
      </c>
      <c r="H867" s="4">
        <v>32</v>
      </c>
      <c r="I867" s="5">
        <v>0.24452546296296296</v>
      </c>
      <c r="J867" s="5">
        <v>5.7175925925925929E-2</v>
      </c>
      <c r="K867" s="5">
        <f t="shared" si="26"/>
        <v>1.7867476851851853E-3</v>
      </c>
      <c r="L867" s="5">
        <v>7.0393518518518522E-2</v>
      </c>
      <c r="M867" s="6">
        <f t="shared" si="27"/>
        <v>0.28787807071519855</v>
      </c>
      <c r="N867" s="5">
        <v>6.8402777777777776E-3</v>
      </c>
      <c r="O867" s="5">
        <v>2.7673611111111111E-2</v>
      </c>
      <c r="P867" s="5">
        <v>2.2685185185185187E-3</v>
      </c>
      <c r="Q867" s="5"/>
      <c r="R867" s="5"/>
      <c r="S867" s="5">
        <v>1.8368055555555554E-2</v>
      </c>
      <c r="T867" s="5">
        <v>4.0393518518518521E-3</v>
      </c>
      <c r="U867" s="5">
        <v>1.1203703703703704E-2</v>
      </c>
      <c r="V867" s="5"/>
      <c r="W867" s="5"/>
    </row>
    <row r="868" spans="1:23" x14ac:dyDescent="0.25">
      <c r="A868" s="2">
        <v>46245</v>
      </c>
      <c r="B868" s="3" t="s">
        <v>168</v>
      </c>
      <c r="C868" s="3" t="s">
        <v>520</v>
      </c>
      <c r="D868" s="3" t="s">
        <v>274</v>
      </c>
      <c r="E868" s="3" t="s">
        <v>79</v>
      </c>
      <c r="F868" s="3" t="s">
        <v>147</v>
      </c>
      <c r="G868" s="4" t="s">
        <v>33</v>
      </c>
      <c r="H868" s="4">
        <v>15</v>
      </c>
      <c r="I868" s="5">
        <v>0.26971064814814816</v>
      </c>
      <c r="J868" s="5">
        <v>6.3449074074074074E-2</v>
      </c>
      <c r="K868" s="5">
        <f t="shared" si="26"/>
        <v>4.2299382716049381E-3</v>
      </c>
      <c r="L868" s="5">
        <v>4.6342592592592595E-2</v>
      </c>
      <c r="M868" s="6">
        <f t="shared" si="27"/>
        <v>0.17182337038149595</v>
      </c>
      <c r="N868" s="5">
        <v>4.7222222222222223E-3</v>
      </c>
      <c r="O868" s="5">
        <v>8.4837962962962966E-3</v>
      </c>
      <c r="P868" s="5">
        <v>2.2916666666666667E-3</v>
      </c>
      <c r="Q868" s="5">
        <v>7.9745370370370369E-3</v>
      </c>
      <c r="R868" s="5">
        <v>8.2060185185185187E-3</v>
      </c>
      <c r="S868" s="5">
        <v>1.4363425925925925E-2</v>
      </c>
      <c r="T868" s="5">
        <v>2.4305555555555555E-4</v>
      </c>
      <c r="U868" s="5">
        <v>4.6296296296296294E-5</v>
      </c>
      <c r="V868" s="5"/>
      <c r="W868" s="5"/>
    </row>
    <row r="869" spans="1:23" x14ac:dyDescent="0.25">
      <c r="A869" s="2">
        <v>46245</v>
      </c>
      <c r="B869" s="3" t="s">
        <v>170</v>
      </c>
      <c r="C869" s="3" t="s">
        <v>521</v>
      </c>
      <c r="D869" s="3" t="s">
        <v>146</v>
      </c>
      <c r="E869" s="3" t="s">
        <v>79</v>
      </c>
      <c r="F869" s="3" t="s">
        <v>147</v>
      </c>
      <c r="G869" s="4" t="s">
        <v>106</v>
      </c>
      <c r="H869" s="4">
        <v>15</v>
      </c>
      <c r="I869" s="5">
        <v>0.27398148148148149</v>
      </c>
      <c r="J869" s="5">
        <v>8.3055555555555549E-2</v>
      </c>
      <c r="K869" s="5">
        <f t="shared" si="26"/>
        <v>5.5370370370370365E-3</v>
      </c>
      <c r="L869" s="5">
        <v>3.3171296296296296E-2</v>
      </c>
      <c r="M869" s="6">
        <f t="shared" si="27"/>
        <v>0.12107130787428184</v>
      </c>
      <c r="N869" s="5">
        <v>2.2106481481481482E-3</v>
      </c>
      <c r="O869" s="5">
        <v>1.3344907407407408E-2</v>
      </c>
      <c r="P869" s="5"/>
      <c r="Q869" s="5"/>
      <c r="R869" s="5"/>
      <c r="S869" s="5">
        <v>1.5347222222222222E-2</v>
      </c>
      <c r="T869" s="5">
        <v>5.7870370370370373E-5</v>
      </c>
      <c r="U869" s="5">
        <v>5.2083333333333333E-4</v>
      </c>
      <c r="V869" s="5"/>
      <c r="W869" s="5">
        <v>1.6666666666666668E-3</v>
      </c>
    </row>
    <row r="870" spans="1:23" x14ac:dyDescent="0.25">
      <c r="A870" s="2">
        <v>46245</v>
      </c>
      <c r="B870" s="3" t="s">
        <v>92</v>
      </c>
      <c r="C870" s="3" t="s">
        <v>93</v>
      </c>
      <c r="D870" s="3" t="s">
        <v>78</v>
      </c>
      <c r="E870" s="3" t="s">
        <v>79</v>
      </c>
      <c r="F870" s="3" t="s">
        <v>80</v>
      </c>
      <c r="G870" s="4" t="s">
        <v>81</v>
      </c>
      <c r="H870" s="4">
        <v>1</v>
      </c>
      <c r="I870" s="5">
        <v>0.33579861111111109</v>
      </c>
      <c r="J870" s="5">
        <v>2.6990740740740742E-2</v>
      </c>
      <c r="K870" s="5">
        <f t="shared" si="26"/>
        <v>2.6990740740740742E-2</v>
      </c>
      <c r="L870" s="5">
        <v>0.13574074074074075</v>
      </c>
      <c r="M870" s="6">
        <f t="shared" si="27"/>
        <v>0.40423258539275503</v>
      </c>
      <c r="N870" s="5"/>
      <c r="O870" s="5">
        <v>5.3541666666666668E-2</v>
      </c>
      <c r="P870" s="5"/>
      <c r="Q870" s="5"/>
      <c r="R870" s="5"/>
      <c r="S870" s="5">
        <v>7.1898148148148142E-2</v>
      </c>
      <c r="T870" s="5">
        <v>6.4583333333333333E-3</v>
      </c>
      <c r="U870" s="5">
        <v>3.8194444444444443E-3</v>
      </c>
      <c r="V870" s="5"/>
      <c r="W870" s="5"/>
    </row>
    <row r="871" spans="1:23" x14ac:dyDescent="0.25">
      <c r="A871" s="2">
        <v>46245</v>
      </c>
      <c r="B871" s="3" t="s">
        <v>94</v>
      </c>
      <c r="C871" s="3" t="s">
        <v>95</v>
      </c>
      <c r="D871" s="3" t="s">
        <v>78</v>
      </c>
      <c r="E871" s="3" t="s">
        <v>79</v>
      </c>
      <c r="F871" s="3" t="s">
        <v>80</v>
      </c>
      <c r="G871" s="4" t="s">
        <v>81</v>
      </c>
      <c r="H871" s="4">
        <v>0</v>
      </c>
      <c r="I871" s="5">
        <v>0.30214120370370373</v>
      </c>
      <c r="J871" s="5">
        <v>0</v>
      </c>
      <c r="K871" s="5">
        <f t="shared" si="26"/>
        <v>0</v>
      </c>
      <c r="L871" s="5">
        <v>0.21054398148148148</v>
      </c>
      <c r="M871" s="6">
        <f t="shared" si="27"/>
        <v>0.69683968588393019</v>
      </c>
      <c r="N871" s="5"/>
      <c r="O871" s="5">
        <v>5.9386574074074071E-2</v>
      </c>
      <c r="P871" s="5"/>
      <c r="Q871" s="5"/>
      <c r="R871" s="5">
        <v>0.15115740740740741</v>
      </c>
      <c r="S871" s="5"/>
      <c r="T871" s="5"/>
      <c r="U871" s="5"/>
      <c r="V871" s="5"/>
      <c r="W871" s="5"/>
    </row>
    <row r="872" spans="1:23" x14ac:dyDescent="0.25">
      <c r="A872" s="2">
        <v>46245</v>
      </c>
      <c r="B872" s="3" t="s">
        <v>293</v>
      </c>
      <c r="C872" s="3" t="s">
        <v>543</v>
      </c>
      <c r="D872" s="3" t="s">
        <v>104</v>
      </c>
      <c r="E872" s="3" t="s">
        <v>31</v>
      </c>
      <c r="F872" s="3" t="s">
        <v>600</v>
      </c>
      <c r="G872" s="4" t="s">
        <v>106</v>
      </c>
      <c r="H872" s="4">
        <v>34</v>
      </c>
      <c r="I872" s="5">
        <v>0.25982638888888887</v>
      </c>
      <c r="J872" s="5">
        <v>6.2488425925925926E-2</v>
      </c>
      <c r="K872" s="5">
        <f t="shared" si="26"/>
        <v>1.837894880174292E-3</v>
      </c>
      <c r="L872" s="5">
        <v>0.12789351851851852</v>
      </c>
      <c r="M872" s="6">
        <f t="shared" si="27"/>
        <v>0.49222682524834072</v>
      </c>
      <c r="N872" s="5">
        <v>6.6550925925925927E-3</v>
      </c>
      <c r="O872" s="5">
        <v>2.0011574074074074E-2</v>
      </c>
      <c r="P872" s="5"/>
      <c r="Q872" s="5"/>
      <c r="R872" s="5"/>
      <c r="S872" s="5">
        <v>1.3981481481481482E-2</v>
      </c>
      <c r="T872" s="5">
        <v>4.7453703703703703E-3</v>
      </c>
      <c r="U872" s="5">
        <v>1.1574074074074075E-4</v>
      </c>
      <c r="V872" s="5"/>
      <c r="W872" s="5">
        <v>8.2372685185185188E-2</v>
      </c>
    </row>
    <row r="873" spans="1:23" x14ac:dyDescent="0.25">
      <c r="A873" s="2">
        <v>46245</v>
      </c>
      <c r="B873" s="3" t="s">
        <v>606</v>
      </c>
      <c r="C873" s="3" t="s">
        <v>633</v>
      </c>
      <c r="D873" s="3" t="s">
        <v>146</v>
      </c>
      <c r="E873" s="3" t="s">
        <v>79</v>
      </c>
      <c r="F873" s="3" t="s">
        <v>147</v>
      </c>
      <c r="G873" s="4" t="s">
        <v>106</v>
      </c>
      <c r="H873" s="4">
        <v>8</v>
      </c>
      <c r="I873" s="5">
        <v>0.26225694444444442</v>
      </c>
      <c r="J873" s="5">
        <v>5.1550925925925924E-2</v>
      </c>
      <c r="K873" s="5">
        <f t="shared" si="26"/>
        <v>6.4438657407407405E-3</v>
      </c>
      <c r="L873" s="5">
        <v>9.7592592592592592E-2</v>
      </c>
      <c r="M873" s="6">
        <f t="shared" si="27"/>
        <v>0.37212586610176973</v>
      </c>
      <c r="N873" s="5">
        <v>2.7372685185185184E-2</v>
      </c>
      <c r="O873" s="5">
        <v>1.4837962962962963E-2</v>
      </c>
      <c r="P873" s="5"/>
      <c r="Q873" s="5">
        <v>2.5925925925925925E-3</v>
      </c>
      <c r="R873" s="5">
        <v>1.6203703703703703E-4</v>
      </c>
      <c r="S873" s="5">
        <v>1.3958333333333333E-2</v>
      </c>
      <c r="T873" s="5">
        <v>2.2453703703703702E-3</v>
      </c>
      <c r="U873" s="5">
        <v>3.4756944444444444E-2</v>
      </c>
      <c r="V873" s="5"/>
      <c r="W873" s="5">
        <v>1.6319444444444445E-3</v>
      </c>
    </row>
    <row r="874" spans="1:23" x14ac:dyDescent="0.25">
      <c r="A874" s="2">
        <v>46245</v>
      </c>
      <c r="B874" s="3" t="s">
        <v>256</v>
      </c>
      <c r="C874" s="3" t="s">
        <v>529</v>
      </c>
      <c r="D874" s="3" t="s">
        <v>233</v>
      </c>
      <c r="E874" s="3" t="s">
        <v>31</v>
      </c>
      <c r="F874" s="3" t="s">
        <v>32</v>
      </c>
      <c r="G874" s="4" t="s">
        <v>106</v>
      </c>
      <c r="H874" s="4">
        <v>19</v>
      </c>
      <c r="I874" s="5">
        <v>0.2457175925925926</v>
      </c>
      <c r="J874" s="5">
        <v>7.4490740740740746E-2</v>
      </c>
      <c r="K874" s="5">
        <f t="shared" si="26"/>
        <v>3.9205653021442497E-3</v>
      </c>
      <c r="L874" s="5">
        <v>6.4444444444444443E-2</v>
      </c>
      <c r="M874" s="6">
        <f t="shared" si="27"/>
        <v>0.2622703721149317</v>
      </c>
      <c r="N874" s="5">
        <v>1.5532407407407408E-2</v>
      </c>
      <c r="O874" s="5">
        <v>2.5902777777777778E-2</v>
      </c>
      <c r="P874" s="5"/>
      <c r="Q874" s="5"/>
      <c r="R874" s="5"/>
      <c r="S874" s="5">
        <v>1.7280092592592593E-2</v>
      </c>
      <c r="T874" s="5">
        <v>1.9907407407407408E-3</v>
      </c>
      <c r="U874" s="5">
        <v>3.7268518518518519E-3</v>
      </c>
      <c r="V874" s="5"/>
      <c r="W874" s="5"/>
    </row>
    <row r="875" spans="1:23" x14ac:dyDescent="0.25">
      <c r="A875" s="2">
        <v>46245</v>
      </c>
      <c r="B875" s="3" t="s">
        <v>612</v>
      </c>
      <c r="C875" s="3" t="s">
        <v>634</v>
      </c>
      <c r="D875" s="3" t="s">
        <v>601</v>
      </c>
      <c r="E875" s="3" t="s">
        <v>31</v>
      </c>
      <c r="F875" s="3" t="s">
        <v>105</v>
      </c>
      <c r="G875" s="4" t="s">
        <v>33</v>
      </c>
      <c r="H875" s="4">
        <v>2</v>
      </c>
      <c r="I875" s="5">
        <v>0.23844907407407406</v>
      </c>
      <c r="J875" s="5">
        <v>3.619212962962963E-2</v>
      </c>
      <c r="K875" s="5">
        <f t="shared" si="26"/>
        <v>1.8096064814814815E-2</v>
      </c>
      <c r="L875" s="5">
        <v>0.22055555555555556</v>
      </c>
      <c r="M875" s="6">
        <f t="shared" si="27"/>
        <v>0.92495874186972149</v>
      </c>
      <c r="N875" s="5">
        <v>8.1481481481481474E-3</v>
      </c>
      <c r="O875" s="5">
        <v>1.8287037037037036E-2</v>
      </c>
      <c r="P875" s="5"/>
      <c r="Q875" s="5"/>
      <c r="R875" s="5"/>
      <c r="S875" s="5">
        <v>1.6793981481481483E-2</v>
      </c>
      <c r="T875" s="5">
        <v>9.9305555555555553E-3</v>
      </c>
      <c r="U875" s="5">
        <v>0.16739583333333333</v>
      </c>
      <c r="V875" s="5"/>
      <c r="W875" s="5"/>
    </row>
    <row r="876" spans="1:23" x14ac:dyDescent="0.25">
      <c r="A876" s="2">
        <v>46245</v>
      </c>
      <c r="B876" s="3" t="s">
        <v>258</v>
      </c>
      <c r="C876" s="3" t="s">
        <v>554</v>
      </c>
      <c r="D876" s="3" t="s">
        <v>233</v>
      </c>
      <c r="E876" s="3" t="s">
        <v>31</v>
      </c>
      <c r="F876" s="3" t="s">
        <v>32</v>
      </c>
      <c r="G876" s="4" t="s">
        <v>106</v>
      </c>
      <c r="H876" s="4">
        <v>0</v>
      </c>
      <c r="I876" s="5">
        <v>0.23766203703703703</v>
      </c>
      <c r="J876" s="5">
        <v>0</v>
      </c>
      <c r="K876" s="5">
        <f t="shared" si="26"/>
        <v>0</v>
      </c>
      <c r="L876" s="5">
        <v>0.23443287037037036</v>
      </c>
      <c r="M876" s="6">
        <f t="shared" si="27"/>
        <v>0.98641277880588285</v>
      </c>
      <c r="N876" s="5"/>
      <c r="O876" s="5"/>
      <c r="P876" s="5"/>
      <c r="Q876" s="5"/>
      <c r="R876" s="5"/>
      <c r="S876" s="5">
        <v>1.4178240740740741E-2</v>
      </c>
      <c r="T876" s="5">
        <v>6.134259259259259E-4</v>
      </c>
      <c r="U876" s="5"/>
      <c r="V876" s="5"/>
      <c r="W876" s="5">
        <v>0.21964120370370371</v>
      </c>
    </row>
    <row r="877" spans="1:23" x14ac:dyDescent="0.25">
      <c r="A877" s="2">
        <v>46245</v>
      </c>
      <c r="B877" s="3" t="s">
        <v>661</v>
      </c>
      <c r="C877" s="3" t="s">
        <v>662</v>
      </c>
      <c r="D877" s="3" t="s">
        <v>100</v>
      </c>
      <c r="E877" s="3" t="s">
        <v>31</v>
      </c>
      <c r="F877" s="3" t="s">
        <v>32</v>
      </c>
      <c r="G877" s="4" t="s">
        <v>33</v>
      </c>
      <c r="H877" s="4">
        <v>25</v>
      </c>
      <c r="I877" s="5">
        <v>0.25982638888888887</v>
      </c>
      <c r="J877" s="5">
        <v>0.18712962962962962</v>
      </c>
      <c r="K877" s="5">
        <f t="shared" si="26"/>
        <v>7.485185185185185E-3</v>
      </c>
      <c r="L877" s="5">
        <v>5.2071759259259262E-2</v>
      </c>
      <c r="M877" s="6">
        <f t="shared" si="27"/>
        <v>0.20040981780925657</v>
      </c>
      <c r="N877" s="5">
        <v>1.238425925925926E-2</v>
      </c>
      <c r="O877" s="5">
        <v>7.9861111111111105E-3</v>
      </c>
      <c r="P877" s="5"/>
      <c r="Q877" s="5">
        <v>1.4467592592592592E-3</v>
      </c>
      <c r="R877" s="5"/>
      <c r="S877" s="5">
        <v>1.5011574074074075E-2</v>
      </c>
      <c r="T877" s="5">
        <v>9.3865740740740732E-3</v>
      </c>
      <c r="U877" s="5">
        <v>5.8217592592592592E-3</v>
      </c>
      <c r="V877" s="5"/>
      <c r="W877" s="5"/>
    </row>
    <row r="878" spans="1:23" x14ac:dyDescent="0.25">
      <c r="A878" s="2">
        <v>46245</v>
      </c>
      <c r="B878" s="3" t="s">
        <v>663</v>
      </c>
      <c r="C878" s="3" t="s">
        <v>664</v>
      </c>
      <c r="D878" s="3" t="s">
        <v>233</v>
      </c>
      <c r="E878" s="3" t="s">
        <v>31</v>
      </c>
      <c r="F878" s="3" t="s">
        <v>32</v>
      </c>
      <c r="G878" s="4" t="s">
        <v>106</v>
      </c>
      <c r="H878" s="4">
        <v>21</v>
      </c>
      <c r="I878" s="5">
        <v>0.25723379629629628</v>
      </c>
      <c r="J878" s="5">
        <v>0.13513888888888889</v>
      </c>
      <c r="K878" s="5">
        <f t="shared" si="26"/>
        <v>6.4351851851851853E-3</v>
      </c>
      <c r="L878" s="5">
        <v>2.8645833333333332E-2</v>
      </c>
      <c r="M878" s="6">
        <f t="shared" si="27"/>
        <v>0.11136107986501688</v>
      </c>
      <c r="N878" s="5">
        <v>3.6111111111111109E-3</v>
      </c>
      <c r="O878" s="5">
        <v>8.7962962962962968E-3</v>
      </c>
      <c r="P878" s="5"/>
      <c r="Q878" s="5"/>
      <c r="R878" s="5"/>
      <c r="S878" s="5">
        <v>1.4270833333333333E-2</v>
      </c>
      <c r="T878" s="5">
        <v>4.6296296296296298E-4</v>
      </c>
      <c r="U878" s="5">
        <v>1.5046296296296296E-3</v>
      </c>
      <c r="V878" s="5"/>
      <c r="W878" s="5"/>
    </row>
    <row r="879" spans="1:23" x14ac:dyDescent="0.25">
      <c r="A879" s="2">
        <v>46245</v>
      </c>
      <c r="B879" s="3" t="s">
        <v>203</v>
      </c>
      <c r="C879" s="3" t="s">
        <v>565</v>
      </c>
      <c r="D879" s="3" t="s">
        <v>601</v>
      </c>
      <c r="E879" s="3" t="s">
        <v>31</v>
      </c>
      <c r="F879" s="3" t="s">
        <v>105</v>
      </c>
      <c r="G879" s="4" t="s">
        <v>33</v>
      </c>
      <c r="H879" s="4">
        <v>3</v>
      </c>
      <c r="I879" s="5">
        <v>0.18732638888888889</v>
      </c>
      <c r="J879" s="5">
        <v>4.7835648148148148E-2</v>
      </c>
      <c r="K879" s="5">
        <f t="shared" si="26"/>
        <v>1.5945216049382715E-2</v>
      </c>
      <c r="L879" s="5">
        <v>0.15702546296296296</v>
      </c>
      <c r="M879" s="6">
        <f t="shared" si="27"/>
        <v>0.83824528884769844</v>
      </c>
      <c r="N879" s="5"/>
      <c r="O879" s="5">
        <v>1.1481481481481481E-2</v>
      </c>
      <c r="P879" s="5"/>
      <c r="Q879" s="5"/>
      <c r="R879" s="5"/>
      <c r="S879" s="5">
        <v>1.3391203703703704E-2</v>
      </c>
      <c r="T879" s="5">
        <v>7.5231481481481482E-4</v>
      </c>
      <c r="U879" s="5">
        <v>0.13140046296296296</v>
      </c>
      <c r="V879" s="5"/>
      <c r="W879" s="5"/>
    </row>
    <row r="880" spans="1:23" x14ac:dyDescent="0.25">
      <c r="A880" s="2">
        <v>46245</v>
      </c>
      <c r="B880" s="3" t="s">
        <v>665</v>
      </c>
      <c r="C880" s="3" t="s">
        <v>666</v>
      </c>
      <c r="D880" s="3" t="s">
        <v>100</v>
      </c>
      <c r="E880" s="3" t="s">
        <v>31</v>
      </c>
      <c r="F880" s="3" t="s">
        <v>32</v>
      </c>
      <c r="G880" s="4" t="s">
        <v>33</v>
      </c>
      <c r="H880" s="4">
        <v>36</v>
      </c>
      <c r="I880" s="5">
        <v>0.2484837962962963</v>
      </c>
      <c r="J880" s="5">
        <v>0.17743055555555556</v>
      </c>
      <c r="K880" s="5">
        <f t="shared" si="26"/>
        <v>4.9286265432098766E-3</v>
      </c>
      <c r="L880" s="5">
        <v>4.0740740740740744E-2</v>
      </c>
      <c r="M880" s="6">
        <f t="shared" si="27"/>
        <v>0.16395733383017375</v>
      </c>
      <c r="N880" s="5"/>
      <c r="O880" s="5">
        <v>1.4328703703703703E-2</v>
      </c>
      <c r="P880" s="5"/>
      <c r="Q880" s="5"/>
      <c r="R880" s="5">
        <v>6.9444444444444444E-5</v>
      </c>
      <c r="S880" s="5">
        <v>1.3831018518518519E-2</v>
      </c>
      <c r="T880" s="5">
        <v>3.449074074074074E-3</v>
      </c>
      <c r="U880" s="5">
        <v>9.0046296296296298E-3</v>
      </c>
      <c r="V880" s="5"/>
      <c r="W880" s="5"/>
    </row>
    <row r="881" spans="1:23" x14ac:dyDescent="0.25">
      <c r="A881" s="2">
        <v>46245</v>
      </c>
      <c r="B881" s="3" t="s">
        <v>128</v>
      </c>
      <c r="C881" s="3" t="s">
        <v>555</v>
      </c>
      <c r="D881" s="3" t="s">
        <v>233</v>
      </c>
      <c r="E881" s="3" t="s">
        <v>31</v>
      </c>
      <c r="F881" s="3" t="s">
        <v>32</v>
      </c>
      <c r="G881" s="4" t="s">
        <v>106</v>
      </c>
      <c r="H881" s="4">
        <v>20</v>
      </c>
      <c r="I881" s="5">
        <v>0.23435185185185184</v>
      </c>
      <c r="J881" s="5">
        <v>8.458333333333333E-2</v>
      </c>
      <c r="K881" s="5">
        <f t="shared" si="26"/>
        <v>4.2291666666666667E-3</v>
      </c>
      <c r="L881" s="5">
        <v>6.5949074074074077E-2</v>
      </c>
      <c r="M881" s="6">
        <f t="shared" si="27"/>
        <v>0.28141050967996845</v>
      </c>
      <c r="N881" s="5">
        <v>2.8229166666666666E-2</v>
      </c>
      <c r="O881" s="5">
        <v>1.6701388888888891E-2</v>
      </c>
      <c r="P881" s="5"/>
      <c r="Q881" s="5"/>
      <c r="R881" s="5"/>
      <c r="S881" s="5">
        <v>1.8842592592592591E-2</v>
      </c>
      <c r="T881" s="5">
        <v>1.9791666666666668E-3</v>
      </c>
      <c r="U881" s="5">
        <v>1.9675925925925926E-4</v>
      </c>
      <c r="V881" s="5"/>
      <c r="W881" s="5"/>
    </row>
    <row r="882" spans="1:23" x14ac:dyDescent="0.25">
      <c r="A882" s="2">
        <v>46245</v>
      </c>
      <c r="B882" s="3" t="s">
        <v>178</v>
      </c>
      <c r="C882" s="3" t="s">
        <v>522</v>
      </c>
      <c r="D882" s="3" t="s">
        <v>146</v>
      </c>
      <c r="E882" s="3" t="s">
        <v>79</v>
      </c>
      <c r="F882" s="3" t="s">
        <v>147</v>
      </c>
      <c r="G882" s="4" t="s">
        <v>106</v>
      </c>
      <c r="H882" s="4">
        <v>12</v>
      </c>
      <c r="I882" s="5">
        <v>0.26142361111111112</v>
      </c>
      <c r="J882" s="5">
        <v>4.5868055555555558E-2</v>
      </c>
      <c r="K882" s="5">
        <f t="shared" si="26"/>
        <v>3.8223379629629631E-3</v>
      </c>
      <c r="L882" s="5">
        <v>3.6238425925925924E-2</v>
      </c>
      <c r="M882" s="6">
        <f t="shared" si="27"/>
        <v>0.13861955992385</v>
      </c>
      <c r="N882" s="5">
        <v>3.6805555555555554E-3</v>
      </c>
      <c r="O882" s="5">
        <v>1.53125E-2</v>
      </c>
      <c r="P882" s="5"/>
      <c r="Q882" s="5">
        <v>2.4189814814814816E-3</v>
      </c>
      <c r="R882" s="5"/>
      <c r="S882" s="5">
        <v>1.4467592592592593E-2</v>
      </c>
      <c r="T882" s="5">
        <v>6.9444444444444444E-5</v>
      </c>
      <c r="U882" s="5">
        <v>2.8935185185185184E-4</v>
      </c>
      <c r="V882" s="5"/>
      <c r="W882" s="5"/>
    </row>
    <row r="883" spans="1:23" x14ac:dyDescent="0.25">
      <c r="A883" s="2">
        <v>46245</v>
      </c>
      <c r="B883" s="3" t="s">
        <v>266</v>
      </c>
      <c r="C883" s="3" t="s">
        <v>531</v>
      </c>
      <c r="D883" s="3" t="s">
        <v>233</v>
      </c>
      <c r="E883" s="3" t="s">
        <v>31</v>
      </c>
      <c r="F883" s="3" t="s">
        <v>32</v>
      </c>
      <c r="G883" s="4" t="s">
        <v>106</v>
      </c>
      <c r="H883" s="4">
        <v>0</v>
      </c>
      <c r="I883" s="5">
        <v>0.24214120370370371</v>
      </c>
      <c r="J883" s="5">
        <v>0</v>
      </c>
      <c r="K883" s="5">
        <f t="shared" si="26"/>
        <v>0</v>
      </c>
      <c r="L883" s="5">
        <v>0.24214120370370371</v>
      </c>
      <c r="M883" s="6">
        <f t="shared" si="27"/>
        <v>1</v>
      </c>
      <c r="N883" s="5"/>
      <c r="O883" s="5">
        <v>1.5173611111111112E-2</v>
      </c>
      <c r="P883" s="5"/>
      <c r="Q883" s="5"/>
      <c r="R883" s="5"/>
      <c r="S883" s="5">
        <v>1.4143518518518519E-2</v>
      </c>
      <c r="T883" s="5">
        <v>5.6712962962962967E-4</v>
      </c>
      <c r="U883" s="5"/>
      <c r="V883" s="5"/>
      <c r="W883" s="5">
        <v>0.21225694444444446</v>
      </c>
    </row>
    <row r="884" spans="1:23" x14ac:dyDescent="0.25">
      <c r="A884" s="2">
        <v>46245</v>
      </c>
      <c r="B884" s="3" t="s">
        <v>297</v>
      </c>
      <c r="C884" s="3" t="s">
        <v>667</v>
      </c>
      <c r="D884" s="3" t="s">
        <v>104</v>
      </c>
      <c r="E884" s="3" t="s">
        <v>31</v>
      </c>
      <c r="F884" s="3" t="s">
        <v>105</v>
      </c>
      <c r="G884" s="4" t="s">
        <v>106</v>
      </c>
      <c r="H884" s="4">
        <v>9</v>
      </c>
      <c r="I884" s="5">
        <v>0.2300925925925926</v>
      </c>
      <c r="J884" s="5">
        <v>0.1207175925925926</v>
      </c>
      <c r="K884" s="5">
        <f t="shared" si="26"/>
        <v>1.34130658436214E-2</v>
      </c>
      <c r="L884" s="5">
        <v>0.14802083333333332</v>
      </c>
      <c r="M884" s="6">
        <f t="shared" si="27"/>
        <v>0.64330985915492955</v>
      </c>
      <c r="N884" s="5">
        <v>1.1238425925925926E-2</v>
      </c>
      <c r="O884" s="5">
        <v>1.3252314814814814E-2</v>
      </c>
      <c r="P884" s="5"/>
      <c r="Q884" s="5"/>
      <c r="R884" s="5"/>
      <c r="S884" s="5">
        <v>3.6458333333333334E-3</v>
      </c>
      <c r="T884" s="5">
        <v>1.8518518518518518E-4</v>
      </c>
      <c r="U884" s="5">
        <v>2.0833333333333335E-4</v>
      </c>
      <c r="V884" s="5"/>
      <c r="W884" s="5">
        <v>0.11947916666666666</v>
      </c>
    </row>
    <row r="885" spans="1:23" x14ac:dyDescent="0.25">
      <c r="A885" s="2">
        <v>46245</v>
      </c>
      <c r="B885" s="3" t="s">
        <v>207</v>
      </c>
      <c r="C885" s="3" t="s">
        <v>566</v>
      </c>
      <c r="D885" s="3" t="s">
        <v>274</v>
      </c>
      <c r="E885" s="3" t="s">
        <v>79</v>
      </c>
      <c r="F885" s="3" t="s">
        <v>147</v>
      </c>
      <c r="G885" s="4" t="s">
        <v>33</v>
      </c>
      <c r="H885" s="4">
        <v>23</v>
      </c>
      <c r="I885" s="5">
        <v>0.26</v>
      </c>
      <c r="J885" s="5">
        <v>8.666666666666667E-2</v>
      </c>
      <c r="K885" s="5">
        <f t="shared" si="26"/>
        <v>3.7681159420289855E-3</v>
      </c>
      <c r="L885" s="5">
        <v>3.2361111111111111E-2</v>
      </c>
      <c r="M885" s="6">
        <f t="shared" si="27"/>
        <v>0.12446581196581197</v>
      </c>
      <c r="N885" s="5">
        <v>2.1527777777777778E-3</v>
      </c>
      <c r="O885" s="5">
        <v>1.40625E-2</v>
      </c>
      <c r="P885" s="5"/>
      <c r="Q885" s="5"/>
      <c r="R885" s="5"/>
      <c r="S885" s="5">
        <v>1.474537037037037E-2</v>
      </c>
      <c r="T885" s="5">
        <v>6.9444444444444444E-5</v>
      </c>
      <c r="U885" s="5">
        <v>1.2731481481481483E-3</v>
      </c>
      <c r="V885" s="5"/>
      <c r="W885" s="5"/>
    </row>
    <row r="886" spans="1:23" x14ac:dyDescent="0.25">
      <c r="A886" s="2">
        <v>46245</v>
      </c>
      <c r="B886" s="3" t="s">
        <v>614</v>
      </c>
      <c r="C886" s="3" t="s">
        <v>635</v>
      </c>
      <c r="D886" s="3" t="s">
        <v>601</v>
      </c>
      <c r="E886" s="3" t="s">
        <v>31</v>
      </c>
      <c r="F886" s="3" t="s">
        <v>105</v>
      </c>
      <c r="G886" s="4" t="s">
        <v>33</v>
      </c>
      <c r="H886" s="4">
        <v>4</v>
      </c>
      <c r="I886" s="5">
        <v>0.21465277777777778</v>
      </c>
      <c r="J886" s="5">
        <v>8.4513888888888888E-2</v>
      </c>
      <c r="K886" s="5">
        <f t="shared" si="26"/>
        <v>2.1128472222222222E-2</v>
      </c>
      <c r="L886" s="5">
        <v>0.15942129629629628</v>
      </c>
      <c r="M886" s="6">
        <f t="shared" si="27"/>
        <v>0.74269384233797042</v>
      </c>
      <c r="N886" s="5">
        <v>2.1412037037037038E-3</v>
      </c>
      <c r="O886" s="5">
        <v>1.2291666666666666E-2</v>
      </c>
      <c r="P886" s="5"/>
      <c r="Q886" s="5"/>
      <c r="R886" s="5"/>
      <c r="S886" s="5">
        <v>1.5289351851851853E-2</v>
      </c>
      <c r="T886" s="5">
        <v>6.7361111111111111E-3</v>
      </c>
      <c r="U886" s="5">
        <v>0.12283564814814815</v>
      </c>
      <c r="V886" s="5"/>
      <c r="W886" s="5">
        <v>1.273148148148148E-4</v>
      </c>
    </row>
    <row r="887" spans="1:23" x14ac:dyDescent="0.25">
      <c r="A887" s="2">
        <v>46245</v>
      </c>
      <c r="B887" s="3" t="s">
        <v>96</v>
      </c>
      <c r="C887" s="3" t="s">
        <v>97</v>
      </c>
      <c r="D887" s="3" t="s">
        <v>78</v>
      </c>
      <c r="E887" s="3" t="s">
        <v>79</v>
      </c>
      <c r="F887" s="3" t="s">
        <v>80</v>
      </c>
      <c r="G887" s="4" t="s">
        <v>81</v>
      </c>
      <c r="H887" s="4">
        <v>1</v>
      </c>
      <c r="I887" s="5">
        <v>0.31935185185185183</v>
      </c>
      <c r="J887" s="5">
        <v>1.9872685185185184E-2</v>
      </c>
      <c r="K887" s="5">
        <f t="shared" si="26"/>
        <v>1.9872685185185184E-2</v>
      </c>
      <c r="L887" s="5">
        <v>7.6585648148148153E-2</v>
      </c>
      <c r="M887" s="6">
        <f t="shared" si="27"/>
        <v>0.23981588866338072</v>
      </c>
      <c r="N887" s="5">
        <v>1.7025462962962964E-2</v>
      </c>
      <c r="O887" s="5">
        <v>5.949074074074074E-2</v>
      </c>
      <c r="P887" s="5"/>
      <c r="Q887" s="5"/>
      <c r="R887" s="5"/>
      <c r="S887" s="5"/>
      <c r="T887" s="5">
        <v>6.9444444444444444E-5</v>
      </c>
      <c r="U887" s="5"/>
      <c r="V887" s="5"/>
      <c r="W887" s="5"/>
    </row>
    <row r="888" spans="1:23" x14ac:dyDescent="0.25">
      <c r="A888" s="2">
        <v>46245</v>
      </c>
      <c r="B888" s="3" t="s">
        <v>180</v>
      </c>
      <c r="C888" s="3" t="s">
        <v>523</v>
      </c>
      <c r="D888" s="3" t="s">
        <v>146</v>
      </c>
      <c r="E888" s="3" t="s">
        <v>79</v>
      </c>
      <c r="F888" s="3" t="s">
        <v>147</v>
      </c>
      <c r="G888" s="4" t="s">
        <v>106</v>
      </c>
      <c r="H888" s="4">
        <v>14</v>
      </c>
      <c r="I888" s="5">
        <v>0.31408564814814816</v>
      </c>
      <c r="J888" s="5">
        <v>6.4849537037037039E-2</v>
      </c>
      <c r="K888" s="5">
        <f t="shared" si="26"/>
        <v>4.6321097883597886E-3</v>
      </c>
      <c r="L888" s="5">
        <v>3.502314814814815E-2</v>
      </c>
      <c r="M888" s="6">
        <f t="shared" si="27"/>
        <v>0.1115082728378229</v>
      </c>
      <c r="N888" s="5">
        <v>3.6458333333333334E-3</v>
      </c>
      <c r="O888" s="5">
        <v>1.4189814814814815E-2</v>
      </c>
      <c r="P888" s="5"/>
      <c r="Q888" s="5">
        <v>2.4074074074074076E-3</v>
      </c>
      <c r="R888" s="5"/>
      <c r="S888" s="5">
        <v>1.3657407407407408E-2</v>
      </c>
      <c r="T888" s="5">
        <v>2.0833333333333335E-4</v>
      </c>
      <c r="U888" s="5">
        <v>5.3240740740740744E-4</v>
      </c>
      <c r="V888" s="5"/>
      <c r="W888" s="5">
        <v>3.8194444444444446E-4</v>
      </c>
    </row>
    <row r="889" spans="1:23" x14ac:dyDescent="0.25">
      <c r="A889" s="2">
        <v>46245</v>
      </c>
      <c r="B889" s="3" t="s">
        <v>615</v>
      </c>
      <c r="C889" s="3" t="s">
        <v>636</v>
      </c>
      <c r="D889" s="3" t="s">
        <v>601</v>
      </c>
      <c r="E889" s="3" t="s">
        <v>31</v>
      </c>
      <c r="F889" s="3" t="s">
        <v>105</v>
      </c>
      <c r="G889" s="4" t="s">
        <v>33</v>
      </c>
      <c r="H889" s="4">
        <v>4</v>
      </c>
      <c r="I889" s="5">
        <v>0.19876157407407408</v>
      </c>
      <c r="J889" s="5">
        <v>5.1377314814814813E-2</v>
      </c>
      <c r="K889" s="5">
        <f t="shared" si="26"/>
        <v>1.2844328703703703E-2</v>
      </c>
      <c r="L889" s="5">
        <v>0.17444444444444446</v>
      </c>
      <c r="M889" s="6">
        <f t="shared" si="27"/>
        <v>0.87765678681651438</v>
      </c>
      <c r="N889" s="5">
        <v>2.0717592592592593E-3</v>
      </c>
      <c r="O889" s="5">
        <v>1.3796296296296296E-2</v>
      </c>
      <c r="P889" s="5"/>
      <c r="Q889" s="5"/>
      <c r="R889" s="5"/>
      <c r="S889" s="5">
        <v>1.2083333333333333E-2</v>
      </c>
      <c r="T889" s="5">
        <v>6.018518518518519E-4</v>
      </c>
      <c r="U889" s="5">
        <v>0.14570601851851853</v>
      </c>
      <c r="V889" s="5"/>
      <c r="W889" s="5">
        <v>1.8518518518518518E-4</v>
      </c>
    </row>
    <row r="890" spans="1:23" x14ac:dyDescent="0.25">
      <c r="A890" s="2">
        <v>46245</v>
      </c>
      <c r="B890" s="3" t="s">
        <v>616</v>
      </c>
      <c r="C890" s="3" t="s">
        <v>637</v>
      </c>
      <c r="D890" s="3" t="s">
        <v>601</v>
      </c>
      <c r="E890" s="3" t="s">
        <v>31</v>
      </c>
      <c r="F890" s="3" t="s">
        <v>105</v>
      </c>
      <c r="G890" s="4" t="s">
        <v>33</v>
      </c>
      <c r="H890" s="4">
        <v>2</v>
      </c>
      <c r="I890" s="5">
        <v>0.22685185185185186</v>
      </c>
      <c r="J890" s="5">
        <v>5.4837962962962963E-2</v>
      </c>
      <c r="K890" s="5">
        <f t="shared" si="26"/>
        <v>2.7418981481481482E-2</v>
      </c>
      <c r="L890" s="5">
        <v>0.20548611111111112</v>
      </c>
      <c r="M890" s="6">
        <f t="shared" si="27"/>
        <v>0.90581632653061228</v>
      </c>
      <c r="N890" s="5"/>
      <c r="O890" s="5">
        <v>1.5081018518518518E-2</v>
      </c>
      <c r="P890" s="5"/>
      <c r="Q890" s="5"/>
      <c r="R890" s="5"/>
      <c r="S890" s="5">
        <v>1.4131944444444445E-2</v>
      </c>
      <c r="T890" s="5">
        <v>4.1666666666666669E-4</v>
      </c>
      <c r="U890" s="5">
        <v>0.17585648148148147</v>
      </c>
      <c r="V890" s="5"/>
      <c r="W890" s="5"/>
    </row>
    <row r="891" spans="1:23" x14ac:dyDescent="0.25">
      <c r="A891" s="2">
        <v>46245</v>
      </c>
      <c r="B891" s="3" t="s">
        <v>209</v>
      </c>
      <c r="C891" s="3" t="s">
        <v>567</v>
      </c>
      <c r="D891" s="3" t="s">
        <v>601</v>
      </c>
      <c r="E891" s="3" t="s">
        <v>31</v>
      </c>
      <c r="F891" s="3" t="s">
        <v>105</v>
      </c>
      <c r="G891" s="4" t="s">
        <v>33</v>
      </c>
      <c r="H891" s="4">
        <v>2</v>
      </c>
      <c r="I891" s="5">
        <v>0.23480324074074074</v>
      </c>
      <c r="J891" s="5">
        <v>6.8437499999999998E-2</v>
      </c>
      <c r="K891" s="5">
        <f t="shared" si="26"/>
        <v>3.4218749999999999E-2</v>
      </c>
      <c r="L891" s="5">
        <v>0.19642361111111112</v>
      </c>
      <c r="M891" s="6">
        <f t="shared" si="27"/>
        <v>0.83654557105535565</v>
      </c>
      <c r="N891" s="5"/>
      <c r="O891" s="5">
        <v>7.0486111111111114E-3</v>
      </c>
      <c r="P891" s="5"/>
      <c r="Q891" s="5"/>
      <c r="R891" s="5"/>
      <c r="S891" s="5">
        <v>3.8194444444444443E-3</v>
      </c>
      <c r="T891" s="5">
        <v>8.564814814814815E-4</v>
      </c>
      <c r="U891" s="5">
        <v>0.18469907407407407</v>
      </c>
      <c r="V891" s="5"/>
      <c r="W891" s="5"/>
    </row>
    <row r="892" spans="1:23" x14ac:dyDescent="0.25">
      <c r="A892" s="2">
        <v>46245</v>
      </c>
      <c r="B892" s="3" t="s">
        <v>60</v>
      </c>
      <c r="C892" s="3" t="s">
        <v>510</v>
      </c>
      <c r="D892" s="3" t="s">
        <v>100</v>
      </c>
      <c r="E892" s="3" t="s">
        <v>31</v>
      </c>
      <c r="F892" s="3" t="s">
        <v>32</v>
      </c>
      <c r="G892" s="4" t="s">
        <v>33</v>
      </c>
      <c r="H892" s="4">
        <v>42</v>
      </c>
      <c r="I892" s="5">
        <v>0.33210648148148147</v>
      </c>
      <c r="J892" s="5">
        <v>0.24208333333333334</v>
      </c>
      <c r="K892" s="5">
        <f t="shared" si="26"/>
        <v>5.7638888888888896E-3</v>
      </c>
      <c r="L892" s="5">
        <v>3.7384259259259256E-2</v>
      </c>
      <c r="M892" s="6">
        <f t="shared" si="27"/>
        <v>0.11256708719592945</v>
      </c>
      <c r="N892" s="5"/>
      <c r="O892" s="5">
        <v>1.3993055555555555E-2</v>
      </c>
      <c r="P892" s="5"/>
      <c r="Q892" s="5"/>
      <c r="R892" s="5"/>
      <c r="S892" s="5">
        <v>1.462962962962963E-2</v>
      </c>
      <c r="T892" s="5">
        <v>2.3148148148148149E-4</v>
      </c>
      <c r="U892" s="5">
        <v>8.472222222222223E-3</v>
      </c>
      <c r="V892" s="5"/>
      <c r="W892" s="5"/>
    </row>
    <row r="893" spans="1:23" x14ac:dyDescent="0.25">
      <c r="A893" s="2">
        <v>46245</v>
      </c>
      <c r="B893" s="3" t="s">
        <v>132</v>
      </c>
      <c r="C893" s="3" t="s">
        <v>512</v>
      </c>
      <c r="D893" s="3" t="s">
        <v>104</v>
      </c>
      <c r="E893" s="3" t="s">
        <v>31</v>
      </c>
      <c r="F893" s="3" t="s">
        <v>105</v>
      </c>
      <c r="G893" s="4" t="s">
        <v>106</v>
      </c>
      <c r="H893" s="4">
        <v>8</v>
      </c>
      <c r="I893" s="5">
        <v>0.25024305555555554</v>
      </c>
      <c r="J893" s="5">
        <v>0.10751157407407408</v>
      </c>
      <c r="K893" s="5">
        <f t="shared" si="26"/>
        <v>1.343894675925926E-2</v>
      </c>
      <c r="L893" s="5">
        <v>0.1411574074074074</v>
      </c>
      <c r="M893" s="6">
        <f t="shared" si="27"/>
        <v>0.56408121733499839</v>
      </c>
      <c r="N893" s="5">
        <v>6.030092592592593E-3</v>
      </c>
      <c r="O893" s="5">
        <v>1.5092592592592593E-2</v>
      </c>
      <c r="P893" s="5"/>
      <c r="Q893" s="5">
        <v>5.0925925925925921E-4</v>
      </c>
      <c r="R893" s="5"/>
      <c r="S893" s="5">
        <v>7.1527777777777779E-3</v>
      </c>
      <c r="T893" s="5">
        <v>5.4166666666666669E-3</v>
      </c>
      <c r="U893" s="5">
        <v>8.3333333333333339E-4</v>
      </c>
      <c r="V893" s="5"/>
      <c r="W893" s="5">
        <v>0.10611111111111111</v>
      </c>
    </row>
    <row r="894" spans="1:23" x14ac:dyDescent="0.25">
      <c r="A894" s="2">
        <v>46245</v>
      </c>
      <c r="B894" s="3" t="s">
        <v>134</v>
      </c>
      <c r="C894" s="3" t="s">
        <v>560</v>
      </c>
      <c r="D894" s="3" t="s">
        <v>104</v>
      </c>
      <c r="E894" s="3" t="s">
        <v>31</v>
      </c>
      <c r="F894" s="3" t="s">
        <v>105</v>
      </c>
      <c r="G894" s="4" t="s">
        <v>106</v>
      </c>
      <c r="H894" s="4">
        <v>6</v>
      </c>
      <c r="I894" s="5">
        <v>0.26297453703703705</v>
      </c>
      <c r="J894" s="5">
        <v>8.7499999999999994E-2</v>
      </c>
      <c r="K894" s="5">
        <f t="shared" si="26"/>
        <v>1.4583333333333332E-2</v>
      </c>
      <c r="L894" s="5">
        <v>0.16138888888888889</v>
      </c>
      <c r="M894" s="6">
        <f t="shared" si="27"/>
        <v>0.61370538268562125</v>
      </c>
      <c r="N894" s="5">
        <v>1.3159722222222222E-2</v>
      </c>
      <c r="O894" s="5">
        <v>1.2094907407407407E-2</v>
      </c>
      <c r="P894" s="5"/>
      <c r="Q894" s="5"/>
      <c r="R894" s="5"/>
      <c r="S894" s="5">
        <v>1.1377314814814814E-2</v>
      </c>
      <c r="T894" s="5">
        <v>2.2337962962962962E-3</v>
      </c>
      <c r="U894" s="5">
        <v>1.1319444444444444E-2</v>
      </c>
      <c r="V894" s="5"/>
      <c r="W894" s="5">
        <v>0.11119212962962963</v>
      </c>
    </row>
    <row r="895" spans="1:23" x14ac:dyDescent="0.25">
      <c r="A895" s="2">
        <v>46245</v>
      </c>
      <c r="B895" s="3" t="s">
        <v>211</v>
      </c>
      <c r="C895" s="3" t="s">
        <v>546</v>
      </c>
      <c r="D895" s="3" t="s">
        <v>104</v>
      </c>
      <c r="E895" s="3" t="s">
        <v>31</v>
      </c>
      <c r="F895" s="3" t="s">
        <v>105</v>
      </c>
      <c r="G895" s="4" t="s">
        <v>106</v>
      </c>
      <c r="H895" s="4">
        <v>8</v>
      </c>
      <c r="I895" s="5">
        <v>0.2217824074074074</v>
      </c>
      <c r="J895" s="5">
        <v>0.13574074074074075</v>
      </c>
      <c r="K895" s="5">
        <f t="shared" si="26"/>
        <v>1.6967592592592593E-2</v>
      </c>
      <c r="L895" s="5">
        <v>8.9340277777777782E-2</v>
      </c>
      <c r="M895" s="6">
        <f t="shared" si="27"/>
        <v>0.40282851476881332</v>
      </c>
      <c r="N895" s="5">
        <v>3.449074074074074E-3</v>
      </c>
      <c r="O895" s="5">
        <v>6.6782407407407407E-3</v>
      </c>
      <c r="P895" s="5"/>
      <c r="Q895" s="5"/>
      <c r="R895" s="5"/>
      <c r="S895" s="5">
        <v>1.269675925925926E-2</v>
      </c>
      <c r="T895" s="5">
        <v>5.0925925925925921E-4</v>
      </c>
      <c r="U895" s="5">
        <v>9.8379629629629633E-3</v>
      </c>
      <c r="V895" s="5"/>
      <c r="W895" s="5">
        <v>5.6145833333333332E-2</v>
      </c>
    </row>
    <row r="896" spans="1:23" x14ac:dyDescent="0.25">
      <c r="A896" s="2">
        <v>46245</v>
      </c>
      <c r="B896" s="3" t="s">
        <v>617</v>
      </c>
      <c r="C896" s="3" t="s">
        <v>638</v>
      </c>
      <c r="D896" s="3" t="s">
        <v>601</v>
      </c>
      <c r="E896" s="3" t="s">
        <v>31</v>
      </c>
      <c r="F896" s="3" t="s">
        <v>105</v>
      </c>
      <c r="G896" s="4" t="s">
        <v>33</v>
      </c>
      <c r="H896" s="4">
        <v>4</v>
      </c>
      <c r="I896" s="5">
        <v>0.23505787037037038</v>
      </c>
      <c r="J896" s="5">
        <v>3.7592592592592594E-2</v>
      </c>
      <c r="K896" s="5">
        <f t="shared" si="26"/>
        <v>9.3981481481481485E-3</v>
      </c>
      <c r="L896" s="5">
        <v>0.21524305555555556</v>
      </c>
      <c r="M896" s="6">
        <f t="shared" si="27"/>
        <v>0.9157023979516471</v>
      </c>
      <c r="N896" s="5">
        <v>8.1712962962962963E-3</v>
      </c>
      <c r="O896" s="5">
        <v>2.0532407407407409E-2</v>
      </c>
      <c r="P896" s="5"/>
      <c r="Q896" s="5"/>
      <c r="R896" s="5"/>
      <c r="S896" s="5">
        <v>1.5358796296296296E-2</v>
      </c>
      <c r="T896" s="5">
        <v>2.8587962962962963E-3</v>
      </c>
      <c r="U896" s="5">
        <v>0.16832175925925927</v>
      </c>
      <c r="V896" s="5"/>
      <c r="W896" s="5"/>
    </row>
    <row r="897" spans="1:23" x14ac:dyDescent="0.25">
      <c r="A897" s="2">
        <v>46245</v>
      </c>
      <c r="B897" s="3" t="s">
        <v>618</v>
      </c>
      <c r="C897" s="3" t="s">
        <v>639</v>
      </c>
      <c r="D897" s="3" t="s">
        <v>601</v>
      </c>
      <c r="E897" s="3" t="s">
        <v>31</v>
      </c>
      <c r="F897" s="3" t="s">
        <v>105</v>
      </c>
      <c r="G897" s="4" t="s">
        <v>33</v>
      </c>
      <c r="H897" s="4">
        <v>3</v>
      </c>
      <c r="I897" s="5">
        <v>0.21516203703703704</v>
      </c>
      <c r="J897" s="5">
        <v>7.5671296296296292E-2</v>
      </c>
      <c r="K897" s="5">
        <f t="shared" si="26"/>
        <v>2.5223765432098765E-2</v>
      </c>
      <c r="L897" s="5">
        <v>0.18054398148148149</v>
      </c>
      <c r="M897" s="6">
        <f t="shared" si="27"/>
        <v>0.83910704679935455</v>
      </c>
      <c r="N897" s="5">
        <v>7.8009259259259256E-3</v>
      </c>
      <c r="O897" s="5">
        <v>1.832175925925926E-2</v>
      </c>
      <c r="P897" s="5"/>
      <c r="Q897" s="5"/>
      <c r="R897" s="5"/>
      <c r="S897" s="5">
        <v>1.6331018518518519E-2</v>
      </c>
      <c r="T897" s="5">
        <v>3.2638888888888891E-3</v>
      </c>
      <c r="U897" s="5">
        <v>0.1348148148148148</v>
      </c>
      <c r="V897" s="5"/>
      <c r="W897" s="5"/>
    </row>
    <row r="898" spans="1:23" x14ac:dyDescent="0.25">
      <c r="A898" s="2">
        <v>46245</v>
      </c>
      <c r="B898" s="3" t="s">
        <v>501</v>
      </c>
      <c r="C898" s="3" t="s">
        <v>524</v>
      </c>
      <c r="D898" s="3" t="s">
        <v>274</v>
      </c>
      <c r="E898" s="3" t="s">
        <v>79</v>
      </c>
      <c r="F898" s="3" t="s">
        <v>147</v>
      </c>
      <c r="G898" s="4" t="s">
        <v>33</v>
      </c>
      <c r="H898" s="4">
        <v>20</v>
      </c>
      <c r="I898" s="5">
        <v>0.27166666666666667</v>
      </c>
      <c r="J898" s="5">
        <v>6.4814814814814811E-2</v>
      </c>
      <c r="K898" s="5">
        <f t="shared" ref="K898:K961" si="28">IFERROR(J898/H898,0)</f>
        <v>3.2407407407407406E-3</v>
      </c>
      <c r="L898" s="5">
        <v>3.484953703703704E-2</v>
      </c>
      <c r="M898" s="6">
        <f t="shared" ref="M898:M961" si="29">IFERROR(L898/I898,0)</f>
        <v>0.12828050443081118</v>
      </c>
      <c r="N898" s="5">
        <v>2.8819444444444444E-3</v>
      </c>
      <c r="O898" s="5">
        <v>1.5231481481481481E-2</v>
      </c>
      <c r="P898" s="5"/>
      <c r="Q898" s="5">
        <v>4.1435185185185186E-3</v>
      </c>
      <c r="R898" s="5"/>
      <c r="S898" s="5">
        <v>1.1909722222222223E-2</v>
      </c>
      <c r="T898" s="5">
        <v>5.2083333333333333E-4</v>
      </c>
      <c r="U898" s="5">
        <v>1.6203703703703703E-4</v>
      </c>
      <c r="V898" s="5"/>
      <c r="W898" s="5"/>
    </row>
    <row r="899" spans="1:23" x14ac:dyDescent="0.25">
      <c r="A899" s="2">
        <v>46245</v>
      </c>
      <c r="B899" s="3" t="s">
        <v>213</v>
      </c>
      <c r="C899" s="3" t="s">
        <v>572</v>
      </c>
      <c r="D899" s="3" t="s">
        <v>601</v>
      </c>
      <c r="E899" s="3" t="s">
        <v>31</v>
      </c>
      <c r="F899" s="3" t="s">
        <v>105</v>
      </c>
      <c r="G899" s="4" t="s">
        <v>33</v>
      </c>
      <c r="H899" s="4">
        <v>3</v>
      </c>
      <c r="I899" s="5">
        <v>0.25072916666666667</v>
      </c>
      <c r="J899" s="5">
        <v>6.4062499999999994E-2</v>
      </c>
      <c r="K899" s="5">
        <f t="shared" si="28"/>
        <v>2.1354166666666664E-2</v>
      </c>
      <c r="L899" s="5">
        <v>0.22990740740740739</v>
      </c>
      <c r="M899" s="6">
        <f t="shared" si="29"/>
        <v>0.91695517702995888</v>
      </c>
      <c r="N899" s="5">
        <v>1.7916666666666668E-2</v>
      </c>
      <c r="O899" s="5">
        <v>1.8587962962962962E-2</v>
      </c>
      <c r="P899" s="5"/>
      <c r="Q899" s="5"/>
      <c r="R899" s="5"/>
      <c r="S899" s="5">
        <v>1.4050925925925927E-2</v>
      </c>
      <c r="T899" s="5">
        <v>6.7013888888888887E-3</v>
      </c>
      <c r="U899" s="5">
        <v>0.17265046296296296</v>
      </c>
      <c r="V899" s="5"/>
      <c r="W899" s="5"/>
    </row>
    <row r="900" spans="1:23" x14ac:dyDescent="0.25">
      <c r="A900" s="2">
        <v>46245</v>
      </c>
      <c r="B900" s="3" t="s">
        <v>619</v>
      </c>
      <c r="C900" s="3" t="s">
        <v>640</v>
      </c>
      <c r="D900" s="3" t="s">
        <v>601</v>
      </c>
      <c r="E900" s="3" t="s">
        <v>31</v>
      </c>
      <c r="F900" s="3" t="s">
        <v>105</v>
      </c>
      <c r="G900" s="4" t="s">
        <v>33</v>
      </c>
      <c r="H900" s="4">
        <v>4</v>
      </c>
      <c r="I900" s="5">
        <v>0.2069212962962963</v>
      </c>
      <c r="J900" s="5">
        <v>6.5405092592592598E-2</v>
      </c>
      <c r="K900" s="5">
        <f t="shared" si="28"/>
        <v>1.6351273148148149E-2</v>
      </c>
      <c r="L900" s="5">
        <v>0.17898148148148149</v>
      </c>
      <c r="M900" s="6">
        <f t="shared" si="29"/>
        <v>0.86497371070589557</v>
      </c>
      <c r="N900" s="5">
        <v>6.8402777777777776E-3</v>
      </c>
      <c r="O900" s="5">
        <v>8.9814814814814809E-3</v>
      </c>
      <c r="P900" s="5"/>
      <c r="Q900" s="5"/>
      <c r="R900" s="5"/>
      <c r="S900" s="5">
        <v>1.4768518518518519E-2</v>
      </c>
      <c r="T900" s="5">
        <v>5.9027777777777778E-4</v>
      </c>
      <c r="U900" s="5">
        <v>0.14774305555555556</v>
      </c>
      <c r="V900" s="5"/>
      <c r="W900" s="5">
        <v>5.7870370370370373E-5</v>
      </c>
    </row>
    <row r="901" spans="1:23" x14ac:dyDescent="0.25">
      <c r="A901" s="2">
        <v>46245</v>
      </c>
      <c r="B901" s="3" t="s">
        <v>668</v>
      </c>
      <c r="C901" s="3" t="s">
        <v>669</v>
      </c>
      <c r="D901" s="3" t="s">
        <v>233</v>
      </c>
      <c r="E901" s="3" t="s">
        <v>31</v>
      </c>
      <c r="F901" s="3" t="s">
        <v>32</v>
      </c>
      <c r="G901" s="4" t="s">
        <v>106</v>
      </c>
      <c r="H901" s="4">
        <v>23</v>
      </c>
      <c r="I901" s="5">
        <v>0.25666666666666665</v>
      </c>
      <c r="J901" s="5">
        <v>0.11449074074074074</v>
      </c>
      <c r="K901" s="5">
        <f t="shared" si="28"/>
        <v>4.9778582930756843E-3</v>
      </c>
      <c r="L901" s="5">
        <v>4.628472222222222E-2</v>
      </c>
      <c r="M901" s="6">
        <f t="shared" si="29"/>
        <v>0.18033008658008659</v>
      </c>
      <c r="N901" s="5">
        <v>8.9583333333333338E-3</v>
      </c>
      <c r="O901" s="5">
        <v>1.7488425925925925E-2</v>
      </c>
      <c r="P901" s="5"/>
      <c r="Q901" s="5"/>
      <c r="R901" s="5"/>
      <c r="S901" s="5">
        <v>1.2847222222222222E-2</v>
      </c>
      <c r="T901" s="5">
        <v>5.9722222222222225E-3</v>
      </c>
      <c r="U901" s="5">
        <v>1.0185185185185184E-3</v>
      </c>
      <c r="V901" s="5"/>
      <c r="W901" s="5"/>
    </row>
    <row r="902" spans="1:23" x14ac:dyDescent="0.25">
      <c r="A902" s="2">
        <v>46245</v>
      </c>
      <c r="B902" s="3" t="s">
        <v>744</v>
      </c>
      <c r="C902" s="3" t="s">
        <v>670</v>
      </c>
      <c r="D902" s="3" t="s">
        <v>100</v>
      </c>
      <c r="E902" s="3" t="s">
        <v>31</v>
      </c>
      <c r="F902" s="3" t="s">
        <v>32</v>
      </c>
      <c r="G902" s="4" t="s">
        <v>33</v>
      </c>
      <c r="H902" s="4">
        <v>25</v>
      </c>
      <c r="I902" s="5">
        <v>0.25828703703703704</v>
      </c>
      <c r="J902" s="5">
        <v>0.17966435185185184</v>
      </c>
      <c r="K902" s="5">
        <f t="shared" si="28"/>
        <v>7.1865740740740735E-3</v>
      </c>
      <c r="L902" s="5">
        <v>6.4571759259259259E-2</v>
      </c>
      <c r="M902" s="6">
        <f t="shared" si="29"/>
        <v>0.25</v>
      </c>
      <c r="N902" s="5">
        <v>1.8969907407407408E-2</v>
      </c>
      <c r="O902" s="5">
        <v>1.3703703703703704E-2</v>
      </c>
      <c r="P902" s="5"/>
      <c r="Q902" s="5">
        <v>2.662037037037037E-3</v>
      </c>
      <c r="R902" s="5"/>
      <c r="S902" s="5">
        <v>1.4155092592592592E-2</v>
      </c>
      <c r="T902" s="5">
        <v>2.0833333333333335E-4</v>
      </c>
      <c r="U902" s="5">
        <v>1.4872685185185185E-2</v>
      </c>
      <c r="V902" s="5"/>
      <c r="W902" s="5"/>
    </row>
    <row r="903" spans="1:23" x14ac:dyDescent="0.25">
      <c r="A903" s="2">
        <v>46245</v>
      </c>
      <c r="B903" s="3" t="s">
        <v>219</v>
      </c>
      <c r="C903" s="3" t="s">
        <v>548</v>
      </c>
      <c r="D903" s="3" t="s">
        <v>104</v>
      </c>
      <c r="E903" s="3" t="s">
        <v>31</v>
      </c>
      <c r="F903" s="3" t="s">
        <v>105</v>
      </c>
      <c r="G903" s="4" t="s">
        <v>106</v>
      </c>
      <c r="H903" s="4">
        <v>6</v>
      </c>
      <c r="I903" s="5">
        <v>0.24577546296296296</v>
      </c>
      <c r="J903" s="5">
        <v>5.5023148148148147E-2</v>
      </c>
      <c r="K903" s="5">
        <f t="shared" si="28"/>
        <v>9.170524691358024E-3</v>
      </c>
      <c r="L903" s="5">
        <v>0.19929398148148147</v>
      </c>
      <c r="M903" s="6">
        <f t="shared" si="29"/>
        <v>0.81087826701200849</v>
      </c>
      <c r="N903" s="5">
        <v>4.5439814814814815E-2</v>
      </c>
      <c r="O903" s="5">
        <v>1.494212962962963E-2</v>
      </c>
      <c r="P903" s="5"/>
      <c r="Q903" s="5"/>
      <c r="R903" s="5"/>
      <c r="S903" s="5">
        <v>7.8356481481481489E-3</v>
      </c>
      <c r="T903" s="5">
        <v>3.9351851851851852E-4</v>
      </c>
      <c r="U903" s="5">
        <v>1.5358796296296296E-2</v>
      </c>
      <c r="V903" s="5"/>
      <c r="W903" s="5">
        <v>0.11530092592592593</v>
      </c>
    </row>
    <row r="904" spans="1:23" x14ac:dyDescent="0.25">
      <c r="A904" s="2">
        <v>46245</v>
      </c>
      <c r="B904" s="3" t="s">
        <v>305</v>
      </c>
      <c r="C904" s="3" t="s">
        <v>306</v>
      </c>
      <c r="D904" s="3" t="s">
        <v>100</v>
      </c>
      <c r="E904" s="3" t="s">
        <v>31</v>
      </c>
      <c r="F904" s="3" t="s">
        <v>32</v>
      </c>
      <c r="G904" s="4" t="s">
        <v>33</v>
      </c>
      <c r="H904" s="4">
        <v>38</v>
      </c>
      <c r="I904" s="5">
        <v>0.26010416666666669</v>
      </c>
      <c r="J904" s="5">
        <v>0.14732638888888888</v>
      </c>
      <c r="K904" s="5">
        <f t="shared" si="28"/>
        <v>3.8770102339181285E-3</v>
      </c>
      <c r="L904" s="5">
        <v>6.6527777777777783E-2</v>
      </c>
      <c r="M904" s="6">
        <f t="shared" si="29"/>
        <v>0.25577359498064345</v>
      </c>
      <c r="N904" s="5">
        <v>1.9212962962962963E-2</v>
      </c>
      <c r="O904" s="5">
        <v>1.5671296296296298E-2</v>
      </c>
      <c r="P904" s="5"/>
      <c r="Q904" s="5"/>
      <c r="R904" s="5"/>
      <c r="S904" s="5">
        <v>1.7615740740740741E-2</v>
      </c>
      <c r="T904" s="5">
        <v>3.1250000000000001E-4</v>
      </c>
      <c r="U904" s="5">
        <v>1.3715277777777778E-2</v>
      </c>
      <c r="V904" s="5"/>
      <c r="W904" s="5"/>
    </row>
    <row r="905" spans="1:23" x14ac:dyDescent="0.25">
      <c r="A905" s="2">
        <v>46245</v>
      </c>
      <c r="B905" s="3" t="s">
        <v>620</v>
      </c>
      <c r="C905" s="3" t="s">
        <v>641</v>
      </c>
      <c r="D905" s="3" t="s">
        <v>601</v>
      </c>
      <c r="E905" s="3" t="s">
        <v>31</v>
      </c>
      <c r="F905" s="3" t="s">
        <v>105</v>
      </c>
      <c r="G905" s="4" t="s">
        <v>33</v>
      </c>
      <c r="H905" s="4">
        <v>4</v>
      </c>
      <c r="I905" s="5">
        <v>0.21076388888888889</v>
      </c>
      <c r="J905" s="5">
        <v>7.210648148148148E-2</v>
      </c>
      <c r="K905" s="5">
        <f t="shared" si="28"/>
        <v>1.802662037037037E-2</v>
      </c>
      <c r="L905" s="5">
        <v>0.1698611111111111</v>
      </c>
      <c r="M905" s="6">
        <f t="shared" si="29"/>
        <v>0.80593080724876431</v>
      </c>
      <c r="N905" s="5">
        <v>1.736111111111111E-3</v>
      </c>
      <c r="O905" s="5">
        <v>1.4918981481481481E-2</v>
      </c>
      <c r="P905" s="5"/>
      <c r="Q905" s="5"/>
      <c r="R905" s="5"/>
      <c r="S905" s="5">
        <v>1.3298611111111112E-2</v>
      </c>
      <c r="T905" s="5">
        <v>9.0856481481481483E-3</v>
      </c>
      <c r="U905" s="5">
        <v>0.13082175925925926</v>
      </c>
      <c r="V905" s="5"/>
      <c r="W905" s="5"/>
    </row>
    <row r="906" spans="1:23" x14ac:dyDescent="0.25">
      <c r="A906" s="2">
        <v>46245</v>
      </c>
      <c r="B906" s="3" t="s">
        <v>138</v>
      </c>
      <c r="C906" s="3" t="s">
        <v>556</v>
      </c>
      <c r="D906" s="3" t="s">
        <v>104</v>
      </c>
      <c r="E906" s="3" t="s">
        <v>31</v>
      </c>
      <c r="F906" s="3" t="s">
        <v>105</v>
      </c>
      <c r="G906" s="4" t="s">
        <v>106</v>
      </c>
      <c r="H906" s="4">
        <v>7</v>
      </c>
      <c r="I906" s="5">
        <v>0.24711805555555555</v>
      </c>
      <c r="J906" s="5">
        <v>8.5277777777777772E-2</v>
      </c>
      <c r="K906" s="5">
        <f t="shared" si="28"/>
        <v>1.2182539682539682E-2</v>
      </c>
      <c r="L906" s="5">
        <v>0.13974537037037038</v>
      </c>
      <c r="M906" s="6">
        <f t="shared" si="29"/>
        <v>0.56550044494403073</v>
      </c>
      <c r="N906" s="5">
        <v>1.6099537037037037E-2</v>
      </c>
      <c r="O906" s="5">
        <v>1.695601851851852E-2</v>
      </c>
      <c r="P906" s="5"/>
      <c r="Q906" s="5"/>
      <c r="R906" s="5"/>
      <c r="S906" s="5">
        <v>1.5902777777777776E-2</v>
      </c>
      <c r="T906" s="5">
        <v>8.5532407407407415E-3</v>
      </c>
      <c r="U906" s="5">
        <v>3.0787037037037037E-3</v>
      </c>
      <c r="V906" s="5"/>
      <c r="W906" s="5">
        <v>7.9143518518518516E-2</v>
      </c>
    </row>
    <row r="907" spans="1:23" x14ac:dyDescent="0.25">
      <c r="A907" s="2">
        <v>46245</v>
      </c>
      <c r="B907" s="3" t="s">
        <v>276</v>
      </c>
      <c r="C907" s="3" t="s">
        <v>532</v>
      </c>
      <c r="D907" s="3" t="s">
        <v>233</v>
      </c>
      <c r="E907" s="3" t="s">
        <v>31</v>
      </c>
      <c r="F907" s="3" t="s">
        <v>32</v>
      </c>
      <c r="G907" s="4" t="s">
        <v>106</v>
      </c>
      <c r="H907" s="4">
        <v>39</v>
      </c>
      <c r="I907" s="5">
        <v>0.30822916666666667</v>
      </c>
      <c r="J907" s="5">
        <v>0.12739583333333335</v>
      </c>
      <c r="K907" s="5">
        <f t="shared" si="28"/>
        <v>3.2665598290598295E-3</v>
      </c>
      <c r="L907" s="5">
        <v>5.4537037037037037E-2</v>
      </c>
      <c r="M907" s="6">
        <f t="shared" si="29"/>
        <v>0.17693665277308401</v>
      </c>
      <c r="N907" s="5">
        <v>1.7048611111111112E-2</v>
      </c>
      <c r="O907" s="5">
        <v>9.3287037037037036E-3</v>
      </c>
      <c r="P907" s="5"/>
      <c r="Q907" s="5"/>
      <c r="R907" s="5"/>
      <c r="S907" s="5">
        <v>1.457175925925926E-2</v>
      </c>
      <c r="T907" s="5">
        <v>1.3587962962962963E-2</v>
      </c>
      <c r="U907" s="5"/>
      <c r="V907" s="5"/>
      <c r="W907" s="5"/>
    </row>
    <row r="908" spans="1:23" x14ac:dyDescent="0.25">
      <c r="A908" s="2">
        <v>46245</v>
      </c>
      <c r="B908" s="3" t="s">
        <v>278</v>
      </c>
      <c r="C908" s="3" t="s">
        <v>533</v>
      </c>
      <c r="D908" s="3" t="s">
        <v>233</v>
      </c>
      <c r="E908" s="3" t="s">
        <v>31</v>
      </c>
      <c r="F908" s="3" t="s">
        <v>32</v>
      </c>
      <c r="G908" s="4" t="s">
        <v>106</v>
      </c>
      <c r="H908" s="4">
        <v>19</v>
      </c>
      <c r="I908" s="5">
        <v>0.26622685185185185</v>
      </c>
      <c r="J908" s="5">
        <v>0.1025462962962963</v>
      </c>
      <c r="K908" s="5">
        <f t="shared" si="28"/>
        <v>5.3971734892787528E-3</v>
      </c>
      <c r="L908" s="5">
        <v>4.4664351851851851E-2</v>
      </c>
      <c r="M908" s="6">
        <f t="shared" si="29"/>
        <v>0.16776802017215894</v>
      </c>
      <c r="N908" s="5">
        <v>2.8935185185185184E-3</v>
      </c>
      <c r="O908" s="5">
        <v>1.3958333333333333E-2</v>
      </c>
      <c r="P908" s="5"/>
      <c r="Q908" s="5">
        <v>1.1909722222222223E-2</v>
      </c>
      <c r="R908" s="5"/>
      <c r="S908" s="5">
        <v>1.4212962962962964E-2</v>
      </c>
      <c r="T908" s="5">
        <v>1.4699074074074074E-3</v>
      </c>
      <c r="U908" s="5">
        <v>2.0833333333333335E-4</v>
      </c>
      <c r="V908" s="5"/>
      <c r="W908" s="5"/>
    </row>
    <row r="909" spans="1:23" x14ac:dyDescent="0.25">
      <c r="A909" s="2">
        <v>46245</v>
      </c>
      <c r="B909" s="3" t="s">
        <v>313</v>
      </c>
      <c r="C909" s="3" t="s">
        <v>511</v>
      </c>
      <c r="D909" s="3" t="s">
        <v>78</v>
      </c>
      <c r="E909" s="3" t="s">
        <v>79</v>
      </c>
      <c r="F909" s="3" t="s">
        <v>80</v>
      </c>
      <c r="G909" s="4" t="s">
        <v>81</v>
      </c>
      <c r="H909" s="4">
        <v>1</v>
      </c>
      <c r="I909" s="5">
        <v>0.25976851851851851</v>
      </c>
      <c r="J909" s="5">
        <v>3.1250000000000001E-4</v>
      </c>
      <c r="K909" s="5">
        <f t="shared" si="28"/>
        <v>3.1250000000000001E-4</v>
      </c>
      <c r="L909" s="5">
        <v>3.695601851851852E-2</v>
      </c>
      <c r="M909" s="6">
        <f t="shared" si="29"/>
        <v>0.14226519337016574</v>
      </c>
      <c r="N909" s="5">
        <v>1.1817129629629629E-2</v>
      </c>
      <c r="O909" s="5">
        <v>1.5486111111111112E-2</v>
      </c>
      <c r="P909" s="5"/>
      <c r="Q909" s="5"/>
      <c r="R909" s="5"/>
      <c r="S909" s="5">
        <v>9.5370370370370366E-3</v>
      </c>
      <c r="T909" s="5">
        <v>1.1574074074074075E-4</v>
      </c>
      <c r="U909" s="5"/>
      <c r="V909" s="5"/>
      <c r="W909" s="5"/>
    </row>
    <row r="910" spans="1:23" x14ac:dyDescent="0.25">
      <c r="A910" s="2">
        <v>46245</v>
      </c>
      <c r="B910" s="3" t="s">
        <v>673</v>
      </c>
      <c r="C910" s="3" t="s">
        <v>674</v>
      </c>
      <c r="D910" s="3" t="s">
        <v>104</v>
      </c>
      <c r="E910" s="3" t="s">
        <v>31</v>
      </c>
      <c r="F910" s="3" t="s">
        <v>105</v>
      </c>
      <c r="G910" s="4" t="s">
        <v>106</v>
      </c>
      <c r="H910" s="4">
        <v>5</v>
      </c>
      <c r="I910" s="5">
        <v>0.25062499999999999</v>
      </c>
      <c r="J910" s="5">
        <v>7.8321759259259258E-2</v>
      </c>
      <c r="K910" s="5">
        <f t="shared" si="28"/>
        <v>1.5664351851851853E-2</v>
      </c>
      <c r="L910" s="5">
        <v>0.14555555555555555</v>
      </c>
      <c r="M910" s="6">
        <f t="shared" si="29"/>
        <v>0.58077029648101963</v>
      </c>
      <c r="N910" s="5"/>
      <c r="O910" s="5">
        <v>1.4039351851851851E-2</v>
      </c>
      <c r="P910" s="5"/>
      <c r="Q910" s="5"/>
      <c r="R910" s="5"/>
      <c r="S910" s="5">
        <v>1.2881944444444444E-2</v>
      </c>
      <c r="T910" s="5">
        <v>1.273148148148148E-4</v>
      </c>
      <c r="U910" s="5">
        <v>7.291666666666667E-4</v>
      </c>
      <c r="V910" s="5"/>
      <c r="W910" s="5">
        <v>0.11777777777777777</v>
      </c>
    </row>
    <row r="911" spans="1:23" x14ac:dyDescent="0.25">
      <c r="A911" s="2">
        <v>46245</v>
      </c>
      <c r="B911" s="3" t="s">
        <v>225</v>
      </c>
      <c r="C911" s="3" t="s">
        <v>549</v>
      </c>
      <c r="D911" s="3" t="s">
        <v>601</v>
      </c>
      <c r="E911" s="3" t="s">
        <v>31</v>
      </c>
      <c r="F911" s="3" t="s">
        <v>105</v>
      </c>
      <c r="G911" s="4" t="s">
        <v>33</v>
      </c>
      <c r="H911" s="4">
        <v>0</v>
      </c>
      <c r="I911" s="5">
        <v>0.15796296296296297</v>
      </c>
      <c r="J911" s="5">
        <v>0</v>
      </c>
      <c r="K911" s="5">
        <f t="shared" si="28"/>
        <v>0</v>
      </c>
      <c r="L911" s="5">
        <v>0.15796296296296297</v>
      </c>
      <c r="M911" s="6">
        <f t="shared" si="29"/>
        <v>1</v>
      </c>
      <c r="N911" s="5">
        <v>3.3564814814814816E-3</v>
      </c>
      <c r="O911" s="5">
        <v>1.6030092592592592E-2</v>
      </c>
      <c r="P911" s="5"/>
      <c r="Q911" s="5"/>
      <c r="R911" s="5"/>
      <c r="S911" s="5">
        <v>1.1747685185185186E-2</v>
      </c>
      <c r="T911" s="5">
        <v>5.0925925925925921E-4</v>
      </c>
      <c r="U911" s="5">
        <v>0.12631944444444446</v>
      </c>
      <c r="V911" s="5"/>
      <c r="W911" s="5"/>
    </row>
    <row r="912" spans="1:23" x14ac:dyDescent="0.25">
      <c r="A912" s="2">
        <v>46245</v>
      </c>
      <c r="B912" s="3" t="s">
        <v>70</v>
      </c>
      <c r="C912" s="3" t="s">
        <v>71</v>
      </c>
      <c r="D912" s="3" t="s">
        <v>78</v>
      </c>
      <c r="E912" s="3" t="s">
        <v>79</v>
      </c>
      <c r="F912" s="3" t="s">
        <v>80</v>
      </c>
      <c r="G912" s="4" t="s">
        <v>33</v>
      </c>
      <c r="H912" s="4">
        <v>0</v>
      </c>
      <c r="I912" s="5">
        <v>0.34877314814814814</v>
      </c>
      <c r="J912" s="5">
        <v>0</v>
      </c>
      <c r="K912" s="5">
        <f t="shared" si="28"/>
        <v>0</v>
      </c>
      <c r="L912" s="5">
        <v>0.13903935185185184</v>
      </c>
      <c r="M912" s="6">
        <f t="shared" si="29"/>
        <v>0.39865268467511777</v>
      </c>
      <c r="N912" s="5"/>
      <c r="O912" s="5">
        <v>4.2280092592592591E-2</v>
      </c>
      <c r="P912" s="5"/>
      <c r="Q912" s="5"/>
      <c r="R912" s="5">
        <v>8.3449074074074078E-2</v>
      </c>
      <c r="S912" s="5">
        <v>8.0439814814814818E-3</v>
      </c>
      <c r="T912" s="5">
        <v>5.2662037037037035E-3</v>
      </c>
      <c r="U912" s="5"/>
      <c r="V912" s="5"/>
      <c r="W912" s="5"/>
    </row>
    <row r="913" spans="1:23" x14ac:dyDescent="0.25">
      <c r="A913" s="2">
        <v>46245</v>
      </c>
      <c r="B913" s="3" t="s">
        <v>299</v>
      </c>
      <c r="C913" s="3" t="s">
        <v>571</v>
      </c>
      <c r="D913" s="3" t="s">
        <v>104</v>
      </c>
      <c r="E913" s="3" t="s">
        <v>31</v>
      </c>
      <c r="F913" s="3" t="s">
        <v>105</v>
      </c>
      <c r="G913" s="4" t="s">
        <v>106</v>
      </c>
      <c r="H913" s="4">
        <v>7</v>
      </c>
      <c r="I913" s="5">
        <v>0.25829861111111113</v>
      </c>
      <c r="J913" s="5">
        <v>8.5925925925925919E-2</v>
      </c>
      <c r="K913" s="5">
        <f t="shared" si="28"/>
        <v>1.2275132275132274E-2</v>
      </c>
      <c r="L913" s="5">
        <v>0.15620370370370371</v>
      </c>
      <c r="M913" s="6">
        <f t="shared" si="29"/>
        <v>0.60474078057086522</v>
      </c>
      <c r="N913" s="5"/>
      <c r="O913" s="5">
        <v>1.3622685185185186E-2</v>
      </c>
      <c r="P913" s="5"/>
      <c r="Q913" s="5"/>
      <c r="R913" s="5"/>
      <c r="S913" s="5">
        <v>1.2546296296296297E-2</v>
      </c>
      <c r="T913" s="5">
        <v>2.4305555555555555E-4</v>
      </c>
      <c r="U913" s="5">
        <v>5.7986111111111112E-3</v>
      </c>
      <c r="V913" s="5"/>
      <c r="W913" s="5">
        <v>0.12399305555555555</v>
      </c>
    </row>
    <row r="914" spans="1:23" x14ac:dyDescent="0.25">
      <c r="A914" s="2">
        <v>46245</v>
      </c>
      <c r="B914" s="3" t="s">
        <v>227</v>
      </c>
      <c r="C914" s="3" t="s">
        <v>557</v>
      </c>
      <c r="D914" s="3" t="s">
        <v>146</v>
      </c>
      <c r="E914" s="3" t="s">
        <v>79</v>
      </c>
      <c r="F914" s="3" t="s">
        <v>147</v>
      </c>
      <c r="G914" s="4" t="s">
        <v>106</v>
      </c>
      <c r="H914" s="4">
        <v>10</v>
      </c>
      <c r="I914" s="5">
        <v>0.27598379629629627</v>
      </c>
      <c r="J914" s="5">
        <v>5.364583333333333E-2</v>
      </c>
      <c r="K914" s="5">
        <f t="shared" si="28"/>
        <v>5.3645833333333332E-3</v>
      </c>
      <c r="L914" s="5">
        <v>4.1678240740740738E-2</v>
      </c>
      <c r="M914" s="6">
        <f t="shared" si="29"/>
        <v>0.15101698469280772</v>
      </c>
      <c r="N914" s="5">
        <v>8.3333333333333332E-3</v>
      </c>
      <c r="O914" s="5">
        <v>6.9675925925925929E-3</v>
      </c>
      <c r="P914" s="5">
        <v>4.363425925925926E-3</v>
      </c>
      <c r="Q914" s="5">
        <v>1.6782407407407408E-3</v>
      </c>
      <c r="R914" s="5">
        <v>4.5601851851851853E-3</v>
      </c>
      <c r="S914" s="5">
        <v>1.40625E-2</v>
      </c>
      <c r="T914" s="5">
        <v>1.712962962962963E-3</v>
      </c>
      <c r="U914" s="5"/>
      <c r="V914" s="5"/>
      <c r="W914" s="5"/>
    </row>
    <row r="915" spans="1:23" x14ac:dyDescent="0.25">
      <c r="A915" s="2">
        <v>46245</v>
      </c>
      <c r="B915" s="3" t="s">
        <v>282</v>
      </c>
      <c r="C915" s="3" t="s">
        <v>535</v>
      </c>
      <c r="D915" s="3" t="s">
        <v>233</v>
      </c>
      <c r="E915" s="3" t="s">
        <v>31</v>
      </c>
      <c r="F915" s="3" t="s">
        <v>32</v>
      </c>
      <c r="G915" s="4" t="s">
        <v>106</v>
      </c>
      <c r="H915" s="4">
        <v>37</v>
      </c>
      <c r="I915" s="5">
        <v>0.26127314814814817</v>
      </c>
      <c r="J915" s="5">
        <v>9.7986111111111107E-2</v>
      </c>
      <c r="K915" s="5">
        <f t="shared" si="28"/>
        <v>2.648273273273273E-3</v>
      </c>
      <c r="L915" s="5">
        <v>3.1180555555555555E-2</v>
      </c>
      <c r="M915" s="6">
        <f t="shared" si="29"/>
        <v>0.11934083458846459</v>
      </c>
      <c r="N915" s="5"/>
      <c r="O915" s="5">
        <v>1.6527777777777777E-2</v>
      </c>
      <c r="P915" s="5"/>
      <c r="Q915" s="5"/>
      <c r="R915" s="5"/>
      <c r="S915" s="5">
        <v>1.4548611111111111E-2</v>
      </c>
      <c r="T915" s="5">
        <v>1.0416666666666667E-4</v>
      </c>
      <c r="U915" s="5"/>
      <c r="V915" s="5"/>
      <c r="W915" s="5"/>
    </row>
    <row r="916" spans="1:23" x14ac:dyDescent="0.25">
      <c r="A916" s="2">
        <v>46245</v>
      </c>
      <c r="B916" s="3" t="s">
        <v>675</v>
      </c>
      <c r="C916" s="3" t="s">
        <v>676</v>
      </c>
      <c r="D916" s="3" t="s">
        <v>104</v>
      </c>
      <c r="E916" s="3" t="s">
        <v>31</v>
      </c>
      <c r="F916" s="3" t="s">
        <v>105</v>
      </c>
      <c r="G916" s="4" t="s">
        <v>106</v>
      </c>
      <c r="H916" s="4">
        <v>5</v>
      </c>
      <c r="I916" s="5">
        <v>0.25800925925925927</v>
      </c>
      <c r="J916" s="5">
        <v>0.10912037037037037</v>
      </c>
      <c r="K916" s="5">
        <f t="shared" si="28"/>
        <v>2.1824074074074072E-2</v>
      </c>
      <c r="L916" s="5">
        <v>0.12406250000000001</v>
      </c>
      <c r="M916" s="6">
        <f t="shared" si="29"/>
        <v>0.48084514624080388</v>
      </c>
      <c r="N916" s="5">
        <v>2.2106481481481482E-3</v>
      </c>
      <c r="O916" s="5">
        <v>1.4305555555555556E-2</v>
      </c>
      <c r="P916" s="5"/>
      <c r="Q916" s="5"/>
      <c r="R916" s="5"/>
      <c r="S916" s="5">
        <v>1.4270833333333333E-2</v>
      </c>
      <c r="T916" s="5">
        <v>5.3240740740740744E-4</v>
      </c>
      <c r="U916" s="5">
        <v>6.9444444444444444E-5</v>
      </c>
      <c r="V916" s="5"/>
      <c r="W916" s="5">
        <v>9.2662037037037043E-2</v>
      </c>
    </row>
    <row r="917" spans="1:23" x14ac:dyDescent="0.25">
      <c r="A917" s="2">
        <v>46245</v>
      </c>
      <c r="B917" s="3" t="s">
        <v>677</v>
      </c>
      <c r="C917" s="3" t="s">
        <v>678</v>
      </c>
      <c r="D917" s="3" t="s">
        <v>274</v>
      </c>
      <c r="E917" s="3" t="s">
        <v>79</v>
      </c>
      <c r="F917" s="3" t="s">
        <v>147</v>
      </c>
      <c r="G917" s="4" t="s">
        <v>33</v>
      </c>
      <c r="H917" s="4">
        <v>26</v>
      </c>
      <c r="I917" s="5">
        <v>0.27055555555555555</v>
      </c>
      <c r="J917" s="5">
        <v>9.0532407407407409E-2</v>
      </c>
      <c r="K917" s="5">
        <f t="shared" si="28"/>
        <v>3.4820156695156697E-3</v>
      </c>
      <c r="L917" s="5">
        <v>4.1643518518518517E-2</v>
      </c>
      <c r="M917" s="6">
        <f t="shared" si="29"/>
        <v>0.15391854893908283</v>
      </c>
      <c r="N917" s="5">
        <v>2.4305555555555555E-4</v>
      </c>
      <c r="O917" s="5">
        <v>1.5590277777777778E-2</v>
      </c>
      <c r="P917" s="5"/>
      <c r="Q917" s="5">
        <v>7.7546296296296295E-3</v>
      </c>
      <c r="R917" s="5"/>
      <c r="S917" s="5">
        <v>1.4224537037037037E-2</v>
      </c>
      <c r="T917" s="5">
        <v>1.6203703703703703E-4</v>
      </c>
      <c r="U917" s="5">
        <v>3.6574074074074074E-3</v>
      </c>
      <c r="V917" s="5"/>
      <c r="W917" s="5"/>
    </row>
    <row r="918" spans="1:23" x14ac:dyDescent="0.25">
      <c r="A918" s="2">
        <v>46246</v>
      </c>
      <c r="B918" s="3" t="s">
        <v>186</v>
      </c>
      <c r="C918" s="3" t="s">
        <v>562</v>
      </c>
      <c r="D918" s="3" t="s">
        <v>78</v>
      </c>
      <c r="E918" s="3" t="s">
        <v>79</v>
      </c>
      <c r="F918" s="3" t="s">
        <v>80</v>
      </c>
      <c r="G918" s="4" t="s">
        <v>33</v>
      </c>
      <c r="H918" s="4">
        <v>2</v>
      </c>
      <c r="I918" s="5">
        <v>0.27549768518518519</v>
      </c>
      <c r="J918" s="5">
        <v>1.8287037037037037E-3</v>
      </c>
      <c r="K918" s="5">
        <f t="shared" si="28"/>
        <v>9.1435185185185185E-4</v>
      </c>
      <c r="L918" s="5">
        <v>4.0543981481481479E-2</v>
      </c>
      <c r="M918" s="6">
        <f t="shared" si="29"/>
        <v>0.14716632357265891</v>
      </c>
      <c r="N918" s="5">
        <v>1.1493055555555555E-2</v>
      </c>
      <c r="O918" s="5">
        <v>1.4421296296296297E-2</v>
      </c>
      <c r="P918" s="5"/>
      <c r="Q918" s="5"/>
      <c r="R918" s="5"/>
      <c r="S918" s="5">
        <v>1.425925925925926E-2</v>
      </c>
      <c r="T918" s="5">
        <v>9.2592592592592588E-5</v>
      </c>
      <c r="U918" s="5">
        <v>2.6620370370370372E-4</v>
      </c>
      <c r="V918" s="5"/>
      <c r="W918" s="5"/>
    </row>
    <row r="919" spans="1:23" x14ac:dyDescent="0.25">
      <c r="A919" s="2">
        <v>46246</v>
      </c>
      <c r="B919" s="3" t="s">
        <v>643</v>
      </c>
      <c r="C919" s="3" t="s">
        <v>644</v>
      </c>
      <c r="D919" s="3" t="s">
        <v>233</v>
      </c>
      <c r="E919" s="3" t="s">
        <v>31</v>
      </c>
      <c r="F919" s="3" t="s">
        <v>32</v>
      </c>
      <c r="G919" s="4" t="s">
        <v>106</v>
      </c>
      <c r="H919" s="4">
        <v>18</v>
      </c>
      <c r="I919" s="5">
        <v>0.2618287037037037</v>
      </c>
      <c r="J919" s="5">
        <v>0.14105324074074074</v>
      </c>
      <c r="K919" s="5">
        <f t="shared" si="28"/>
        <v>7.8362911522633742E-3</v>
      </c>
      <c r="L919" s="5">
        <v>4.4733796296296299E-2</v>
      </c>
      <c r="M919" s="6">
        <f t="shared" si="29"/>
        <v>0.17085138360887633</v>
      </c>
      <c r="N919" s="5">
        <v>6.9791666666666665E-3</v>
      </c>
      <c r="O919" s="5">
        <v>1.6828703703703703E-2</v>
      </c>
      <c r="P919" s="5">
        <v>7.9861111111111116E-4</v>
      </c>
      <c r="Q919" s="5"/>
      <c r="R919" s="5"/>
      <c r="S919" s="5">
        <v>1.4143518518518519E-2</v>
      </c>
      <c r="T919" s="5">
        <v>3.3449074074074076E-3</v>
      </c>
      <c r="U919" s="5">
        <v>2.627314814814815E-3</v>
      </c>
      <c r="V919" s="5"/>
      <c r="W919" s="5"/>
    </row>
    <row r="920" spans="1:23" x14ac:dyDescent="0.25">
      <c r="A920" s="2">
        <v>46246</v>
      </c>
      <c r="B920" s="3" t="s">
        <v>193</v>
      </c>
      <c r="C920" s="3" t="s">
        <v>563</v>
      </c>
      <c r="D920" s="3" t="s">
        <v>274</v>
      </c>
      <c r="E920" s="3" t="s">
        <v>79</v>
      </c>
      <c r="F920" s="3" t="s">
        <v>147</v>
      </c>
      <c r="G920" s="4" t="s">
        <v>33</v>
      </c>
      <c r="H920" s="4">
        <v>18</v>
      </c>
      <c r="I920" s="5">
        <v>0.26670138888888889</v>
      </c>
      <c r="J920" s="5">
        <v>5.5879629629629626E-2</v>
      </c>
      <c r="K920" s="5">
        <f t="shared" si="28"/>
        <v>3.104423868312757E-3</v>
      </c>
      <c r="L920" s="5">
        <v>3.5127314814814813E-2</v>
      </c>
      <c r="M920" s="6">
        <f t="shared" si="29"/>
        <v>0.13171028077941238</v>
      </c>
      <c r="N920" s="5">
        <v>1.1863425925925927E-2</v>
      </c>
      <c r="O920" s="5">
        <v>9.2939814814814812E-3</v>
      </c>
      <c r="P920" s="5"/>
      <c r="Q920" s="5"/>
      <c r="R920" s="5"/>
      <c r="S920" s="5">
        <v>1.3912037037037037E-2</v>
      </c>
      <c r="T920" s="5">
        <v>5.7870370370370373E-5</v>
      </c>
      <c r="U920" s="5"/>
      <c r="V920" s="5"/>
      <c r="W920" s="5"/>
    </row>
    <row r="921" spans="1:23" x14ac:dyDescent="0.25">
      <c r="A921" s="2">
        <v>46246</v>
      </c>
      <c r="B921" s="3" t="s">
        <v>231</v>
      </c>
      <c r="C921" s="3" t="s">
        <v>525</v>
      </c>
      <c r="D921" s="3" t="s">
        <v>233</v>
      </c>
      <c r="E921" s="3" t="s">
        <v>31</v>
      </c>
      <c r="F921" s="3" t="s">
        <v>32</v>
      </c>
      <c r="G921" s="4" t="s">
        <v>106</v>
      </c>
      <c r="H921" s="4">
        <v>44</v>
      </c>
      <c r="I921" s="5">
        <v>0.26076388888888891</v>
      </c>
      <c r="J921" s="5">
        <v>0.13120370370370371</v>
      </c>
      <c r="K921" s="5">
        <f t="shared" si="28"/>
        <v>2.9819023569023569E-3</v>
      </c>
      <c r="L921" s="5">
        <v>4.1979166666666665E-2</v>
      </c>
      <c r="M921" s="6">
        <f t="shared" si="29"/>
        <v>0.16098535286284951</v>
      </c>
      <c r="N921" s="5">
        <v>2.5000000000000001E-3</v>
      </c>
      <c r="O921" s="5">
        <v>1.4421296296296297E-2</v>
      </c>
      <c r="P921" s="5"/>
      <c r="Q921" s="5"/>
      <c r="R921" s="5"/>
      <c r="S921" s="5">
        <v>1.3877314814814815E-2</v>
      </c>
      <c r="T921" s="5">
        <v>1.1157407407407408E-2</v>
      </c>
      <c r="U921" s="5">
        <v>2.3148148148148147E-5</v>
      </c>
      <c r="V921" s="5"/>
      <c r="W921" s="5"/>
    </row>
    <row r="922" spans="1:23" x14ac:dyDescent="0.25">
      <c r="A922" s="2">
        <v>46246</v>
      </c>
      <c r="B922" s="3" t="s">
        <v>148</v>
      </c>
      <c r="C922" s="3" t="s">
        <v>513</v>
      </c>
      <c r="D922" s="3" t="s">
        <v>104</v>
      </c>
      <c r="E922" s="3" t="s">
        <v>31</v>
      </c>
      <c r="F922" s="3" t="s">
        <v>105</v>
      </c>
      <c r="G922" s="4" t="s">
        <v>106</v>
      </c>
      <c r="H922" s="4">
        <v>7</v>
      </c>
      <c r="I922" s="5">
        <v>0.25708333333333333</v>
      </c>
      <c r="J922" s="5">
        <v>0.15217592592592594</v>
      </c>
      <c r="K922" s="5">
        <f t="shared" si="28"/>
        <v>2.1739417989417992E-2</v>
      </c>
      <c r="L922" s="5">
        <v>0.18552083333333333</v>
      </c>
      <c r="M922" s="6">
        <f t="shared" si="29"/>
        <v>0.72163695299837927</v>
      </c>
      <c r="N922" s="5">
        <v>1.4560185185185185E-2</v>
      </c>
      <c r="O922" s="5">
        <v>1.412037037037037E-2</v>
      </c>
      <c r="P922" s="5"/>
      <c r="Q922" s="5"/>
      <c r="R922" s="5"/>
      <c r="S922" s="5">
        <v>1.4039351851851851E-2</v>
      </c>
      <c r="T922" s="5">
        <v>2.2303240740740742E-2</v>
      </c>
      <c r="U922" s="5">
        <v>3.7037037037037035E-4</v>
      </c>
      <c r="V922" s="5"/>
      <c r="W922" s="5">
        <v>0.12012731481481481</v>
      </c>
    </row>
    <row r="923" spans="1:23" x14ac:dyDescent="0.25">
      <c r="A923" s="2">
        <v>46246</v>
      </c>
      <c r="B923" s="3" t="s">
        <v>82</v>
      </c>
      <c r="C923" s="3" t="s">
        <v>83</v>
      </c>
      <c r="D923" s="3" t="s">
        <v>78</v>
      </c>
      <c r="E923" s="3" t="s">
        <v>79</v>
      </c>
      <c r="F923" s="3" t="s">
        <v>80</v>
      </c>
      <c r="G923" s="4" t="s">
        <v>81</v>
      </c>
      <c r="H923" s="4">
        <v>0</v>
      </c>
      <c r="I923" s="5">
        <v>0.24512731481481481</v>
      </c>
      <c r="J923" s="5">
        <v>0</v>
      </c>
      <c r="K923" s="5">
        <f t="shared" si="28"/>
        <v>0</v>
      </c>
      <c r="L923" s="5">
        <v>0.24512731481481481</v>
      </c>
      <c r="M923" s="6">
        <f t="shared" si="29"/>
        <v>1</v>
      </c>
      <c r="N923" s="5"/>
      <c r="O923" s="5"/>
      <c r="P923" s="5"/>
      <c r="Q923" s="5"/>
      <c r="R923" s="5"/>
      <c r="S923" s="5"/>
      <c r="T923" s="5">
        <v>0.24512731481481481</v>
      </c>
      <c r="U923" s="5"/>
      <c r="V923" s="5"/>
      <c r="W923" s="5"/>
    </row>
    <row r="924" spans="1:23" x14ac:dyDescent="0.25">
      <c r="A924" s="2">
        <v>46246</v>
      </c>
      <c r="B924" s="3" t="s">
        <v>234</v>
      </c>
      <c r="C924" s="3" t="s">
        <v>550</v>
      </c>
      <c r="D924" s="3" t="s">
        <v>233</v>
      </c>
      <c r="E924" s="3" t="s">
        <v>31</v>
      </c>
      <c r="F924" s="3" t="s">
        <v>32</v>
      </c>
      <c r="G924" s="4" t="s">
        <v>106</v>
      </c>
      <c r="H924" s="4">
        <v>27</v>
      </c>
      <c r="I924" s="5">
        <v>0.26196759259259261</v>
      </c>
      <c r="J924" s="5">
        <v>0.12657407407407406</v>
      </c>
      <c r="K924" s="5">
        <f t="shared" si="28"/>
        <v>4.6879286694101506E-3</v>
      </c>
      <c r="L924" s="5">
        <v>4.7395833333333331E-2</v>
      </c>
      <c r="M924" s="6">
        <f t="shared" si="29"/>
        <v>0.1809225059644782</v>
      </c>
      <c r="N924" s="5">
        <v>1.7025462962962964E-2</v>
      </c>
      <c r="O924" s="5">
        <v>1.480324074074074E-2</v>
      </c>
      <c r="P924" s="5"/>
      <c r="Q924" s="5"/>
      <c r="R924" s="5"/>
      <c r="S924" s="5">
        <v>1.5162037037037036E-2</v>
      </c>
      <c r="T924" s="5">
        <v>1.273148148148148E-4</v>
      </c>
      <c r="U924" s="5">
        <v>2.5462962962962961E-4</v>
      </c>
      <c r="V924" s="5"/>
      <c r="W924" s="5"/>
    </row>
    <row r="925" spans="1:23" x14ac:dyDescent="0.25">
      <c r="A925" s="2">
        <v>46246</v>
      </c>
      <c r="B925" s="3" t="s">
        <v>34</v>
      </c>
      <c r="C925" s="3" t="s">
        <v>505</v>
      </c>
      <c r="D925" s="3" t="s">
        <v>233</v>
      </c>
      <c r="E925" s="3" t="s">
        <v>31</v>
      </c>
      <c r="F925" s="3" t="s">
        <v>32</v>
      </c>
      <c r="G925" s="4" t="s">
        <v>106</v>
      </c>
      <c r="H925" s="4">
        <v>42</v>
      </c>
      <c r="I925" s="5">
        <v>0.26165509259259262</v>
      </c>
      <c r="J925" s="5">
        <v>0.12958333333333333</v>
      </c>
      <c r="K925" s="5">
        <f t="shared" si="28"/>
        <v>3.0853174603174601E-3</v>
      </c>
      <c r="L925" s="5">
        <v>3.2094907407407405E-2</v>
      </c>
      <c r="M925" s="6">
        <f t="shared" si="29"/>
        <v>0.12266112266112264</v>
      </c>
      <c r="N925" s="5">
        <v>2.4421296296296296E-3</v>
      </c>
      <c r="O925" s="5">
        <v>1.3483796296296296E-2</v>
      </c>
      <c r="P925" s="5"/>
      <c r="Q925" s="5"/>
      <c r="R925" s="5"/>
      <c r="S925" s="5">
        <v>1.3275462962962963E-2</v>
      </c>
      <c r="T925" s="5">
        <v>8.1018518518518516E-5</v>
      </c>
      <c r="U925" s="5">
        <v>2.0949074074074073E-3</v>
      </c>
      <c r="V925" s="5"/>
      <c r="W925" s="5"/>
    </row>
    <row r="926" spans="1:23" x14ac:dyDescent="0.25">
      <c r="A926" s="2">
        <v>46246</v>
      </c>
      <c r="B926" s="3" t="s">
        <v>493</v>
      </c>
      <c r="C926" s="3" t="s">
        <v>569</v>
      </c>
      <c r="D926" s="3" t="s">
        <v>104</v>
      </c>
      <c r="E926" s="3" t="s">
        <v>31</v>
      </c>
      <c r="F926" s="3" t="s">
        <v>105</v>
      </c>
      <c r="G926" s="4" t="s">
        <v>106</v>
      </c>
      <c r="H926" s="4">
        <v>14</v>
      </c>
      <c r="I926" s="5">
        <v>0.25994212962962965</v>
      </c>
      <c r="J926" s="5">
        <v>0.18349537037037036</v>
      </c>
      <c r="K926" s="5">
        <f t="shared" si="28"/>
        <v>1.3106812169312169E-2</v>
      </c>
      <c r="L926" s="5">
        <v>0.15122685185185186</v>
      </c>
      <c r="M926" s="6">
        <f t="shared" si="29"/>
        <v>0.58177122757023914</v>
      </c>
      <c r="N926" s="5">
        <v>4.0393518518518521E-3</v>
      </c>
      <c r="O926" s="5">
        <v>1.5023148148148148E-2</v>
      </c>
      <c r="P926" s="5">
        <v>3.4722222222222224E-4</v>
      </c>
      <c r="Q926" s="5">
        <v>1.4016203703703704E-2</v>
      </c>
      <c r="R926" s="5">
        <v>2.7893518518518519E-3</v>
      </c>
      <c r="S926" s="5">
        <v>1.4872685185185185E-2</v>
      </c>
      <c r="T926" s="5">
        <v>2.3148148148148149E-4</v>
      </c>
      <c r="U926" s="5">
        <v>6.5972222222222224E-4</v>
      </c>
      <c r="V926" s="5"/>
      <c r="W926" s="5">
        <v>9.9247685185185189E-2</v>
      </c>
    </row>
    <row r="927" spans="1:23" x14ac:dyDescent="0.25">
      <c r="A927" s="2">
        <v>46246</v>
      </c>
      <c r="B927" s="3" t="s">
        <v>238</v>
      </c>
      <c r="C927" s="3" t="s">
        <v>526</v>
      </c>
      <c r="D927" s="3" t="s">
        <v>233</v>
      </c>
      <c r="E927" s="3" t="s">
        <v>31</v>
      </c>
      <c r="F927" s="3" t="s">
        <v>32</v>
      </c>
      <c r="G927" s="4" t="s">
        <v>106</v>
      </c>
      <c r="H927" s="4">
        <v>0</v>
      </c>
      <c r="I927" s="5">
        <v>0.23943287037037037</v>
      </c>
      <c r="J927" s="5">
        <v>0</v>
      </c>
      <c r="K927" s="5">
        <f t="shared" si="28"/>
        <v>0</v>
      </c>
      <c r="L927" s="5">
        <v>0.2394212962962963</v>
      </c>
      <c r="M927" s="6">
        <f t="shared" si="29"/>
        <v>0.99995166046309281</v>
      </c>
      <c r="N927" s="5"/>
      <c r="O927" s="5">
        <v>7.5694444444444446E-3</v>
      </c>
      <c r="P927" s="5"/>
      <c r="Q927" s="5"/>
      <c r="R927" s="5"/>
      <c r="S927" s="5">
        <v>2.673611111111111E-3</v>
      </c>
      <c r="T927" s="5">
        <v>5.0925925925925921E-4</v>
      </c>
      <c r="U927" s="5"/>
      <c r="V927" s="5"/>
      <c r="W927" s="5">
        <v>0.22866898148148149</v>
      </c>
    </row>
    <row r="928" spans="1:23" x14ac:dyDescent="0.25">
      <c r="A928" s="2">
        <v>46246</v>
      </c>
      <c r="B928" s="3" t="s">
        <v>608</v>
      </c>
      <c r="C928" s="3" t="s">
        <v>631</v>
      </c>
      <c r="D928" s="3" t="s">
        <v>601</v>
      </c>
      <c r="E928" s="3" t="s">
        <v>31</v>
      </c>
      <c r="F928" s="3" t="s">
        <v>105</v>
      </c>
      <c r="G928" s="4" t="s">
        <v>33</v>
      </c>
      <c r="H928" s="4">
        <v>6</v>
      </c>
      <c r="I928" s="5">
        <v>0.23871527777777779</v>
      </c>
      <c r="J928" s="5">
        <v>0.12827546296296297</v>
      </c>
      <c r="K928" s="5">
        <f t="shared" si="28"/>
        <v>2.1379243827160496E-2</v>
      </c>
      <c r="L928" s="5">
        <v>0.19714120370370369</v>
      </c>
      <c r="M928" s="6">
        <f t="shared" si="29"/>
        <v>0.82584242424242416</v>
      </c>
      <c r="N928" s="5"/>
      <c r="O928" s="5">
        <v>1.3622685185185186E-2</v>
      </c>
      <c r="P928" s="5"/>
      <c r="Q928" s="5"/>
      <c r="R928" s="5"/>
      <c r="S928" s="5">
        <v>5.5324074074074078E-3</v>
      </c>
      <c r="T928" s="5">
        <v>6.2615740740740739E-3</v>
      </c>
      <c r="U928" s="5">
        <v>0.17172453703703705</v>
      </c>
      <c r="V928" s="5"/>
      <c r="W928" s="5"/>
    </row>
    <row r="929" spans="1:23" x14ac:dyDescent="0.25">
      <c r="A929" s="2">
        <v>46246</v>
      </c>
      <c r="B929" s="3" t="s">
        <v>307</v>
      </c>
      <c r="C929" s="3" t="s">
        <v>308</v>
      </c>
      <c r="D929" s="3" t="s">
        <v>78</v>
      </c>
      <c r="E929" s="3" t="s">
        <v>79</v>
      </c>
      <c r="F929" s="3" t="s">
        <v>80</v>
      </c>
      <c r="G929" s="4" t="s">
        <v>81</v>
      </c>
      <c r="H929" s="4">
        <v>0</v>
      </c>
      <c r="I929" s="5">
        <v>0.36335648148148147</v>
      </c>
      <c r="J929" s="5">
        <v>0</v>
      </c>
      <c r="K929" s="5">
        <f t="shared" si="28"/>
        <v>0</v>
      </c>
      <c r="L929" s="5">
        <v>0.15222222222222223</v>
      </c>
      <c r="M929" s="6">
        <f t="shared" si="29"/>
        <v>0.41893355418232786</v>
      </c>
      <c r="N929" s="5"/>
      <c r="O929" s="5"/>
      <c r="P929" s="5"/>
      <c r="Q929" s="5"/>
      <c r="R929" s="5">
        <v>1.1574074074074075E-4</v>
      </c>
      <c r="S929" s="5">
        <v>9.9236111111111108E-2</v>
      </c>
      <c r="T929" s="5">
        <v>3.3564814814814812E-4</v>
      </c>
      <c r="U929" s="5">
        <v>5.2395833333333336E-2</v>
      </c>
      <c r="V929" s="5"/>
      <c r="W929" s="5"/>
    </row>
    <row r="930" spans="1:23" x14ac:dyDescent="0.25">
      <c r="A930" s="2">
        <v>46246</v>
      </c>
      <c r="B930" s="3" t="s">
        <v>197</v>
      </c>
      <c r="C930" s="3" t="s">
        <v>564</v>
      </c>
      <c r="D930" s="3" t="s">
        <v>601</v>
      </c>
      <c r="E930" s="3" t="s">
        <v>31</v>
      </c>
      <c r="F930" s="3" t="s">
        <v>105</v>
      </c>
      <c r="G930" s="4" t="s">
        <v>33</v>
      </c>
      <c r="H930" s="4">
        <v>3</v>
      </c>
      <c r="I930" s="5">
        <v>0.18787037037037038</v>
      </c>
      <c r="J930" s="5">
        <v>9.0972222222222218E-2</v>
      </c>
      <c r="K930" s="5">
        <f t="shared" si="28"/>
        <v>3.0324074074074073E-2</v>
      </c>
      <c r="L930" s="5">
        <v>0.14877314814814815</v>
      </c>
      <c r="M930" s="6">
        <f t="shared" si="29"/>
        <v>0.79189255791030067</v>
      </c>
      <c r="N930" s="5"/>
      <c r="O930" s="5">
        <v>9.0972222222222218E-3</v>
      </c>
      <c r="P930" s="5"/>
      <c r="Q930" s="5"/>
      <c r="R930" s="5"/>
      <c r="S930" s="5">
        <v>1.832175925925926E-2</v>
      </c>
      <c r="T930" s="5">
        <v>9.4907407407407408E-4</v>
      </c>
      <c r="U930" s="5">
        <v>0.12040509259259259</v>
      </c>
      <c r="V930" s="5"/>
      <c r="W930" s="5"/>
    </row>
    <row r="931" spans="1:23" x14ac:dyDescent="0.25">
      <c r="A931" s="2">
        <v>46246</v>
      </c>
      <c r="B931" s="3" t="s">
        <v>150</v>
      </c>
      <c r="C931" s="3" t="s">
        <v>514</v>
      </c>
      <c r="D931" s="3" t="s">
        <v>146</v>
      </c>
      <c r="E931" s="3" t="s">
        <v>79</v>
      </c>
      <c r="F931" s="3" t="s">
        <v>147</v>
      </c>
      <c r="G931" s="4" t="s">
        <v>106</v>
      </c>
      <c r="H931" s="4">
        <v>21</v>
      </c>
      <c r="I931" s="5">
        <v>0.26245370370370369</v>
      </c>
      <c r="J931" s="5">
        <v>4.9976851851851849E-2</v>
      </c>
      <c r="K931" s="5">
        <f t="shared" si="28"/>
        <v>2.3798500881834213E-3</v>
      </c>
      <c r="L931" s="5">
        <v>3.667824074074074E-2</v>
      </c>
      <c r="M931" s="6">
        <f t="shared" si="29"/>
        <v>0.13975127888516495</v>
      </c>
      <c r="N931" s="5"/>
      <c r="O931" s="5">
        <v>1.3090277777777777E-2</v>
      </c>
      <c r="P931" s="5"/>
      <c r="Q931" s="5">
        <v>9.3634259259259261E-3</v>
      </c>
      <c r="R931" s="5"/>
      <c r="S931" s="5">
        <v>1.3877314814814815E-2</v>
      </c>
      <c r="T931" s="5">
        <v>5.7870370370370373E-5</v>
      </c>
      <c r="U931" s="5">
        <v>2.6620370370370372E-4</v>
      </c>
      <c r="V931" s="5"/>
      <c r="W931" s="5"/>
    </row>
    <row r="932" spans="1:23" x14ac:dyDescent="0.25">
      <c r="A932" s="2">
        <v>46246</v>
      </c>
      <c r="B932" s="3" t="s">
        <v>681</v>
      </c>
      <c r="C932" s="3" t="s">
        <v>682</v>
      </c>
      <c r="D932" s="3" t="s">
        <v>601</v>
      </c>
      <c r="E932" s="3" t="s">
        <v>31</v>
      </c>
      <c r="F932" s="3" t="s">
        <v>105</v>
      </c>
      <c r="G932" s="4" t="s">
        <v>33</v>
      </c>
      <c r="H932" s="4">
        <v>4</v>
      </c>
      <c r="I932" s="5">
        <v>0.20315972222222223</v>
      </c>
      <c r="J932" s="5">
        <v>0.12784722222222222</v>
      </c>
      <c r="K932" s="5">
        <f t="shared" si="28"/>
        <v>3.1961805555555556E-2</v>
      </c>
      <c r="L932" s="5">
        <v>0.15215277777777778</v>
      </c>
      <c r="M932" s="6">
        <f t="shared" si="29"/>
        <v>0.74893180652879843</v>
      </c>
      <c r="N932" s="5">
        <v>5.0115740740740737E-3</v>
      </c>
      <c r="O932" s="5">
        <v>1.5636574074074074E-2</v>
      </c>
      <c r="P932" s="5"/>
      <c r="Q932" s="5"/>
      <c r="R932" s="5"/>
      <c r="S932" s="5">
        <v>1.3912037037037037E-2</v>
      </c>
      <c r="T932" s="5">
        <v>7.407407407407407E-4</v>
      </c>
      <c r="U932" s="5">
        <v>0.11685185185185185</v>
      </c>
      <c r="V932" s="5"/>
      <c r="W932" s="5"/>
    </row>
    <row r="933" spans="1:23" x14ac:dyDescent="0.25">
      <c r="A933" s="2">
        <v>46246</v>
      </c>
      <c r="B933" s="3" t="s">
        <v>154</v>
      </c>
      <c r="C933" s="3" t="s">
        <v>515</v>
      </c>
      <c r="D933" s="3" t="s">
        <v>146</v>
      </c>
      <c r="E933" s="3" t="s">
        <v>79</v>
      </c>
      <c r="F933" s="3" t="s">
        <v>147</v>
      </c>
      <c r="G933" s="4" t="s">
        <v>106</v>
      </c>
      <c r="H933" s="4">
        <v>14</v>
      </c>
      <c r="I933" s="5">
        <v>0.26287037037037037</v>
      </c>
      <c r="J933" s="5">
        <v>3.650462962962963E-2</v>
      </c>
      <c r="K933" s="5">
        <f t="shared" si="28"/>
        <v>2.6074735449735449E-3</v>
      </c>
      <c r="L933" s="5">
        <v>5.185185185185185E-2</v>
      </c>
      <c r="M933" s="6">
        <f t="shared" si="29"/>
        <v>0.19725255371609721</v>
      </c>
      <c r="N933" s="5">
        <v>4.8611111111111112E-3</v>
      </c>
      <c r="O933" s="5">
        <v>1.037037037037037E-2</v>
      </c>
      <c r="P933" s="5">
        <v>1.25E-3</v>
      </c>
      <c r="Q933" s="5">
        <v>2.0648148148148148E-2</v>
      </c>
      <c r="R933" s="5"/>
      <c r="S933" s="5">
        <v>1.4016203703703704E-2</v>
      </c>
      <c r="T933" s="5">
        <v>5.7870370370370373E-5</v>
      </c>
      <c r="U933" s="5">
        <v>5.7870370370370367E-4</v>
      </c>
      <c r="V933" s="5"/>
      <c r="W933" s="5"/>
    </row>
    <row r="934" spans="1:23" x14ac:dyDescent="0.25">
      <c r="A934" s="2">
        <v>46246</v>
      </c>
      <c r="B934" s="3" t="s">
        <v>112</v>
      </c>
      <c r="C934" s="3" t="s">
        <v>570</v>
      </c>
      <c r="D934" s="3" t="s">
        <v>104</v>
      </c>
      <c r="E934" s="3" t="s">
        <v>31</v>
      </c>
      <c r="F934" s="3" t="s">
        <v>105</v>
      </c>
      <c r="G934" s="4" t="s">
        <v>106</v>
      </c>
      <c r="H934" s="4">
        <v>10</v>
      </c>
      <c r="I934" s="5">
        <v>0.24069444444444443</v>
      </c>
      <c r="J934" s="5">
        <v>0.19526620370370371</v>
      </c>
      <c r="K934" s="5">
        <f t="shared" si="28"/>
        <v>1.9526620370370371E-2</v>
      </c>
      <c r="L934" s="5">
        <v>0.13947916666666665</v>
      </c>
      <c r="M934" s="6">
        <f t="shared" si="29"/>
        <v>0.57948643969994229</v>
      </c>
      <c r="N934" s="5">
        <v>2.5451388888888888E-2</v>
      </c>
      <c r="O934" s="5">
        <v>2.1469907407407406E-2</v>
      </c>
      <c r="P934" s="5"/>
      <c r="Q934" s="5"/>
      <c r="R934" s="5"/>
      <c r="S934" s="5">
        <v>1.4270833333333333E-2</v>
      </c>
      <c r="T934" s="5">
        <v>2.5347222222222221E-3</v>
      </c>
      <c r="U934" s="5">
        <v>9.3749999999999997E-4</v>
      </c>
      <c r="V934" s="5"/>
      <c r="W934" s="5">
        <v>7.481481481481482E-2</v>
      </c>
    </row>
    <row r="935" spans="1:23" x14ac:dyDescent="0.25">
      <c r="A935" s="2">
        <v>46246</v>
      </c>
      <c r="B935" s="3" t="s">
        <v>42</v>
      </c>
      <c r="C935" s="3" t="s">
        <v>537</v>
      </c>
      <c r="D935" s="3" t="s">
        <v>104</v>
      </c>
      <c r="E935" s="3" t="s">
        <v>31</v>
      </c>
      <c r="F935" s="3" t="s">
        <v>105</v>
      </c>
      <c r="G935" s="4" t="s">
        <v>106</v>
      </c>
      <c r="H935" s="4">
        <v>17</v>
      </c>
      <c r="I935" s="5">
        <v>0.25700231481481484</v>
      </c>
      <c r="J935" s="5">
        <v>0.19648148148148148</v>
      </c>
      <c r="K935" s="5">
        <f t="shared" si="28"/>
        <v>1.1557734204793028E-2</v>
      </c>
      <c r="L935" s="5">
        <v>0.16074074074074074</v>
      </c>
      <c r="M935" s="6">
        <f t="shared" si="29"/>
        <v>0.62544471965773474</v>
      </c>
      <c r="N935" s="5">
        <v>6.2037037037037035E-3</v>
      </c>
      <c r="O935" s="5">
        <v>1.4699074074074074E-2</v>
      </c>
      <c r="P935" s="5"/>
      <c r="Q935" s="5"/>
      <c r="R935" s="5"/>
      <c r="S935" s="5">
        <v>1.3912037037037037E-2</v>
      </c>
      <c r="T935" s="5">
        <v>5.2083333333333333E-4</v>
      </c>
      <c r="U935" s="5">
        <v>2.2222222222222222E-3</v>
      </c>
      <c r="V935" s="5"/>
      <c r="W935" s="5">
        <v>0.12315972222222223</v>
      </c>
    </row>
    <row r="936" spans="1:23" x14ac:dyDescent="0.25">
      <c r="A936" s="2">
        <v>46246</v>
      </c>
      <c r="B936" s="3" t="s">
        <v>156</v>
      </c>
      <c r="C936" s="3" t="s">
        <v>516</v>
      </c>
      <c r="D936" s="3" t="s">
        <v>146</v>
      </c>
      <c r="E936" s="3" t="s">
        <v>79</v>
      </c>
      <c r="F936" s="3" t="s">
        <v>147</v>
      </c>
      <c r="G936" s="4" t="s">
        <v>106</v>
      </c>
      <c r="H936" s="4">
        <v>22</v>
      </c>
      <c r="I936" s="5">
        <v>0.28038194444444442</v>
      </c>
      <c r="J936" s="5">
        <v>4.1782407407407407E-2</v>
      </c>
      <c r="K936" s="5">
        <f t="shared" si="28"/>
        <v>1.8992003367003366E-3</v>
      </c>
      <c r="L936" s="5">
        <v>4.9305555555555554E-2</v>
      </c>
      <c r="M936" s="6">
        <f t="shared" si="29"/>
        <v>0.17585139318885451</v>
      </c>
      <c r="N936" s="5"/>
      <c r="O936" s="5">
        <v>6.7592592592592591E-3</v>
      </c>
      <c r="P936" s="5"/>
      <c r="Q936" s="5">
        <v>2.361111111111111E-2</v>
      </c>
      <c r="R936" s="5"/>
      <c r="S936" s="5">
        <v>1.3229166666666667E-2</v>
      </c>
      <c r="T936" s="5">
        <v>3.460648148148148E-3</v>
      </c>
      <c r="U936" s="5">
        <v>2.1180555555555558E-3</v>
      </c>
      <c r="V936" s="5"/>
      <c r="W936" s="5"/>
    </row>
    <row r="937" spans="1:23" x14ac:dyDescent="0.25">
      <c r="A937" s="2">
        <v>46246</v>
      </c>
      <c r="B937" s="3" t="s">
        <v>114</v>
      </c>
      <c r="C937" s="3" t="s">
        <v>541</v>
      </c>
      <c r="D937" s="3" t="s">
        <v>104</v>
      </c>
      <c r="E937" s="3" t="s">
        <v>31</v>
      </c>
      <c r="F937" s="3" t="s">
        <v>105</v>
      </c>
      <c r="G937" s="4" t="s">
        <v>106</v>
      </c>
      <c r="H937" s="4">
        <v>9</v>
      </c>
      <c r="I937" s="5">
        <v>0.2467013888888889</v>
      </c>
      <c r="J937" s="5">
        <v>0.11587962962962962</v>
      </c>
      <c r="K937" s="5">
        <f t="shared" si="28"/>
        <v>1.287551440329218E-2</v>
      </c>
      <c r="L937" s="5">
        <v>0.16289351851851852</v>
      </c>
      <c r="M937" s="6">
        <f t="shared" si="29"/>
        <v>0.66028618343889278</v>
      </c>
      <c r="N937" s="5">
        <v>3.2986111111111111E-3</v>
      </c>
      <c r="O937" s="5">
        <v>1.6516203703703703E-2</v>
      </c>
      <c r="P937" s="5"/>
      <c r="Q937" s="5">
        <v>5.092592592592593E-3</v>
      </c>
      <c r="R937" s="5"/>
      <c r="S937" s="5">
        <v>1.4074074074074074E-2</v>
      </c>
      <c r="T937" s="5">
        <v>3.5138888888888886E-2</v>
      </c>
      <c r="U937" s="5">
        <v>6.2500000000000001E-4</v>
      </c>
      <c r="V937" s="5"/>
      <c r="W937" s="5">
        <v>8.8148148148148142E-2</v>
      </c>
    </row>
    <row r="938" spans="1:23" x14ac:dyDescent="0.25">
      <c r="A938" s="2">
        <v>46246</v>
      </c>
      <c r="B938" s="3" t="s">
        <v>44</v>
      </c>
      <c r="C938" s="3" t="s">
        <v>506</v>
      </c>
      <c r="D938" s="3" t="s">
        <v>100</v>
      </c>
      <c r="E938" s="3" t="s">
        <v>31</v>
      </c>
      <c r="F938" s="3" t="s">
        <v>32</v>
      </c>
      <c r="G938" s="4" t="s">
        <v>33</v>
      </c>
      <c r="H938" s="4">
        <v>35</v>
      </c>
      <c r="I938" s="5">
        <v>0.26331018518518517</v>
      </c>
      <c r="J938" s="5">
        <v>0.18875</v>
      </c>
      <c r="K938" s="5">
        <f t="shared" si="28"/>
        <v>5.3928571428571428E-3</v>
      </c>
      <c r="L938" s="5">
        <v>3.3171296296296296E-2</v>
      </c>
      <c r="M938" s="6">
        <f t="shared" si="29"/>
        <v>0.12597802197802199</v>
      </c>
      <c r="N938" s="5"/>
      <c r="O938" s="5">
        <v>1.3912037037037037E-2</v>
      </c>
      <c r="P938" s="5"/>
      <c r="Q938" s="5"/>
      <c r="R938" s="5"/>
      <c r="S938" s="5">
        <v>1.3923611111111111E-2</v>
      </c>
      <c r="T938" s="5">
        <v>1.3657407407407407E-3</v>
      </c>
      <c r="U938" s="5">
        <v>3.8773148148148148E-3</v>
      </c>
      <c r="V938" s="5"/>
      <c r="W938" s="5"/>
    </row>
    <row r="939" spans="1:23" x14ac:dyDescent="0.25">
      <c r="A939" s="2">
        <v>46246</v>
      </c>
      <c r="B939" s="3" t="s">
        <v>609</v>
      </c>
      <c r="C939" s="3" t="s">
        <v>632</v>
      </c>
      <c r="D939" s="3" t="s">
        <v>601</v>
      </c>
      <c r="E939" s="3" t="s">
        <v>31</v>
      </c>
      <c r="F939" s="3" t="s">
        <v>105</v>
      </c>
      <c r="G939" s="4" t="s">
        <v>33</v>
      </c>
      <c r="H939" s="4">
        <v>5</v>
      </c>
      <c r="I939" s="5">
        <v>0.24876157407407407</v>
      </c>
      <c r="J939" s="5">
        <v>7.3842592592592599E-2</v>
      </c>
      <c r="K939" s="5">
        <f t="shared" si="28"/>
        <v>1.4768518518518519E-2</v>
      </c>
      <c r="L939" s="5">
        <v>0.21832175925925926</v>
      </c>
      <c r="M939" s="6">
        <f t="shared" si="29"/>
        <v>0.87763457870004191</v>
      </c>
      <c r="N939" s="5">
        <v>3.1608796296296295E-2</v>
      </c>
      <c r="O939" s="5">
        <v>1.6030092592592592E-2</v>
      </c>
      <c r="P939" s="5"/>
      <c r="Q939" s="5"/>
      <c r="R939" s="5"/>
      <c r="S939" s="5">
        <v>1.474537037037037E-2</v>
      </c>
      <c r="T939" s="5">
        <v>8.564814814814815E-4</v>
      </c>
      <c r="U939" s="5">
        <v>0.15502314814814816</v>
      </c>
      <c r="V939" s="5"/>
      <c r="W939" s="5">
        <v>5.7870370370370373E-5</v>
      </c>
    </row>
    <row r="940" spans="1:23" x14ac:dyDescent="0.25">
      <c r="A940" s="2">
        <v>46246</v>
      </c>
      <c r="B940" s="3" t="s">
        <v>240</v>
      </c>
      <c r="C940" s="3" t="s">
        <v>527</v>
      </c>
      <c r="D940" s="3" t="s">
        <v>233</v>
      </c>
      <c r="E940" s="3" t="s">
        <v>31</v>
      </c>
      <c r="F940" s="3" t="s">
        <v>32</v>
      </c>
      <c r="G940" s="4" t="s">
        <v>106</v>
      </c>
      <c r="H940" s="4">
        <v>0</v>
      </c>
      <c r="I940" s="5">
        <v>0.16175925925925927</v>
      </c>
      <c r="J940" s="5">
        <v>0</v>
      </c>
      <c r="K940" s="5">
        <f t="shared" si="28"/>
        <v>0</v>
      </c>
      <c r="L940" s="5">
        <v>0.16175925925925927</v>
      </c>
      <c r="M940" s="6">
        <f t="shared" si="29"/>
        <v>1</v>
      </c>
      <c r="N940" s="5">
        <v>1.0844907407407407E-2</v>
      </c>
      <c r="O940" s="5">
        <v>1.3287037037037036E-2</v>
      </c>
      <c r="P940" s="5"/>
      <c r="Q940" s="5"/>
      <c r="R940" s="5"/>
      <c r="S940" s="5">
        <v>1.3969907407407407E-2</v>
      </c>
      <c r="T940" s="5">
        <v>3.4722222222222224E-4</v>
      </c>
      <c r="U940" s="5"/>
      <c r="V940" s="5"/>
      <c r="W940" s="5">
        <v>0.12331018518518519</v>
      </c>
    </row>
    <row r="941" spans="1:23" x14ac:dyDescent="0.25">
      <c r="A941" s="2">
        <v>46246</v>
      </c>
      <c r="B941" s="3" t="s">
        <v>497</v>
      </c>
      <c r="C941" s="3" t="s">
        <v>498</v>
      </c>
      <c r="D941" s="3" t="s">
        <v>78</v>
      </c>
      <c r="E941" s="3" t="s">
        <v>79</v>
      </c>
      <c r="F941" s="3" t="s">
        <v>80</v>
      </c>
      <c r="G941" s="4" t="s">
        <v>81</v>
      </c>
      <c r="H941" s="4">
        <v>1</v>
      </c>
      <c r="I941" s="5">
        <v>0.34677083333333331</v>
      </c>
      <c r="J941" s="5">
        <v>2.3287037037037037E-2</v>
      </c>
      <c r="K941" s="5">
        <f t="shared" si="28"/>
        <v>2.3287037037037037E-2</v>
      </c>
      <c r="L941" s="5">
        <v>5.7233796296296297E-2</v>
      </c>
      <c r="M941" s="6">
        <f t="shared" si="29"/>
        <v>0.16504789559761024</v>
      </c>
      <c r="N941" s="5"/>
      <c r="O941" s="5">
        <v>1.4236111111111111E-2</v>
      </c>
      <c r="P941" s="5"/>
      <c r="Q941" s="5"/>
      <c r="R941" s="5"/>
      <c r="S941" s="5">
        <v>4.1840277777777775E-2</v>
      </c>
      <c r="T941" s="5">
        <v>1.1111111111111111E-3</v>
      </c>
      <c r="U941" s="5"/>
      <c r="V941" s="5"/>
      <c r="W941" s="5"/>
    </row>
    <row r="942" spans="1:23" x14ac:dyDescent="0.25">
      <c r="A942" s="2">
        <v>46246</v>
      </c>
      <c r="B942" s="3" t="s">
        <v>309</v>
      </c>
      <c r="C942" s="3" t="s">
        <v>310</v>
      </c>
      <c r="D942" s="3" t="s">
        <v>78</v>
      </c>
      <c r="E942" s="3" t="s">
        <v>79</v>
      </c>
      <c r="F942" s="3" t="s">
        <v>80</v>
      </c>
      <c r="G942" s="4" t="s">
        <v>81</v>
      </c>
      <c r="H942" s="4">
        <v>1</v>
      </c>
      <c r="I942" s="5">
        <v>0.34480324074074076</v>
      </c>
      <c r="J942" s="5">
        <v>1.0173611111111111E-2</v>
      </c>
      <c r="K942" s="5">
        <f t="shared" si="28"/>
        <v>1.0173611111111111E-2</v>
      </c>
      <c r="L942" s="5">
        <v>8.3275462962962968E-2</v>
      </c>
      <c r="M942" s="6">
        <f t="shared" si="29"/>
        <v>0.24151589406196503</v>
      </c>
      <c r="N942" s="5">
        <v>1.03125E-2</v>
      </c>
      <c r="O942" s="5">
        <v>4.1643518518518517E-2</v>
      </c>
      <c r="P942" s="5"/>
      <c r="Q942" s="5"/>
      <c r="R942" s="5"/>
      <c r="S942" s="5">
        <v>7.8009259259259256E-3</v>
      </c>
      <c r="T942" s="5">
        <v>6.9444444444444444E-5</v>
      </c>
      <c r="U942" s="5">
        <v>1.5046296296296297E-4</v>
      </c>
      <c r="V942" s="5"/>
      <c r="W942" s="5">
        <v>2.329861111111111E-2</v>
      </c>
    </row>
    <row r="943" spans="1:23" x14ac:dyDescent="0.25">
      <c r="A943" s="2">
        <v>46246</v>
      </c>
      <c r="B943" s="3" t="s">
        <v>160</v>
      </c>
      <c r="C943" s="3" t="s">
        <v>544</v>
      </c>
      <c r="D943" s="3" t="s">
        <v>146</v>
      </c>
      <c r="E943" s="3" t="s">
        <v>79</v>
      </c>
      <c r="F943" s="3" t="s">
        <v>147</v>
      </c>
      <c r="G943" s="4" t="s">
        <v>106</v>
      </c>
      <c r="H943" s="4">
        <v>18</v>
      </c>
      <c r="I943" s="5">
        <v>0.26124999999999998</v>
      </c>
      <c r="J943" s="5">
        <v>4.8101851851851854E-2</v>
      </c>
      <c r="K943" s="5">
        <f t="shared" si="28"/>
        <v>2.6723251028806586E-3</v>
      </c>
      <c r="L943" s="5">
        <v>6.7708333333333329E-2</v>
      </c>
      <c r="M943" s="6">
        <f t="shared" si="29"/>
        <v>0.259170653907496</v>
      </c>
      <c r="N943" s="5">
        <v>9.0277777777777769E-3</v>
      </c>
      <c r="O943" s="5">
        <v>1.5648148148148147E-2</v>
      </c>
      <c r="P943" s="5"/>
      <c r="Q943" s="5">
        <v>2.8460648148148148E-2</v>
      </c>
      <c r="R943" s="5"/>
      <c r="S943" s="5">
        <v>1.4513888888888889E-2</v>
      </c>
      <c r="T943" s="5">
        <v>5.7870370370370373E-5</v>
      </c>
      <c r="U943" s="5"/>
      <c r="V943" s="5"/>
      <c r="W943" s="5"/>
    </row>
    <row r="944" spans="1:23" x14ac:dyDescent="0.25">
      <c r="A944" s="2">
        <v>46246</v>
      </c>
      <c r="B944" s="3" t="s">
        <v>645</v>
      </c>
      <c r="C944" s="3" t="s">
        <v>646</v>
      </c>
      <c r="D944" s="3" t="s">
        <v>100</v>
      </c>
      <c r="E944" s="3" t="s">
        <v>31</v>
      </c>
      <c r="F944" s="3" t="s">
        <v>32</v>
      </c>
      <c r="G944" s="4" t="s">
        <v>33</v>
      </c>
      <c r="H944" s="4">
        <v>35</v>
      </c>
      <c r="I944" s="5">
        <v>0.26430555555555557</v>
      </c>
      <c r="J944" s="5">
        <v>0.17482638888888888</v>
      </c>
      <c r="K944" s="5">
        <f t="shared" si="28"/>
        <v>4.9950396825396825E-3</v>
      </c>
      <c r="L944" s="5">
        <v>3.8819444444444441E-2</v>
      </c>
      <c r="M944" s="6">
        <f t="shared" si="29"/>
        <v>0.1468733578560168</v>
      </c>
      <c r="N944" s="5">
        <v>6.6898148148148151E-3</v>
      </c>
      <c r="O944" s="5">
        <v>1.3391203703703704E-2</v>
      </c>
      <c r="P944" s="5"/>
      <c r="Q944" s="5">
        <v>1.8287037037037037E-3</v>
      </c>
      <c r="R944" s="5"/>
      <c r="S944" s="5">
        <v>1.4594907407407407E-2</v>
      </c>
      <c r="T944" s="5">
        <v>1.0069444444444444E-3</v>
      </c>
      <c r="U944" s="5">
        <v>1.2152777777777778E-3</v>
      </c>
      <c r="V944" s="5"/>
      <c r="W944" s="5"/>
    </row>
    <row r="945" spans="1:23" x14ac:dyDescent="0.25">
      <c r="A945" s="2">
        <v>46246</v>
      </c>
      <c r="B945" s="3" t="s">
        <v>120</v>
      </c>
      <c r="C945" s="3" t="s">
        <v>558</v>
      </c>
      <c r="D945" s="3" t="s">
        <v>233</v>
      </c>
      <c r="E945" s="3" t="s">
        <v>31</v>
      </c>
      <c r="F945" s="3" t="s">
        <v>32</v>
      </c>
      <c r="G945" s="4" t="s">
        <v>106</v>
      </c>
      <c r="H945" s="4">
        <v>37</v>
      </c>
      <c r="I945" s="5">
        <v>0.2630439814814815</v>
      </c>
      <c r="J945" s="5">
        <v>0.11076388888888888</v>
      </c>
      <c r="K945" s="5">
        <f t="shared" si="28"/>
        <v>2.9936186186186185E-3</v>
      </c>
      <c r="L945" s="5">
        <v>5.6273148148148149E-2</v>
      </c>
      <c r="M945" s="6">
        <f t="shared" si="29"/>
        <v>0.21393056716680597</v>
      </c>
      <c r="N945" s="5">
        <v>8.5995370370370375E-3</v>
      </c>
      <c r="O945" s="5">
        <v>6.5162037037037037E-3</v>
      </c>
      <c r="P945" s="5"/>
      <c r="Q945" s="5"/>
      <c r="R945" s="5"/>
      <c r="S945" s="5">
        <v>2.0347222222222221E-2</v>
      </c>
      <c r="T945" s="5">
        <v>5.138888888888889E-3</v>
      </c>
      <c r="U945" s="5">
        <v>3.8310185185185183E-3</v>
      </c>
      <c r="V945" s="5"/>
      <c r="W945" s="5">
        <v>1.1828703703703704E-2</v>
      </c>
    </row>
    <row r="946" spans="1:23" x14ac:dyDescent="0.25">
      <c r="A946" s="2">
        <v>46246</v>
      </c>
      <c r="B946" s="3" t="s">
        <v>46</v>
      </c>
      <c r="C946" s="3" t="s">
        <v>507</v>
      </c>
      <c r="D946" s="3" t="s">
        <v>100</v>
      </c>
      <c r="E946" s="3" t="s">
        <v>31</v>
      </c>
      <c r="F946" s="3" t="s">
        <v>32</v>
      </c>
      <c r="G946" s="4" t="s">
        <v>33</v>
      </c>
      <c r="H946" s="4">
        <v>39</v>
      </c>
      <c r="I946" s="5">
        <v>0.26435185185185184</v>
      </c>
      <c r="J946" s="5">
        <v>0.15418981481481481</v>
      </c>
      <c r="K946" s="5">
        <f t="shared" si="28"/>
        <v>3.9535849952516619E-3</v>
      </c>
      <c r="L946" s="5">
        <v>3.408564814814815E-2</v>
      </c>
      <c r="M946" s="6">
        <f t="shared" si="29"/>
        <v>0.12894045534150614</v>
      </c>
      <c r="N946" s="5">
        <v>2.685185185185185E-3</v>
      </c>
      <c r="O946" s="5">
        <v>1.4861111111111111E-2</v>
      </c>
      <c r="P946" s="5"/>
      <c r="Q946" s="5"/>
      <c r="R946" s="5"/>
      <c r="S946" s="5">
        <v>1.4467592592592593E-2</v>
      </c>
      <c r="T946" s="5">
        <v>9.2592592592592588E-5</v>
      </c>
      <c r="U946" s="5">
        <v>1.8865740740740742E-3</v>
      </c>
      <c r="V946" s="5"/>
      <c r="W946" s="5"/>
    </row>
    <row r="947" spans="1:23" x14ac:dyDescent="0.25">
      <c r="A947" s="2">
        <v>46246</v>
      </c>
      <c r="B947" s="3" t="s">
        <v>287</v>
      </c>
      <c r="C947" s="3" t="s">
        <v>542</v>
      </c>
      <c r="D947" s="3" t="s">
        <v>104</v>
      </c>
      <c r="E947" s="3" t="s">
        <v>31</v>
      </c>
      <c r="F947" s="3" t="s">
        <v>105</v>
      </c>
      <c r="G947" s="4" t="s">
        <v>106</v>
      </c>
      <c r="H947" s="4">
        <v>7</v>
      </c>
      <c r="I947" s="5">
        <v>0.23041666666666666</v>
      </c>
      <c r="J947" s="5">
        <v>0.11972222222222222</v>
      </c>
      <c r="K947" s="5">
        <f t="shared" si="28"/>
        <v>1.7103174603174603E-2</v>
      </c>
      <c r="L947" s="5">
        <v>0.15739583333333335</v>
      </c>
      <c r="M947" s="6">
        <f t="shared" si="29"/>
        <v>0.68309222423146476</v>
      </c>
      <c r="N947" s="5">
        <v>1.9722222222222221E-2</v>
      </c>
      <c r="O947" s="5">
        <v>1.8715277777777779E-2</v>
      </c>
      <c r="P947" s="5"/>
      <c r="Q947" s="5"/>
      <c r="R947" s="5"/>
      <c r="S947" s="5">
        <v>9.1435185185185178E-3</v>
      </c>
      <c r="T947" s="5">
        <v>1.273148148148148E-4</v>
      </c>
      <c r="U947" s="5">
        <v>2.0949074074074073E-3</v>
      </c>
      <c r="V947" s="5"/>
      <c r="W947" s="5">
        <v>0.10758101851851852</v>
      </c>
    </row>
    <row r="948" spans="1:23" x14ac:dyDescent="0.25">
      <c r="A948" s="2">
        <v>46246</v>
      </c>
      <c r="B948" s="3" t="s">
        <v>499</v>
      </c>
      <c r="C948" s="3" t="s">
        <v>517</v>
      </c>
      <c r="D948" s="3" t="s">
        <v>146</v>
      </c>
      <c r="E948" s="3" t="s">
        <v>79</v>
      </c>
      <c r="F948" s="3" t="s">
        <v>147</v>
      </c>
      <c r="G948" s="4" t="s">
        <v>106</v>
      </c>
      <c r="H948" s="4">
        <v>11</v>
      </c>
      <c r="I948" s="5">
        <v>0.24458333333333335</v>
      </c>
      <c r="J948" s="5">
        <v>3.5300925925925923E-2</v>
      </c>
      <c r="K948" s="5">
        <f t="shared" si="28"/>
        <v>3.2091750841750839E-3</v>
      </c>
      <c r="L948" s="5">
        <v>6.5798611111111113E-2</v>
      </c>
      <c r="M948" s="6">
        <f t="shared" si="29"/>
        <v>0.26902328222600796</v>
      </c>
      <c r="N948" s="5">
        <v>1.5613425925925926E-2</v>
      </c>
      <c r="O948" s="5">
        <v>1.4837962962962963E-2</v>
      </c>
      <c r="P948" s="5">
        <v>2.0138888888888888E-3</v>
      </c>
      <c r="Q948" s="5">
        <v>8.4953703703703701E-3</v>
      </c>
      <c r="R948" s="5"/>
      <c r="S948" s="5">
        <v>1.6250000000000001E-2</v>
      </c>
      <c r="T948" s="5">
        <v>1.1574074074074075E-4</v>
      </c>
      <c r="U948" s="5">
        <v>5.0925925925925921E-4</v>
      </c>
      <c r="V948" s="5"/>
      <c r="W948" s="5">
        <v>7.9398148148148145E-3</v>
      </c>
    </row>
    <row r="949" spans="1:23" x14ac:dyDescent="0.25">
      <c r="A949" s="2">
        <v>46246</v>
      </c>
      <c r="B949" s="3" t="s">
        <v>647</v>
      </c>
      <c r="C949" s="3" t="s">
        <v>648</v>
      </c>
      <c r="D949" s="3" t="s">
        <v>233</v>
      </c>
      <c r="E949" s="3" t="s">
        <v>31</v>
      </c>
      <c r="F949" s="3" t="s">
        <v>32</v>
      </c>
      <c r="G949" s="4" t="s">
        <v>106</v>
      </c>
      <c r="H949" s="4">
        <v>33</v>
      </c>
      <c r="I949" s="5">
        <v>0.26306712962962964</v>
      </c>
      <c r="J949" s="5">
        <v>0.11674768518518519</v>
      </c>
      <c r="K949" s="5">
        <f t="shared" si="28"/>
        <v>3.5378086419753088E-3</v>
      </c>
      <c r="L949" s="5">
        <v>4.8020833333333332E-2</v>
      </c>
      <c r="M949" s="6">
        <f t="shared" si="29"/>
        <v>0.18254212679836332</v>
      </c>
      <c r="N949" s="5">
        <v>9.1203703703703707E-3</v>
      </c>
      <c r="O949" s="5">
        <v>1.4907407407407407E-2</v>
      </c>
      <c r="P949" s="5"/>
      <c r="Q949" s="5">
        <v>7.743055555555556E-3</v>
      </c>
      <c r="R949" s="5"/>
      <c r="S949" s="5">
        <v>1.4768518518518519E-2</v>
      </c>
      <c r="T949" s="5">
        <v>1.2268518518518518E-3</v>
      </c>
      <c r="U949" s="5">
        <v>2.3148148148148149E-4</v>
      </c>
      <c r="V949" s="5"/>
      <c r="W949" s="5"/>
    </row>
    <row r="950" spans="1:23" x14ac:dyDescent="0.25">
      <c r="A950" s="2">
        <v>46246</v>
      </c>
      <c r="B950" s="3" t="s">
        <v>649</v>
      </c>
      <c r="C950" s="3" t="s">
        <v>650</v>
      </c>
      <c r="D950" s="3" t="s">
        <v>104</v>
      </c>
      <c r="E950" s="3" t="s">
        <v>31</v>
      </c>
      <c r="F950" s="3" t="s">
        <v>105</v>
      </c>
      <c r="G950" s="4" t="s">
        <v>106</v>
      </c>
      <c r="H950" s="4">
        <v>13</v>
      </c>
      <c r="I950" s="5">
        <v>0.28767361111111112</v>
      </c>
      <c r="J950" s="5">
        <v>0.14069444444444446</v>
      </c>
      <c r="K950" s="5">
        <f t="shared" si="28"/>
        <v>1.0822649572649574E-2</v>
      </c>
      <c r="L950" s="5">
        <v>0.1638425925925926</v>
      </c>
      <c r="M950" s="6">
        <f t="shared" si="29"/>
        <v>0.56954335143834234</v>
      </c>
      <c r="N950" s="5">
        <v>2.488425925925926E-3</v>
      </c>
      <c r="O950" s="5">
        <v>1.7083333333333332E-2</v>
      </c>
      <c r="P950" s="5"/>
      <c r="Q950" s="5"/>
      <c r="R950" s="5"/>
      <c r="S950" s="5">
        <v>1.6134259259259258E-2</v>
      </c>
      <c r="T950" s="5">
        <v>5.2083333333333333E-4</v>
      </c>
      <c r="U950" s="5">
        <v>1.2060185185185186E-2</v>
      </c>
      <c r="V950" s="5"/>
      <c r="W950" s="5">
        <v>0.11555555555555555</v>
      </c>
    </row>
    <row r="951" spans="1:23" x14ac:dyDescent="0.25">
      <c r="A951" s="2">
        <v>46246</v>
      </c>
      <c r="B951" s="3" t="s">
        <v>651</v>
      </c>
      <c r="C951" s="3" t="s">
        <v>652</v>
      </c>
      <c r="D951" s="3" t="s">
        <v>100</v>
      </c>
      <c r="E951" s="3" t="s">
        <v>31</v>
      </c>
      <c r="F951" s="3" t="s">
        <v>32</v>
      </c>
      <c r="G951" s="4" t="s">
        <v>33</v>
      </c>
      <c r="H951" s="4">
        <v>27</v>
      </c>
      <c r="I951" s="5">
        <v>0.26829861111111108</v>
      </c>
      <c r="J951" s="5">
        <v>0.19872685185185185</v>
      </c>
      <c r="K951" s="5">
        <f t="shared" si="28"/>
        <v>7.3602537722908092E-3</v>
      </c>
      <c r="L951" s="5">
        <v>3.5034722222222224E-2</v>
      </c>
      <c r="M951" s="6">
        <f t="shared" si="29"/>
        <v>0.13058107933221175</v>
      </c>
      <c r="N951" s="5">
        <v>5.185185185185185E-3</v>
      </c>
      <c r="O951" s="5">
        <v>1.4328703703703703E-2</v>
      </c>
      <c r="P951" s="5"/>
      <c r="Q951" s="5"/>
      <c r="R951" s="5"/>
      <c r="S951" s="5">
        <v>1.5081018518518518E-2</v>
      </c>
      <c r="T951" s="5">
        <v>4.3981481481481481E-4</v>
      </c>
      <c r="U951" s="5"/>
      <c r="V951" s="5"/>
      <c r="W951" s="5"/>
    </row>
    <row r="952" spans="1:23" x14ac:dyDescent="0.25">
      <c r="A952" s="2">
        <v>46246</v>
      </c>
      <c r="B952" s="3" t="s">
        <v>246</v>
      </c>
      <c r="C952" s="3" t="s">
        <v>568</v>
      </c>
      <c r="D952" s="3" t="s">
        <v>233</v>
      </c>
      <c r="E952" s="3" t="s">
        <v>31</v>
      </c>
      <c r="F952" s="3" t="s">
        <v>32</v>
      </c>
      <c r="G952" s="4" t="s">
        <v>106</v>
      </c>
      <c r="H952" s="4">
        <v>49</v>
      </c>
      <c r="I952" s="5">
        <v>0.35163194444444446</v>
      </c>
      <c r="J952" s="5">
        <v>0.1763888888888889</v>
      </c>
      <c r="K952" s="5">
        <f t="shared" si="28"/>
        <v>3.5997732426303855E-3</v>
      </c>
      <c r="L952" s="5">
        <v>5.8263888888888886E-2</v>
      </c>
      <c r="M952" s="6">
        <f t="shared" si="29"/>
        <v>0.16569566505381653</v>
      </c>
      <c r="N952" s="5">
        <v>8.773148148148148E-3</v>
      </c>
      <c r="O952" s="5">
        <v>1.4687499999999999E-2</v>
      </c>
      <c r="P952" s="5"/>
      <c r="Q952" s="5">
        <v>6.8287037037037036E-4</v>
      </c>
      <c r="R952" s="5"/>
      <c r="S952" s="5">
        <v>1.4236111111111111E-2</v>
      </c>
      <c r="T952" s="5">
        <v>1.8298611111111113E-2</v>
      </c>
      <c r="U952" s="5"/>
      <c r="V952" s="5"/>
      <c r="W952" s="5">
        <v>1.5856481481481481E-3</v>
      </c>
    </row>
    <row r="953" spans="1:23" x14ac:dyDescent="0.25">
      <c r="A953" s="2">
        <v>46246</v>
      </c>
      <c r="B953" s="3" t="s">
        <v>48</v>
      </c>
      <c r="C953" s="3" t="s">
        <v>508</v>
      </c>
      <c r="D953" s="3" t="s">
        <v>100</v>
      </c>
      <c r="E953" s="3" t="s">
        <v>31</v>
      </c>
      <c r="F953" s="3" t="s">
        <v>32</v>
      </c>
      <c r="G953" s="4" t="s">
        <v>33</v>
      </c>
      <c r="H953" s="4">
        <v>37</v>
      </c>
      <c r="I953" s="5">
        <v>0.26416666666666666</v>
      </c>
      <c r="J953" s="5">
        <v>0.14921296296296296</v>
      </c>
      <c r="K953" s="5">
        <f t="shared" si="28"/>
        <v>4.0327827827827826E-3</v>
      </c>
      <c r="L953" s="5">
        <v>6.9097222222222227E-2</v>
      </c>
      <c r="M953" s="6">
        <f t="shared" si="29"/>
        <v>0.26156677181913779</v>
      </c>
      <c r="N953" s="5">
        <v>7.4884259259259262E-3</v>
      </c>
      <c r="O953" s="5">
        <v>1.5231481481481481E-2</v>
      </c>
      <c r="P953" s="5"/>
      <c r="Q953" s="5"/>
      <c r="R953" s="5"/>
      <c r="S953" s="5">
        <v>1.3935185185185186E-2</v>
      </c>
      <c r="T953" s="5">
        <v>6.9444444444444444E-5</v>
      </c>
      <c r="U953" s="5">
        <v>2.5115740740740741E-3</v>
      </c>
      <c r="V953" s="5"/>
      <c r="W953" s="5">
        <v>2.9756944444444444E-2</v>
      </c>
    </row>
    <row r="954" spans="1:23" x14ac:dyDescent="0.25">
      <c r="A954" s="2">
        <v>46246</v>
      </c>
      <c r="B954" s="3" t="s">
        <v>50</v>
      </c>
      <c r="C954" s="3" t="s">
        <v>538</v>
      </c>
      <c r="D954" s="3" t="s">
        <v>100</v>
      </c>
      <c r="E954" s="3" t="s">
        <v>31</v>
      </c>
      <c r="F954" s="3" t="s">
        <v>32</v>
      </c>
      <c r="G954" s="4" t="s">
        <v>33</v>
      </c>
      <c r="H954" s="4">
        <v>0</v>
      </c>
      <c r="I954" s="5">
        <v>0.22050925925925927</v>
      </c>
      <c r="J954" s="5">
        <v>0</v>
      </c>
      <c r="K954" s="5">
        <f t="shared" si="28"/>
        <v>0</v>
      </c>
      <c r="L954" s="5">
        <v>0.22050925925925927</v>
      </c>
      <c r="M954" s="6">
        <f t="shared" si="29"/>
        <v>1</v>
      </c>
      <c r="N954" s="5">
        <v>1.4039351851851851E-2</v>
      </c>
      <c r="O954" s="5">
        <v>7.2337962962962963E-3</v>
      </c>
      <c r="P954" s="5"/>
      <c r="Q954" s="5"/>
      <c r="R954" s="5"/>
      <c r="S954" s="5">
        <v>1.3668981481481482E-2</v>
      </c>
      <c r="T954" s="5">
        <v>1.3425925925925925E-3</v>
      </c>
      <c r="U954" s="5"/>
      <c r="V954" s="5"/>
      <c r="W954" s="5">
        <v>0.18422453703703703</v>
      </c>
    </row>
    <row r="955" spans="1:23" x14ac:dyDescent="0.25">
      <c r="A955" s="2">
        <v>46246</v>
      </c>
      <c r="B955" s="3" t="s">
        <v>242</v>
      </c>
      <c r="C955" s="3" t="s">
        <v>603</v>
      </c>
      <c r="D955" s="3" t="s">
        <v>233</v>
      </c>
      <c r="E955" s="3" t="s">
        <v>31</v>
      </c>
      <c r="F955" s="3" t="s">
        <v>32</v>
      </c>
      <c r="G955" s="4" t="s">
        <v>106</v>
      </c>
      <c r="H955" s="4">
        <v>37</v>
      </c>
      <c r="I955" s="5">
        <v>0.26708333333333334</v>
      </c>
      <c r="J955" s="5">
        <v>0.18174768518518519</v>
      </c>
      <c r="K955" s="5">
        <f t="shared" si="28"/>
        <v>4.9120995995995996E-3</v>
      </c>
      <c r="L955" s="5">
        <v>1.6747685185185185E-2</v>
      </c>
      <c r="M955" s="6">
        <f t="shared" si="29"/>
        <v>6.2705841566996004E-2</v>
      </c>
      <c r="N955" s="5"/>
      <c r="O955" s="5"/>
      <c r="P955" s="5"/>
      <c r="Q955" s="5">
        <v>9.7222222222222219E-4</v>
      </c>
      <c r="R955" s="5"/>
      <c r="S955" s="5">
        <v>1.1643518518518518E-2</v>
      </c>
      <c r="T955" s="5">
        <v>4.1666666666666669E-4</v>
      </c>
      <c r="U955" s="5">
        <v>3.5879629629629629E-3</v>
      </c>
      <c r="V955" s="5"/>
      <c r="W955" s="5"/>
    </row>
    <row r="956" spans="1:23" x14ac:dyDescent="0.25">
      <c r="A956" s="2">
        <v>46246</v>
      </c>
      <c r="B956" s="3" t="s">
        <v>248</v>
      </c>
      <c r="C956" s="3" t="s">
        <v>249</v>
      </c>
      <c r="D956" s="3" t="s">
        <v>78</v>
      </c>
      <c r="E956" s="3" t="s">
        <v>79</v>
      </c>
      <c r="F956" s="3" t="s">
        <v>80</v>
      </c>
      <c r="G956" s="4" t="s">
        <v>81</v>
      </c>
      <c r="H956" s="4">
        <v>0</v>
      </c>
      <c r="I956" s="5">
        <v>7.5636574074074078E-2</v>
      </c>
      <c r="J956" s="5">
        <v>0</v>
      </c>
      <c r="K956" s="5">
        <f t="shared" si="28"/>
        <v>0</v>
      </c>
      <c r="L956" s="5">
        <v>2.5462962962962961E-4</v>
      </c>
      <c r="M956" s="6">
        <f t="shared" si="29"/>
        <v>3.3664881407804129E-3</v>
      </c>
      <c r="N956" s="5"/>
      <c r="O956" s="5"/>
      <c r="P956" s="5"/>
      <c r="Q956" s="5"/>
      <c r="R956" s="5"/>
      <c r="S956" s="5"/>
      <c r="T956" s="5">
        <v>1.1574074074074075E-4</v>
      </c>
      <c r="U956" s="5">
        <v>1.1574074074074075E-4</v>
      </c>
      <c r="V956" s="5"/>
      <c r="W956" s="5"/>
    </row>
    <row r="957" spans="1:23" x14ac:dyDescent="0.25">
      <c r="A957" s="2">
        <v>46246</v>
      </c>
      <c r="B957" s="3" t="s">
        <v>289</v>
      </c>
      <c r="C957" s="3" t="s">
        <v>559</v>
      </c>
      <c r="D957" s="3" t="s">
        <v>104</v>
      </c>
      <c r="E957" s="3" t="s">
        <v>31</v>
      </c>
      <c r="F957" s="3" t="s">
        <v>105</v>
      </c>
      <c r="G957" s="4" t="s">
        <v>106</v>
      </c>
      <c r="H957" s="4">
        <v>7</v>
      </c>
      <c r="I957" s="5">
        <v>0.23201388888888888</v>
      </c>
      <c r="J957" s="5">
        <v>0.13934027777777777</v>
      </c>
      <c r="K957" s="5">
        <f t="shared" si="28"/>
        <v>1.9905753968253968E-2</v>
      </c>
      <c r="L957" s="5">
        <v>0.11184027777777777</v>
      </c>
      <c r="M957" s="6">
        <f t="shared" si="29"/>
        <v>0.48204130499850345</v>
      </c>
      <c r="N957" s="5"/>
      <c r="O957" s="5">
        <v>5.8680555555555552E-3</v>
      </c>
      <c r="P957" s="5"/>
      <c r="Q957" s="5">
        <v>1.9027777777777779E-2</v>
      </c>
      <c r="R957" s="5"/>
      <c r="S957" s="5">
        <v>9.1087962962962971E-3</v>
      </c>
      <c r="T957" s="5">
        <v>6.5972222222222222E-3</v>
      </c>
      <c r="U957" s="5">
        <v>4.4340277777777777E-2</v>
      </c>
      <c r="V957" s="5"/>
      <c r="W957" s="5">
        <v>2.6875E-2</v>
      </c>
    </row>
    <row r="958" spans="1:23" x14ac:dyDescent="0.25">
      <c r="A958" s="2">
        <v>46246</v>
      </c>
      <c r="B958" s="3" t="s">
        <v>252</v>
      </c>
      <c r="C958" s="3" t="s">
        <v>553</v>
      </c>
      <c r="D958" s="3" t="s">
        <v>78</v>
      </c>
      <c r="E958" s="3" t="s">
        <v>79</v>
      </c>
      <c r="F958" s="3" t="s">
        <v>80</v>
      </c>
      <c r="G958" s="4" t="s">
        <v>81</v>
      </c>
      <c r="H958" s="4">
        <v>1</v>
      </c>
      <c r="I958" s="5">
        <v>0.5758564814814815</v>
      </c>
      <c r="J958" s="5">
        <v>5.7986111111111112E-3</v>
      </c>
      <c r="K958" s="5">
        <f t="shared" si="28"/>
        <v>5.7986111111111112E-3</v>
      </c>
      <c r="L958" s="5">
        <v>1.736111111111111E-3</v>
      </c>
      <c r="M958" s="6">
        <f t="shared" si="29"/>
        <v>3.0148329782530045E-3</v>
      </c>
      <c r="N958" s="5"/>
      <c r="O958" s="5"/>
      <c r="P958" s="5"/>
      <c r="Q958" s="5"/>
      <c r="R958" s="5">
        <v>8.1018518518518516E-5</v>
      </c>
      <c r="S958" s="5"/>
      <c r="T958" s="5">
        <v>1.1574074074074075E-4</v>
      </c>
      <c r="U958" s="5">
        <v>1.5162037037037036E-3</v>
      </c>
      <c r="V958" s="5"/>
      <c r="W958" s="5"/>
    </row>
    <row r="959" spans="1:23" x14ac:dyDescent="0.25">
      <c r="A959" s="2">
        <v>46246</v>
      </c>
      <c r="B959" s="3" t="s">
        <v>500</v>
      </c>
      <c r="C959" s="3" t="s">
        <v>518</v>
      </c>
      <c r="D959" s="3" t="s">
        <v>274</v>
      </c>
      <c r="E959" s="3" t="s">
        <v>79</v>
      </c>
      <c r="F959" s="3" t="s">
        <v>147</v>
      </c>
      <c r="G959" s="4" t="s">
        <v>33</v>
      </c>
      <c r="H959" s="4">
        <v>15</v>
      </c>
      <c r="I959" s="5">
        <v>0.26603009259259258</v>
      </c>
      <c r="J959" s="5">
        <v>5.7453703703703701E-2</v>
      </c>
      <c r="K959" s="5">
        <f t="shared" si="28"/>
        <v>3.8302469135802469E-3</v>
      </c>
      <c r="L959" s="5">
        <v>3.4004629629629628E-2</v>
      </c>
      <c r="M959" s="6">
        <f t="shared" si="29"/>
        <v>0.12782249293017184</v>
      </c>
      <c r="N959" s="5"/>
      <c r="O959" s="5">
        <v>1.3981481481481482E-2</v>
      </c>
      <c r="P959" s="5"/>
      <c r="Q959" s="5">
        <v>6.099537037037037E-3</v>
      </c>
      <c r="R959" s="5"/>
      <c r="S959" s="5">
        <v>1.2951388888888889E-2</v>
      </c>
      <c r="T959" s="5">
        <v>7.407407407407407E-4</v>
      </c>
      <c r="U959" s="5">
        <v>2.0833333333333335E-4</v>
      </c>
      <c r="V959" s="5"/>
      <c r="W959" s="5"/>
    </row>
    <row r="960" spans="1:23" x14ac:dyDescent="0.25">
      <c r="A960" s="2">
        <v>46246</v>
      </c>
      <c r="B960" s="3" t="s">
        <v>683</v>
      </c>
      <c r="C960" s="3" t="s">
        <v>684</v>
      </c>
      <c r="D960" s="3" t="s">
        <v>233</v>
      </c>
      <c r="E960" s="3" t="s">
        <v>31</v>
      </c>
      <c r="F960" s="3" t="s">
        <v>32</v>
      </c>
      <c r="G960" s="4" t="s">
        <v>106</v>
      </c>
      <c r="H960" s="4">
        <v>29</v>
      </c>
      <c r="I960" s="5">
        <v>0.26846064814814813</v>
      </c>
      <c r="J960" s="5">
        <v>0.16516203703703702</v>
      </c>
      <c r="K960" s="5">
        <f t="shared" si="28"/>
        <v>5.6952426564495524E-3</v>
      </c>
      <c r="L960" s="5">
        <v>6.3055555555555559E-2</v>
      </c>
      <c r="M960" s="6">
        <f t="shared" si="29"/>
        <v>0.23487820651002375</v>
      </c>
      <c r="N960" s="5">
        <v>7.1412037037037034E-3</v>
      </c>
      <c r="O960" s="5">
        <v>1.9131944444444444E-2</v>
      </c>
      <c r="P960" s="5"/>
      <c r="Q960" s="5"/>
      <c r="R960" s="5">
        <v>7.1180555555555554E-3</v>
      </c>
      <c r="S960" s="5">
        <v>1.5729166666666666E-2</v>
      </c>
      <c r="T960" s="5">
        <v>2.4305555555555556E-3</v>
      </c>
      <c r="U960" s="5">
        <v>1.1458333333333333E-2</v>
      </c>
      <c r="V960" s="5"/>
      <c r="W960" s="5"/>
    </row>
    <row r="961" spans="1:23" x14ac:dyDescent="0.25">
      <c r="A961" s="2">
        <v>46246</v>
      </c>
      <c r="B961" s="3" t="s">
        <v>653</v>
      </c>
      <c r="C961" s="3" t="s">
        <v>654</v>
      </c>
      <c r="D961" s="3" t="s">
        <v>100</v>
      </c>
      <c r="E961" s="3" t="s">
        <v>31</v>
      </c>
      <c r="F961" s="3" t="s">
        <v>32</v>
      </c>
      <c r="G961" s="4" t="s">
        <v>33</v>
      </c>
      <c r="H961" s="4">
        <v>34</v>
      </c>
      <c r="I961" s="5">
        <v>0.26046296296296295</v>
      </c>
      <c r="J961" s="5">
        <v>0.16826388888888888</v>
      </c>
      <c r="K961" s="5">
        <f t="shared" si="28"/>
        <v>4.9489379084967314E-3</v>
      </c>
      <c r="L961" s="5">
        <v>3.9930555555555552E-2</v>
      </c>
      <c r="M961" s="6">
        <f t="shared" si="29"/>
        <v>0.15330607891930323</v>
      </c>
      <c r="N961" s="5">
        <v>6.9675925925925929E-3</v>
      </c>
      <c r="O961" s="5">
        <v>1.480324074074074E-2</v>
      </c>
      <c r="P961" s="5"/>
      <c r="Q961" s="5"/>
      <c r="R961" s="5"/>
      <c r="S961" s="5">
        <v>1.4097222222222223E-2</v>
      </c>
      <c r="T961" s="5">
        <v>2.199074074074074E-4</v>
      </c>
      <c r="U961" s="5">
        <v>3.7847222222222223E-3</v>
      </c>
      <c r="V961" s="5"/>
      <c r="W961" s="5"/>
    </row>
    <row r="962" spans="1:23" x14ac:dyDescent="0.25">
      <c r="A962" s="2">
        <v>46246</v>
      </c>
      <c r="B962" s="3" t="s">
        <v>52</v>
      </c>
      <c r="C962" s="3" t="s">
        <v>509</v>
      </c>
      <c r="D962" s="3" t="s">
        <v>100</v>
      </c>
      <c r="E962" s="3" t="s">
        <v>31</v>
      </c>
      <c r="F962" s="3" t="s">
        <v>32</v>
      </c>
      <c r="G962" s="4" t="s">
        <v>33</v>
      </c>
      <c r="H962" s="4">
        <v>0</v>
      </c>
      <c r="I962" s="5">
        <v>0.21179398148148149</v>
      </c>
      <c r="J962" s="5">
        <v>0</v>
      </c>
      <c r="K962" s="5">
        <f t="shared" ref="K962:K1025" si="30">IFERROR(J962/H962,0)</f>
        <v>0</v>
      </c>
      <c r="L962" s="5">
        <v>0.21179398148148149</v>
      </c>
      <c r="M962" s="6">
        <f t="shared" ref="M962:M1025" si="31">IFERROR(L962/I962,0)</f>
        <v>1</v>
      </c>
      <c r="N962" s="5">
        <v>2.3611111111111111E-3</v>
      </c>
      <c r="O962" s="5">
        <v>1.4826388888888889E-2</v>
      </c>
      <c r="P962" s="5"/>
      <c r="Q962" s="5"/>
      <c r="R962" s="5"/>
      <c r="S962" s="5">
        <v>1.4409722222222223E-2</v>
      </c>
      <c r="T962" s="5">
        <v>5.2083333333333333E-4</v>
      </c>
      <c r="U962" s="5"/>
      <c r="V962" s="5"/>
      <c r="W962" s="5">
        <v>0.17967592592592593</v>
      </c>
    </row>
    <row r="963" spans="1:23" x14ac:dyDescent="0.25">
      <c r="A963" s="2">
        <v>46246</v>
      </c>
      <c r="B963" s="3" t="s">
        <v>164</v>
      </c>
      <c r="C963" s="3" t="s">
        <v>519</v>
      </c>
      <c r="D963" s="3" t="s">
        <v>146</v>
      </c>
      <c r="E963" s="3" t="s">
        <v>79</v>
      </c>
      <c r="F963" s="3" t="s">
        <v>147</v>
      </c>
      <c r="G963" s="4" t="s">
        <v>106</v>
      </c>
      <c r="H963" s="4">
        <v>27</v>
      </c>
      <c r="I963" s="5">
        <v>0.27790509259259261</v>
      </c>
      <c r="J963" s="5">
        <v>4.8287037037037038E-2</v>
      </c>
      <c r="K963" s="5">
        <f t="shared" si="30"/>
        <v>1.7884087791495199E-3</v>
      </c>
      <c r="L963" s="5">
        <v>3.4606481481481481E-2</v>
      </c>
      <c r="M963" s="6">
        <f t="shared" si="31"/>
        <v>0.12452625879805089</v>
      </c>
      <c r="N963" s="5"/>
      <c r="O963" s="5">
        <v>7.3958333333333333E-3</v>
      </c>
      <c r="P963" s="5"/>
      <c r="Q963" s="5">
        <v>1.0439814814814815E-2</v>
      </c>
      <c r="R963" s="5"/>
      <c r="S963" s="5">
        <v>1.3784722222222223E-2</v>
      </c>
      <c r="T963" s="5">
        <v>1.8634259259259259E-3</v>
      </c>
      <c r="U963" s="5">
        <v>4.6296296296296294E-5</v>
      </c>
      <c r="V963" s="5"/>
      <c r="W963" s="5">
        <v>1.0648148148148149E-3</v>
      </c>
    </row>
    <row r="964" spans="1:23" x14ac:dyDescent="0.25">
      <c r="A964" s="2">
        <v>46246</v>
      </c>
      <c r="B964" s="3" t="s">
        <v>655</v>
      </c>
      <c r="C964" s="3" t="s">
        <v>656</v>
      </c>
      <c r="D964" s="3" t="s">
        <v>100</v>
      </c>
      <c r="E964" s="3" t="s">
        <v>31</v>
      </c>
      <c r="F964" s="3" t="s">
        <v>32</v>
      </c>
      <c r="G964" s="4" t="s">
        <v>33</v>
      </c>
      <c r="H964" s="4">
        <v>25</v>
      </c>
      <c r="I964" s="5">
        <v>0.25967592592592592</v>
      </c>
      <c r="J964" s="5">
        <v>0.15291666666666667</v>
      </c>
      <c r="K964" s="5">
        <f t="shared" si="30"/>
        <v>6.116666666666667E-3</v>
      </c>
      <c r="L964" s="5">
        <v>3.4305555555555554E-2</v>
      </c>
      <c r="M964" s="6">
        <f t="shared" si="31"/>
        <v>0.13210911035835265</v>
      </c>
      <c r="N964" s="5">
        <v>4.0625000000000001E-3</v>
      </c>
      <c r="O964" s="5">
        <v>1.3194444444444444E-2</v>
      </c>
      <c r="P964" s="5"/>
      <c r="Q964" s="5"/>
      <c r="R964" s="5"/>
      <c r="S964" s="5">
        <v>1.4710648148148148E-2</v>
      </c>
      <c r="T964" s="5">
        <v>4.6296296296296298E-4</v>
      </c>
      <c r="U964" s="5">
        <v>1.8287037037037037E-3</v>
      </c>
      <c r="V964" s="5"/>
      <c r="W964" s="5"/>
    </row>
    <row r="965" spans="1:23" x14ac:dyDescent="0.25">
      <c r="A965" s="2">
        <v>46246</v>
      </c>
      <c r="B965" s="3" t="s">
        <v>657</v>
      </c>
      <c r="C965" s="3" t="s">
        <v>658</v>
      </c>
      <c r="D965" s="3" t="s">
        <v>274</v>
      </c>
      <c r="E965" s="3" t="s">
        <v>79</v>
      </c>
      <c r="F965" s="3" t="s">
        <v>147</v>
      </c>
      <c r="G965" s="4" t="s">
        <v>33</v>
      </c>
      <c r="H965" s="4">
        <v>17</v>
      </c>
      <c r="I965" s="5">
        <v>0.25790509259259259</v>
      </c>
      <c r="J965" s="5">
        <v>4.5925925925925926E-2</v>
      </c>
      <c r="K965" s="5">
        <f t="shared" si="30"/>
        <v>2.7015250544662308E-3</v>
      </c>
      <c r="L965" s="5">
        <v>3.5474537037037034E-2</v>
      </c>
      <c r="M965" s="6">
        <f t="shared" si="31"/>
        <v>0.13754880402100256</v>
      </c>
      <c r="N965" s="5">
        <v>7.0254629629629634E-3</v>
      </c>
      <c r="O965" s="5">
        <v>1.3993055555555555E-2</v>
      </c>
      <c r="P965" s="5"/>
      <c r="Q965" s="5"/>
      <c r="R965" s="5"/>
      <c r="S965" s="5">
        <v>1.3854166666666667E-2</v>
      </c>
      <c r="T965" s="5">
        <v>6.9444444444444444E-5</v>
      </c>
      <c r="U965" s="5">
        <v>4.861111111111111E-4</v>
      </c>
      <c r="V965" s="5"/>
      <c r="W965" s="5"/>
    </row>
    <row r="966" spans="1:23" x14ac:dyDescent="0.25">
      <c r="A966" s="2">
        <v>46246</v>
      </c>
      <c r="B966" s="3" t="s">
        <v>166</v>
      </c>
      <c r="C966" s="3" t="s">
        <v>167</v>
      </c>
      <c r="D966" s="3" t="s">
        <v>146</v>
      </c>
      <c r="E966" s="3" t="s">
        <v>79</v>
      </c>
      <c r="F966" s="3" t="s">
        <v>147</v>
      </c>
      <c r="G966" s="4" t="s">
        <v>106</v>
      </c>
      <c r="H966" s="4">
        <v>23</v>
      </c>
      <c r="I966" s="5">
        <v>0.26442129629629629</v>
      </c>
      <c r="J966" s="5">
        <v>6.7905092592592586E-2</v>
      </c>
      <c r="K966" s="5">
        <f t="shared" si="30"/>
        <v>2.952395330112721E-3</v>
      </c>
      <c r="L966" s="5">
        <v>4.3020833333333335E-2</v>
      </c>
      <c r="M966" s="6">
        <f t="shared" si="31"/>
        <v>0.16269806530683709</v>
      </c>
      <c r="N966" s="5">
        <v>4.2476851851851851E-3</v>
      </c>
      <c r="O966" s="5">
        <v>1.2372685185185184E-2</v>
      </c>
      <c r="P966" s="5"/>
      <c r="Q966" s="5">
        <v>9.6412037037037039E-3</v>
      </c>
      <c r="R966" s="5"/>
      <c r="S966" s="5">
        <v>1.6562500000000001E-2</v>
      </c>
      <c r="T966" s="5">
        <v>5.7870370370370373E-5</v>
      </c>
      <c r="U966" s="5">
        <v>1.3888888888888889E-4</v>
      </c>
      <c r="V966" s="5"/>
      <c r="W966" s="5"/>
    </row>
    <row r="967" spans="1:23" x14ac:dyDescent="0.25">
      <c r="A967" s="2">
        <v>46246</v>
      </c>
      <c r="B967" s="3" t="s">
        <v>659</v>
      </c>
      <c r="C967" s="3" t="s">
        <v>660</v>
      </c>
      <c r="D967" s="3" t="s">
        <v>100</v>
      </c>
      <c r="E967" s="3" t="s">
        <v>31</v>
      </c>
      <c r="F967" s="3" t="s">
        <v>32</v>
      </c>
      <c r="G967" s="4" t="s">
        <v>33</v>
      </c>
      <c r="H967" s="4">
        <v>6</v>
      </c>
      <c r="I967" s="5">
        <v>0.21829861111111112</v>
      </c>
      <c r="J967" s="5">
        <v>3.1643518518518515E-2</v>
      </c>
      <c r="K967" s="5">
        <f t="shared" si="30"/>
        <v>5.2739197530864189E-3</v>
      </c>
      <c r="L967" s="5">
        <v>0.18974537037037037</v>
      </c>
      <c r="M967" s="6">
        <f t="shared" si="31"/>
        <v>0.86920099676581297</v>
      </c>
      <c r="N967" s="5">
        <v>2.9861111111111113E-3</v>
      </c>
      <c r="O967" s="5">
        <v>9.6759259259259264E-3</v>
      </c>
      <c r="P967" s="5"/>
      <c r="Q967" s="5"/>
      <c r="R967" s="5"/>
      <c r="S967" s="5">
        <v>2.0185185185185184E-2</v>
      </c>
      <c r="T967" s="5">
        <v>3.170138888888889E-2</v>
      </c>
      <c r="U967" s="5">
        <v>7.5231481481481482E-4</v>
      </c>
      <c r="V967" s="5"/>
      <c r="W967" s="5">
        <v>0.12440972222222223</v>
      </c>
    </row>
    <row r="968" spans="1:23" x14ac:dyDescent="0.25">
      <c r="A968" s="2">
        <v>46246</v>
      </c>
      <c r="B968" s="3" t="s">
        <v>254</v>
      </c>
      <c r="C968" s="3" t="s">
        <v>528</v>
      </c>
      <c r="D968" s="3" t="s">
        <v>233</v>
      </c>
      <c r="E968" s="3" t="s">
        <v>31</v>
      </c>
      <c r="F968" s="3" t="s">
        <v>32</v>
      </c>
      <c r="G968" s="4" t="s">
        <v>106</v>
      </c>
      <c r="H968" s="4">
        <v>24</v>
      </c>
      <c r="I968" s="5">
        <v>0.26166666666666666</v>
      </c>
      <c r="J968" s="5">
        <v>0.11256944444444444</v>
      </c>
      <c r="K968" s="5">
        <f t="shared" si="30"/>
        <v>4.6903935185185182E-3</v>
      </c>
      <c r="L968" s="5">
        <v>4.4930555555555557E-2</v>
      </c>
      <c r="M968" s="6">
        <f t="shared" si="31"/>
        <v>0.1717091295116773</v>
      </c>
      <c r="N968" s="5">
        <v>1.2534722222222221E-2</v>
      </c>
      <c r="O968" s="5">
        <v>1.0405092592592593E-2</v>
      </c>
      <c r="P968" s="5"/>
      <c r="Q968" s="5">
        <v>2.2800925925925927E-3</v>
      </c>
      <c r="R968" s="5"/>
      <c r="S968" s="5">
        <v>1.2523148148148148E-2</v>
      </c>
      <c r="T968" s="5">
        <v>5.6597222222222222E-3</v>
      </c>
      <c r="U968" s="5">
        <v>1.5046296296296296E-3</v>
      </c>
      <c r="V968" s="5"/>
      <c r="W968" s="5"/>
    </row>
    <row r="969" spans="1:23" x14ac:dyDescent="0.25">
      <c r="A969" s="2">
        <v>46246</v>
      </c>
      <c r="B969" s="3" t="s">
        <v>201</v>
      </c>
      <c r="C969" s="3" t="s">
        <v>545</v>
      </c>
      <c r="D969" s="3" t="s">
        <v>601</v>
      </c>
      <c r="E969" s="3" t="s">
        <v>31</v>
      </c>
      <c r="F969" s="3" t="s">
        <v>600</v>
      </c>
      <c r="G969" s="4" t="s">
        <v>33</v>
      </c>
      <c r="H969" s="4">
        <v>21</v>
      </c>
      <c r="I969" s="5">
        <v>0.24694444444444444</v>
      </c>
      <c r="J969" s="5">
        <v>9.6631944444444451E-2</v>
      </c>
      <c r="K969" s="5">
        <f t="shared" si="30"/>
        <v>4.6015211640211646E-3</v>
      </c>
      <c r="L969" s="5">
        <v>6.8877314814814808E-2</v>
      </c>
      <c r="M969" s="6">
        <f t="shared" si="31"/>
        <v>0.27891826021747279</v>
      </c>
      <c r="N969" s="5">
        <v>1.5856481481481481E-3</v>
      </c>
      <c r="O969" s="5">
        <v>2.5104166666666667E-2</v>
      </c>
      <c r="P969" s="5">
        <v>6.6087962962962966E-3</v>
      </c>
      <c r="Q969" s="5"/>
      <c r="R969" s="5"/>
      <c r="S969" s="5">
        <v>2.0833333333333332E-2</v>
      </c>
      <c r="T969" s="5">
        <v>2.2453703703703702E-3</v>
      </c>
      <c r="U969" s="5">
        <v>1.2500000000000001E-2</v>
      </c>
      <c r="V969" s="5"/>
      <c r="W969" s="5"/>
    </row>
    <row r="970" spans="1:23" x14ac:dyDescent="0.25">
      <c r="A970" s="2">
        <v>46246</v>
      </c>
      <c r="B970" s="3" t="s">
        <v>168</v>
      </c>
      <c r="C970" s="3" t="s">
        <v>520</v>
      </c>
      <c r="D970" s="3" t="s">
        <v>274</v>
      </c>
      <c r="E970" s="3" t="s">
        <v>79</v>
      </c>
      <c r="F970" s="3" t="s">
        <v>147</v>
      </c>
      <c r="G970" s="4" t="s">
        <v>33</v>
      </c>
      <c r="H970" s="4">
        <v>14</v>
      </c>
      <c r="I970" s="5">
        <v>0.25780092592592591</v>
      </c>
      <c r="J970" s="5">
        <v>2.2870370370370371E-2</v>
      </c>
      <c r="K970" s="5">
        <f t="shared" si="30"/>
        <v>1.6335978835978835E-3</v>
      </c>
      <c r="L970" s="5">
        <v>7.4594907407407401E-2</v>
      </c>
      <c r="M970" s="6">
        <f t="shared" si="31"/>
        <v>0.28935081260662654</v>
      </c>
      <c r="N970" s="5">
        <v>7.2800925925925923E-3</v>
      </c>
      <c r="O970" s="5">
        <v>9.9189814814814817E-3</v>
      </c>
      <c r="P970" s="5">
        <v>5.7523148148148151E-3</v>
      </c>
      <c r="Q970" s="5">
        <v>3.5590277777777776E-2</v>
      </c>
      <c r="R970" s="5"/>
      <c r="S970" s="5">
        <v>1.5659722222222221E-2</v>
      </c>
      <c r="T970" s="5">
        <v>2.5462962962962961E-4</v>
      </c>
      <c r="U970" s="5">
        <v>1.273148148148148E-4</v>
      </c>
      <c r="V970" s="5"/>
      <c r="W970" s="5"/>
    </row>
    <row r="971" spans="1:23" x14ac:dyDescent="0.25">
      <c r="A971" s="2">
        <v>46246</v>
      </c>
      <c r="B971" s="3" t="s">
        <v>170</v>
      </c>
      <c r="C971" s="3" t="s">
        <v>521</v>
      </c>
      <c r="D971" s="3" t="s">
        <v>146</v>
      </c>
      <c r="E971" s="3" t="s">
        <v>79</v>
      </c>
      <c r="F971" s="3" t="s">
        <v>147</v>
      </c>
      <c r="G971" s="4" t="s">
        <v>106</v>
      </c>
      <c r="H971" s="4">
        <v>17</v>
      </c>
      <c r="I971" s="5">
        <v>0.25866898148148149</v>
      </c>
      <c r="J971" s="5">
        <v>9.418981481481481E-2</v>
      </c>
      <c r="K971" s="5">
        <f t="shared" si="30"/>
        <v>5.5405773420479296E-3</v>
      </c>
      <c r="L971" s="5">
        <v>3.4629629629629628E-2</v>
      </c>
      <c r="M971" s="6">
        <f t="shared" si="31"/>
        <v>0.13387623607320237</v>
      </c>
      <c r="N971" s="5">
        <v>5.4976851851851853E-3</v>
      </c>
      <c r="O971" s="5">
        <v>1.3680555555555555E-2</v>
      </c>
      <c r="P971" s="5"/>
      <c r="Q971" s="5"/>
      <c r="R971" s="5"/>
      <c r="S971" s="5">
        <v>1.4618055555555556E-2</v>
      </c>
      <c r="T971" s="5">
        <v>5.7870370370370373E-5</v>
      </c>
      <c r="U971" s="5">
        <v>7.407407407407407E-4</v>
      </c>
      <c r="V971" s="5"/>
      <c r="W971" s="5"/>
    </row>
    <row r="972" spans="1:23" x14ac:dyDescent="0.25">
      <c r="A972" s="2">
        <v>46246</v>
      </c>
      <c r="B972" s="3" t="s">
        <v>92</v>
      </c>
      <c r="C972" s="3" t="s">
        <v>93</v>
      </c>
      <c r="D972" s="3" t="s">
        <v>78</v>
      </c>
      <c r="E972" s="3" t="s">
        <v>79</v>
      </c>
      <c r="F972" s="3" t="s">
        <v>80</v>
      </c>
      <c r="G972" s="4" t="s">
        <v>81</v>
      </c>
      <c r="H972" s="4">
        <v>0</v>
      </c>
      <c r="I972" s="5">
        <v>0.37119212962962961</v>
      </c>
      <c r="J972" s="5">
        <v>0</v>
      </c>
      <c r="K972" s="5">
        <f t="shared" si="30"/>
        <v>0</v>
      </c>
      <c r="L972" s="5">
        <v>0.26017361111111109</v>
      </c>
      <c r="M972" s="6">
        <f t="shared" si="31"/>
        <v>0.70091359795453834</v>
      </c>
      <c r="N972" s="5"/>
      <c r="O972" s="5">
        <v>6.1226851851851852E-2</v>
      </c>
      <c r="P972" s="5"/>
      <c r="Q972" s="5"/>
      <c r="R972" s="5"/>
      <c r="S972" s="5"/>
      <c r="T972" s="5">
        <v>7.5659722222222225E-2</v>
      </c>
      <c r="U972" s="5">
        <v>0.12327546296296296</v>
      </c>
      <c r="V972" s="5"/>
      <c r="W972" s="5"/>
    </row>
    <row r="973" spans="1:23" x14ac:dyDescent="0.25">
      <c r="A973" s="2">
        <v>46246</v>
      </c>
      <c r="B973" s="3" t="s">
        <v>94</v>
      </c>
      <c r="C973" s="3" t="s">
        <v>95</v>
      </c>
      <c r="D973" s="3" t="s">
        <v>78</v>
      </c>
      <c r="E973" s="3" t="s">
        <v>79</v>
      </c>
      <c r="F973" s="3" t="s">
        <v>80</v>
      </c>
      <c r="G973" s="4" t="s">
        <v>81</v>
      </c>
      <c r="H973" s="4">
        <v>0</v>
      </c>
      <c r="I973" s="5">
        <v>0.39124999999999999</v>
      </c>
      <c r="J973" s="5">
        <v>0</v>
      </c>
      <c r="K973" s="5">
        <f t="shared" si="30"/>
        <v>0</v>
      </c>
      <c r="L973" s="5">
        <v>0.17074074074074075</v>
      </c>
      <c r="M973" s="6">
        <f t="shared" si="31"/>
        <v>0.43639805940125431</v>
      </c>
      <c r="N973" s="5"/>
      <c r="O973" s="5">
        <v>9.510416666666667E-2</v>
      </c>
      <c r="P973" s="5"/>
      <c r="Q973" s="5"/>
      <c r="R973" s="5">
        <v>1.8599537037037036E-2</v>
      </c>
      <c r="S973" s="5">
        <v>5.6666666666666664E-2</v>
      </c>
      <c r="T973" s="5"/>
      <c r="U973" s="5">
        <v>3.5879629629629629E-4</v>
      </c>
      <c r="V973" s="5"/>
      <c r="W973" s="5"/>
    </row>
    <row r="974" spans="1:23" x14ac:dyDescent="0.25">
      <c r="A974" s="2">
        <v>46246</v>
      </c>
      <c r="B974" s="3" t="s">
        <v>293</v>
      </c>
      <c r="C974" s="3" t="s">
        <v>543</v>
      </c>
      <c r="D974" s="3" t="s">
        <v>104</v>
      </c>
      <c r="E974" s="3" t="s">
        <v>31</v>
      </c>
      <c r="F974" s="3" t="s">
        <v>600</v>
      </c>
      <c r="G974" s="4" t="s">
        <v>106</v>
      </c>
      <c r="H974" s="4">
        <v>42</v>
      </c>
      <c r="I974" s="5">
        <v>0.26371527777777776</v>
      </c>
      <c r="J974" s="5">
        <v>0.11157407407407408</v>
      </c>
      <c r="K974" s="5">
        <f t="shared" si="30"/>
        <v>2.6565255731922401E-3</v>
      </c>
      <c r="L974" s="5">
        <v>0.12710648148148149</v>
      </c>
      <c r="M974" s="6">
        <f t="shared" si="31"/>
        <v>0.48198376124643411</v>
      </c>
      <c r="N974" s="5">
        <v>9.2245370370370363E-3</v>
      </c>
      <c r="O974" s="5">
        <v>1.8171296296296297E-2</v>
      </c>
      <c r="P974" s="5"/>
      <c r="Q974" s="5"/>
      <c r="R974" s="5"/>
      <c r="S974" s="5">
        <v>1.7777777777777778E-2</v>
      </c>
      <c r="T974" s="5">
        <v>2.2916666666666667E-3</v>
      </c>
      <c r="U974" s="5"/>
      <c r="V974" s="5"/>
      <c r="W974" s="5">
        <v>7.96412037037037E-2</v>
      </c>
    </row>
    <row r="975" spans="1:23" x14ac:dyDescent="0.25">
      <c r="A975" s="2">
        <v>46246</v>
      </c>
      <c r="B975" s="3" t="s">
        <v>606</v>
      </c>
      <c r="C975" s="3" t="s">
        <v>633</v>
      </c>
      <c r="D975" s="3" t="s">
        <v>146</v>
      </c>
      <c r="E975" s="3" t="s">
        <v>79</v>
      </c>
      <c r="F975" s="3" t="s">
        <v>147</v>
      </c>
      <c r="G975" s="4" t="s">
        <v>106</v>
      </c>
      <c r="H975" s="4">
        <v>8</v>
      </c>
      <c r="I975" s="5">
        <v>0.30571759259259257</v>
      </c>
      <c r="J975" s="5">
        <v>5.4456018518518522E-2</v>
      </c>
      <c r="K975" s="5">
        <f t="shared" si="30"/>
        <v>6.8070023148148152E-3</v>
      </c>
      <c r="L975" s="5">
        <v>0.11201388888888889</v>
      </c>
      <c r="M975" s="6">
        <f t="shared" si="31"/>
        <v>0.36639660785946848</v>
      </c>
      <c r="N975" s="5">
        <v>4.1469907407407407E-2</v>
      </c>
      <c r="O975" s="5">
        <v>1.5162037037037036E-2</v>
      </c>
      <c r="P975" s="5"/>
      <c r="Q975" s="5">
        <v>1.1956018518518519E-2</v>
      </c>
      <c r="R975" s="5"/>
      <c r="S975" s="5">
        <v>1.4363425925925925E-2</v>
      </c>
      <c r="T975" s="5">
        <v>7.7546296296296293E-4</v>
      </c>
      <c r="U975" s="5">
        <v>2.8287037037037038E-2</v>
      </c>
      <c r="V975" s="5"/>
      <c r="W975" s="5"/>
    </row>
    <row r="976" spans="1:23" x14ac:dyDescent="0.25">
      <c r="A976" s="2">
        <v>46246</v>
      </c>
      <c r="B976" s="3" t="s">
        <v>256</v>
      </c>
      <c r="C976" s="3" t="s">
        <v>529</v>
      </c>
      <c r="D976" s="3" t="s">
        <v>233</v>
      </c>
      <c r="E976" s="3" t="s">
        <v>31</v>
      </c>
      <c r="F976" s="3" t="s">
        <v>32</v>
      </c>
      <c r="G976" s="4" t="s">
        <v>106</v>
      </c>
      <c r="H976" s="4">
        <v>22</v>
      </c>
      <c r="I976" s="5">
        <v>0.28478009259259257</v>
      </c>
      <c r="J976" s="5">
        <v>0.12519675925925927</v>
      </c>
      <c r="K976" s="5">
        <f t="shared" si="30"/>
        <v>5.6907617845117853E-3</v>
      </c>
      <c r="L976" s="5">
        <v>6.9236111111111109E-2</v>
      </c>
      <c r="M976" s="6">
        <f t="shared" si="31"/>
        <v>0.24312131680552734</v>
      </c>
      <c r="N976" s="5">
        <v>1.8668981481481481E-2</v>
      </c>
      <c r="O976" s="5">
        <v>1.7384259259259259E-2</v>
      </c>
      <c r="P976" s="5"/>
      <c r="Q976" s="5"/>
      <c r="R976" s="5"/>
      <c r="S976" s="5">
        <v>1.800925925925926E-2</v>
      </c>
      <c r="T976" s="5">
        <v>1.6203703703703703E-4</v>
      </c>
      <c r="U976" s="5">
        <v>1.0925925925925926E-2</v>
      </c>
      <c r="V976" s="5"/>
      <c r="W976" s="5">
        <v>4.0740740740740737E-3</v>
      </c>
    </row>
    <row r="977" spans="1:23" x14ac:dyDescent="0.25">
      <c r="A977" s="2">
        <v>46246</v>
      </c>
      <c r="B977" s="3" t="s">
        <v>612</v>
      </c>
      <c r="C977" s="3" t="s">
        <v>634</v>
      </c>
      <c r="D977" s="3" t="s">
        <v>601</v>
      </c>
      <c r="E977" s="3" t="s">
        <v>31</v>
      </c>
      <c r="F977" s="3" t="s">
        <v>105</v>
      </c>
      <c r="G977" s="4" t="s">
        <v>33</v>
      </c>
      <c r="H977" s="4">
        <v>3</v>
      </c>
      <c r="I977" s="5">
        <v>0.22266203703703705</v>
      </c>
      <c r="J977" s="5">
        <v>5.665509259259259E-2</v>
      </c>
      <c r="K977" s="5">
        <f t="shared" si="30"/>
        <v>1.888503086419753E-2</v>
      </c>
      <c r="L977" s="5">
        <v>0.20605324074074075</v>
      </c>
      <c r="M977" s="6">
        <f t="shared" si="31"/>
        <v>0.92540804657448794</v>
      </c>
      <c r="N977" s="5">
        <v>1.8935185185185187E-2</v>
      </c>
      <c r="O977" s="5">
        <v>2.6875E-2</v>
      </c>
      <c r="P977" s="5"/>
      <c r="Q977" s="5"/>
      <c r="R977" s="5"/>
      <c r="S977" s="5">
        <v>1.4479166666666666E-2</v>
      </c>
      <c r="T977" s="5">
        <v>3.9606481481481479E-2</v>
      </c>
      <c r="U977" s="5">
        <v>0.10604166666666667</v>
      </c>
      <c r="V977" s="5"/>
      <c r="W977" s="5">
        <v>1.1574074074074075E-4</v>
      </c>
    </row>
    <row r="978" spans="1:23" x14ac:dyDescent="0.25">
      <c r="A978" s="2">
        <v>46246</v>
      </c>
      <c r="B978" s="3" t="s">
        <v>258</v>
      </c>
      <c r="C978" s="3" t="s">
        <v>554</v>
      </c>
      <c r="D978" s="3" t="s">
        <v>233</v>
      </c>
      <c r="E978" s="3" t="s">
        <v>31</v>
      </c>
      <c r="F978" s="3" t="s">
        <v>32</v>
      </c>
      <c r="G978" s="4" t="s">
        <v>106</v>
      </c>
      <c r="H978" s="4">
        <v>0</v>
      </c>
      <c r="I978" s="5">
        <v>0.2323263888888889</v>
      </c>
      <c r="J978" s="5">
        <v>0</v>
      </c>
      <c r="K978" s="5">
        <f t="shared" si="30"/>
        <v>0</v>
      </c>
      <c r="L978" s="5">
        <v>0.23121527777777778</v>
      </c>
      <c r="M978" s="6">
        <f t="shared" si="31"/>
        <v>0.99521745628456137</v>
      </c>
      <c r="N978" s="5"/>
      <c r="O978" s="5"/>
      <c r="P978" s="5"/>
      <c r="Q978" s="5"/>
      <c r="R978" s="5"/>
      <c r="S978" s="5">
        <v>1.4085648148148147E-2</v>
      </c>
      <c r="T978" s="5">
        <v>6.3657407407407413E-4</v>
      </c>
      <c r="U978" s="5"/>
      <c r="V978" s="5"/>
      <c r="W978" s="5">
        <v>0.21649305555555556</v>
      </c>
    </row>
    <row r="979" spans="1:23" x14ac:dyDescent="0.25">
      <c r="A979" s="2">
        <v>46246</v>
      </c>
      <c r="B979" s="3" t="s">
        <v>661</v>
      </c>
      <c r="C979" s="3" t="s">
        <v>662</v>
      </c>
      <c r="D979" s="3" t="s">
        <v>100</v>
      </c>
      <c r="E979" s="3" t="s">
        <v>31</v>
      </c>
      <c r="F979" s="3" t="s">
        <v>32</v>
      </c>
      <c r="G979" s="4" t="s">
        <v>33</v>
      </c>
      <c r="H979" s="4">
        <v>34</v>
      </c>
      <c r="I979" s="5">
        <v>0.25376157407407407</v>
      </c>
      <c r="J979" s="5">
        <v>0.16336805555555556</v>
      </c>
      <c r="K979" s="5">
        <f t="shared" si="30"/>
        <v>4.8049428104575166E-3</v>
      </c>
      <c r="L979" s="5">
        <v>4.3541666666666666E-2</v>
      </c>
      <c r="M979" s="6">
        <f t="shared" si="31"/>
        <v>0.17158494868871152</v>
      </c>
      <c r="N979" s="5">
        <v>7.8935185185185185E-3</v>
      </c>
      <c r="O979" s="5">
        <v>1.7326388888888888E-2</v>
      </c>
      <c r="P979" s="5"/>
      <c r="Q979" s="5"/>
      <c r="R979" s="5"/>
      <c r="S979" s="5">
        <v>1.3923611111111111E-2</v>
      </c>
      <c r="T979" s="5">
        <v>8.1018518518518516E-4</v>
      </c>
      <c r="U979" s="5">
        <v>3.460648148148148E-3</v>
      </c>
      <c r="V979" s="5"/>
      <c r="W979" s="5"/>
    </row>
    <row r="980" spans="1:23" x14ac:dyDescent="0.25">
      <c r="A980" s="2">
        <v>46246</v>
      </c>
      <c r="B980" s="3" t="s">
        <v>663</v>
      </c>
      <c r="C980" s="3" t="s">
        <v>664</v>
      </c>
      <c r="D980" s="3" t="s">
        <v>233</v>
      </c>
      <c r="E980" s="3" t="s">
        <v>31</v>
      </c>
      <c r="F980" s="3" t="s">
        <v>32</v>
      </c>
      <c r="G980" s="4" t="s">
        <v>106</v>
      </c>
      <c r="H980" s="4">
        <v>25</v>
      </c>
      <c r="I980" s="5">
        <v>0.26155092592592594</v>
      </c>
      <c r="J980" s="5">
        <v>0.14407407407407408</v>
      </c>
      <c r="K980" s="5">
        <f t="shared" si="30"/>
        <v>5.7629629629629628E-3</v>
      </c>
      <c r="L980" s="5">
        <v>3.5057870370370371E-2</v>
      </c>
      <c r="M980" s="6">
        <f t="shared" si="31"/>
        <v>0.13403841047880344</v>
      </c>
      <c r="N980" s="5">
        <v>5.347222222222222E-3</v>
      </c>
      <c r="O980" s="5">
        <v>7.1180555555555554E-3</v>
      </c>
      <c r="P980" s="5"/>
      <c r="Q980" s="5"/>
      <c r="R980" s="5"/>
      <c r="S980" s="5">
        <v>1.4884259259259259E-2</v>
      </c>
      <c r="T980" s="5">
        <v>6.9444444444444444E-5</v>
      </c>
      <c r="U980" s="5">
        <v>7.291666666666667E-4</v>
      </c>
      <c r="V980" s="5"/>
      <c r="W980" s="5">
        <v>6.8865740740740745E-3</v>
      </c>
    </row>
    <row r="981" spans="1:23" x14ac:dyDescent="0.25">
      <c r="A981" s="2">
        <v>46246</v>
      </c>
      <c r="B981" s="3" t="s">
        <v>203</v>
      </c>
      <c r="C981" s="3" t="s">
        <v>565</v>
      </c>
      <c r="D981" s="3" t="s">
        <v>601</v>
      </c>
      <c r="E981" s="3" t="s">
        <v>31</v>
      </c>
      <c r="F981" s="3" t="s">
        <v>105</v>
      </c>
      <c r="G981" s="4" t="s">
        <v>33</v>
      </c>
      <c r="H981" s="4">
        <v>6</v>
      </c>
      <c r="I981" s="5">
        <v>0.24533564814814815</v>
      </c>
      <c r="J981" s="5">
        <v>0.13179398148148147</v>
      </c>
      <c r="K981" s="5">
        <f t="shared" si="30"/>
        <v>2.1965663580246913E-2</v>
      </c>
      <c r="L981" s="5">
        <v>0.20453703703703704</v>
      </c>
      <c r="M981" s="6">
        <f t="shared" si="31"/>
        <v>0.83370288248337032</v>
      </c>
      <c r="N981" s="5">
        <v>3.9467592592592592E-3</v>
      </c>
      <c r="O981" s="5">
        <v>1.5266203703703704E-2</v>
      </c>
      <c r="P981" s="5">
        <v>5.6597222222222222E-3</v>
      </c>
      <c r="Q981" s="5"/>
      <c r="R981" s="5"/>
      <c r="S981" s="5">
        <v>1.3819444444444445E-2</v>
      </c>
      <c r="T981" s="5">
        <v>6.4814814814814813E-4</v>
      </c>
      <c r="U981" s="5">
        <v>0.16519675925925925</v>
      </c>
      <c r="V981" s="5"/>
      <c r="W981" s="5"/>
    </row>
    <row r="982" spans="1:23" x14ac:dyDescent="0.25">
      <c r="A982" s="2">
        <v>46246</v>
      </c>
      <c r="B982" s="3" t="s">
        <v>665</v>
      </c>
      <c r="C982" s="3" t="s">
        <v>666</v>
      </c>
      <c r="D982" s="3" t="s">
        <v>100</v>
      </c>
      <c r="E982" s="3" t="s">
        <v>31</v>
      </c>
      <c r="F982" s="3" t="s">
        <v>32</v>
      </c>
      <c r="G982" s="4" t="s">
        <v>33</v>
      </c>
      <c r="H982" s="4">
        <v>39</v>
      </c>
      <c r="I982" s="5">
        <v>0.2588078703703704</v>
      </c>
      <c r="J982" s="5">
        <v>0.17184027777777777</v>
      </c>
      <c r="K982" s="5">
        <f t="shared" si="30"/>
        <v>4.4061609686609684E-3</v>
      </c>
      <c r="L982" s="5">
        <v>2.2650462962962963E-2</v>
      </c>
      <c r="M982" s="6">
        <f t="shared" si="31"/>
        <v>8.7518447296632523E-2</v>
      </c>
      <c r="N982" s="5"/>
      <c r="O982" s="5">
        <v>7.060185185185185E-3</v>
      </c>
      <c r="P982" s="5"/>
      <c r="Q982" s="5"/>
      <c r="R982" s="5"/>
      <c r="S982" s="5">
        <v>1.3761574074074074E-2</v>
      </c>
      <c r="T982" s="5">
        <v>1.3888888888888889E-4</v>
      </c>
      <c r="U982" s="5">
        <v>1.6087962962962963E-3</v>
      </c>
      <c r="V982" s="5"/>
      <c r="W982" s="5"/>
    </row>
    <row r="983" spans="1:23" x14ac:dyDescent="0.25">
      <c r="A983" s="2">
        <v>46246</v>
      </c>
      <c r="B983" s="3" t="s">
        <v>264</v>
      </c>
      <c r="C983" s="3" t="s">
        <v>530</v>
      </c>
      <c r="D983" s="3" t="s">
        <v>78</v>
      </c>
      <c r="E983" s="3" t="s">
        <v>79</v>
      </c>
      <c r="F983" s="3" t="s">
        <v>80</v>
      </c>
      <c r="G983" s="4" t="s">
        <v>106</v>
      </c>
      <c r="H983" s="4">
        <v>0</v>
      </c>
      <c r="I983" s="5">
        <v>0.3321412037037037</v>
      </c>
      <c r="J983" s="5">
        <v>0</v>
      </c>
      <c r="K983" s="5">
        <f t="shared" si="30"/>
        <v>0</v>
      </c>
      <c r="L983" s="5">
        <v>1.6203703703703703E-4</v>
      </c>
      <c r="M983" s="6">
        <f t="shared" si="31"/>
        <v>4.8785587343624768E-4</v>
      </c>
      <c r="N983" s="5"/>
      <c r="O983" s="5"/>
      <c r="P983" s="5"/>
      <c r="Q983" s="5"/>
      <c r="R983" s="5"/>
      <c r="S983" s="5"/>
      <c r="T983" s="5">
        <v>9.2592592592592588E-5</v>
      </c>
      <c r="U983" s="5">
        <v>6.9444444444444444E-5</v>
      </c>
      <c r="V983" s="5"/>
      <c r="W983" s="5"/>
    </row>
    <row r="984" spans="1:23" x14ac:dyDescent="0.25">
      <c r="A984" s="2">
        <v>46246</v>
      </c>
      <c r="B984" s="3" t="s">
        <v>128</v>
      </c>
      <c r="C984" s="3" t="s">
        <v>555</v>
      </c>
      <c r="D984" s="3" t="s">
        <v>233</v>
      </c>
      <c r="E984" s="3" t="s">
        <v>31</v>
      </c>
      <c r="F984" s="3" t="s">
        <v>32</v>
      </c>
      <c r="G984" s="4" t="s">
        <v>106</v>
      </c>
      <c r="H984" s="4">
        <v>43</v>
      </c>
      <c r="I984" s="5">
        <v>0.23872685185185186</v>
      </c>
      <c r="J984" s="5">
        <v>0.11071759259259259</v>
      </c>
      <c r="K984" s="5">
        <f t="shared" si="30"/>
        <v>2.5748277347114558E-3</v>
      </c>
      <c r="L984" s="5">
        <v>4.8449074074074075E-2</v>
      </c>
      <c r="M984" s="6">
        <f t="shared" si="31"/>
        <v>0.20294773586735187</v>
      </c>
      <c r="N984" s="5">
        <v>1.2500000000000001E-2</v>
      </c>
      <c r="O984" s="5">
        <v>1.6863425925925928E-2</v>
      </c>
      <c r="P984" s="5"/>
      <c r="Q984" s="5"/>
      <c r="R984" s="5"/>
      <c r="S984" s="5">
        <v>1.4606481481481481E-2</v>
      </c>
      <c r="T984" s="5">
        <v>1.3310185185185185E-3</v>
      </c>
      <c r="U984" s="5">
        <v>3.0092592592592593E-3</v>
      </c>
      <c r="V984" s="5"/>
      <c r="W984" s="5"/>
    </row>
    <row r="985" spans="1:23" x14ac:dyDescent="0.25">
      <c r="A985" s="2">
        <v>46246</v>
      </c>
      <c r="B985" s="3" t="s">
        <v>178</v>
      </c>
      <c r="C985" s="3" t="s">
        <v>522</v>
      </c>
      <c r="D985" s="3" t="s">
        <v>146</v>
      </c>
      <c r="E985" s="3" t="s">
        <v>79</v>
      </c>
      <c r="F985" s="3" t="s">
        <v>147</v>
      </c>
      <c r="G985" s="4" t="s">
        <v>106</v>
      </c>
      <c r="H985" s="4">
        <v>16</v>
      </c>
      <c r="I985" s="5">
        <v>0.26817129629629627</v>
      </c>
      <c r="J985" s="5">
        <v>9.3391203703703699E-2</v>
      </c>
      <c r="K985" s="5">
        <f t="shared" si="30"/>
        <v>5.8369502314814812E-3</v>
      </c>
      <c r="L985" s="5">
        <v>4.3310185185185188E-2</v>
      </c>
      <c r="M985" s="6">
        <f t="shared" si="31"/>
        <v>0.16150194216659475</v>
      </c>
      <c r="N985" s="5">
        <v>3.1250000000000002E-3</v>
      </c>
      <c r="O985" s="5">
        <v>1.4884259259259259E-2</v>
      </c>
      <c r="P985" s="5"/>
      <c r="Q985" s="5">
        <v>1.0150462962962964E-2</v>
      </c>
      <c r="R985" s="5"/>
      <c r="S985" s="5">
        <v>1.2442129629629629E-2</v>
      </c>
      <c r="T985" s="5">
        <v>2.0601851851851853E-3</v>
      </c>
      <c r="U985" s="5">
        <v>6.2500000000000001E-4</v>
      </c>
      <c r="V985" s="5"/>
      <c r="W985" s="5"/>
    </row>
    <row r="986" spans="1:23" x14ac:dyDescent="0.25">
      <c r="A986" s="2">
        <v>46246</v>
      </c>
      <c r="B986" s="3" t="s">
        <v>266</v>
      </c>
      <c r="C986" s="3" t="s">
        <v>531</v>
      </c>
      <c r="D986" s="3" t="s">
        <v>233</v>
      </c>
      <c r="E986" s="3" t="s">
        <v>31</v>
      </c>
      <c r="F986" s="3" t="s">
        <v>32</v>
      </c>
      <c r="G986" s="4" t="s">
        <v>106</v>
      </c>
      <c r="H986" s="4">
        <v>0</v>
      </c>
      <c r="I986" s="5">
        <v>0.20125000000000001</v>
      </c>
      <c r="J986" s="5">
        <v>0</v>
      </c>
      <c r="K986" s="5">
        <f t="shared" si="30"/>
        <v>0</v>
      </c>
      <c r="L986" s="5">
        <v>0.20125000000000001</v>
      </c>
      <c r="M986" s="6">
        <f t="shared" si="31"/>
        <v>1</v>
      </c>
      <c r="N986" s="5"/>
      <c r="O986" s="5">
        <v>1.2685185185185185E-2</v>
      </c>
      <c r="P986" s="5"/>
      <c r="Q986" s="5"/>
      <c r="R986" s="5"/>
      <c r="S986" s="5">
        <v>1.1539351851851851E-2</v>
      </c>
      <c r="T986" s="5">
        <v>4.6296296296296298E-4</v>
      </c>
      <c r="U986" s="5"/>
      <c r="V986" s="5"/>
      <c r="W986" s="5">
        <v>0.17656250000000001</v>
      </c>
    </row>
    <row r="987" spans="1:23" x14ac:dyDescent="0.25">
      <c r="A987" s="2">
        <v>46246</v>
      </c>
      <c r="B987" s="3" t="s">
        <v>297</v>
      </c>
      <c r="C987" s="3" t="s">
        <v>667</v>
      </c>
      <c r="D987" s="3" t="s">
        <v>104</v>
      </c>
      <c r="E987" s="3" t="s">
        <v>31</v>
      </c>
      <c r="F987" s="3" t="s">
        <v>105</v>
      </c>
      <c r="G987" s="4" t="s">
        <v>106</v>
      </c>
      <c r="H987" s="4">
        <v>9</v>
      </c>
      <c r="I987" s="5">
        <v>0.22608796296296296</v>
      </c>
      <c r="J987" s="5">
        <v>0.12314814814814815</v>
      </c>
      <c r="K987" s="5">
        <f t="shared" si="30"/>
        <v>1.368312757201646E-2</v>
      </c>
      <c r="L987" s="5">
        <v>0.14133101851851851</v>
      </c>
      <c r="M987" s="6">
        <f t="shared" si="31"/>
        <v>0.62511518378212338</v>
      </c>
      <c r="N987" s="5">
        <v>1.1759259259259259E-2</v>
      </c>
      <c r="O987" s="5">
        <v>1.5578703703703704E-2</v>
      </c>
      <c r="P987" s="5"/>
      <c r="Q987" s="5"/>
      <c r="R987" s="5"/>
      <c r="S987" s="5">
        <v>3.4722222222222222E-5</v>
      </c>
      <c r="T987" s="5">
        <v>2.9861111111111113E-3</v>
      </c>
      <c r="U987" s="5">
        <v>4.6296296296296294E-5</v>
      </c>
      <c r="V987" s="5"/>
      <c r="W987" s="5">
        <v>0.11091435185185185</v>
      </c>
    </row>
    <row r="988" spans="1:23" x14ac:dyDescent="0.25">
      <c r="A988" s="2">
        <v>46246</v>
      </c>
      <c r="B988" s="3" t="s">
        <v>207</v>
      </c>
      <c r="C988" s="3" t="s">
        <v>566</v>
      </c>
      <c r="D988" s="3" t="s">
        <v>274</v>
      </c>
      <c r="E988" s="3" t="s">
        <v>79</v>
      </c>
      <c r="F988" s="3" t="s">
        <v>147</v>
      </c>
      <c r="G988" s="4" t="s">
        <v>33</v>
      </c>
      <c r="H988" s="4">
        <v>16</v>
      </c>
      <c r="I988" s="5">
        <v>0.26263888888888887</v>
      </c>
      <c r="J988" s="5">
        <v>6.9791666666666669E-2</v>
      </c>
      <c r="K988" s="5">
        <f t="shared" si="30"/>
        <v>4.3619791666666668E-3</v>
      </c>
      <c r="L988" s="5">
        <v>3.3784722222222223E-2</v>
      </c>
      <c r="M988" s="6">
        <f t="shared" si="31"/>
        <v>0.12863564251718668</v>
      </c>
      <c r="N988" s="5">
        <v>4.0277777777777777E-3</v>
      </c>
      <c r="O988" s="5">
        <v>1.3993055555555555E-2</v>
      </c>
      <c r="P988" s="5"/>
      <c r="Q988" s="5"/>
      <c r="R988" s="5"/>
      <c r="S988" s="5">
        <v>1.4398148148148148E-2</v>
      </c>
      <c r="T988" s="5">
        <v>3.4722222222222222E-5</v>
      </c>
      <c r="U988" s="5">
        <v>1.2847222222222223E-3</v>
      </c>
      <c r="V988" s="5"/>
      <c r="W988" s="5"/>
    </row>
    <row r="989" spans="1:23" x14ac:dyDescent="0.25">
      <c r="A989" s="2">
        <v>46246</v>
      </c>
      <c r="B989" s="3" t="s">
        <v>614</v>
      </c>
      <c r="C989" s="3" t="s">
        <v>635</v>
      </c>
      <c r="D989" s="3" t="s">
        <v>601</v>
      </c>
      <c r="E989" s="3" t="s">
        <v>31</v>
      </c>
      <c r="F989" s="3" t="s">
        <v>105</v>
      </c>
      <c r="G989" s="4" t="s">
        <v>33</v>
      </c>
      <c r="H989" s="4">
        <v>4</v>
      </c>
      <c r="I989" s="5">
        <v>0.2270486111111111</v>
      </c>
      <c r="J989" s="5">
        <v>9.1018518518518512E-2</v>
      </c>
      <c r="K989" s="5">
        <f t="shared" si="30"/>
        <v>2.2754629629629628E-2</v>
      </c>
      <c r="L989" s="5">
        <v>0.1958449074074074</v>
      </c>
      <c r="M989" s="6">
        <f t="shared" si="31"/>
        <v>0.86256818065963192</v>
      </c>
      <c r="N989" s="5"/>
      <c r="O989" s="5">
        <v>1.0416666666666666E-2</v>
      </c>
      <c r="P989" s="5"/>
      <c r="Q989" s="5">
        <v>1.6967592592592593E-2</v>
      </c>
      <c r="R989" s="5"/>
      <c r="S989" s="5">
        <v>2.7870370370370372E-2</v>
      </c>
      <c r="T989" s="5">
        <v>2.0497685185185185E-2</v>
      </c>
      <c r="U989" s="5">
        <v>0.1200925925925926</v>
      </c>
      <c r="V989" s="5"/>
      <c r="W989" s="5"/>
    </row>
    <row r="990" spans="1:23" x14ac:dyDescent="0.25">
      <c r="A990" s="2">
        <v>46246</v>
      </c>
      <c r="B990" s="3" t="s">
        <v>96</v>
      </c>
      <c r="C990" s="3" t="s">
        <v>97</v>
      </c>
      <c r="D990" s="3" t="s">
        <v>78</v>
      </c>
      <c r="E990" s="3" t="s">
        <v>79</v>
      </c>
      <c r="F990" s="3" t="s">
        <v>80</v>
      </c>
      <c r="G990" s="4" t="s">
        <v>81</v>
      </c>
      <c r="H990" s="4">
        <v>0</v>
      </c>
      <c r="I990" s="5">
        <v>0.3351851851851852</v>
      </c>
      <c r="J990" s="5">
        <v>0</v>
      </c>
      <c r="K990" s="5">
        <f t="shared" si="30"/>
        <v>0</v>
      </c>
      <c r="L990" s="5">
        <v>0.18824074074074074</v>
      </c>
      <c r="M990" s="6">
        <f t="shared" si="31"/>
        <v>0.5616022099447513</v>
      </c>
      <c r="N990" s="5">
        <v>2.2800925925925927E-3</v>
      </c>
      <c r="O990" s="5">
        <v>8.3182870370370365E-2</v>
      </c>
      <c r="P990" s="5"/>
      <c r="Q990" s="5"/>
      <c r="R990" s="5"/>
      <c r="S990" s="5">
        <v>1.1770833333333333E-2</v>
      </c>
      <c r="T990" s="5">
        <v>6.9444444444444444E-5</v>
      </c>
      <c r="U990" s="5"/>
      <c r="V990" s="5"/>
      <c r="W990" s="5">
        <v>9.0937500000000004E-2</v>
      </c>
    </row>
    <row r="991" spans="1:23" x14ac:dyDescent="0.25">
      <c r="A991" s="2">
        <v>46246</v>
      </c>
      <c r="B991" s="3" t="s">
        <v>180</v>
      </c>
      <c r="C991" s="3" t="s">
        <v>523</v>
      </c>
      <c r="D991" s="3" t="s">
        <v>146</v>
      </c>
      <c r="E991" s="3" t="s">
        <v>79</v>
      </c>
      <c r="F991" s="3" t="s">
        <v>147</v>
      </c>
      <c r="G991" s="4" t="s">
        <v>106</v>
      </c>
      <c r="H991" s="4">
        <v>17</v>
      </c>
      <c r="I991" s="5">
        <v>0.26270833333333332</v>
      </c>
      <c r="J991" s="5">
        <v>6.2719907407407405E-2</v>
      </c>
      <c r="K991" s="5">
        <f t="shared" si="30"/>
        <v>3.6894063180827885E-3</v>
      </c>
      <c r="L991" s="5">
        <v>4.0659722222222222E-2</v>
      </c>
      <c r="M991" s="6">
        <f t="shared" si="31"/>
        <v>0.15477134549299498</v>
      </c>
      <c r="N991" s="5">
        <v>2.685185185185185E-3</v>
      </c>
      <c r="O991" s="5">
        <v>1.3819444444444445E-2</v>
      </c>
      <c r="P991" s="5"/>
      <c r="Q991" s="5">
        <v>9.9074074074074082E-3</v>
      </c>
      <c r="R991" s="5"/>
      <c r="S991" s="5">
        <v>1.3333333333333334E-2</v>
      </c>
      <c r="T991" s="5">
        <v>6.9444444444444444E-5</v>
      </c>
      <c r="U991" s="5">
        <v>2.5462962962962961E-4</v>
      </c>
      <c r="V991" s="5"/>
      <c r="W991" s="5">
        <v>5.5555555555555556E-4</v>
      </c>
    </row>
    <row r="992" spans="1:23" x14ac:dyDescent="0.25">
      <c r="A992" s="2">
        <v>46246</v>
      </c>
      <c r="B992" s="3" t="s">
        <v>616</v>
      </c>
      <c r="C992" s="3" t="s">
        <v>637</v>
      </c>
      <c r="D992" s="3" t="s">
        <v>601</v>
      </c>
      <c r="E992" s="3" t="s">
        <v>31</v>
      </c>
      <c r="F992" s="3" t="s">
        <v>105</v>
      </c>
      <c r="G992" s="4" t="s">
        <v>33</v>
      </c>
      <c r="H992" s="4">
        <v>5</v>
      </c>
      <c r="I992" s="5">
        <v>0.23299768518518518</v>
      </c>
      <c r="J992" s="5">
        <v>0.10799768518518518</v>
      </c>
      <c r="K992" s="5">
        <f t="shared" si="30"/>
        <v>2.1599537037037035E-2</v>
      </c>
      <c r="L992" s="5">
        <v>0.17973379629629629</v>
      </c>
      <c r="M992" s="6">
        <f t="shared" si="31"/>
        <v>0.77139734737469579</v>
      </c>
      <c r="N992" s="5">
        <v>3.2523148148148147E-3</v>
      </c>
      <c r="O992" s="5">
        <v>1.462962962962963E-2</v>
      </c>
      <c r="P992" s="5"/>
      <c r="Q992" s="5"/>
      <c r="R992" s="5"/>
      <c r="S992" s="5">
        <v>1.4756944444444444E-2</v>
      </c>
      <c r="T992" s="5">
        <v>1.8518518518518519E-3</v>
      </c>
      <c r="U992" s="5">
        <v>0.14524305555555556</v>
      </c>
      <c r="V992" s="5"/>
      <c r="W992" s="5"/>
    </row>
    <row r="993" spans="1:23" x14ac:dyDescent="0.25">
      <c r="A993" s="2">
        <v>46246</v>
      </c>
      <c r="B993" s="3" t="s">
        <v>209</v>
      </c>
      <c r="C993" s="3" t="s">
        <v>567</v>
      </c>
      <c r="D993" s="3" t="s">
        <v>601</v>
      </c>
      <c r="E993" s="3" t="s">
        <v>31</v>
      </c>
      <c r="F993" s="3" t="s">
        <v>105</v>
      </c>
      <c r="G993" s="4" t="s">
        <v>33</v>
      </c>
      <c r="H993" s="4">
        <v>4</v>
      </c>
      <c r="I993" s="5">
        <v>0.24101851851851852</v>
      </c>
      <c r="J993" s="5">
        <v>6.8101851851851858E-2</v>
      </c>
      <c r="K993" s="5">
        <f t="shared" si="30"/>
        <v>1.7025462962962964E-2</v>
      </c>
      <c r="L993" s="5">
        <v>0.19493055555555555</v>
      </c>
      <c r="M993" s="6">
        <f t="shared" si="31"/>
        <v>0.80877833269304644</v>
      </c>
      <c r="N993" s="5">
        <v>3.9467592592592592E-3</v>
      </c>
      <c r="O993" s="5">
        <v>1.4189814814814815E-2</v>
      </c>
      <c r="P993" s="5"/>
      <c r="Q993" s="5"/>
      <c r="R993" s="5"/>
      <c r="S993" s="5">
        <v>1.2743055555555556E-2</v>
      </c>
      <c r="T993" s="5">
        <v>4.4675925925925924E-3</v>
      </c>
      <c r="U993" s="5">
        <v>0.15958333333333333</v>
      </c>
      <c r="V993" s="5"/>
      <c r="W993" s="5"/>
    </row>
    <row r="994" spans="1:23" x14ac:dyDescent="0.25">
      <c r="A994" s="2">
        <v>46246</v>
      </c>
      <c r="B994" s="3" t="s">
        <v>60</v>
      </c>
      <c r="C994" s="3" t="s">
        <v>510</v>
      </c>
      <c r="D994" s="3" t="s">
        <v>100</v>
      </c>
      <c r="E994" s="3" t="s">
        <v>31</v>
      </c>
      <c r="F994" s="3" t="s">
        <v>32</v>
      </c>
      <c r="G994" s="4" t="s">
        <v>33</v>
      </c>
      <c r="H994" s="4">
        <v>33</v>
      </c>
      <c r="I994" s="5">
        <v>0.26497685185185182</v>
      </c>
      <c r="J994" s="5">
        <v>0.16708333333333333</v>
      </c>
      <c r="K994" s="5">
        <f t="shared" si="30"/>
        <v>5.0631313131313128E-3</v>
      </c>
      <c r="L994" s="5">
        <v>3.9363425925925927E-2</v>
      </c>
      <c r="M994" s="6">
        <f t="shared" si="31"/>
        <v>0.14855420634227309</v>
      </c>
      <c r="N994" s="5">
        <v>1.0416666666666667E-4</v>
      </c>
      <c r="O994" s="5">
        <v>1.3506944444444445E-2</v>
      </c>
      <c r="P994" s="5"/>
      <c r="Q994" s="5"/>
      <c r="R994" s="5">
        <v>1.0613425925925925E-2</v>
      </c>
      <c r="S994" s="5">
        <v>1.3819444444444445E-2</v>
      </c>
      <c r="T994" s="5">
        <v>9.2592592592592588E-5</v>
      </c>
      <c r="U994" s="5">
        <v>1.1574074074074073E-3</v>
      </c>
      <c r="V994" s="5"/>
      <c r="W994" s="5"/>
    </row>
    <row r="995" spans="1:23" x14ac:dyDescent="0.25">
      <c r="A995" s="2">
        <v>46246</v>
      </c>
      <c r="B995" s="3" t="s">
        <v>132</v>
      </c>
      <c r="C995" s="3" t="s">
        <v>512</v>
      </c>
      <c r="D995" s="3" t="s">
        <v>104</v>
      </c>
      <c r="E995" s="3" t="s">
        <v>31</v>
      </c>
      <c r="F995" s="3" t="s">
        <v>105</v>
      </c>
      <c r="G995" s="4" t="s">
        <v>106</v>
      </c>
      <c r="H995" s="4">
        <v>14</v>
      </c>
      <c r="I995" s="5">
        <v>0.2605439814814815</v>
      </c>
      <c r="J995" s="5">
        <v>0.21376157407407406</v>
      </c>
      <c r="K995" s="5">
        <f t="shared" si="30"/>
        <v>1.5268683862433862E-2</v>
      </c>
      <c r="L995" s="5">
        <v>0.13122685185185184</v>
      </c>
      <c r="M995" s="6">
        <f t="shared" si="31"/>
        <v>0.50366487495002432</v>
      </c>
      <c r="N995" s="5">
        <v>1.8518518518518519E-3</v>
      </c>
      <c r="O995" s="5">
        <v>1.4872685185185185E-2</v>
      </c>
      <c r="P995" s="5"/>
      <c r="Q995" s="5"/>
      <c r="R995" s="5"/>
      <c r="S995" s="5">
        <v>1.4108796296296296E-2</v>
      </c>
      <c r="T995" s="5">
        <v>1.7361111111111112E-4</v>
      </c>
      <c r="U995" s="5">
        <v>7.2337962962962963E-3</v>
      </c>
      <c r="V995" s="5"/>
      <c r="W995" s="5">
        <v>9.2962962962962969E-2</v>
      </c>
    </row>
    <row r="996" spans="1:23" x14ac:dyDescent="0.25">
      <c r="A996" s="2">
        <v>46246</v>
      </c>
      <c r="B996" s="3" t="s">
        <v>134</v>
      </c>
      <c r="C996" s="3" t="s">
        <v>560</v>
      </c>
      <c r="D996" s="3" t="s">
        <v>104</v>
      </c>
      <c r="E996" s="3" t="s">
        <v>31</v>
      </c>
      <c r="F996" s="3" t="s">
        <v>105</v>
      </c>
      <c r="G996" s="4" t="s">
        <v>106</v>
      </c>
      <c r="H996" s="4">
        <v>8</v>
      </c>
      <c r="I996" s="5">
        <v>0.2615972222222222</v>
      </c>
      <c r="J996" s="5">
        <v>0.1220949074074074</v>
      </c>
      <c r="K996" s="5">
        <f t="shared" si="30"/>
        <v>1.5261863425925925E-2</v>
      </c>
      <c r="L996" s="5">
        <v>0.18072916666666666</v>
      </c>
      <c r="M996" s="6">
        <f t="shared" si="31"/>
        <v>0.69086806477302898</v>
      </c>
      <c r="N996" s="5">
        <v>7.2222222222222219E-3</v>
      </c>
      <c r="O996" s="5">
        <v>1.2662037037037038E-2</v>
      </c>
      <c r="P996" s="5"/>
      <c r="Q996" s="5"/>
      <c r="R996" s="5"/>
      <c r="S996" s="5">
        <v>1.3680555555555555E-2</v>
      </c>
      <c r="T996" s="5">
        <v>2.5462962962962961E-4</v>
      </c>
      <c r="U996" s="5">
        <v>5.4398148148148144E-4</v>
      </c>
      <c r="V996" s="5"/>
      <c r="W996" s="5">
        <v>0.14633101851851851</v>
      </c>
    </row>
    <row r="997" spans="1:23" x14ac:dyDescent="0.25">
      <c r="A997" s="2">
        <v>46246</v>
      </c>
      <c r="B997" s="3" t="s">
        <v>211</v>
      </c>
      <c r="C997" s="3" t="s">
        <v>546</v>
      </c>
      <c r="D997" s="3" t="s">
        <v>104</v>
      </c>
      <c r="E997" s="3" t="s">
        <v>31</v>
      </c>
      <c r="F997" s="3" t="s">
        <v>105</v>
      </c>
      <c r="G997" s="4" t="s">
        <v>106</v>
      </c>
      <c r="H997" s="4">
        <v>7</v>
      </c>
      <c r="I997" s="5">
        <v>0.25408564814814816</v>
      </c>
      <c r="J997" s="5">
        <v>0.17929398148148148</v>
      </c>
      <c r="K997" s="5">
        <f t="shared" si="30"/>
        <v>2.5613425925925925E-2</v>
      </c>
      <c r="L997" s="5">
        <v>0.11269675925925926</v>
      </c>
      <c r="M997" s="6">
        <f t="shared" si="31"/>
        <v>0.44353846854644013</v>
      </c>
      <c r="N997" s="5"/>
      <c r="O997" s="5">
        <v>1.6793981481481483E-2</v>
      </c>
      <c r="P997" s="5"/>
      <c r="Q997" s="5"/>
      <c r="R997" s="5"/>
      <c r="S997" s="5">
        <v>1.4074074074074074E-2</v>
      </c>
      <c r="T997" s="5">
        <v>2.2881944444444444E-2</v>
      </c>
      <c r="U997" s="5">
        <v>2.8935185185185184E-4</v>
      </c>
      <c r="V997" s="5"/>
      <c r="W997" s="5">
        <v>5.8645833333333335E-2</v>
      </c>
    </row>
    <row r="998" spans="1:23" x14ac:dyDescent="0.25">
      <c r="A998" s="2">
        <v>46246</v>
      </c>
      <c r="B998" s="3" t="s">
        <v>617</v>
      </c>
      <c r="C998" s="3" t="s">
        <v>638</v>
      </c>
      <c r="D998" s="3" t="s">
        <v>601</v>
      </c>
      <c r="E998" s="3" t="s">
        <v>31</v>
      </c>
      <c r="F998" s="3" t="s">
        <v>105</v>
      </c>
      <c r="G998" s="4" t="s">
        <v>33</v>
      </c>
      <c r="H998" s="4">
        <v>4</v>
      </c>
      <c r="I998" s="5">
        <v>0.2414351851851852</v>
      </c>
      <c r="J998" s="5">
        <v>0.11833333333333333</v>
      </c>
      <c r="K998" s="5">
        <f t="shared" si="30"/>
        <v>2.9583333333333333E-2</v>
      </c>
      <c r="L998" s="5">
        <v>0.17469907407407406</v>
      </c>
      <c r="M998" s="6">
        <f t="shared" si="31"/>
        <v>0.72358581016299128</v>
      </c>
      <c r="N998" s="5">
        <v>1.0601851851851852E-2</v>
      </c>
      <c r="O998" s="5">
        <v>9.8032407407407408E-3</v>
      </c>
      <c r="P998" s="5"/>
      <c r="Q998" s="5"/>
      <c r="R998" s="5"/>
      <c r="S998" s="5">
        <v>1.5243055555555555E-2</v>
      </c>
      <c r="T998" s="5">
        <v>5.8564814814814816E-3</v>
      </c>
      <c r="U998" s="5">
        <v>0.13319444444444445</v>
      </c>
      <c r="V998" s="5"/>
      <c r="W998" s="5"/>
    </row>
    <row r="999" spans="1:23" x14ac:dyDescent="0.25">
      <c r="A999" s="2">
        <v>46246</v>
      </c>
      <c r="B999" s="3" t="s">
        <v>618</v>
      </c>
      <c r="C999" s="3" t="s">
        <v>639</v>
      </c>
      <c r="D999" s="3" t="s">
        <v>601</v>
      </c>
      <c r="E999" s="3" t="s">
        <v>31</v>
      </c>
      <c r="F999" s="3" t="s">
        <v>105</v>
      </c>
      <c r="G999" s="4" t="s">
        <v>33</v>
      </c>
      <c r="H999" s="4">
        <v>10</v>
      </c>
      <c r="I999" s="5">
        <v>0.24223379629629629</v>
      </c>
      <c r="J999" s="5">
        <v>0.20496527777777779</v>
      </c>
      <c r="K999" s="5">
        <f t="shared" si="30"/>
        <v>2.049652777777778E-2</v>
      </c>
      <c r="L999" s="5">
        <v>0.19324074074074074</v>
      </c>
      <c r="M999" s="6">
        <f t="shared" si="31"/>
        <v>0.79774475608008033</v>
      </c>
      <c r="N999" s="5">
        <v>3.9004629629629628E-3</v>
      </c>
      <c r="O999" s="5">
        <v>2.0486111111111111E-2</v>
      </c>
      <c r="P999" s="5"/>
      <c r="Q999" s="5"/>
      <c r="R999" s="5"/>
      <c r="S999" s="5">
        <v>1.3912037037037037E-2</v>
      </c>
      <c r="T999" s="5">
        <v>5.9837962962962961E-3</v>
      </c>
      <c r="U999" s="5">
        <v>0.14895833333333333</v>
      </c>
      <c r="V999" s="5"/>
      <c r="W999" s="5"/>
    </row>
    <row r="1000" spans="1:23" x14ac:dyDescent="0.25">
      <c r="A1000" s="2">
        <v>46246</v>
      </c>
      <c r="B1000" s="3" t="s">
        <v>501</v>
      </c>
      <c r="C1000" s="3" t="s">
        <v>524</v>
      </c>
      <c r="D1000" s="3" t="s">
        <v>274</v>
      </c>
      <c r="E1000" s="3" t="s">
        <v>79</v>
      </c>
      <c r="F1000" s="3" t="s">
        <v>147</v>
      </c>
      <c r="G1000" s="4" t="s">
        <v>33</v>
      </c>
      <c r="H1000" s="4">
        <v>16</v>
      </c>
      <c r="I1000" s="5">
        <v>0.2675925925925926</v>
      </c>
      <c r="J1000" s="5">
        <v>6.8263888888888888E-2</v>
      </c>
      <c r="K1000" s="5">
        <f t="shared" si="30"/>
        <v>4.2664930555555555E-3</v>
      </c>
      <c r="L1000" s="5">
        <v>3.0324074074074073E-2</v>
      </c>
      <c r="M1000" s="6">
        <f t="shared" si="31"/>
        <v>0.11332179930795847</v>
      </c>
      <c r="N1000" s="5">
        <v>5.2083333333333333E-4</v>
      </c>
      <c r="O1000" s="5">
        <v>1.5543981481481482E-2</v>
      </c>
      <c r="P1000" s="5"/>
      <c r="Q1000" s="5"/>
      <c r="R1000" s="5"/>
      <c r="S1000" s="5">
        <v>1.3842592592592592E-2</v>
      </c>
      <c r="T1000" s="5">
        <v>4.6296296296296294E-5</v>
      </c>
      <c r="U1000" s="5">
        <v>3.7037037037037035E-4</v>
      </c>
      <c r="V1000" s="5"/>
      <c r="W1000" s="5"/>
    </row>
    <row r="1001" spans="1:23" x14ac:dyDescent="0.25">
      <c r="A1001" s="2">
        <v>46246</v>
      </c>
      <c r="B1001" s="3" t="s">
        <v>213</v>
      </c>
      <c r="C1001" s="3" t="s">
        <v>572</v>
      </c>
      <c r="D1001" s="3" t="s">
        <v>601</v>
      </c>
      <c r="E1001" s="3" t="s">
        <v>31</v>
      </c>
      <c r="F1001" s="3" t="s">
        <v>105</v>
      </c>
      <c r="G1001" s="4" t="s">
        <v>33</v>
      </c>
      <c r="H1001" s="4">
        <v>5</v>
      </c>
      <c r="I1001" s="5">
        <v>0.24438657407407408</v>
      </c>
      <c r="J1001" s="5">
        <v>5.8657407407407408E-2</v>
      </c>
      <c r="K1001" s="5">
        <f t="shared" si="30"/>
        <v>1.1731481481481482E-2</v>
      </c>
      <c r="L1001" s="5">
        <v>0.21358796296296295</v>
      </c>
      <c r="M1001" s="6">
        <f t="shared" si="31"/>
        <v>0.87397584655458205</v>
      </c>
      <c r="N1001" s="5">
        <v>1.1145833333333334E-2</v>
      </c>
      <c r="O1001" s="5">
        <v>1.1157407407407408E-2</v>
      </c>
      <c r="P1001" s="5"/>
      <c r="Q1001" s="5"/>
      <c r="R1001" s="5"/>
      <c r="S1001" s="5">
        <v>1.5231481481481481E-2</v>
      </c>
      <c r="T1001" s="5">
        <v>9.3749999999999997E-4</v>
      </c>
      <c r="U1001" s="5">
        <v>0.17510416666666667</v>
      </c>
      <c r="V1001" s="5"/>
      <c r="W1001" s="5"/>
    </row>
    <row r="1002" spans="1:23" x14ac:dyDescent="0.25">
      <c r="A1002" s="2">
        <v>46246</v>
      </c>
      <c r="B1002" s="3" t="s">
        <v>619</v>
      </c>
      <c r="C1002" s="3" t="s">
        <v>640</v>
      </c>
      <c r="D1002" s="3" t="s">
        <v>601</v>
      </c>
      <c r="E1002" s="3" t="s">
        <v>31</v>
      </c>
      <c r="F1002" s="3" t="s">
        <v>105</v>
      </c>
      <c r="G1002" s="4" t="s">
        <v>33</v>
      </c>
      <c r="H1002" s="4">
        <v>8</v>
      </c>
      <c r="I1002" s="5">
        <v>0.23495370370370369</v>
      </c>
      <c r="J1002" s="5">
        <v>7.5659722222222225E-2</v>
      </c>
      <c r="K1002" s="5">
        <f t="shared" si="30"/>
        <v>9.4574652777777782E-3</v>
      </c>
      <c r="L1002" s="5">
        <v>0.18373842592592593</v>
      </c>
      <c r="M1002" s="6">
        <f t="shared" si="31"/>
        <v>0.78201970443349755</v>
      </c>
      <c r="N1002" s="5"/>
      <c r="O1002" s="5">
        <v>1.375E-2</v>
      </c>
      <c r="P1002" s="5"/>
      <c r="Q1002" s="5"/>
      <c r="R1002" s="5"/>
      <c r="S1002" s="5">
        <v>1.5277777777777777E-2</v>
      </c>
      <c r="T1002" s="5">
        <v>9.6064814814814819E-4</v>
      </c>
      <c r="U1002" s="5">
        <v>0.15373842592592593</v>
      </c>
      <c r="V1002" s="5"/>
      <c r="W1002" s="5"/>
    </row>
    <row r="1003" spans="1:23" x14ac:dyDescent="0.25">
      <c r="A1003" s="2">
        <v>46246</v>
      </c>
      <c r="B1003" s="3" t="s">
        <v>744</v>
      </c>
      <c r="C1003" s="3" t="s">
        <v>670</v>
      </c>
      <c r="D1003" s="3" t="s">
        <v>100</v>
      </c>
      <c r="E1003" s="3" t="s">
        <v>31</v>
      </c>
      <c r="F1003" s="3" t="s">
        <v>32</v>
      </c>
      <c r="G1003" s="4" t="s">
        <v>33</v>
      </c>
      <c r="H1003" s="4">
        <v>35</v>
      </c>
      <c r="I1003" s="5">
        <v>0.25979166666666664</v>
      </c>
      <c r="J1003" s="5">
        <v>0.16347222222222221</v>
      </c>
      <c r="K1003" s="5">
        <f t="shared" si="30"/>
        <v>4.6706349206349206E-3</v>
      </c>
      <c r="L1003" s="5">
        <v>6.7581018518518512E-2</v>
      </c>
      <c r="M1003" s="6">
        <f t="shared" si="31"/>
        <v>0.26013543615789003</v>
      </c>
      <c r="N1003" s="5">
        <v>3.5416666666666666E-2</v>
      </c>
      <c r="O1003" s="5">
        <v>1.4143518518518519E-2</v>
      </c>
      <c r="P1003" s="5"/>
      <c r="Q1003" s="5"/>
      <c r="R1003" s="5"/>
      <c r="S1003" s="5">
        <v>1.4918981481481481E-2</v>
      </c>
      <c r="T1003" s="5">
        <v>4.861111111111111E-4</v>
      </c>
      <c r="U1003" s="5">
        <v>1.9212962962962964E-3</v>
      </c>
      <c r="V1003" s="5"/>
      <c r="W1003" s="5">
        <v>6.9444444444444447E-4</v>
      </c>
    </row>
    <row r="1004" spans="1:23" x14ac:dyDescent="0.25">
      <c r="A1004" s="2">
        <v>46246</v>
      </c>
      <c r="B1004" s="3" t="s">
        <v>219</v>
      </c>
      <c r="C1004" s="3" t="s">
        <v>548</v>
      </c>
      <c r="D1004" s="3" t="s">
        <v>104</v>
      </c>
      <c r="E1004" s="3" t="s">
        <v>31</v>
      </c>
      <c r="F1004" s="3" t="s">
        <v>105</v>
      </c>
      <c r="G1004" s="4" t="s">
        <v>106</v>
      </c>
      <c r="H1004" s="4">
        <v>6</v>
      </c>
      <c r="I1004" s="5">
        <v>0.23460648148148147</v>
      </c>
      <c r="J1004" s="5">
        <v>8.2708333333333328E-2</v>
      </c>
      <c r="K1004" s="5">
        <f t="shared" si="30"/>
        <v>1.3784722222222221E-2</v>
      </c>
      <c r="L1004" s="5">
        <v>0.17775462962962962</v>
      </c>
      <c r="M1004" s="6">
        <f t="shared" si="31"/>
        <v>0.75767143561914163</v>
      </c>
      <c r="N1004" s="5">
        <v>3.3680555555555556E-3</v>
      </c>
      <c r="O1004" s="5">
        <v>1.5173611111111112E-2</v>
      </c>
      <c r="P1004" s="5">
        <v>4.2129629629629628E-2</v>
      </c>
      <c r="Q1004" s="5">
        <v>1.5983796296296298E-2</v>
      </c>
      <c r="R1004" s="5"/>
      <c r="S1004" s="5">
        <v>1.4537037037037038E-2</v>
      </c>
      <c r="T1004" s="5">
        <v>6.1805555555555555E-3</v>
      </c>
      <c r="U1004" s="5">
        <v>1.1574074074074075E-4</v>
      </c>
      <c r="V1004" s="5"/>
      <c r="W1004" s="5">
        <v>8.0266203703703701E-2</v>
      </c>
    </row>
    <row r="1005" spans="1:23" x14ac:dyDescent="0.25">
      <c r="A1005" s="2">
        <v>46246</v>
      </c>
      <c r="B1005" s="3" t="s">
        <v>305</v>
      </c>
      <c r="C1005" s="3" t="s">
        <v>306</v>
      </c>
      <c r="D1005" s="3" t="s">
        <v>100</v>
      </c>
      <c r="E1005" s="3" t="s">
        <v>31</v>
      </c>
      <c r="F1005" s="3" t="s">
        <v>32</v>
      </c>
      <c r="G1005" s="4" t="s">
        <v>33</v>
      </c>
      <c r="H1005" s="4">
        <v>35</v>
      </c>
      <c r="I1005" s="5">
        <v>0.26221064814814815</v>
      </c>
      <c r="J1005" s="5">
        <v>0.16575231481481481</v>
      </c>
      <c r="K1005" s="5">
        <f t="shared" si="30"/>
        <v>4.7357804232804231E-3</v>
      </c>
      <c r="L1005" s="5">
        <v>4.7708333333333332E-2</v>
      </c>
      <c r="M1005" s="6">
        <f t="shared" si="31"/>
        <v>0.18194659015669828</v>
      </c>
      <c r="N1005" s="5">
        <v>1.7164351851851851E-2</v>
      </c>
      <c r="O1005" s="5">
        <v>1.5590277777777778E-2</v>
      </c>
      <c r="P1005" s="5"/>
      <c r="Q1005" s="5"/>
      <c r="R1005" s="5"/>
      <c r="S1005" s="5">
        <v>1.4224537037037037E-2</v>
      </c>
      <c r="T1005" s="5">
        <v>4.2824074074074075E-4</v>
      </c>
      <c r="U1005" s="5"/>
      <c r="V1005" s="5"/>
      <c r="W1005" s="5">
        <v>3.0092592592592595E-4</v>
      </c>
    </row>
    <row r="1006" spans="1:23" x14ac:dyDescent="0.25">
      <c r="A1006" s="2">
        <v>46246</v>
      </c>
      <c r="B1006" s="3" t="s">
        <v>620</v>
      </c>
      <c r="C1006" s="3" t="s">
        <v>641</v>
      </c>
      <c r="D1006" s="3" t="s">
        <v>601</v>
      </c>
      <c r="E1006" s="3" t="s">
        <v>31</v>
      </c>
      <c r="F1006" s="3" t="s">
        <v>105</v>
      </c>
      <c r="G1006" s="4" t="s">
        <v>33</v>
      </c>
      <c r="H1006" s="4">
        <v>6</v>
      </c>
      <c r="I1006" s="5">
        <v>0.23584490740740741</v>
      </c>
      <c r="J1006" s="5">
        <v>9.8067129629629629E-2</v>
      </c>
      <c r="K1006" s="5">
        <f t="shared" si="30"/>
        <v>1.634452160493827E-2</v>
      </c>
      <c r="L1006" s="5">
        <v>0.19106481481481483</v>
      </c>
      <c r="M1006" s="6">
        <f t="shared" si="31"/>
        <v>0.81012906708543952</v>
      </c>
      <c r="N1006" s="5">
        <v>2.0486111111111113E-3</v>
      </c>
      <c r="O1006" s="5">
        <v>1.5532407407407408E-2</v>
      </c>
      <c r="P1006" s="5"/>
      <c r="Q1006" s="5"/>
      <c r="R1006" s="5"/>
      <c r="S1006" s="5">
        <v>1.4826388888888889E-2</v>
      </c>
      <c r="T1006" s="5">
        <v>5.347222222222222E-3</v>
      </c>
      <c r="U1006" s="5">
        <v>0.15331018518518519</v>
      </c>
      <c r="V1006" s="5"/>
      <c r="W1006" s="5"/>
    </row>
    <row r="1007" spans="1:23" x14ac:dyDescent="0.25">
      <c r="A1007" s="2">
        <v>46246</v>
      </c>
      <c r="B1007" s="3" t="s">
        <v>138</v>
      </c>
      <c r="C1007" s="3" t="s">
        <v>556</v>
      </c>
      <c r="D1007" s="3" t="s">
        <v>104</v>
      </c>
      <c r="E1007" s="3" t="s">
        <v>31</v>
      </c>
      <c r="F1007" s="3" t="s">
        <v>105</v>
      </c>
      <c r="G1007" s="4" t="s">
        <v>106</v>
      </c>
      <c r="H1007" s="4">
        <v>12</v>
      </c>
      <c r="I1007" s="5">
        <v>0.27618055555555554</v>
      </c>
      <c r="J1007" s="5">
        <v>0.16383101851851853</v>
      </c>
      <c r="K1007" s="5">
        <f t="shared" si="30"/>
        <v>1.365258487654321E-2</v>
      </c>
      <c r="L1007" s="5">
        <v>0.14498842592592592</v>
      </c>
      <c r="M1007" s="6">
        <f t="shared" si="31"/>
        <v>0.52497695080043583</v>
      </c>
      <c r="N1007" s="5">
        <v>9.5138888888888894E-3</v>
      </c>
      <c r="O1007" s="5">
        <v>1.8310185185185186E-2</v>
      </c>
      <c r="P1007" s="5"/>
      <c r="Q1007" s="5"/>
      <c r="R1007" s="5"/>
      <c r="S1007" s="5">
        <v>1.6087962962962964E-2</v>
      </c>
      <c r="T1007" s="5">
        <v>2.5694444444444445E-3</v>
      </c>
      <c r="U1007" s="5">
        <v>3.2407407407407406E-3</v>
      </c>
      <c r="V1007" s="5"/>
      <c r="W1007" s="5">
        <v>9.52662037037037E-2</v>
      </c>
    </row>
    <row r="1008" spans="1:23" x14ac:dyDescent="0.25">
      <c r="A1008" s="2">
        <v>46246</v>
      </c>
      <c r="B1008" s="3" t="s">
        <v>276</v>
      </c>
      <c r="C1008" s="3" t="s">
        <v>532</v>
      </c>
      <c r="D1008" s="3" t="s">
        <v>233</v>
      </c>
      <c r="E1008" s="3" t="s">
        <v>31</v>
      </c>
      <c r="F1008" s="3" t="s">
        <v>32</v>
      </c>
      <c r="G1008" s="4" t="s">
        <v>106</v>
      </c>
      <c r="H1008" s="4">
        <v>35</v>
      </c>
      <c r="I1008" s="5">
        <v>0.26111111111111113</v>
      </c>
      <c r="J1008" s="5">
        <v>0.10616898148148148</v>
      </c>
      <c r="K1008" s="5">
        <f t="shared" si="30"/>
        <v>3.0333994708994709E-3</v>
      </c>
      <c r="L1008" s="5">
        <v>5.1342592592592592E-2</v>
      </c>
      <c r="M1008" s="6">
        <f t="shared" si="31"/>
        <v>0.19663120567375886</v>
      </c>
      <c r="N1008" s="5">
        <v>2.3854166666666666E-2</v>
      </c>
      <c r="O1008" s="5">
        <v>1.324074074074074E-2</v>
      </c>
      <c r="P1008" s="5"/>
      <c r="Q1008" s="5"/>
      <c r="R1008" s="5"/>
      <c r="S1008" s="5">
        <v>1.3344907407407408E-2</v>
      </c>
      <c r="T1008" s="5">
        <v>9.0277777777777774E-4</v>
      </c>
      <c r="U1008" s="5"/>
      <c r="V1008" s="5"/>
      <c r="W1008" s="5"/>
    </row>
    <row r="1009" spans="1:23" x14ac:dyDescent="0.25">
      <c r="A1009" s="2">
        <v>46246</v>
      </c>
      <c r="B1009" s="3" t="s">
        <v>278</v>
      </c>
      <c r="C1009" s="3" t="s">
        <v>533</v>
      </c>
      <c r="D1009" s="3" t="s">
        <v>233</v>
      </c>
      <c r="E1009" s="3" t="s">
        <v>31</v>
      </c>
      <c r="F1009" s="3" t="s">
        <v>32</v>
      </c>
      <c r="G1009" s="4" t="s">
        <v>106</v>
      </c>
      <c r="H1009" s="4">
        <v>18</v>
      </c>
      <c r="I1009" s="5">
        <v>0.26612268518518517</v>
      </c>
      <c r="J1009" s="5">
        <v>0.13817129629629629</v>
      </c>
      <c r="K1009" s="5">
        <f t="shared" si="30"/>
        <v>7.6761831275720159E-3</v>
      </c>
      <c r="L1009" s="5">
        <v>3.4907407407407408E-2</v>
      </c>
      <c r="M1009" s="6">
        <f t="shared" si="31"/>
        <v>0.13117035619536382</v>
      </c>
      <c r="N1009" s="5"/>
      <c r="O1009" s="5">
        <v>1.556712962962963E-2</v>
      </c>
      <c r="P1009" s="5"/>
      <c r="Q1009" s="5">
        <v>1.0416666666666667E-4</v>
      </c>
      <c r="R1009" s="5"/>
      <c r="S1009" s="5">
        <v>1.3842592592592592E-2</v>
      </c>
      <c r="T1009" s="5">
        <v>5.0000000000000001E-3</v>
      </c>
      <c r="U1009" s="5">
        <v>3.8194444444444446E-4</v>
      </c>
      <c r="V1009" s="5"/>
      <c r="W1009" s="5"/>
    </row>
    <row r="1010" spans="1:23" x14ac:dyDescent="0.25">
      <c r="A1010" s="2">
        <v>46246</v>
      </c>
      <c r="B1010" s="3" t="s">
        <v>313</v>
      </c>
      <c r="C1010" s="3" t="s">
        <v>511</v>
      </c>
      <c r="D1010" s="3" t="s">
        <v>78</v>
      </c>
      <c r="E1010" s="3" t="s">
        <v>79</v>
      </c>
      <c r="F1010" s="3" t="s">
        <v>80</v>
      </c>
      <c r="G1010" s="4" t="s">
        <v>81</v>
      </c>
      <c r="H1010" s="4">
        <v>0</v>
      </c>
      <c r="I1010" s="5">
        <v>0.24930555555555556</v>
      </c>
      <c r="J1010" s="5">
        <v>0</v>
      </c>
      <c r="K1010" s="5">
        <f t="shared" si="30"/>
        <v>0</v>
      </c>
      <c r="L1010" s="5">
        <v>4.8194444444444443E-2</v>
      </c>
      <c r="M1010" s="6">
        <f t="shared" si="31"/>
        <v>0.19331476323119776</v>
      </c>
      <c r="N1010" s="5"/>
      <c r="O1010" s="5">
        <v>3.3784722222222223E-2</v>
      </c>
      <c r="P1010" s="5"/>
      <c r="Q1010" s="5"/>
      <c r="R1010" s="5"/>
      <c r="S1010" s="5">
        <v>1.2430555555555556E-2</v>
      </c>
      <c r="T1010" s="5">
        <v>1.9791666666666668E-3</v>
      </c>
      <c r="U1010" s="5"/>
      <c r="V1010" s="5"/>
      <c r="W1010" s="5"/>
    </row>
    <row r="1011" spans="1:23" x14ac:dyDescent="0.25">
      <c r="A1011" s="2">
        <v>46246</v>
      </c>
      <c r="B1011" s="3" t="s">
        <v>673</v>
      </c>
      <c r="C1011" s="3" t="s">
        <v>674</v>
      </c>
      <c r="D1011" s="3" t="s">
        <v>104</v>
      </c>
      <c r="E1011" s="3" t="s">
        <v>31</v>
      </c>
      <c r="F1011" s="3" t="s">
        <v>105</v>
      </c>
      <c r="G1011" s="4" t="s">
        <v>106</v>
      </c>
      <c r="H1011" s="4">
        <v>9</v>
      </c>
      <c r="I1011" s="5">
        <v>0.25724537037037037</v>
      </c>
      <c r="J1011" s="5">
        <v>0.15268518518518517</v>
      </c>
      <c r="K1011" s="5">
        <f t="shared" si="30"/>
        <v>1.6965020576131685E-2</v>
      </c>
      <c r="L1011" s="5">
        <v>0.17940972222222223</v>
      </c>
      <c r="M1011" s="6">
        <f t="shared" si="31"/>
        <v>0.69742643750562405</v>
      </c>
      <c r="N1011" s="5">
        <v>3.7847222222222223E-3</v>
      </c>
      <c r="O1011" s="5">
        <v>2.1840277777777778E-2</v>
      </c>
      <c r="P1011" s="5"/>
      <c r="Q1011" s="5"/>
      <c r="R1011" s="5"/>
      <c r="S1011" s="5">
        <v>1.3564814814814814E-2</v>
      </c>
      <c r="T1011" s="5">
        <v>1.5046296296296297E-4</v>
      </c>
      <c r="U1011" s="5">
        <v>4.9884259259259257E-3</v>
      </c>
      <c r="V1011" s="5"/>
      <c r="W1011" s="5">
        <v>0.13508101851851853</v>
      </c>
    </row>
    <row r="1012" spans="1:23" x14ac:dyDescent="0.25">
      <c r="A1012" s="2">
        <v>46246</v>
      </c>
      <c r="B1012" s="3" t="s">
        <v>225</v>
      </c>
      <c r="C1012" s="3" t="s">
        <v>549</v>
      </c>
      <c r="D1012" s="3" t="s">
        <v>601</v>
      </c>
      <c r="E1012" s="3" t="s">
        <v>31</v>
      </c>
      <c r="F1012" s="3" t="s">
        <v>105</v>
      </c>
      <c r="G1012" s="4" t="s">
        <v>33</v>
      </c>
      <c r="H1012" s="4">
        <v>5</v>
      </c>
      <c r="I1012" s="5">
        <v>0.23707175925925925</v>
      </c>
      <c r="J1012" s="5">
        <v>7.6307870370370373E-2</v>
      </c>
      <c r="K1012" s="5">
        <f t="shared" si="30"/>
        <v>1.5261574074074075E-2</v>
      </c>
      <c r="L1012" s="5">
        <v>0.1894675925925926</v>
      </c>
      <c r="M1012" s="6">
        <f t="shared" si="31"/>
        <v>0.79919933603476068</v>
      </c>
      <c r="N1012" s="5">
        <v>7.8125E-3</v>
      </c>
      <c r="O1012" s="5">
        <v>1.2476851851851852E-2</v>
      </c>
      <c r="P1012" s="5"/>
      <c r="Q1012" s="5"/>
      <c r="R1012" s="5"/>
      <c r="S1012" s="5"/>
      <c r="T1012" s="5">
        <v>4.9768518518518521E-4</v>
      </c>
      <c r="U1012" s="5">
        <v>0.16868055555555556</v>
      </c>
      <c r="V1012" s="5"/>
      <c r="W1012" s="5"/>
    </row>
    <row r="1013" spans="1:23" x14ac:dyDescent="0.25">
      <c r="A1013" s="2">
        <v>46246</v>
      </c>
      <c r="B1013" s="3" t="s">
        <v>70</v>
      </c>
      <c r="C1013" s="3" t="s">
        <v>71</v>
      </c>
      <c r="D1013" s="3" t="s">
        <v>78</v>
      </c>
      <c r="E1013" s="3" t="s">
        <v>79</v>
      </c>
      <c r="F1013" s="3" t="s">
        <v>80</v>
      </c>
      <c r="G1013" s="4" t="s">
        <v>33</v>
      </c>
      <c r="H1013" s="4">
        <v>0</v>
      </c>
      <c r="I1013" s="5">
        <v>0.34151620370370372</v>
      </c>
      <c r="J1013" s="5">
        <v>0</v>
      </c>
      <c r="K1013" s="5">
        <f t="shared" si="30"/>
        <v>0</v>
      </c>
      <c r="L1013" s="5">
        <v>5.9618055555555556E-2</v>
      </c>
      <c r="M1013" s="6">
        <f t="shared" si="31"/>
        <v>0.17456874639915951</v>
      </c>
      <c r="N1013" s="5"/>
      <c r="O1013" s="5">
        <v>4.3530092592592592E-2</v>
      </c>
      <c r="P1013" s="5"/>
      <c r="Q1013" s="5"/>
      <c r="R1013" s="5"/>
      <c r="S1013" s="5">
        <v>1.5972222222222221E-2</v>
      </c>
      <c r="T1013" s="5">
        <v>1.1574074074074075E-4</v>
      </c>
      <c r="U1013" s="5"/>
      <c r="V1013" s="5"/>
      <c r="W1013" s="5"/>
    </row>
    <row r="1014" spans="1:23" x14ac:dyDescent="0.25">
      <c r="A1014" s="2">
        <v>46246</v>
      </c>
      <c r="B1014" s="3" t="s">
        <v>280</v>
      </c>
      <c r="C1014" s="3" t="s">
        <v>534</v>
      </c>
      <c r="D1014" s="3" t="s">
        <v>233</v>
      </c>
      <c r="E1014" s="3" t="s">
        <v>31</v>
      </c>
      <c r="F1014" s="3" t="s">
        <v>32</v>
      </c>
      <c r="G1014" s="4" t="s">
        <v>106</v>
      </c>
      <c r="H1014" s="4">
        <v>29</v>
      </c>
      <c r="I1014" s="5">
        <v>0.26053240740740741</v>
      </c>
      <c r="J1014" s="5">
        <v>0.11996527777777778</v>
      </c>
      <c r="K1014" s="5">
        <f t="shared" si="30"/>
        <v>4.1367337164750963E-3</v>
      </c>
      <c r="L1014" s="5">
        <v>4.5011574074074072E-2</v>
      </c>
      <c r="M1014" s="6">
        <f t="shared" si="31"/>
        <v>0.17276765881830297</v>
      </c>
      <c r="N1014" s="5">
        <v>6.145833333333333E-3</v>
      </c>
      <c r="O1014" s="5">
        <v>3.0162037037037036E-2</v>
      </c>
      <c r="P1014" s="5"/>
      <c r="Q1014" s="5"/>
      <c r="R1014" s="5"/>
      <c r="S1014" s="5"/>
      <c r="T1014" s="5">
        <v>1.9675925925925926E-4</v>
      </c>
      <c r="U1014" s="5">
        <v>1.9675925925925926E-4</v>
      </c>
      <c r="V1014" s="5"/>
      <c r="W1014" s="5">
        <v>8.2870370370370372E-3</v>
      </c>
    </row>
    <row r="1015" spans="1:23" x14ac:dyDescent="0.25">
      <c r="A1015" s="2">
        <v>46246</v>
      </c>
      <c r="B1015" s="3" t="s">
        <v>299</v>
      </c>
      <c r="C1015" s="3" t="s">
        <v>571</v>
      </c>
      <c r="D1015" s="3" t="s">
        <v>104</v>
      </c>
      <c r="E1015" s="3" t="s">
        <v>31</v>
      </c>
      <c r="F1015" s="3" t="s">
        <v>105</v>
      </c>
      <c r="G1015" s="4" t="s">
        <v>106</v>
      </c>
      <c r="H1015" s="4">
        <v>9</v>
      </c>
      <c r="I1015" s="5">
        <v>0.26192129629629629</v>
      </c>
      <c r="J1015" s="5">
        <v>0.19439814814814815</v>
      </c>
      <c r="K1015" s="5">
        <f t="shared" si="30"/>
        <v>2.1599794238683127E-2</v>
      </c>
      <c r="L1015" s="5">
        <v>0.11935185185185185</v>
      </c>
      <c r="M1015" s="6">
        <f t="shared" si="31"/>
        <v>0.45567830313742819</v>
      </c>
      <c r="N1015" s="5"/>
      <c r="O1015" s="5">
        <v>1.4236111111111111E-2</v>
      </c>
      <c r="P1015" s="5"/>
      <c r="Q1015" s="5"/>
      <c r="R1015" s="5"/>
      <c r="S1015" s="5">
        <v>1.2476851851851852E-2</v>
      </c>
      <c r="T1015" s="5">
        <v>6.5972222222222224E-4</v>
      </c>
      <c r="U1015" s="5">
        <v>4.6412037037037038E-3</v>
      </c>
      <c r="V1015" s="5"/>
      <c r="W1015" s="5">
        <v>8.7326388888888884E-2</v>
      </c>
    </row>
    <row r="1016" spans="1:23" x14ac:dyDescent="0.25">
      <c r="A1016" s="2">
        <v>46246</v>
      </c>
      <c r="B1016" s="3" t="s">
        <v>227</v>
      </c>
      <c r="C1016" s="3" t="s">
        <v>557</v>
      </c>
      <c r="D1016" s="3" t="s">
        <v>146</v>
      </c>
      <c r="E1016" s="3" t="s">
        <v>79</v>
      </c>
      <c r="F1016" s="3" t="s">
        <v>147</v>
      </c>
      <c r="G1016" s="4" t="s">
        <v>106</v>
      </c>
      <c r="H1016" s="4">
        <v>11</v>
      </c>
      <c r="I1016" s="5">
        <v>0.28814814814814815</v>
      </c>
      <c r="J1016" s="5">
        <v>7.1296296296296302E-2</v>
      </c>
      <c r="K1016" s="5">
        <f t="shared" si="30"/>
        <v>6.4814814814814822E-3</v>
      </c>
      <c r="L1016" s="5">
        <v>5.1122685185185188E-2</v>
      </c>
      <c r="M1016" s="6">
        <f t="shared" si="31"/>
        <v>0.17741805912596401</v>
      </c>
      <c r="N1016" s="5">
        <v>2.1875000000000002E-3</v>
      </c>
      <c r="O1016" s="5">
        <v>6.9675925925925929E-3</v>
      </c>
      <c r="P1016" s="5">
        <v>5.5208333333333333E-3</v>
      </c>
      <c r="Q1016" s="5">
        <v>1.5289351851851853E-2</v>
      </c>
      <c r="R1016" s="5">
        <v>7.037037037037037E-3</v>
      </c>
      <c r="S1016" s="5">
        <v>1.3969907407407407E-2</v>
      </c>
      <c r="T1016" s="5">
        <v>1.5046296296296297E-4</v>
      </c>
      <c r="U1016" s="5"/>
      <c r="V1016" s="5"/>
      <c r="W1016" s="5"/>
    </row>
    <row r="1017" spans="1:23" x14ac:dyDescent="0.25">
      <c r="A1017" s="2">
        <v>46246</v>
      </c>
      <c r="B1017" s="3" t="s">
        <v>282</v>
      </c>
      <c r="C1017" s="3" t="s">
        <v>535</v>
      </c>
      <c r="D1017" s="3" t="s">
        <v>233</v>
      </c>
      <c r="E1017" s="3" t="s">
        <v>31</v>
      </c>
      <c r="F1017" s="3" t="s">
        <v>32</v>
      </c>
      <c r="G1017" s="4" t="s">
        <v>106</v>
      </c>
      <c r="H1017" s="4">
        <v>54</v>
      </c>
      <c r="I1017" s="5">
        <v>0.25802083333333331</v>
      </c>
      <c r="J1017" s="5">
        <v>0.11582175925925926</v>
      </c>
      <c r="K1017" s="5">
        <f t="shared" si="30"/>
        <v>2.1448473936899865E-3</v>
      </c>
      <c r="L1017" s="5">
        <v>4.1550925925925929E-2</v>
      </c>
      <c r="M1017" s="6">
        <f t="shared" si="31"/>
        <v>0.16103709684654377</v>
      </c>
      <c r="N1017" s="5">
        <v>1.7824074074074075E-3</v>
      </c>
      <c r="O1017" s="5">
        <v>1.4826388888888889E-2</v>
      </c>
      <c r="P1017" s="5">
        <v>9.8958333333333329E-3</v>
      </c>
      <c r="Q1017" s="5">
        <v>1.3819444444444445E-2</v>
      </c>
      <c r="R1017" s="5"/>
      <c r="S1017" s="5"/>
      <c r="T1017" s="5">
        <v>1.0300925925925926E-3</v>
      </c>
      <c r="U1017" s="5">
        <v>1.9675925925925926E-4</v>
      </c>
      <c r="V1017" s="5"/>
      <c r="W1017" s="5"/>
    </row>
    <row r="1018" spans="1:23" x14ac:dyDescent="0.25">
      <c r="A1018" s="2">
        <v>46246</v>
      </c>
      <c r="B1018" s="3" t="s">
        <v>675</v>
      </c>
      <c r="C1018" s="3" t="s">
        <v>676</v>
      </c>
      <c r="D1018" s="3" t="s">
        <v>104</v>
      </c>
      <c r="E1018" s="3" t="s">
        <v>31</v>
      </c>
      <c r="F1018" s="3" t="s">
        <v>105</v>
      </c>
      <c r="G1018" s="4" t="s">
        <v>106</v>
      </c>
      <c r="H1018" s="4">
        <v>8</v>
      </c>
      <c r="I1018" s="5">
        <v>0.25912037037037039</v>
      </c>
      <c r="J1018" s="5">
        <v>0.15809027777777779</v>
      </c>
      <c r="K1018" s="5">
        <f t="shared" si="30"/>
        <v>1.9761284722222223E-2</v>
      </c>
      <c r="L1018" s="5">
        <v>0.17277777777777778</v>
      </c>
      <c r="M1018" s="6">
        <f t="shared" si="31"/>
        <v>0.66678577809540818</v>
      </c>
      <c r="N1018" s="5">
        <v>3.4953703703703705E-3</v>
      </c>
      <c r="O1018" s="5">
        <v>1.494212962962963E-2</v>
      </c>
      <c r="P1018" s="5"/>
      <c r="Q1018" s="5"/>
      <c r="R1018" s="5"/>
      <c r="S1018" s="5">
        <v>1.3668981481481482E-2</v>
      </c>
      <c r="T1018" s="5">
        <v>2.0833333333333335E-4</v>
      </c>
      <c r="U1018" s="5">
        <v>1.9791666666666668E-3</v>
      </c>
      <c r="V1018" s="5"/>
      <c r="W1018" s="5">
        <v>0.13846064814814815</v>
      </c>
    </row>
    <row r="1019" spans="1:23" x14ac:dyDescent="0.25">
      <c r="A1019" s="2">
        <v>46246</v>
      </c>
      <c r="B1019" s="3" t="s">
        <v>677</v>
      </c>
      <c r="C1019" s="3" t="s">
        <v>678</v>
      </c>
      <c r="D1019" s="3" t="s">
        <v>274</v>
      </c>
      <c r="E1019" s="3" t="s">
        <v>79</v>
      </c>
      <c r="F1019" s="3" t="s">
        <v>147</v>
      </c>
      <c r="G1019" s="4" t="s">
        <v>33</v>
      </c>
      <c r="H1019" s="4">
        <v>17</v>
      </c>
      <c r="I1019" s="5">
        <v>0.25949074074074074</v>
      </c>
      <c r="J1019" s="5">
        <v>5.3506944444444447E-2</v>
      </c>
      <c r="K1019" s="5">
        <f t="shared" si="30"/>
        <v>3.1474673202614382E-3</v>
      </c>
      <c r="L1019" s="5">
        <v>3.0254629629629631E-2</v>
      </c>
      <c r="M1019" s="6">
        <f t="shared" si="31"/>
        <v>0.11659232827832293</v>
      </c>
      <c r="N1019" s="5"/>
      <c r="O1019" s="5">
        <v>1.5405092592592592E-2</v>
      </c>
      <c r="P1019" s="5"/>
      <c r="Q1019" s="5"/>
      <c r="R1019" s="5"/>
      <c r="S1019" s="5">
        <v>1.3819444444444445E-2</v>
      </c>
      <c r="T1019" s="5">
        <v>7.7546296296296293E-4</v>
      </c>
      <c r="U1019" s="5">
        <v>2.3148148148148149E-4</v>
      </c>
      <c r="V1019" s="5"/>
      <c r="W1019" s="5"/>
    </row>
    <row r="1020" spans="1:23" x14ac:dyDescent="0.25">
      <c r="A1020" s="2">
        <v>46247</v>
      </c>
      <c r="B1020" s="3" t="s">
        <v>186</v>
      </c>
      <c r="C1020" s="3" t="s">
        <v>562</v>
      </c>
      <c r="D1020" s="3" t="s">
        <v>78</v>
      </c>
      <c r="E1020" s="3" t="s">
        <v>79</v>
      </c>
      <c r="F1020" s="3" t="s">
        <v>80</v>
      </c>
      <c r="G1020" s="4" t="s">
        <v>33</v>
      </c>
      <c r="H1020" s="4">
        <v>3</v>
      </c>
      <c r="I1020" s="5">
        <v>0</v>
      </c>
      <c r="J1020" s="5">
        <v>7.8703703703703696E-3</v>
      </c>
      <c r="K1020" s="5">
        <f t="shared" si="30"/>
        <v>2.6234567901234564E-3</v>
      </c>
      <c r="L1020" s="5">
        <v>0</v>
      </c>
      <c r="M1020" s="6">
        <f t="shared" si="31"/>
        <v>0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 spans="1:23" x14ac:dyDescent="0.25">
      <c r="A1021" s="2">
        <v>46247</v>
      </c>
      <c r="B1021" s="3" t="s">
        <v>643</v>
      </c>
      <c r="C1021" s="3" t="s">
        <v>644</v>
      </c>
      <c r="D1021" s="3" t="s">
        <v>233</v>
      </c>
      <c r="E1021" s="3" t="s">
        <v>31</v>
      </c>
      <c r="F1021" s="3" t="s">
        <v>32</v>
      </c>
      <c r="G1021" s="4" t="s">
        <v>106</v>
      </c>
      <c r="H1021" s="4">
        <v>11</v>
      </c>
      <c r="I1021" s="5">
        <v>0</v>
      </c>
      <c r="J1021" s="5">
        <v>0.11306712962962963</v>
      </c>
      <c r="K1021" s="5">
        <f t="shared" si="30"/>
        <v>1.0278829966329965E-2</v>
      </c>
      <c r="L1021" s="5">
        <v>0</v>
      </c>
      <c r="M1021" s="6">
        <f t="shared" si="31"/>
        <v>0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 spans="1:23" x14ac:dyDescent="0.25">
      <c r="A1022" s="2">
        <v>46247</v>
      </c>
      <c r="B1022" s="3" t="s">
        <v>193</v>
      </c>
      <c r="C1022" s="3" t="s">
        <v>563</v>
      </c>
      <c r="D1022" s="3" t="s">
        <v>274</v>
      </c>
      <c r="E1022" s="3" t="s">
        <v>79</v>
      </c>
      <c r="F1022" s="3" t="s">
        <v>147</v>
      </c>
      <c r="G1022" s="4" t="s">
        <v>33</v>
      </c>
      <c r="H1022" s="4">
        <v>15</v>
      </c>
      <c r="I1022" s="5">
        <v>0</v>
      </c>
      <c r="J1022" s="5">
        <v>4.6840277777777779E-2</v>
      </c>
      <c r="K1022" s="5">
        <f t="shared" si="30"/>
        <v>3.1226851851851854E-3</v>
      </c>
      <c r="L1022" s="5">
        <v>0</v>
      </c>
      <c r="M1022" s="6">
        <f t="shared" si="31"/>
        <v>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 spans="1:23" x14ac:dyDescent="0.25">
      <c r="A1023" s="2">
        <v>46247</v>
      </c>
      <c r="B1023" s="3" t="s">
        <v>231</v>
      </c>
      <c r="C1023" s="3" t="s">
        <v>525</v>
      </c>
      <c r="D1023" s="3" t="s">
        <v>233</v>
      </c>
      <c r="E1023" s="3" t="s">
        <v>31</v>
      </c>
      <c r="F1023" s="3" t="s">
        <v>32</v>
      </c>
      <c r="G1023" s="4" t="s">
        <v>106</v>
      </c>
      <c r="H1023" s="4">
        <v>29</v>
      </c>
      <c r="I1023" s="5">
        <v>0</v>
      </c>
      <c r="J1023" s="5">
        <v>0.1005324074074074</v>
      </c>
      <c r="K1023" s="5">
        <f t="shared" si="30"/>
        <v>3.4666347381864622E-3</v>
      </c>
      <c r="L1023" s="5">
        <v>0</v>
      </c>
      <c r="M1023" s="6">
        <f t="shared" si="31"/>
        <v>0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 spans="1:23" x14ac:dyDescent="0.25">
      <c r="A1024" s="2">
        <v>46247</v>
      </c>
      <c r="B1024" s="3" t="s">
        <v>148</v>
      </c>
      <c r="C1024" s="3" t="s">
        <v>513</v>
      </c>
      <c r="D1024" s="3" t="s">
        <v>104</v>
      </c>
      <c r="E1024" s="3" t="s">
        <v>31</v>
      </c>
      <c r="F1024" s="3" t="s">
        <v>105</v>
      </c>
      <c r="G1024" s="4" t="s">
        <v>106</v>
      </c>
      <c r="H1024" s="4">
        <v>4</v>
      </c>
      <c r="I1024" s="5">
        <v>0</v>
      </c>
      <c r="J1024" s="5">
        <v>9.8576388888888894E-2</v>
      </c>
      <c r="K1024" s="5">
        <f t="shared" si="30"/>
        <v>2.4644097222222223E-2</v>
      </c>
      <c r="L1024" s="5">
        <v>0</v>
      </c>
      <c r="M1024" s="6">
        <f t="shared" si="31"/>
        <v>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 spans="1:23" x14ac:dyDescent="0.25">
      <c r="A1025" s="2">
        <v>46247</v>
      </c>
      <c r="B1025" s="3" t="s">
        <v>82</v>
      </c>
      <c r="C1025" s="3" t="s">
        <v>83</v>
      </c>
      <c r="D1025" s="3" t="s">
        <v>78</v>
      </c>
      <c r="E1025" s="3" t="s">
        <v>79</v>
      </c>
      <c r="F1025" s="3" t="s">
        <v>80</v>
      </c>
      <c r="G1025" s="4" t="s">
        <v>81</v>
      </c>
      <c r="H1025" s="4">
        <v>0</v>
      </c>
      <c r="I1025" s="5">
        <v>0</v>
      </c>
      <c r="J1025" s="5">
        <v>0</v>
      </c>
      <c r="K1025" s="5">
        <f t="shared" si="30"/>
        <v>0</v>
      </c>
      <c r="L1025" s="5">
        <v>0</v>
      </c>
      <c r="M1025" s="6">
        <f t="shared" si="31"/>
        <v>0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 spans="1:23" x14ac:dyDescent="0.25">
      <c r="A1026" s="2">
        <v>46247</v>
      </c>
      <c r="B1026" s="3" t="s">
        <v>234</v>
      </c>
      <c r="C1026" s="3" t="s">
        <v>550</v>
      </c>
      <c r="D1026" s="3" t="s">
        <v>233</v>
      </c>
      <c r="E1026" s="3" t="s">
        <v>31</v>
      </c>
      <c r="F1026" s="3" t="s">
        <v>32</v>
      </c>
      <c r="G1026" s="4" t="s">
        <v>106</v>
      </c>
      <c r="H1026" s="4">
        <v>22</v>
      </c>
      <c r="I1026" s="5">
        <v>0</v>
      </c>
      <c r="J1026" s="5">
        <v>9.9027777777777784E-2</v>
      </c>
      <c r="K1026" s="5">
        <f t="shared" ref="K1026:K1089" si="32">IFERROR(J1026/H1026,0)</f>
        <v>4.5012626262626266E-3</v>
      </c>
      <c r="L1026" s="5">
        <v>0</v>
      </c>
      <c r="M1026" s="6">
        <f t="shared" ref="M1026:M1089" si="33">IFERROR(L1026/I1026,0)</f>
        <v>0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spans="1:23" x14ac:dyDescent="0.25">
      <c r="A1027" s="2">
        <v>46247</v>
      </c>
      <c r="B1027" s="3" t="s">
        <v>34</v>
      </c>
      <c r="C1027" s="3" t="s">
        <v>505</v>
      </c>
      <c r="D1027" s="3" t="s">
        <v>233</v>
      </c>
      <c r="E1027" s="3" t="s">
        <v>31</v>
      </c>
      <c r="F1027" s="3" t="s">
        <v>32</v>
      </c>
      <c r="G1027" s="4" t="s">
        <v>106</v>
      </c>
      <c r="H1027" s="4">
        <v>30</v>
      </c>
      <c r="I1027" s="5">
        <v>0</v>
      </c>
      <c r="J1027" s="5">
        <v>9.8171296296296298E-2</v>
      </c>
      <c r="K1027" s="5">
        <f t="shared" si="32"/>
        <v>3.2723765432098764E-3</v>
      </c>
      <c r="L1027" s="5">
        <v>0</v>
      </c>
      <c r="M1027" s="6">
        <f t="shared" si="33"/>
        <v>0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 spans="1:23" x14ac:dyDescent="0.25">
      <c r="A1028" s="2">
        <v>46247</v>
      </c>
      <c r="B1028" s="3" t="s">
        <v>238</v>
      </c>
      <c r="C1028" s="3" t="s">
        <v>526</v>
      </c>
      <c r="D1028" s="3" t="s">
        <v>233</v>
      </c>
      <c r="E1028" s="3" t="s">
        <v>31</v>
      </c>
      <c r="F1028" s="3" t="s">
        <v>32</v>
      </c>
      <c r="G1028" s="4" t="s">
        <v>106</v>
      </c>
      <c r="H1028" s="4">
        <v>0</v>
      </c>
      <c r="I1028" s="5">
        <v>0</v>
      </c>
      <c r="J1028" s="5">
        <v>0</v>
      </c>
      <c r="K1028" s="5">
        <f t="shared" si="32"/>
        <v>0</v>
      </c>
      <c r="L1028" s="5">
        <v>0</v>
      </c>
      <c r="M1028" s="6">
        <f t="shared" si="33"/>
        <v>0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 spans="1:23" x14ac:dyDescent="0.25">
      <c r="A1029" s="2">
        <v>46247</v>
      </c>
      <c r="B1029" s="3" t="s">
        <v>608</v>
      </c>
      <c r="C1029" s="3" t="s">
        <v>631</v>
      </c>
      <c r="D1029" s="3" t="s">
        <v>601</v>
      </c>
      <c r="E1029" s="3" t="s">
        <v>31</v>
      </c>
      <c r="F1029" s="3" t="s">
        <v>105</v>
      </c>
      <c r="G1029" s="4" t="s">
        <v>33</v>
      </c>
      <c r="H1029" s="4">
        <v>3</v>
      </c>
      <c r="I1029" s="5">
        <v>0</v>
      </c>
      <c r="J1029" s="5">
        <v>5.6215277777777781E-2</v>
      </c>
      <c r="K1029" s="5">
        <f t="shared" si="32"/>
        <v>1.8738425925925926E-2</v>
      </c>
      <c r="L1029" s="5">
        <v>0</v>
      </c>
      <c r="M1029" s="6">
        <f t="shared" si="33"/>
        <v>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 spans="1:23" x14ac:dyDescent="0.25">
      <c r="A1030" s="2">
        <v>46247</v>
      </c>
      <c r="B1030" s="3" t="s">
        <v>307</v>
      </c>
      <c r="C1030" s="3" t="s">
        <v>308</v>
      </c>
      <c r="D1030" s="3" t="s">
        <v>78</v>
      </c>
      <c r="E1030" s="3" t="s">
        <v>79</v>
      </c>
      <c r="F1030" s="3" t="s">
        <v>80</v>
      </c>
      <c r="G1030" s="4" t="s">
        <v>81</v>
      </c>
      <c r="H1030" s="4">
        <v>0</v>
      </c>
      <c r="I1030" s="5">
        <v>0</v>
      </c>
      <c r="J1030" s="5">
        <v>0</v>
      </c>
      <c r="K1030" s="5">
        <f t="shared" si="32"/>
        <v>0</v>
      </c>
      <c r="L1030" s="5">
        <v>0</v>
      </c>
      <c r="M1030" s="6">
        <f t="shared" si="33"/>
        <v>0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 spans="1:23" x14ac:dyDescent="0.25">
      <c r="A1031" s="2">
        <v>46247</v>
      </c>
      <c r="B1031" s="3" t="s">
        <v>197</v>
      </c>
      <c r="C1031" s="3" t="s">
        <v>564</v>
      </c>
      <c r="D1031" s="3" t="s">
        <v>601</v>
      </c>
      <c r="E1031" s="3" t="s">
        <v>31</v>
      </c>
      <c r="F1031" s="3" t="s">
        <v>105</v>
      </c>
      <c r="G1031" s="4" t="s">
        <v>33</v>
      </c>
      <c r="H1031" s="4">
        <v>3</v>
      </c>
      <c r="I1031" s="5">
        <v>0</v>
      </c>
      <c r="J1031" s="5">
        <v>5.0069444444444444E-2</v>
      </c>
      <c r="K1031" s="5">
        <f t="shared" si="32"/>
        <v>1.6689814814814814E-2</v>
      </c>
      <c r="L1031" s="5">
        <v>0</v>
      </c>
      <c r="M1031" s="6">
        <f t="shared" si="33"/>
        <v>0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 spans="1:23" x14ac:dyDescent="0.25">
      <c r="A1032" s="2">
        <v>46247</v>
      </c>
      <c r="B1032" s="3" t="s">
        <v>150</v>
      </c>
      <c r="C1032" s="3" t="s">
        <v>514</v>
      </c>
      <c r="D1032" s="3" t="s">
        <v>146</v>
      </c>
      <c r="E1032" s="3" t="s">
        <v>79</v>
      </c>
      <c r="F1032" s="3" t="s">
        <v>147</v>
      </c>
      <c r="G1032" s="4" t="s">
        <v>106</v>
      </c>
      <c r="H1032" s="4">
        <v>18</v>
      </c>
      <c r="I1032" s="5">
        <v>0</v>
      </c>
      <c r="J1032" s="5">
        <v>3.6238425925925924E-2</v>
      </c>
      <c r="K1032" s="5">
        <f t="shared" si="32"/>
        <v>2.0132458847736626E-3</v>
      </c>
      <c r="L1032" s="5">
        <v>0</v>
      </c>
      <c r="M1032" s="6">
        <f t="shared" si="33"/>
        <v>0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 spans="1:23" x14ac:dyDescent="0.25">
      <c r="A1033" s="2">
        <v>46247</v>
      </c>
      <c r="B1033" s="3" t="s">
        <v>38</v>
      </c>
      <c r="C1033" s="3" t="s">
        <v>536</v>
      </c>
      <c r="D1033" s="3" t="s">
        <v>100</v>
      </c>
      <c r="E1033" s="3" t="s">
        <v>31</v>
      </c>
      <c r="F1033" s="3" t="s">
        <v>32</v>
      </c>
      <c r="G1033" s="4" t="s">
        <v>33</v>
      </c>
      <c r="H1033" s="4">
        <v>0</v>
      </c>
      <c r="I1033" s="5">
        <v>0</v>
      </c>
      <c r="J1033" s="5">
        <v>0</v>
      </c>
      <c r="K1033" s="5">
        <f t="shared" si="32"/>
        <v>0</v>
      </c>
      <c r="L1033" s="5">
        <v>0</v>
      </c>
      <c r="M1033" s="6">
        <f t="shared" si="33"/>
        <v>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 spans="1:23" x14ac:dyDescent="0.25">
      <c r="A1034" s="2">
        <v>46247</v>
      </c>
      <c r="B1034" s="3" t="s">
        <v>681</v>
      </c>
      <c r="C1034" s="3" t="s">
        <v>682</v>
      </c>
      <c r="D1034" s="3" t="s">
        <v>601</v>
      </c>
      <c r="E1034" s="3" t="s">
        <v>31</v>
      </c>
      <c r="F1034" s="3" t="s">
        <v>105</v>
      </c>
      <c r="G1034" s="4" t="s">
        <v>33</v>
      </c>
      <c r="H1034" s="4">
        <v>2</v>
      </c>
      <c r="I1034" s="5">
        <v>0</v>
      </c>
      <c r="J1034" s="5">
        <v>6.3807870370370376E-2</v>
      </c>
      <c r="K1034" s="5">
        <f t="shared" si="32"/>
        <v>3.1903935185185188E-2</v>
      </c>
      <c r="L1034" s="5">
        <v>0</v>
      </c>
      <c r="M1034" s="6">
        <f t="shared" si="33"/>
        <v>0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 spans="1:23" x14ac:dyDescent="0.25">
      <c r="A1035" s="2">
        <v>46247</v>
      </c>
      <c r="B1035" s="3" t="s">
        <v>154</v>
      </c>
      <c r="C1035" s="3" t="s">
        <v>515</v>
      </c>
      <c r="D1035" s="3" t="s">
        <v>146</v>
      </c>
      <c r="E1035" s="3" t="s">
        <v>79</v>
      </c>
      <c r="F1035" s="3" t="s">
        <v>147</v>
      </c>
      <c r="G1035" s="4" t="s">
        <v>106</v>
      </c>
      <c r="H1035" s="4">
        <v>13</v>
      </c>
      <c r="I1035" s="5">
        <v>0</v>
      </c>
      <c r="J1035" s="5">
        <v>4.099537037037037E-2</v>
      </c>
      <c r="K1035" s="5">
        <f t="shared" si="32"/>
        <v>3.1534900284900286E-3</v>
      </c>
      <c r="L1035" s="5">
        <v>0</v>
      </c>
      <c r="M1035" s="6">
        <f t="shared" si="33"/>
        <v>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 spans="1:23" x14ac:dyDescent="0.25">
      <c r="A1036" s="2">
        <v>46247</v>
      </c>
      <c r="B1036" s="3" t="s">
        <v>112</v>
      </c>
      <c r="C1036" s="3" t="s">
        <v>570</v>
      </c>
      <c r="D1036" s="3" t="s">
        <v>104</v>
      </c>
      <c r="E1036" s="3" t="s">
        <v>31</v>
      </c>
      <c r="F1036" s="3" t="s">
        <v>105</v>
      </c>
      <c r="G1036" s="4" t="s">
        <v>106</v>
      </c>
      <c r="H1036" s="4">
        <v>4</v>
      </c>
      <c r="I1036" s="5">
        <v>0</v>
      </c>
      <c r="J1036" s="5">
        <v>0.13302083333333334</v>
      </c>
      <c r="K1036" s="5">
        <f t="shared" si="32"/>
        <v>3.3255208333333335E-2</v>
      </c>
      <c r="L1036" s="5">
        <v>0</v>
      </c>
      <c r="M1036" s="6">
        <f t="shared" si="33"/>
        <v>0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 spans="1:23" x14ac:dyDescent="0.25">
      <c r="A1037" s="2">
        <v>46247</v>
      </c>
      <c r="B1037" s="3" t="s">
        <v>42</v>
      </c>
      <c r="C1037" s="3" t="s">
        <v>537</v>
      </c>
      <c r="D1037" s="3" t="s">
        <v>104</v>
      </c>
      <c r="E1037" s="3" t="s">
        <v>31</v>
      </c>
      <c r="F1037" s="3" t="s">
        <v>105</v>
      </c>
      <c r="G1037" s="4" t="s">
        <v>106</v>
      </c>
      <c r="H1037" s="4">
        <v>8</v>
      </c>
      <c r="I1037" s="5">
        <v>0</v>
      </c>
      <c r="J1037" s="5">
        <v>0.10164351851851852</v>
      </c>
      <c r="K1037" s="5">
        <f t="shared" si="32"/>
        <v>1.2705439814814815E-2</v>
      </c>
      <c r="L1037" s="5">
        <v>0</v>
      </c>
      <c r="M1037" s="6">
        <f t="shared" si="33"/>
        <v>0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 spans="1:23" x14ac:dyDescent="0.25">
      <c r="A1038" s="2">
        <v>46247</v>
      </c>
      <c r="B1038" s="3" t="s">
        <v>156</v>
      </c>
      <c r="C1038" s="3" t="s">
        <v>516</v>
      </c>
      <c r="D1038" s="3" t="s">
        <v>146</v>
      </c>
      <c r="E1038" s="3" t="s">
        <v>79</v>
      </c>
      <c r="F1038" s="3" t="s">
        <v>147</v>
      </c>
      <c r="G1038" s="4" t="s">
        <v>106</v>
      </c>
      <c r="H1038" s="4">
        <v>11</v>
      </c>
      <c r="I1038" s="5">
        <v>0</v>
      </c>
      <c r="J1038" s="5">
        <v>5.65162037037037E-2</v>
      </c>
      <c r="K1038" s="5">
        <f t="shared" si="32"/>
        <v>5.1378367003366999E-3</v>
      </c>
      <c r="L1038" s="5">
        <v>0</v>
      </c>
      <c r="M1038" s="6">
        <f t="shared" si="33"/>
        <v>0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 spans="1:23" x14ac:dyDescent="0.25">
      <c r="A1039" s="2">
        <v>46247</v>
      </c>
      <c r="B1039" s="3" t="s">
        <v>114</v>
      </c>
      <c r="C1039" s="3" t="s">
        <v>541</v>
      </c>
      <c r="D1039" s="3" t="s">
        <v>104</v>
      </c>
      <c r="E1039" s="3" t="s">
        <v>31</v>
      </c>
      <c r="F1039" s="3" t="s">
        <v>105</v>
      </c>
      <c r="G1039" s="4" t="s">
        <v>106</v>
      </c>
      <c r="H1039" s="4">
        <v>8</v>
      </c>
      <c r="I1039" s="5">
        <v>0</v>
      </c>
      <c r="J1039" s="5">
        <v>9.7418981481481481E-2</v>
      </c>
      <c r="K1039" s="5">
        <f t="shared" si="32"/>
        <v>1.2177372685185185E-2</v>
      </c>
      <c r="L1039" s="5">
        <v>0</v>
      </c>
      <c r="M1039" s="6">
        <f t="shared" si="33"/>
        <v>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 spans="1:23" x14ac:dyDescent="0.25">
      <c r="A1040" s="2">
        <v>46247</v>
      </c>
      <c r="B1040" s="3" t="s">
        <v>44</v>
      </c>
      <c r="C1040" s="3" t="s">
        <v>506</v>
      </c>
      <c r="D1040" s="3" t="s">
        <v>100</v>
      </c>
      <c r="E1040" s="3" t="s">
        <v>31</v>
      </c>
      <c r="F1040" s="3" t="s">
        <v>32</v>
      </c>
      <c r="G1040" s="4" t="s">
        <v>33</v>
      </c>
      <c r="H1040" s="4">
        <v>30</v>
      </c>
      <c r="I1040" s="5">
        <v>0</v>
      </c>
      <c r="J1040" s="5">
        <v>0.17027777777777778</v>
      </c>
      <c r="K1040" s="5">
        <f t="shared" si="32"/>
        <v>5.6759259259259263E-3</v>
      </c>
      <c r="L1040" s="5">
        <v>0</v>
      </c>
      <c r="M1040" s="6">
        <f t="shared" si="33"/>
        <v>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 spans="1:23" x14ac:dyDescent="0.25">
      <c r="A1041" s="2">
        <v>46247</v>
      </c>
      <c r="B1041" s="3" t="s">
        <v>609</v>
      </c>
      <c r="C1041" s="3" t="s">
        <v>632</v>
      </c>
      <c r="D1041" s="3" t="s">
        <v>601</v>
      </c>
      <c r="E1041" s="3" t="s">
        <v>31</v>
      </c>
      <c r="F1041" s="3" t="s">
        <v>105</v>
      </c>
      <c r="G1041" s="4" t="s">
        <v>33</v>
      </c>
      <c r="H1041" s="4">
        <v>4</v>
      </c>
      <c r="I1041" s="5">
        <v>0</v>
      </c>
      <c r="J1041" s="5">
        <v>5.738425925925926E-2</v>
      </c>
      <c r="K1041" s="5">
        <f t="shared" si="32"/>
        <v>1.4346064814814815E-2</v>
      </c>
      <c r="L1041" s="5">
        <v>0</v>
      </c>
      <c r="M1041" s="6">
        <f t="shared" si="33"/>
        <v>0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 spans="1:23" x14ac:dyDescent="0.25">
      <c r="A1042" s="2">
        <v>46247</v>
      </c>
      <c r="B1042" s="3" t="s">
        <v>240</v>
      </c>
      <c r="C1042" s="3" t="s">
        <v>527</v>
      </c>
      <c r="D1042" s="3" t="s">
        <v>233</v>
      </c>
      <c r="E1042" s="3" t="s">
        <v>31</v>
      </c>
      <c r="F1042" s="3" t="s">
        <v>32</v>
      </c>
      <c r="G1042" s="4" t="s">
        <v>106</v>
      </c>
      <c r="H1042" s="4">
        <v>0</v>
      </c>
      <c r="I1042" s="5">
        <v>0</v>
      </c>
      <c r="J1042" s="5">
        <v>0</v>
      </c>
      <c r="K1042" s="5">
        <f t="shared" si="32"/>
        <v>0</v>
      </c>
      <c r="L1042" s="5">
        <v>0</v>
      </c>
      <c r="M1042" s="6">
        <f t="shared" si="33"/>
        <v>0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 spans="1:23" x14ac:dyDescent="0.25">
      <c r="A1043" s="2">
        <v>46247</v>
      </c>
      <c r="B1043" s="3" t="s">
        <v>497</v>
      </c>
      <c r="C1043" s="3" t="s">
        <v>498</v>
      </c>
      <c r="D1043" s="3" t="s">
        <v>78</v>
      </c>
      <c r="E1043" s="3" t="s">
        <v>79</v>
      </c>
      <c r="F1043" s="3" t="s">
        <v>80</v>
      </c>
      <c r="G1043" s="4" t="s">
        <v>81</v>
      </c>
      <c r="H1043" s="4">
        <v>0</v>
      </c>
      <c r="I1043" s="5">
        <v>0</v>
      </c>
      <c r="J1043" s="5">
        <v>0</v>
      </c>
      <c r="K1043" s="5">
        <f t="shared" si="32"/>
        <v>0</v>
      </c>
      <c r="L1043" s="5">
        <v>0</v>
      </c>
      <c r="M1043" s="6">
        <f t="shared" si="33"/>
        <v>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 spans="1:23" x14ac:dyDescent="0.25">
      <c r="A1044" s="2">
        <v>46247</v>
      </c>
      <c r="B1044" s="3" t="s">
        <v>309</v>
      </c>
      <c r="C1044" s="3" t="s">
        <v>310</v>
      </c>
      <c r="D1044" s="3" t="s">
        <v>78</v>
      </c>
      <c r="E1044" s="3" t="s">
        <v>79</v>
      </c>
      <c r="F1044" s="3" t="s">
        <v>80</v>
      </c>
      <c r="G1044" s="4" t="s">
        <v>81</v>
      </c>
      <c r="H1044" s="4">
        <v>1</v>
      </c>
      <c r="I1044" s="5">
        <v>0</v>
      </c>
      <c r="J1044" s="5">
        <v>8.2986111111111108E-3</v>
      </c>
      <c r="K1044" s="5">
        <f t="shared" si="32"/>
        <v>8.2986111111111108E-3</v>
      </c>
      <c r="L1044" s="5">
        <v>0</v>
      </c>
      <c r="M1044" s="6">
        <f t="shared" si="33"/>
        <v>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 spans="1:23" x14ac:dyDescent="0.25">
      <c r="A1045" s="2">
        <v>46247</v>
      </c>
      <c r="B1045" s="3" t="s">
        <v>160</v>
      </c>
      <c r="C1045" s="3" t="s">
        <v>544</v>
      </c>
      <c r="D1045" s="3" t="s">
        <v>146</v>
      </c>
      <c r="E1045" s="3" t="s">
        <v>79</v>
      </c>
      <c r="F1045" s="3" t="s">
        <v>147</v>
      </c>
      <c r="G1045" s="4" t="s">
        <v>106</v>
      </c>
      <c r="H1045" s="4">
        <v>12</v>
      </c>
      <c r="I1045" s="5">
        <v>0</v>
      </c>
      <c r="J1045" s="5">
        <v>3.591435185185185E-2</v>
      </c>
      <c r="K1045" s="5">
        <f t="shared" si="32"/>
        <v>2.9928626543209874E-3</v>
      </c>
      <c r="L1045" s="5">
        <v>0</v>
      </c>
      <c r="M1045" s="6">
        <f t="shared" si="33"/>
        <v>0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</row>
    <row r="1046" spans="1:23" x14ac:dyDescent="0.25">
      <c r="A1046" s="2">
        <v>46247</v>
      </c>
      <c r="B1046" s="3" t="s">
        <v>645</v>
      </c>
      <c r="C1046" s="3" t="s">
        <v>646</v>
      </c>
      <c r="D1046" s="3" t="s">
        <v>100</v>
      </c>
      <c r="E1046" s="3" t="s">
        <v>31</v>
      </c>
      <c r="F1046" s="3" t="s">
        <v>32</v>
      </c>
      <c r="G1046" s="4" t="s">
        <v>33</v>
      </c>
      <c r="H1046" s="4">
        <v>28</v>
      </c>
      <c r="I1046" s="5">
        <v>0</v>
      </c>
      <c r="J1046" s="5">
        <v>0.16717592592592592</v>
      </c>
      <c r="K1046" s="5">
        <f t="shared" si="32"/>
        <v>5.9705687830687833E-3</v>
      </c>
      <c r="L1046" s="5">
        <v>0</v>
      </c>
      <c r="M1046" s="6">
        <f t="shared" si="33"/>
        <v>0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 spans="1:23" x14ac:dyDescent="0.25">
      <c r="A1047" s="2">
        <v>46247</v>
      </c>
      <c r="B1047" s="3" t="s">
        <v>120</v>
      </c>
      <c r="C1047" s="3" t="s">
        <v>558</v>
      </c>
      <c r="D1047" s="3" t="s">
        <v>233</v>
      </c>
      <c r="E1047" s="3" t="s">
        <v>31</v>
      </c>
      <c r="F1047" s="3" t="s">
        <v>32</v>
      </c>
      <c r="G1047" s="4" t="s">
        <v>106</v>
      </c>
      <c r="H1047" s="4">
        <v>33</v>
      </c>
      <c r="I1047" s="5">
        <v>0</v>
      </c>
      <c r="J1047" s="5">
        <v>9.8298611111111114E-2</v>
      </c>
      <c r="K1047" s="5">
        <f t="shared" si="32"/>
        <v>2.9787457912457912E-3</v>
      </c>
      <c r="L1047" s="5">
        <v>0</v>
      </c>
      <c r="M1047" s="6">
        <f t="shared" si="33"/>
        <v>0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 spans="1:23" x14ac:dyDescent="0.25">
      <c r="A1048" s="2">
        <v>46247</v>
      </c>
      <c r="B1048" s="3" t="s">
        <v>46</v>
      </c>
      <c r="C1048" s="3" t="s">
        <v>507</v>
      </c>
      <c r="D1048" s="3" t="s">
        <v>100</v>
      </c>
      <c r="E1048" s="3" t="s">
        <v>31</v>
      </c>
      <c r="F1048" s="3" t="s">
        <v>32</v>
      </c>
      <c r="G1048" s="4" t="s">
        <v>33</v>
      </c>
      <c r="H1048" s="4">
        <v>34</v>
      </c>
      <c r="I1048" s="5">
        <v>0</v>
      </c>
      <c r="J1048" s="5">
        <v>0.14476851851851852</v>
      </c>
      <c r="K1048" s="5">
        <f t="shared" si="32"/>
        <v>4.2578976034858386E-3</v>
      </c>
      <c r="L1048" s="5">
        <v>0</v>
      </c>
      <c r="M1048" s="6">
        <f t="shared" si="33"/>
        <v>0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 spans="1:23" x14ac:dyDescent="0.25">
      <c r="A1049" s="2">
        <v>46247</v>
      </c>
      <c r="B1049" s="3" t="s">
        <v>287</v>
      </c>
      <c r="C1049" s="3" t="s">
        <v>542</v>
      </c>
      <c r="D1049" s="3" t="s">
        <v>104</v>
      </c>
      <c r="E1049" s="3" t="s">
        <v>31</v>
      </c>
      <c r="F1049" s="3" t="s">
        <v>105</v>
      </c>
      <c r="G1049" s="4" t="s">
        <v>106</v>
      </c>
      <c r="H1049" s="4">
        <v>3</v>
      </c>
      <c r="I1049" s="5">
        <v>0</v>
      </c>
      <c r="J1049" s="5">
        <v>7.8275462962962963E-2</v>
      </c>
      <c r="K1049" s="5">
        <f t="shared" si="32"/>
        <v>2.6091820987654321E-2</v>
      </c>
      <c r="L1049" s="5">
        <v>0</v>
      </c>
      <c r="M1049" s="6">
        <f t="shared" si="33"/>
        <v>0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 spans="1:23" x14ac:dyDescent="0.25">
      <c r="A1050" s="2">
        <v>46247</v>
      </c>
      <c r="B1050" s="3" t="s">
        <v>499</v>
      </c>
      <c r="C1050" s="3" t="s">
        <v>517</v>
      </c>
      <c r="D1050" s="3" t="s">
        <v>146</v>
      </c>
      <c r="E1050" s="3" t="s">
        <v>79</v>
      </c>
      <c r="F1050" s="3" t="s">
        <v>147</v>
      </c>
      <c r="G1050" s="4" t="s">
        <v>106</v>
      </c>
      <c r="H1050" s="4">
        <v>9</v>
      </c>
      <c r="I1050" s="5">
        <v>0</v>
      </c>
      <c r="J1050" s="5">
        <v>5.0752314814814813E-2</v>
      </c>
      <c r="K1050" s="5">
        <f t="shared" si="32"/>
        <v>5.6391460905349791E-3</v>
      </c>
      <c r="L1050" s="5">
        <v>0</v>
      </c>
      <c r="M1050" s="6">
        <f t="shared" si="33"/>
        <v>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 spans="1:23" x14ac:dyDescent="0.25">
      <c r="A1051" s="2">
        <v>46247</v>
      </c>
      <c r="B1051" s="3" t="s">
        <v>647</v>
      </c>
      <c r="C1051" s="3" t="s">
        <v>648</v>
      </c>
      <c r="D1051" s="3" t="s">
        <v>233</v>
      </c>
      <c r="E1051" s="3" t="s">
        <v>31</v>
      </c>
      <c r="F1051" s="3" t="s">
        <v>32</v>
      </c>
      <c r="G1051" s="4" t="s">
        <v>106</v>
      </c>
      <c r="H1051" s="4">
        <v>24</v>
      </c>
      <c r="I1051" s="5">
        <v>0</v>
      </c>
      <c r="J1051" s="5">
        <v>0.10888888888888888</v>
      </c>
      <c r="K1051" s="5">
        <f t="shared" si="32"/>
        <v>4.5370370370370365E-3</v>
      </c>
      <c r="L1051" s="5">
        <v>0</v>
      </c>
      <c r="M1051" s="6">
        <f t="shared" si="33"/>
        <v>0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  <row r="1052" spans="1:23" x14ac:dyDescent="0.25">
      <c r="A1052" s="2">
        <v>46247</v>
      </c>
      <c r="B1052" s="3" t="s">
        <v>649</v>
      </c>
      <c r="C1052" s="3" t="s">
        <v>650</v>
      </c>
      <c r="D1052" s="3" t="s">
        <v>104</v>
      </c>
      <c r="E1052" s="3" t="s">
        <v>31</v>
      </c>
      <c r="F1052" s="3" t="s">
        <v>105</v>
      </c>
      <c r="G1052" s="4" t="s">
        <v>106</v>
      </c>
      <c r="H1052" s="4">
        <v>10</v>
      </c>
      <c r="I1052" s="5">
        <v>0</v>
      </c>
      <c r="J1052" s="5">
        <v>0.16153935185185186</v>
      </c>
      <c r="K1052" s="5">
        <f t="shared" si="32"/>
        <v>1.6153935185185188E-2</v>
      </c>
      <c r="L1052" s="5">
        <v>0</v>
      </c>
      <c r="M1052" s="6">
        <f t="shared" si="33"/>
        <v>0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 spans="1:23" x14ac:dyDescent="0.25">
      <c r="A1053" s="2">
        <v>46247</v>
      </c>
      <c r="B1053" s="3" t="s">
        <v>651</v>
      </c>
      <c r="C1053" s="3" t="s">
        <v>652</v>
      </c>
      <c r="D1053" s="3" t="s">
        <v>100</v>
      </c>
      <c r="E1053" s="3" t="s">
        <v>31</v>
      </c>
      <c r="F1053" s="3" t="s">
        <v>32</v>
      </c>
      <c r="G1053" s="4" t="s">
        <v>33</v>
      </c>
      <c r="H1053" s="4">
        <v>28</v>
      </c>
      <c r="I1053" s="5">
        <v>0</v>
      </c>
      <c r="J1053" s="5">
        <v>0.16274305555555554</v>
      </c>
      <c r="K1053" s="5">
        <f t="shared" si="32"/>
        <v>5.8122519841269839E-3</v>
      </c>
      <c r="L1053" s="5">
        <v>0</v>
      </c>
      <c r="M1053" s="6">
        <f t="shared" si="33"/>
        <v>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</row>
    <row r="1054" spans="1:23" x14ac:dyDescent="0.25">
      <c r="A1054" s="2">
        <v>46247</v>
      </c>
      <c r="B1054" s="3" t="s">
        <v>246</v>
      </c>
      <c r="C1054" s="3" t="s">
        <v>568</v>
      </c>
      <c r="D1054" s="3" t="s">
        <v>233</v>
      </c>
      <c r="E1054" s="3" t="s">
        <v>31</v>
      </c>
      <c r="F1054" s="3" t="s">
        <v>32</v>
      </c>
      <c r="G1054" s="4" t="s">
        <v>106</v>
      </c>
      <c r="H1054" s="4">
        <v>44</v>
      </c>
      <c r="I1054" s="5">
        <v>0</v>
      </c>
      <c r="J1054" s="5">
        <v>0.15034722222222222</v>
      </c>
      <c r="K1054" s="5">
        <f t="shared" si="32"/>
        <v>3.4169823232323231E-3</v>
      </c>
      <c r="L1054" s="5">
        <v>0</v>
      </c>
      <c r="M1054" s="6">
        <f t="shared" si="33"/>
        <v>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spans="1:23" x14ac:dyDescent="0.25">
      <c r="A1055" s="2">
        <v>46247</v>
      </c>
      <c r="B1055" s="3" t="s">
        <v>48</v>
      </c>
      <c r="C1055" s="3" t="s">
        <v>508</v>
      </c>
      <c r="D1055" s="3" t="s">
        <v>100</v>
      </c>
      <c r="E1055" s="3" t="s">
        <v>31</v>
      </c>
      <c r="F1055" s="3" t="s">
        <v>32</v>
      </c>
      <c r="G1055" s="4" t="s">
        <v>33</v>
      </c>
      <c r="H1055" s="4">
        <v>37</v>
      </c>
      <c r="I1055" s="5">
        <v>0</v>
      </c>
      <c r="J1055" s="5">
        <v>0.15008101851851852</v>
      </c>
      <c r="K1055" s="5">
        <f t="shared" si="32"/>
        <v>4.0562437437437439E-3</v>
      </c>
      <c r="L1055" s="5">
        <v>0</v>
      </c>
      <c r="M1055" s="6">
        <f t="shared" si="33"/>
        <v>0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</row>
    <row r="1056" spans="1:23" x14ac:dyDescent="0.25">
      <c r="A1056" s="2">
        <v>46247</v>
      </c>
      <c r="B1056" s="3" t="s">
        <v>50</v>
      </c>
      <c r="C1056" s="3" t="s">
        <v>538</v>
      </c>
      <c r="D1056" s="3" t="s">
        <v>100</v>
      </c>
      <c r="E1056" s="3" t="s">
        <v>31</v>
      </c>
      <c r="F1056" s="3" t="s">
        <v>32</v>
      </c>
      <c r="G1056" s="4" t="s">
        <v>33</v>
      </c>
      <c r="H1056" s="4">
        <v>0</v>
      </c>
      <c r="I1056" s="5">
        <v>0</v>
      </c>
      <c r="J1056" s="5">
        <v>0</v>
      </c>
      <c r="K1056" s="5">
        <f t="shared" si="32"/>
        <v>0</v>
      </c>
      <c r="L1056" s="5">
        <v>0</v>
      </c>
      <c r="M1056" s="6">
        <f t="shared" si="33"/>
        <v>0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25">
      <c r="A1057" s="2">
        <v>46247</v>
      </c>
      <c r="B1057" s="3" t="s">
        <v>248</v>
      </c>
      <c r="C1057" s="3" t="s">
        <v>249</v>
      </c>
      <c r="D1057" s="3" t="s">
        <v>78</v>
      </c>
      <c r="E1057" s="3" t="s">
        <v>79</v>
      </c>
      <c r="F1057" s="3" t="s">
        <v>80</v>
      </c>
      <c r="G1057" s="4" t="s">
        <v>81</v>
      </c>
      <c r="H1057" s="4">
        <v>0</v>
      </c>
      <c r="I1057" s="5">
        <v>0</v>
      </c>
      <c r="J1057" s="5">
        <v>0</v>
      </c>
      <c r="K1057" s="5">
        <f t="shared" si="32"/>
        <v>0</v>
      </c>
      <c r="L1057" s="5">
        <v>0</v>
      </c>
      <c r="M1057" s="6">
        <f t="shared" si="33"/>
        <v>0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25">
      <c r="A1058" s="2">
        <v>46247</v>
      </c>
      <c r="B1058" s="3" t="s">
        <v>289</v>
      </c>
      <c r="C1058" s="3" t="s">
        <v>559</v>
      </c>
      <c r="D1058" s="3" t="s">
        <v>104</v>
      </c>
      <c r="E1058" s="3" t="s">
        <v>31</v>
      </c>
      <c r="F1058" s="3" t="s">
        <v>105</v>
      </c>
      <c r="G1058" s="4" t="s">
        <v>106</v>
      </c>
      <c r="H1058" s="4">
        <v>5</v>
      </c>
      <c r="I1058" s="5">
        <v>0</v>
      </c>
      <c r="J1058" s="5">
        <v>7.9687499999999994E-2</v>
      </c>
      <c r="K1058" s="5">
        <f t="shared" si="32"/>
        <v>1.59375E-2</v>
      </c>
      <c r="L1058" s="5">
        <v>0</v>
      </c>
      <c r="M1058" s="6">
        <f t="shared" si="33"/>
        <v>0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25">
      <c r="A1059" s="2">
        <v>46247</v>
      </c>
      <c r="B1059" s="3" t="s">
        <v>252</v>
      </c>
      <c r="C1059" s="3" t="s">
        <v>553</v>
      </c>
      <c r="D1059" s="3" t="s">
        <v>78</v>
      </c>
      <c r="E1059" s="3" t="s">
        <v>79</v>
      </c>
      <c r="F1059" s="3" t="s">
        <v>80</v>
      </c>
      <c r="G1059" s="4" t="s">
        <v>81</v>
      </c>
      <c r="H1059" s="4">
        <v>1</v>
      </c>
      <c r="I1059" s="5">
        <v>0</v>
      </c>
      <c r="J1059" s="5">
        <v>0.1897337962962963</v>
      </c>
      <c r="K1059" s="5">
        <f t="shared" si="32"/>
        <v>0.1897337962962963</v>
      </c>
      <c r="L1059" s="5">
        <v>0</v>
      </c>
      <c r="M1059" s="6">
        <f t="shared" si="33"/>
        <v>0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25">
      <c r="A1060" s="2">
        <v>46247</v>
      </c>
      <c r="B1060" s="3" t="s">
        <v>500</v>
      </c>
      <c r="C1060" s="3" t="s">
        <v>518</v>
      </c>
      <c r="D1060" s="3" t="s">
        <v>274</v>
      </c>
      <c r="E1060" s="3" t="s">
        <v>79</v>
      </c>
      <c r="F1060" s="3" t="s">
        <v>147</v>
      </c>
      <c r="G1060" s="4" t="s">
        <v>33</v>
      </c>
      <c r="H1060" s="4">
        <v>16</v>
      </c>
      <c r="I1060" s="5">
        <v>0</v>
      </c>
      <c r="J1060" s="5">
        <v>6.2627314814814816E-2</v>
      </c>
      <c r="K1060" s="5">
        <f t="shared" si="32"/>
        <v>3.914207175925926E-3</v>
      </c>
      <c r="L1060" s="5">
        <v>0</v>
      </c>
      <c r="M1060" s="6">
        <f t="shared" si="33"/>
        <v>0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25">
      <c r="A1061" s="2">
        <v>46247</v>
      </c>
      <c r="B1061" s="3" t="s">
        <v>683</v>
      </c>
      <c r="C1061" s="3" t="s">
        <v>684</v>
      </c>
      <c r="D1061" s="3" t="s">
        <v>233</v>
      </c>
      <c r="E1061" s="3" t="s">
        <v>31</v>
      </c>
      <c r="F1061" s="3" t="s">
        <v>32</v>
      </c>
      <c r="G1061" s="4" t="s">
        <v>106</v>
      </c>
      <c r="H1061" s="4">
        <v>12</v>
      </c>
      <c r="I1061" s="5">
        <v>0</v>
      </c>
      <c r="J1061" s="5">
        <v>7.3298611111111106E-2</v>
      </c>
      <c r="K1061" s="5">
        <f t="shared" si="32"/>
        <v>6.1082175925925922E-3</v>
      </c>
      <c r="L1061" s="5">
        <v>0</v>
      </c>
      <c r="M1061" s="6">
        <f t="shared" si="33"/>
        <v>0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25">
      <c r="A1062" s="2">
        <v>46247</v>
      </c>
      <c r="B1062" s="3" t="s">
        <v>653</v>
      </c>
      <c r="C1062" s="3" t="s">
        <v>654</v>
      </c>
      <c r="D1062" s="3" t="s">
        <v>100</v>
      </c>
      <c r="E1062" s="3" t="s">
        <v>31</v>
      </c>
      <c r="F1062" s="3" t="s">
        <v>32</v>
      </c>
      <c r="G1062" s="4" t="s">
        <v>33</v>
      </c>
      <c r="H1062" s="4">
        <v>28</v>
      </c>
      <c r="I1062" s="5">
        <v>0</v>
      </c>
      <c r="J1062" s="5">
        <v>0.16</v>
      </c>
      <c r="K1062" s="5">
        <f t="shared" si="32"/>
        <v>5.7142857142857143E-3</v>
      </c>
      <c r="L1062" s="5">
        <v>0</v>
      </c>
      <c r="M1062" s="6">
        <f t="shared" si="33"/>
        <v>0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25">
      <c r="A1063" s="2">
        <v>46247</v>
      </c>
      <c r="B1063" s="3" t="s">
        <v>52</v>
      </c>
      <c r="C1063" s="3" t="s">
        <v>509</v>
      </c>
      <c r="D1063" s="3" t="s">
        <v>100</v>
      </c>
      <c r="E1063" s="3" t="s">
        <v>31</v>
      </c>
      <c r="F1063" s="3" t="s">
        <v>32</v>
      </c>
      <c r="G1063" s="4" t="s">
        <v>33</v>
      </c>
      <c r="H1063" s="4">
        <v>0</v>
      </c>
      <c r="I1063" s="5">
        <v>0</v>
      </c>
      <c r="J1063" s="5">
        <v>0</v>
      </c>
      <c r="K1063" s="5">
        <f t="shared" si="32"/>
        <v>0</v>
      </c>
      <c r="L1063" s="5">
        <v>0</v>
      </c>
      <c r="M1063" s="6">
        <f t="shared" si="33"/>
        <v>0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25">
      <c r="A1064" s="2">
        <v>46247</v>
      </c>
      <c r="B1064" s="3" t="s">
        <v>164</v>
      </c>
      <c r="C1064" s="3" t="s">
        <v>519</v>
      </c>
      <c r="D1064" s="3" t="s">
        <v>146</v>
      </c>
      <c r="E1064" s="3" t="s">
        <v>79</v>
      </c>
      <c r="F1064" s="3" t="s">
        <v>147</v>
      </c>
      <c r="G1064" s="4" t="s">
        <v>106</v>
      </c>
      <c r="H1064" s="4">
        <v>17</v>
      </c>
      <c r="I1064" s="5">
        <v>0</v>
      </c>
      <c r="J1064" s="5">
        <v>3.8993055555555559E-2</v>
      </c>
      <c r="K1064" s="5">
        <f t="shared" si="32"/>
        <v>2.2937091503267976E-3</v>
      </c>
      <c r="L1064" s="5">
        <v>0</v>
      </c>
      <c r="M1064" s="6">
        <f t="shared" si="33"/>
        <v>0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25">
      <c r="A1065" s="2">
        <v>46247</v>
      </c>
      <c r="B1065" s="3" t="s">
        <v>655</v>
      </c>
      <c r="C1065" s="3" t="s">
        <v>656</v>
      </c>
      <c r="D1065" s="3" t="s">
        <v>100</v>
      </c>
      <c r="E1065" s="3" t="s">
        <v>31</v>
      </c>
      <c r="F1065" s="3" t="s">
        <v>32</v>
      </c>
      <c r="G1065" s="4" t="s">
        <v>33</v>
      </c>
      <c r="H1065" s="4">
        <v>32</v>
      </c>
      <c r="I1065" s="5">
        <v>0</v>
      </c>
      <c r="J1065" s="5">
        <v>0.1370949074074074</v>
      </c>
      <c r="K1065" s="5">
        <f t="shared" si="32"/>
        <v>4.2842158564814813E-3</v>
      </c>
      <c r="L1065" s="5">
        <v>0</v>
      </c>
      <c r="M1065" s="6">
        <f t="shared" si="33"/>
        <v>0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25">
      <c r="A1066" s="2">
        <v>46247</v>
      </c>
      <c r="B1066" s="3" t="s">
        <v>657</v>
      </c>
      <c r="C1066" s="3" t="s">
        <v>658</v>
      </c>
      <c r="D1066" s="3" t="s">
        <v>274</v>
      </c>
      <c r="E1066" s="3" t="s">
        <v>79</v>
      </c>
      <c r="F1066" s="3" t="s">
        <v>147</v>
      </c>
      <c r="G1066" s="4" t="s">
        <v>33</v>
      </c>
      <c r="H1066" s="4">
        <v>13</v>
      </c>
      <c r="I1066" s="5">
        <v>0</v>
      </c>
      <c r="J1066" s="5">
        <v>4.085648148148148E-2</v>
      </c>
      <c r="K1066" s="5">
        <f t="shared" si="32"/>
        <v>3.1428062678062678E-3</v>
      </c>
      <c r="L1066" s="5">
        <v>0</v>
      </c>
      <c r="M1066" s="6">
        <f t="shared" si="33"/>
        <v>0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25">
      <c r="A1067" s="2">
        <v>46247</v>
      </c>
      <c r="B1067" s="3" t="s">
        <v>166</v>
      </c>
      <c r="C1067" s="3" t="s">
        <v>167</v>
      </c>
      <c r="D1067" s="3" t="s">
        <v>146</v>
      </c>
      <c r="E1067" s="3" t="s">
        <v>79</v>
      </c>
      <c r="F1067" s="3" t="s">
        <v>147</v>
      </c>
      <c r="G1067" s="4" t="s">
        <v>106</v>
      </c>
      <c r="H1067" s="4">
        <v>17</v>
      </c>
      <c r="I1067" s="5">
        <v>0</v>
      </c>
      <c r="J1067" s="5">
        <v>4.2233796296296297E-2</v>
      </c>
      <c r="K1067" s="5">
        <f t="shared" si="32"/>
        <v>2.4843409586056647E-3</v>
      </c>
      <c r="L1067" s="5">
        <v>0</v>
      </c>
      <c r="M1067" s="6">
        <f t="shared" si="33"/>
        <v>0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25">
      <c r="A1068" s="2">
        <v>46247</v>
      </c>
      <c r="B1068" s="3" t="s">
        <v>659</v>
      </c>
      <c r="C1068" s="3" t="s">
        <v>660</v>
      </c>
      <c r="D1068" s="3" t="s">
        <v>100</v>
      </c>
      <c r="E1068" s="3" t="s">
        <v>31</v>
      </c>
      <c r="F1068" s="3" t="s">
        <v>32</v>
      </c>
      <c r="G1068" s="4" t="s">
        <v>33</v>
      </c>
      <c r="H1068" s="4">
        <v>1</v>
      </c>
      <c r="I1068" s="5">
        <v>0</v>
      </c>
      <c r="J1068" s="5">
        <v>4.31712962962963E-3</v>
      </c>
      <c r="K1068" s="5">
        <f t="shared" si="32"/>
        <v>4.31712962962963E-3</v>
      </c>
      <c r="L1068" s="5">
        <v>0</v>
      </c>
      <c r="M1068" s="6">
        <f t="shared" si="33"/>
        <v>0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25">
      <c r="A1069" s="2">
        <v>46247</v>
      </c>
      <c r="B1069" s="3" t="s">
        <v>254</v>
      </c>
      <c r="C1069" s="3" t="s">
        <v>528</v>
      </c>
      <c r="D1069" s="3" t="s">
        <v>233</v>
      </c>
      <c r="E1069" s="3" t="s">
        <v>31</v>
      </c>
      <c r="F1069" s="3" t="s">
        <v>32</v>
      </c>
      <c r="G1069" s="4" t="s">
        <v>106</v>
      </c>
      <c r="H1069" s="4">
        <v>16</v>
      </c>
      <c r="I1069" s="5">
        <v>0</v>
      </c>
      <c r="J1069" s="5">
        <v>7.8310185185185191E-2</v>
      </c>
      <c r="K1069" s="5">
        <f t="shared" si="32"/>
        <v>4.8943865740740744E-3</v>
      </c>
      <c r="L1069" s="5">
        <v>0</v>
      </c>
      <c r="M1069" s="6">
        <f t="shared" si="33"/>
        <v>0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25">
      <c r="A1070" s="2">
        <v>46247</v>
      </c>
      <c r="B1070" s="3" t="s">
        <v>201</v>
      </c>
      <c r="C1070" s="3" t="s">
        <v>545</v>
      </c>
      <c r="D1070" s="3" t="s">
        <v>601</v>
      </c>
      <c r="E1070" s="3" t="s">
        <v>31</v>
      </c>
      <c r="F1070" s="3" t="s">
        <v>600</v>
      </c>
      <c r="G1070" s="4" t="s">
        <v>33</v>
      </c>
      <c r="H1070" s="4">
        <v>24</v>
      </c>
      <c r="I1070" s="5">
        <v>0</v>
      </c>
      <c r="J1070" s="5">
        <v>7.408564814814815E-2</v>
      </c>
      <c r="K1070" s="5">
        <f t="shared" si="32"/>
        <v>3.0869020061728395E-3</v>
      </c>
      <c r="L1070" s="5">
        <v>0</v>
      </c>
      <c r="M1070" s="6">
        <f t="shared" si="33"/>
        <v>0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25">
      <c r="A1071" s="2">
        <v>46247</v>
      </c>
      <c r="B1071" s="3" t="s">
        <v>168</v>
      </c>
      <c r="C1071" s="3" t="s">
        <v>520</v>
      </c>
      <c r="D1071" s="3" t="s">
        <v>274</v>
      </c>
      <c r="E1071" s="3" t="s">
        <v>79</v>
      </c>
      <c r="F1071" s="3" t="s">
        <v>147</v>
      </c>
      <c r="G1071" s="4" t="s">
        <v>33</v>
      </c>
      <c r="H1071" s="4">
        <v>12</v>
      </c>
      <c r="I1071" s="5">
        <v>0</v>
      </c>
      <c r="J1071" s="5">
        <v>4.1053240740740737E-2</v>
      </c>
      <c r="K1071" s="5">
        <f t="shared" si="32"/>
        <v>3.4211033950617281E-3</v>
      </c>
      <c r="L1071" s="5">
        <v>0</v>
      </c>
      <c r="M1071" s="6">
        <f t="shared" si="33"/>
        <v>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25">
      <c r="A1072" s="2">
        <v>46247</v>
      </c>
      <c r="B1072" s="3" t="s">
        <v>170</v>
      </c>
      <c r="C1072" s="3" t="s">
        <v>521</v>
      </c>
      <c r="D1072" s="3" t="s">
        <v>146</v>
      </c>
      <c r="E1072" s="3" t="s">
        <v>79</v>
      </c>
      <c r="F1072" s="3" t="s">
        <v>147</v>
      </c>
      <c r="G1072" s="4" t="s">
        <v>106</v>
      </c>
      <c r="H1072" s="4">
        <v>11</v>
      </c>
      <c r="I1072" s="5">
        <v>0</v>
      </c>
      <c r="J1072" s="5">
        <v>5.451388888888889E-2</v>
      </c>
      <c r="K1072" s="5">
        <f t="shared" si="32"/>
        <v>4.9558080808080806E-3</v>
      </c>
      <c r="L1072" s="5">
        <v>0</v>
      </c>
      <c r="M1072" s="6">
        <f t="shared" si="33"/>
        <v>0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 spans="1:23" x14ac:dyDescent="0.25">
      <c r="A1073" s="2">
        <v>46247</v>
      </c>
      <c r="B1073" s="3" t="s">
        <v>92</v>
      </c>
      <c r="C1073" s="3" t="s">
        <v>93</v>
      </c>
      <c r="D1073" s="3" t="s">
        <v>78</v>
      </c>
      <c r="E1073" s="3" t="s">
        <v>79</v>
      </c>
      <c r="F1073" s="3" t="s">
        <v>80</v>
      </c>
      <c r="G1073" s="4" t="s">
        <v>81</v>
      </c>
      <c r="H1073" s="4">
        <v>0</v>
      </c>
      <c r="I1073" s="5">
        <v>0</v>
      </c>
      <c r="J1073" s="5">
        <v>0</v>
      </c>
      <c r="K1073" s="5">
        <f t="shared" si="32"/>
        <v>0</v>
      </c>
      <c r="L1073" s="5">
        <v>0</v>
      </c>
      <c r="M1073" s="6">
        <f t="shared" si="33"/>
        <v>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</row>
    <row r="1074" spans="1:23" x14ac:dyDescent="0.25">
      <c r="A1074" s="2">
        <v>46247</v>
      </c>
      <c r="B1074" s="3" t="s">
        <v>94</v>
      </c>
      <c r="C1074" s="3" t="s">
        <v>95</v>
      </c>
      <c r="D1074" s="3" t="s">
        <v>78</v>
      </c>
      <c r="E1074" s="3" t="s">
        <v>79</v>
      </c>
      <c r="F1074" s="3" t="s">
        <v>80</v>
      </c>
      <c r="G1074" s="4" t="s">
        <v>81</v>
      </c>
      <c r="H1074" s="4">
        <v>0</v>
      </c>
      <c r="I1074" s="5">
        <v>0</v>
      </c>
      <c r="J1074" s="5">
        <v>0</v>
      </c>
      <c r="K1074" s="5">
        <f t="shared" si="32"/>
        <v>0</v>
      </c>
      <c r="L1074" s="5">
        <v>0</v>
      </c>
      <c r="M1074" s="6">
        <f t="shared" si="33"/>
        <v>0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</row>
    <row r="1075" spans="1:23" x14ac:dyDescent="0.25">
      <c r="A1075" s="2">
        <v>46247</v>
      </c>
      <c r="B1075" s="3" t="s">
        <v>293</v>
      </c>
      <c r="C1075" s="3" t="s">
        <v>543</v>
      </c>
      <c r="D1075" s="3" t="s">
        <v>104</v>
      </c>
      <c r="E1075" s="3" t="s">
        <v>31</v>
      </c>
      <c r="F1075" s="3" t="s">
        <v>600</v>
      </c>
      <c r="G1075" s="4" t="s">
        <v>106</v>
      </c>
      <c r="H1075" s="4">
        <v>39</v>
      </c>
      <c r="I1075" s="5">
        <v>0</v>
      </c>
      <c r="J1075" s="5">
        <v>7.4097222222222217E-2</v>
      </c>
      <c r="K1075" s="5">
        <f t="shared" si="32"/>
        <v>1.8999287749287747E-3</v>
      </c>
      <c r="L1075" s="5">
        <v>0</v>
      </c>
      <c r="M1075" s="6">
        <f t="shared" si="33"/>
        <v>0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</row>
    <row r="1076" spans="1:23" x14ac:dyDescent="0.25">
      <c r="A1076" s="2">
        <v>46247</v>
      </c>
      <c r="B1076" s="3" t="s">
        <v>606</v>
      </c>
      <c r="C1076" s="3" t="s">
        <v>633</v>
      </c>
      <c r="D1076" s="3" t="s">
        <v>146</v>
      </c>
      <c r="E1076" s="3" t="s">
        <v>79</v>
      </c>
      <c r="F1076" s="3" t="s">
        <v>147</v>
      </c>
      <c r="G1076" s="4" t="s">
        <v>106</v>
      </c>
      <c r="H1076" s="4">
        <v>10</v>
      </c>
      <c r="I1076" s="5">
        <v>0</v>
      </c>
      <c r="J1076" s="5">
        <v>6.7083333333333328E-2</v>
      </c>
      <c r="K1076" s="5">
        <f t="shared" si="32"/>
        <v>6.7083333333333326E-3</v>
      </c>
      <c r="L1076" s="5">
        <v>0</v>
      </c>
      <c r="M1076" s="6">
        <f t="shared" si="33"/>
        <v>0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 spans="1:23" x14ac:dyDescent="0.25">
      <c r="A1077" s="2">
        <v>46247</v>
      </c>
      <c r="B1077" s="3" t="s">
        <v>256</v>
      </c>
      <c r="C1077" s="3" t="s">
        <v>529</v>
      </c>
      <c r="D1077" s="3" t="s">
        <v>233</v>
      </c>
      <c r="E1077" s="3" t="s">
        <v>31</v>
      </c>
      <c r="F1077" s="3" t="s">
        <v>32</v>
      </c>
      <c r="G1077" s="4" t="s">
        <v>106</v>
      </c>
      <c r="H1077" s="4">
        <v>14</v>
      </c>
      <c r="I1077" s="5">
        <v>0</v>
      </c>
      <c r="J1077" s="5">
        <v>9.616898148148148E-2</v>
      </c>
      <c r="K1077" s="5">
        <f t="shared" si="32"/>
        <v>6.8692129629629632E-3</v>
      </c>
      <c r="L1077" s="5">
        <v>0</v>
      </c>
      <c r="M1077" s="6">
        <f t="shared" si="33"/>
        <v>0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</row>
    <row r="1078" spans="1:23" x14ac:dyDescent="0.25">
      <c r="A1078" s="2">
        <v>46247</v>
      </c>
      <c r="B1078" s="3" t="s">
        <v>612</v>
      </c>
      <c r="C1078" s="3" t="s">
        <v>634</v>
      </c>
      <c r="D1078" s="3" t="s">
        <v>601</v>
      </c>
      <c r="E1078" s="3" t="s">
        <v>31</v>
      </c>
      <c r="F1078" s="3" t="s">
        <v>105</v>
      </c>
      <c r="G1078" s="4" t="s">
        <v>33</v>
      </c>
      <c r="H1078" s="4">
        <v>2</v>
      </c>
      <c r="I1078" s="5">
        <v>0</v>
      </c>
      <c r="J1078" s="5">
        <v>3.8379629629629632E-2</v>
      </c>
      <c r="K1078" s="5">
        <f t="shared" si="32"/>
        <v>1.9189814814814816E-2</v>
      </c>
      <c r="L1078" s="5">
        <v>0</v>
      </c>
      <c r="M1078" s="6">
        <f t="shared" si="33"/>
        <v>0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 spans="1:23" x14ac:dyDescent="0.25">
      <c r="A1079" s="2">
        <v>46247</v>
      </c>
      <c r="B1079" s="3" t="s">
        <v>258</v>
      </c>
      <c r="C1079" s="3" t="s">
        <v>554</v>
      </c>
      <c r="D1079" s="3" t="s">
        <v>233</v>
      </c>
      <c r="E1079" s="3" t="s">
        <v>31</v>
      </c>
      <c r="F1079" s="3" t="s">
        <v>32</v>
      </c>
      <c r="G1079" s="4" t="s">
        <v>106</v>
      </c>
      <c r="H1079" s="4">
        <v>0</v>
      </c>
      <c r="I1079" s="5">
        <v>0</v>
      </c>
      <c r="J1079" s="5">
        <v>0</v>
      </c>
      <c r="K1079" s="5">
        <f t="shared" si="32"/>
        <v>0</v>
      </c>
      <c r="L1079" s="5">
        <v>0</v>
      </c>
      <c r="M1079" s="6">
        <f t="shared" si="33"/>
        <v>0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</row>
    <row r="1080" spans="1:23" x14ac:dyDescent="0.25">
      <c r="A1080" s="2">
        <v>46247</v>
      </c>
      <c r="B1080" s="3" t="s">
        <v>661</v>
      </c>
      <c r="C1080" s="3" t="s">
        <v>662</v>
      </c>
      <c r="D1080" s="3" t="s">
        <v>100</v>
      </c>
      <c r="E1080" s="3" t="s">
        <v>31</v>
      </c>
      <c r="F1080" s="3" t="s">
        <v>32</v>
      </c>
      <c r="G1080" s="4" t="s">
        <v>33</v>
      </c>
      <c r="H1080" s="4">
        <v>28</v>
      </c>
      <c r="I1080" s="5">
        <v>0</v>
      </c>
      <c r="J1080" s="5">
        <v>0.12038194444444444</v>
      </c>
      <c r="K1080" s="5">
        <f t="shared" si="32"/>
        <v>4.2993551587301587E-3</v>
      </c>
      <c r="L1080" s="5">
        <v>0</v>
      </c>
      <c r="M1080" s="6">
        <f t="shared" si="33"/>
        <v>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 spans="1:23" x14ac:dyDescent="0.25">
      <c r="A1081" s="2">
        <v>46247</v>
      </c>
      <c r="B1081" s="3" t="s">
        <v>663</v>
      </c>
      <c r="C1081" s="3" t="s">
        <v>664</v>
      </c>
      <c r="D1081" s="3" t="s">
        <v>233</v>
      </c>
      <c r="E1081" s="3" t="s">
        <v>31</v>
      </c>
      <c r="F1081" s="3" t="s">
        <v>32</v>
      </c>
      <c r="G1081" s="4" t="s">
        <v>106</v>
      </c>
      <c r="H1081" s="4">
        <v>12</v>
      </c>
      <c r="I1081" s="5">
        <v>0</v>
      </c>
      <c r="J1081" s="5">
        <v>0.12512731481481482</v>
      </c>
      <c r="K1081" s="5">
        <f t="shared" si="32"/>
        <v>1.0427276234567901E-2</v>
      </c>
      <c r="L1081" s="5">
        <v>0</v>
      </c>
      <c r="M1081" s="6">
        <f t="shared" si="33"/>
        <v>0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</row>
    <row r="1082" spans="1:23" x14ac:dyDescent="0.25">
      <c r="A1082" s="2">
        <v>46247</v>
      </c>
      <c r="B1082" s="3" t="s">
        <v>665</v>
      </c>
      <c r="C1082" s="3" t="s">
        <v>666</v>
      </c>
      <c r="D1082" s="3" t="s">
        <v>100</v>
      </c>
      <c r="E1082" s="3" t="s">
        <v>31</v>
      </c>
      <c r="F1082" s="3" t="s">
        <v>32</v>
      </c>
      <c r="G1082" s="4" t="s">
        <v>33</v>
      </c>
      <c r="H1082" s="4">
        <v>53</v>
      </c>
      <c r="I1082" s="5">
        <v>0</v>
      </c>
      <c r="J1082" s="5">
        <v>0.19023148148148147</v>
      </c>
      <c r="K1082" s="5">
        <f t="shared" si="32"/>
        <v>3.5892732354996506E-3</v>
      </c>
      <c r="L1082" s="5">
        <v>0</v>
      </c>
      <c r="M1082" s="6">
        <f t="shared" si="33"/>
        <v>0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spans="1:23" x14ac:dyDescent="0.25">
      <c r="A1083" s="2">
        <v>46247</v>
      </c>
      <c r="B1083" s="3" t="s">
        <v>264</v>
      </c>
      <c r="C1083" s="3" t="s">
        <v>530</v>
      </c>
      <c r="D1083" s="3" t="s">
        <v>78</v>
      </c>
      <c r="E1083" s="3" t="s">
        <v>79</v>
      </c>
      <c r="F1083" s="3" t="s">
        <v>80</v>
      </c>
      <c r="G1083" s="4" t="s">
        <v>106</v>
      </c>
      <c r="H1083" s="4">
        <v>1</v>
      </c>
      <c r="I1083" s="5">
        <v>0</v>
      </c>
      <c r="J1083" s="5">
        <v>2.9976851851851853E-3</v>
      </c>
      <c r="K1083" s="5">
        <f t="shared" si="32"/>
        <v>2.9976851851851853E-3</v>
      </c>
      <c r="L1083" s="5">
        <v>0</v>
      </c>
      <c r="M1083" s="6">
        <f t="shared" si="33"/>
        <v>0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</row>
    <row r="1084" spans="1:23" x14ac:dyDescent="0.25">
      <c r="A1084" s="2">
        <v>46247</v>
      </c>
      <c r="B1084" s="3" t="s">
        <v>128</v>
      </c>
      <c r="C1084" s="3" t="s">
        <v>555</v>
      </c>
      <c r="D1084" s="3" t="s">
        <v>233</v>
      </c>
      <c r="E1084" s="3" t="s">
        <v>31</v>
      </c>
      <c r="F1084" s="3" t="s">
        <v>32</v>
      </c>
      <c r="G1084" s="4" t="s">
        <v>106</v>
      </c>
      <c r="H1084" s="4">
        <v>34</v>
      </c>
      <c r="I1084" s="5">
        <v>0</v>
      </c>
      <c r="J1084" s="5">
        <v>0.11008101851851852</v>
      </c>
      <c r="K1084" s="5">
        <f t="shared" si="32"/>
        <v>3.2376770152505448E-3</v>
      </c>
      <c r="L1084" s="5">
        <v>0</v>
      </c>
      <c r="M1084" s="6">
        <f t="shared" si="33"/>
        <v>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 spans="1:23" x14ac:dyDescent="0.25">
      <c r="A1085" s="2">
        <v>46247</v>
      </c>
      <c r="B1085" s="3" t="s">
        <v>178</v>
      </c>
      <c r="C1085" s="3" t="s">
        <v>522</v>
      </c>
      <c r="D1085" s="3" t="s">
        <v>146</v>
      </c>
      <c r="E1085" s="3" t="s">
        <v>79</v>
      </c>
      <c r="F1085" s="3" t="s">
        <v>147</v>
      </c>
      <c r="G1085" s="4" t="s">
        <v>106</v>
      </c>
      <c r="H1085" s="4">
        <v>12</v>
      </c>
      <c r="I1085" s="5">
        <v>0</v>
      </c>
      <c r="J1085" s="5">
        <v>4.7268518518518515E-2</v>
      </c>
      <c r="K1085" s="5">
        <f t="shared" si="32"/>
        <v>3.9390432098765429E-3</v>
      </c>
      <c r="L1085" s="5">
        <v>0</v>
      </c>
      <c r="M1085" s="6">
        <f t="shared" si="33"/>
        <v>0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</row>
    <row r="1086" spans="1:23" x14ac:dyDescent="0.25">
      <c r="A1086" s="2">
        <v>46247</v>
      </c>
      <c r="B1086" s="3" t="s">
        <v>266</v>
      </c>
      <c r="C1086" s="3" t="s">
        <v>531</v>
      </c>
      <c r="D1086" s="3" t="s">
        <v>233</v>
      </c>
      <c r="E1086" s="3" t="s">
        <v>31</v>
      </c>
      <c r="F1086" s="3" t="s">
        <v>32</v>
      </c>
      <c r="G1086" s="4" t="s">
        <v>106</v>
      </c>
      <c r="H1086" s="4">
        <v>0</v>
      </c>
      <c r="I1086" s="5">
        <v>0</v>
      </c>
      <c r="J1086" s="5">
        <v>0</v>
      </c>
      <c r="K1086" s="5">
        <f t="shared" si="32"/>
        <v>0</v>
      </c>
      <c r="L1086" s="5">
        <v>0</v>
      </c>
      <c r="M1086" s="6">
        <f t="shared" si="33"/>
        <v>0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 spans="1:23" x14ac:dyDescent="0.25">
      <c r="A1087" s="2">
        <v>46247</v>
      </c>
      <c r="B1087" s="3" t="s">
        <v>297</v>
      </c>
      <c r="C1087" s="3" t="s">
        <v>667</v>
      </c>
      <c r="D1087" s="3" t="s">
        <v>104</v>
      </c>
      <c r="E1087" s="3" t="s">
        <v>31</v>
      </c>
      <c r="F1087" s="3" t="s">
        <v>105</v>
      </c>
      <c r="G1087" s="4" t="s">
        <v>106</v>
      </c>
      <c r="H1087" s="4">
        <v>7</v>
      </c>
      <c r="I1087" s="5">
        <v>0</v>
      </c>
      <c r="J1087" s="5">
        <v>0.1155787037037037</v>
      </c>
      <c r="K1087" s="5">
        <f t="shared" si="32"/>
        <v>1.6511243386243386E-2</v>
      </c>
      <c r="L1087" s="5">
        <v>0</v>
      </c>
      <c r="M1087" s="6">
        <f t="shared" si="33"/>
        <v>0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</row>
    <row r="1088" spans="1:23" x14ac:dyDescent="0.25">
      <c r="A1088" s="2">
        <v>46247</v>
      </c>
      <c r="B1088" s="3" t="s">
        <v>207</v>
      </c>
      <c r="C1088" s="3" t="s">
        <v>566</v>
      </c>
      <c r="D1088" s="3" t="s">
        <v>274</v>
      </c>
      <c r="E1088" s="3" t="s">
        <v>79</v>
      </c>
      <c r="F1088" s="3" t="s">
        <v>147</v>
      </c>
      <c r="G1088" s="4" t="s">
        <v>33</v>
      </c>
      <c r="H1088" s="4">
        <v>15</v>
      </c>
      <c r="I1088" s="5">
        <v>0</v>
      </c>
      <c r="J1088" s="5">
        <v>3.9282407407407405E-2</v>
      </c>
      <c r="K1088" s="5">
        <f t="shared" si="32"/>
        <v>2.6188271604938268E-3</v>
      </c>
      <c r="L1088" s="5">
        <v>0</v>
      </c>
      <c r="M1088" s="6">
        <f t="shared" si="33"/>
        <v>0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 spans="1:23" x14ac:dyDescent="0.25">
      <c r="A1089" s="2">
        <v>46247</v>
      </c>
      <c r="B1089" s="3" t="s">
        <v>614</v>
      </c>
      <c r="C1089" s="3" t="s">
        <v>635</v>
      </c>
      <c r="D1089" s="3" t="s">
        <v>601</v>
      </c>
      <c r="E1089" s="3" t="s">
        <v>31</v>
      </c>
      <c r="F1089" s="3" t="s">
        <v>105</v>
      </c>
      <c r="G1089" s="4" t="s">
        <v>33</v>
      </c>
      <c r="H1089" s="4">
        <v>5</v>
      </c>
      <c r="I1089" s="5">
        <v>0</v>
      </c>
      <c r="J1089" s="5">
        <v>8.7372685185185192E-2</v>
      </c>
      <c r="K1089" s="5">
        <f t="shared" si="32"/>
        <v>1.7474537037037038E-2</v>
      </c>
      <c r="L1089" s="5">
        <v>0</v>
      </c>
      <c r="M1089" s="6">
        <f t="shared" si="33"/>
        <v>0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</row>
    <row r="1090" spans="1:23" x14ac:dyDescent="0.25">
      <c r="A1090" s="2">
        <v>46247</v>
      </c>
      <c r="B1090" s="3" t="s">
        <v>96</v>
      </c>
      <c r="C1090" s="3" t="s">
        <v>97</v>
      </c>
      <c r="D1090" s="3" t="s">
        <v>78</v>
      </c>
      <c r="E1090" s="3" t="s">
        <v>79</v>
      </c>
      <c r="F1090" s="3" t="s">
        <v>80</v>
      </c>
      <c r="G1090" s="4" t="s">
        <v>81</v>
      </c>
      <c r="H1090" s="4">
        <v>0</v>
      </c>
      <c r="I1090" s="5">
        <v>0</v>
      </c>
      <c r="J1090" s="5">
        <v>0</v>
      </c>
      <c r="K1090" s="5">
        <f t="shared" ref="K1090:K1153" si="34">IFERROR(J1090/H1090,0)</f>
        <v>0</v>
      </c>
      <c r="L1090" s="5">
        <v>0</v>
      </c>
      <c r="M1090" s="6">
        <f t="shared" ref="M1090:M1153" si="35">IFERROR(L1090/I1090,0)</f>
        <v>0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</row>
    <row r="1091" spans="1:23" x14ac:dyDescent="0.25">
      <c r="A1091" s="2">
        <v>46247</v>
      </c>
      <c r="B1091" s="3" t="s">
        <v>180</v>
      </c>
      <c r="C1091" s="3" t="s">
        <v>523</v>
      </c>
      <c r="D1091" s="3" t="s">
        <v>146</v>
      </c>
      <c r="E1091" s="3" t="s">
        <v>79</v>
      </c>
      <c r="F1091" s="3" t="s">
        <v>147</v>
      </c>
      <c r="G1091" s="4" t="s">
        <v>106</v>
      </c>
      <c r="H1091" s="4">
        <v>9</v>
      </c>
      <c r="I1091" s="5">
        <v>0</v>
      </c>
      <c r="J1091" s="5">
        <v>7.4108796296296298E-2</v>
      </c>
      <c r="K1091" s="5">
        <f t="shared" si="34"/>
        <v>8.2343106995884773E-3</v>
      </c>
      <c r="L1091" s="5">
        <v>0</v>
      </c>
      <c r="M1091" s="6">
        <f t="shared" si="35"/>
        <v>0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</row>
    <row r="1092" spans="1:23" x14ac:dyDescent="0.25">
      <c r="A1092" s="2">
        <v>46247</v>
      </c>
      <c r="B1092" s="3" t="s">
        <v>616</v>
      </c>
      <c r="C1092" s="3" t="s">
        <v>637</v>
      </c>
      <c r="D1092" s="3" t="s">
        <v>601</v>
      </c>
      <c r="E1092" s="3" t="s">
        <v>31</v>
      </c>
      <c r="F1092" s="3" t="s">
        <v>105</v>
      </c>
      <c r="G1092" s="4" t="s">
        <v>33</v>
      </c>
      <c r="H1092" s="4">
        <v>2</v>
      </c>
      <c r="I1092" s="5">
        <v>0</v>
      </c>
      <c r="J1092" s="5">
        <v>3.622685185185185E-2</v>
      </c>
      <c r="K1092" s="5">
        <f t="shared" si="34"/>
        <v>1.8113425925925925E-2</v>
      </c>
      <c r="L1092" s="5">
        <v>0</v>
      </c>
      <c r="M1092" s="6">
        <f t="shared" si="35"/>
        <v>0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 spans="1:23" x14ac:dyDescent="0.25">
      <c r="A1093" s="2">
        <v>46247</v>
      </c>
      <c r="B1093" s="3" t="s">
        <v>209</v>
      </c>
      <c r="C1093" s="3" t="s">
        <v>567</v>
      </c>
      <c r="D1093" s="3" t="s">
        <v>601</v>
      </c>
      <c r="E1093" s="3" t="s">
        <v>31</v>
      </c>
      <c r="F1093" s="3" t="s">
        <v>105</v>
      </c>
      <c r="G1093" s="4" t="s">
        <v>33</v>
      </c>
      <c r="H1093" s="4">
        <v>2</v>
      </c>
      <c r="I1093" s="5">
        <v>0</v>
      </c>
      <c r="J1093" s="5">
        <v>6.9236111111111109E-2</v>
      </c>
      <c r="K1093" s="5">
        <f t="shared" si="34"/>
        <v>3.4618055555555555E-2</v>
      </c>
      <c r="L1093" s="5">
        <v>0</v>
      </c>
      <c r="M1093" s="6">
        <f t="shared" si="35"/>
        <v>0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</row>
    <row r="1094" spans="1:23" x14ac:dyDescent="0.25">
      <c r="A1094" s="2">
        <v>46247</v>
      </c>
      <c r="B1094" s="3" t="s">
        <v>60</v>
      </c>
      <c r="C1094" s="3" t="s">
        <v>510</v>
      </c>
      <c r="D1094" s="3" t="s">
        <v>100</v>
      </c>
      <c r="E1094" s="3" t="s">
        <v>31</v>
      </c>
      <c r="F1094" s="3" t="s">
        <v>32</v>
      </c>
      <c r="G1094" s="4" t="s">
        <v>33</v>
      </c>
      <c r="H1094" s="4">
        <v>32</v>
      </c>
      <c r="I1094" s="5">
        <v>0</v>
      </c>
      <c r="J1094" s="5">
        <v>0.16442129629629629</v>
      </c>
      <c r="K1094" s="5">
        <f t="shared" si="34"/>
        <v>5.138165509259259E-3</v>
      </c>
      <c r="L1094" s="5">
        <v>0</v>
      </c>
      <c r="M1094" s="6">
        <f t="shared" si="35"/>
        <v>0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 spans="1:23" x14ac:dyDescent="0.25">
      <c r="A1095" s="2">
        <v>46247</v>
      </c>
      <c r="B1095" s="3" t="s">
        <v>132</v>
      </c>
      <c r="C1095" s="3" t="s">
        <v>512</v>
      </c>
      <c r="D1095" s="3" t="s">
        <v>104</v>
      </c>
      <c r="E1095" s="3" t="s">
        <v>31</v>
      </c>
      <c r="F1095" s="3" t="s">
        <v>105</v>
      </c>
      <c r="G1095" s="4" t="s">
        <v>106</v>
      </c>
      <c r="H1095" s="4">
        <v>9</v>
      </c>
      <c r="I1095" s="5">
        <v>0</v>
      </c>
      <c r="J1095" s="5">
        <v>0.1190625</v>
      </c>
      <c r="K1095" s="5">
        <f t="shared" si="34"/>
        <v>1.3229166666666667E-2</v>
      </c>
      <c r="L1095" s="5">
        <v>0</v>
      </c>
      <c r="M1095" s="6">
        <f t="shared" si="35"/>
        <v>0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</row>
    <row r="1096" spans="1:23" x14ac:dyDescent="0.25">
      <c r="A1096" s="2">
        <v>46247</v>
      </c>
      <c r="B1096" s="3" t="s">
        <v>134</v>
      </c>
      <c r="C1096" s="3" t="s">
        <v>560</v>
      </c>
      <c r="D1096" s="3" t="s">
        <v>104</v>
      </c>
      <c r="E1096" s="3" t="s">
        <v>31</v>
      </c>
      <c r="F1096" s="3" t="s">
        <v>105</v>
      </c>
      <c r="G1096" s="4" t="s">
        <v>106</v>
      </c>
      <c r="H1096" s="4">
        <v>6</v>
      </c>
      <c r="I1096" s="5">
        <v>0</v>
      </c>
      <c r="J1096" s="5">
        <v>9.9456018518518513E-2</v>
      </c>
      <c r="K1096" s="5">
        <f t="shared" si="34"/>
        <v>1.6576003086419752E-2</v>
      </c>
      <c r="L1096" s="5">
        <v>0</v>
      </c>
      <c r="M1096" s="6">
        <f t="shared" si="35"/>
        <v>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 spans="1:23" x14ac:dyDescent="0.25">
      <c r="A1097" s="2">
        <v>46247</v>
      </c>
      <c r="B1097" s="3" t="s">
        <v>211</v>
      </c>
      <c r="C1097" s="3" t="s">
        <v>546</v>
      </c>
      <c r="D1097" s="3" t="s">
        <v>104</v>
      </c>
      <c r="E1097" s="3" t="s">
        <v>31</v>
      </c>
      <c r="F1097" s="3" t="s">
        <v>105</v>
      </c>
      <c r="G1097" s="4" t="s">
        <v>106</v>
      </c>
      <c r="H1097" s="4">
        <v>3</v>
      </c>
      <c r="I1097" s="5">
        <v>0</v>
      </c>
      <c r="J1097" s="5">
        <v>9.7175925925925929E-2</v>
      </c>
      <c r="K1097" s="5">
        <f t="shared" si="34"/>
        <v>3.2391975308641976E-2</v>
      </c>
      <c r="L1097" s="5">
        <v>0</v>
      </c>
      <c r="M1097" s="6">
        <f t="shared" si="35"/>
        <v>0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</row>
    <row r="1098" spans="1:23" x14ac:dyDescent="0.25">
      <c r="A1098" s="2">
        <v>46247</v>
      </c>
      <c r="B1098" s="3" t="s">
        <v>617</v>
      </c>
      <c r="C1098" s="3" t="s">
        <v>638</v>
      </c>
      <c r="D1098" s="3" t="s">
        <v>601</v>
      </c>
      <c r="E1098" s="3" t="s">
        <v>31</v>
      </c>
      <c r="F1098" s="3" t="s">
        <v>105</v>
      </c>
      <c r="G1098" s="4" t="s">
        <v>33</v>
      </c>
      <c r="H1098" s="4">
        <v>3</v>
      </c>
      <c r="I1098" s="5">
        <v>0</v>
      </c>
      <c r="J1098" s="5">
        <v>7.5324074074074071E-2</v>
      </c>
      <c r="K1098" s="5">
        <f t="shared" si="34"/>
        <v>2.5108024691358023E-2</v>
      </c>
      <c r="L1098" s="5">
        <v>0</v>
      </c>
      <c r="M1098" s="6">
        <f t="shared" si="35"/>
        <v>0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</row>
    <row r="1099" spans="1:23" x14ac:dyDescent="0.25">
      <c r="A1099" s="2">
        <v>46247</v>
      </c>
      <c r="B1099" s="3" t="s">
        <v>618</v>
      </c>
      <c r="C1099" s="3" t="s">
        <v>639</v>
      </c>
      <c r="D1099" s="3" t="s">
        <v>601</v>
      </c>
      <c r="E1099" s="3" t="s">
        <v>31</v>
      </c>
      <c r="F1099" s="3" t="s">
        <v>105</v>
      </c>
      <c r="G1099" s="4" t="s">
        <v>33</v>
      </c>
      <c r="H1099" s="4">
        <v>4</v>
      </c>
      <c r="I1099" s="5">
        <v>0</v>
      </c>
      <c r="J1099" s="5">
        <v>8.0324074074074076E-2</v>
      </c>
      <c r="K1099" s="5">
        <f t="shared" si="34"/>
        <v>2.0081018518518519E-2</v>
      </c>
      <c r="L1099" s="5">
        <v>0</v>
      </c>
      <c r="M1099" s="6">
        <f t="shared" si="35"/>
        <v>0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</row>
    <row r="1100" spans="1:23" x14ac:dyDescent="0.25">
      <c r="A1100" s="2">
        <v>46247</v>
      </c>
      <c r="B1100" s="3" t="s">
        <v>501</v>
      </c>
      <c r="C1100" s="3" t="s">
        <v>524</v>
      </c>
      <c r="D1100" s="3" t="s">
        <v>274</v>
      </c>
      <c r="E1100" s="3" t="s">
        <v>79</v>
      </c>
      <c r="F1100" s="3" t="s">
        <v>147</v>
      </c>
      <c r="G1100" s="4" t="s">
        <v>33</v>
      </c>
      <c r="H1100" s="4">
        <v>14</v>
      </c>
      <c r="I1100" s="5">
        <v>0</v>
      </c>
      <c r="J1100" s="5">
        <v>4.7974537037037038E-2</v>
      </c>
      <c r="K1100" s="5">
        <f t="shared" si="34"/>
        <v>3.4267526455026456E-3</v>
      </c>
      <c r="L1100" s="5">
        <v>0</v>
      </c>
      <c r="M1100" s="6">
        <f t="shared" si="35"/>
        <v>0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</row>
    <row r="1101" spans="1:23" x14ac:dyDescent="0.25">
      <c r="A1101" s="2">
        <v>46247</v>
      </c>
      <c r="B1101" s="3" t="s">
        <v>213</v>
      </c>
      <c r="C1101" s="3" t="s">
        <v>572</v>
      </c>
      <c r="D1101" s="3" t="s">
        <v>601</v>
      </c>
      <c r="E1101" s="3" t="s">
        <v>31</v>
      </c>
      <c r="F1101" s="3" t="s">
        <v>105</v>
      </c>
      <c r="G1101" s="4" t="s">
        <v>33</v>
      </c>
      <c r="H1101" s="4">
        <v>1</v>
      </c>
      <c r="I1101" s="5">
        <v>0</v>
      </c>
      <c r="J1101" s="5">
        <v>2.2731481481481481E-2</v>
      </c>
      <c r="K1101" s="5">
        <f t="shared" si="34"/>
        <v>2.2731481481481481E-2</v>
      </c>
      <c r="L1101" s="5">
        <v>0</v>
      </c>
      <c r="M1101" s="6">
        <f t="shared" si="35"/>
        <v>0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</row>
    <row r="1102" spans="1:23" x14ac:dyDescent="0.25">
      <c r="A1102" s="2">
        <v>46247</v>
      </c>
      <c r="B1102" s="3" t="s">
        <v>619</v>
      </c>
      <c r="C1102" s="3" t="s">
        <v>640</v>
      </c>
      <c r="D1102" s="3" t="s">
        <v>601</v>
      </c>
      <c r="E1102" s="3" t="s">
        <v>31</v>
      </c>
      <c r="F1102" s="3" t="s">
        <v>105</v>
      </c>
      <c r="G1102" s="4" t="s">
        <v>33</v>
      </c>
      <c r="H1102" s="4">
        <v>2</v>
      </c>
      <c r="I1102" s="5">
        <v>0</v>
      </c>
      <c r="J1102" s="5">
        <v>4.3518518518518519E-2</v>
      </c>
      <c r="K1102" s="5">
        <f t="shared" si="34"/>
        <v>2.1759259259259259E-2</v>
      </c>
      <c r="L1102" s="5">
        <v>0</v>
      </c>
      <c r="M1102" s="6">
        <f t="shared" si="35"/>
        <v>0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</row>
    <row r="1103" spans="1:23" x14ac:dyDescent="0.25">
      <c r="A1103" s="2">
        <v>46247</v>
      </c>
      <c r="B1103" s="3" t="s">
        <v>668</v>
      </c>
      <c r="C1103" s="3" t="s">
        <v>669</v>
      </c>
      <c r="D1103" s="3" t="s">
        <v>233</v>
      </c>
      <c r="E1103" s="3" t="s">
        <v>31</v>
      </c>
      <c r="F1103" s="3" t="s">
        <v>32</v>
      </c>
      <c r="G1103" s="4" t="s">
        <v>106</v>
      </c>
      <c r="H1103" s="4">
        <v>27</v>
      </c>
      <c r="I1103" s="5">
        <v>0</v>
      </c>
      <c r="J1103" s="5">
        <v>0.11280092592592593</v>
      </c>
      <c r="K1103" s="5">
        <f t="shared" si="34"/>
        <v>4.1778120713305902E-3</v>
      </c>
      <c r="L1103" s="5">
        <v>0</v>
      </c>
      <c r="M1103" s="6">
        <f t="shared" si="35"/>
        <v>0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</row>
    <row r="1104" spans="1:23" x14ac:dyDescent="0.25">
      <c r="A1104" s="2">
        <v>46247</v>
      </c>
      <c r="B1104" s="3" t="s">
        <v>233</v>
      </c>
      <c r="C1104" s="3" t="s">
        <v>745</v>
      </c>
      <c r="D1104" s="3" t="s">
        <v>233</v>
      </c>
      <c r="E1104" s="3" t="s">
        <v>31</v>
      </c>
      <c r="F1104" s="3" t="s">
        <v>32</v>
      </c>
      <c r="G1104" s="4" t="s">
        <v>106</v>
      </c>
      <c r="H1104" s="4">
        <v>0</v>
      </c>
      <c r="I1104" s="5">
        <v>0</v>
      </c>
      <c r="J1104" s="5">
        <v>0</v>
      </c>
      <c r="K1104" s="5">
        <f t="shared" si="34"/>
        <v>0</v>
      </c>
      <c r="L1104" s="5">
        <v>0</v>
      </c>
      <c r="M1104" s="6">
        <f t="shared" si="35"/>
        <v>0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 spans="1:23" x14ac:dyDescent="0.25">
      <c r="A1105" s="2">
        <v>46247</v>
      </c>
      <c r="B1105" s="3" t="s">
        <v>219</v>
      </c>
      <c r="C1105" s="3" t="s">
        <v>548</v>
      </c>
      <c r="D1105" s="3" t="s">
        <v>104</v>
      </c>
      <c r="E1105" s="3" t="s">
        <v>31</v>
      </c>
      <c r="F1105" s="3" t="s">
        <v>105</v>
      </c>
      <c r="G1105" s="4" t="s">
        <v>106</v>
      </c>
      <c r="H1105" s="4">
        <v>4</v>
      </c>
      <c r="I1105" s="5">
        <v>0</v>
      </c>
      <c r="J1105" s="5">
        <v>6.1655092592592595E-2</v>
      </c>
      <c r="K1105" s="5">
        <f t="shared" si="34"/>
        <v>1.5413773148148149E-2</v>
      </c>
      <c r="L1105" s="5">
        <v>0</v>
      </c>
      <c r="M1105" s="6">
        <f t="shared" si="35"/>
        <v>0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 spans="1:23" x14ac:dyDescent="0.25">
      <c r="A1106" s="2">
        <v>46247</v>
      </c>
      <c r="B1106" s="3" t="s">
        <v>305</v>
      </c>
      <c r="C1106" s="3" t="s">
        <v>306</v>
      </c>
      <c r="D1106" s="3" t="s">
        <v>100</v>
      </c>
      <c r="E1106" s="3" t="s">
        <v>31</v>
      </c>
      <c r="F1106" s="3" t="s">
        <v>32</v>
      </c>
      <c r="G1106" s="4" t="s">
        <v>33</v>
      </c>
      <c r="H1106" s="4">
        <v>35</v>
      </c>
      <c r="I1106" s="5">
        <v>0</v>
      </c>
      <c r="J1106" s="5">
        <v>0.14516203703703703</v>
      </c>
      <c r="K1106" s="5">
        <f t="shared" si="34"/>
        <v>4.1474867724867722E-3</v>
      </c>
      <c r="L1106" s="5">
        <v>0</v>
      </c>
      <c r="M1106" s="6">
        <f t="shared" si="35"/>
        <v>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 spans="1:23" x14ac:dyDescent="0.25">
      <c r="A1107" s="2">
        <v>46247</v>
      </c>
      <c r="B1107" s="3" t="s">
        <v>620</v>
      </c>
      <c r="C1107" s="3" t="s">
        <v>641</v>
      </c>
      <c r="D1107" s="3" t="s">
        <v>601</v>
      </c>
      <c r="E1107" s="3" t="s">
        <v>31</v>
      </c>
      <c r="F1107" s="3" t="s">
        <v>105</v>
      </c>
      <c r="G1107" s="4" t="s">
        <v>33</v>
      </c>
      <c r="H1107" s="4">
        <v>2</v>
      </c>
      <c r="I1107" s="5">
        <v>0</v>
      </c>
      <c r="J1107" s="5">
        <v>5.966435185185185E-2</v>
      </c>
      <c r="K1107" s="5">
        <f t="shared" si="34"/>
        <v>2.9832175925925925E-2</v>
      </c>
      <c r="L1107" s="5">
        <v>0</v>
      </c>
      <c r="M1107" s="6">
        <f t="shared" si="35"/>
        <v>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</row>
    <row r="1108" spans="1:23" x14ac:dyDescent="0.25">
      <c r="A1108" s="2">
        <v>46247</v>
      </c>
      <c r="B1108" s="3" t="s">
        <v>138</v>
      </c>
      <c r="C1108" s="3" t="s">
        <v>556</v>
      </c>
      <c r="D1108" s="3" t="s">
        <v>104</v>
      </c>
      <c r="E1108" s="3" t="s">
        <v>31</v>
      </c>
      <c r="F1108" s="3" t="s">
        <v>105</v>
      </c>
      <c r="G1108" s="4" t="s">
        <v>106</v>
      </c>
      <c r="H1108" s="4">
        <v>10</v>
      </c>
      <c r="I1108" s="5">
        <v>0</v>
      </c>
      <c r="J1108" s="5">
        <v>0.1180787037037037</v>
      </c>
      <c r="K1108" s="5">
        <f t="shared" si="34"/>
        <v>1.180787037037037E-2</v>
      </c>
      <c r="L1108" s="5">
        <v>0</v>
      </c>
      <c r="M1108" s="6">
        <f t="shared" si="35"/>
        <v>0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</row>
    <row r="1109" spans="1:23" x14ac:dyDescent="0.25">
      <c r="A1109" s="2">
        <v>46247</v>
      </c>
      <c r="B1109" s="3" t="s">
        <v>276</v>
      </c>
      <c r="C1109" s="3" t="s">
        <v>532</v>
      </c>
      <c r="D1109" s="3" t="s">
        <v>233</v>
      </c>
      <c r="E1109" s="3" t="s">
        <v>31</v>
      </c>
      <c r="F1109" s="3" t="s">
        <v>32</v>
      </c>
      <c r="G1109" s="4" t="s">
        <v>106</v>
      </c>
      <c r="H1109" s="4">
        <v>39</v>
      </c>
      <c r="I1109" s="5">
        <v>0</v>
      </c>
      <c r="J1109" s="5">
        <v>0.12811342592592592</v>
      </c>
      <c r="K1109" s="5">
        <f t="shared" si="34"/>
        <v>3.2849596391263058E-3</v>
      </c>
      <c r="L1109" s="5">
        <v>0</v>
      </c>
      <c r="M1109" s="6">
        <f t="shared" si="35"/>
        <v>0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</row>
    <row r="1110" spans="1:23" x14ac:dyDescent="0.25">
      <c r="A1110" s="2">
        <v>46247</v>
      </c>
      <c r="B1110" s="3" t="s">
        <v>278</v>
      </c>
      <c r="C1110" s="3" t="s">
        <v>533</v>
      </c>
      <c r="D1110" s="3" t="s">
        <v>233</v>
      </c>
      <c r="E1110" s="3" t="s">
        <v>31</v>
      </c>
      <c r="F1110" s="3" t="s">
        <v>32</v>
      </c>
      <c r="G1110" s="4" t="s">
        <v>106</v>
      </c>
      <c r="H1110" s="4">
        <v>19</v>
      </c>
      <c r="I1110" s="5">
        <v>0</v>
      </c>
      <c r="J1110" s="5">
        <v>0.10445601851851852</v>
      </c>
      <c r="K1110" s="5">
        <f t="shared" si="34"/>
        <v>5.4976851851851853E-3</v>
      </c>
      <c r="L1110" s="5">
        <v>0</v>
      </c>
      <c r="M1110" s="6">
        <f t="shared" si="35"/>
        <v>0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 spans="1:23" x14ac:dyDescent="0.25">
      <c r="A1111" s="2">
        <v>46247</v>
      </c>
      <c r="B1111" s="3" t="s">
        <v>313</v>
      </c>
      <c r="C1111" s="3" t="s">
        <v>511</v>
      </c>
      <c r="D1111" s="3" t="s">
        <v>78</v>
      </c>
      <c r="E1111" s="3" t="s">
        <v>79</v>
      </c>
      <c r="F1111" s="3" t="s">
        <v>80</v>
      </c>
      <c r="G1111" s="4" t="s">
        <v>81</v>
      </c>
      <c r="H1111" s="4">
        <v>0</v>
      </c>
      <c r="I1111" s="5">
        <v>0</v>
      </c>
      <c r="J1111" s="5">
        <v>0</v>
      </c>
      <c r="K1111" s="5">
        <f t="shared" si="34"/>
        <v>0</v>
      </c>
      <c r="L1111" s="5">
        <v>0</v>
      </c>
      <c r="M1111" s="6">
        <f t="shared" si="35"/>
        <v>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</row>
    <row r="1112" spans="1:23" x14ac:dyDescent="0.25">
      <c r="A1112" s="2">
        <v>46247</v>
      </c>
      <c r="B1112" s="3" t="s">
        <v>673</v>
      </c>
      <c r="C1112" s="3" t="s">
        <v>674</v>
      </c>
      <c r="D1112" s="3" t="s">
        <v>104</v>
      </c>
      <c r="E1112" s="3" t="s">
        <v>31</v>
      </c>
      <c r="F1112" s="3" t="s">
        <v>105</v>
      </c>
      <c r="G1112" s="4" t="s">
        <v>106</v>
      </c>
      <c r="H1112" s="4">
        <v>11</v>
      </c>
      <c r="I1112" s="5">
        <v>0</v>
      </c>
      <c r="J1112" s="5">
        <v>0.12340277777777778</v>
      </c>
      <c r="K1112" s="5">
        <f t="shared" si="34"/>
        <v>1.1218434343434343E-2</v>
      </c>
      <c r="L1112" s="5">
        <v>0</v>
      </c>
      <c r="M1112" s="6">
        <f t="shared" si="35"/>
        <v>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 spans="1:23" x14ac:dyDescent="0.25">
      <c r="A1113" s="2">
        <v>46247</v>
      </c>
      <c r="B1113" s="3" t="s">
        <v>225</v>
      </c>
      <c r="C1113" s="3" t="s">
        <v>549</v>
      </c>
      <c r="D1113" s="3" t="s">
        <v>601</v>
      </c>
      <c r="E1113" s="3" t="s">
        <v>31</v>
      </c>
      <c r="F1113" s="3" t="s">
        <v>105</v>
      </c>
      <c r="G1113" s="4" t="s">
        <v>33</v>
      </c>
      <c r="H1113" s="4">
        <v>2</v>
      </c>
      <c r="I1113" s="5">
        <v>0</v>
      </c>
      <c r="J1113" s="5">
        <v>5.4953703703703706E-2</v>
      </c>
      <c r="K1113" s="5">
        <f t="shared" si="34"/>
        <v>2.7476851851851853E-2</v>
      </c>
      <c r="L1113" s="5">
        <v>0</v>
      </c>
      <c r="M1113" s="6">
        <f t="shared" si="35"/>
        <v>0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 spans="1:23" x14ac:dyDescent="0.25">
      <c r="A1114" s="2">
        <v>46247</v>
      </c>
      <c r="B1114" s="3" t="s">
        <v>70</v>
      </c>
      <c r="C1114" s="3" t="s">
        <v>71</v>
      </c>
      <c r="D1114" s="3" t="s">
        <v>78</v>
      </c>
      <c r="E1114" s="3" t="s">
        <v>79</v>
      </c>
      <c r="F1114" s="3" t="s">
        <v>80</v>
      </c>
      <c r="G1114" s="4" t="s">
        <v>33</v>
      </c>
      <c r="H1114" s="4">
        <v>0</v>
      </c>
      <c r="I1114" s="5">
        <v>0</v>
      </c>
      <c r="J1114" s="5">
        <v>0</v>
      </c>
      <c r="K1114" s="5">
        <f t="shared" si="34"/>
        <v>0</v>
      </c>
      <c r="L1114" s="5">
        <v>0</v>
      </c>
      <c r="M1114" s="6">
        <f t="shared" si="35"/>
        <v>0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 spans="1:23" x14ac:dyDescent="0.25">
      <c r="A1115" s="2">
        <v>46247</v>
      </c>
      <c r="B1115" s="3" t="s">
        <v>280</v>
      </c>
      <c r="C1115" s="3" t="s">
        <v>534</v>
      </c>
      <c r="D1115" s="3" t="s">
        <v>233</v>
      </c>
      <c r="E1115" s="3" t="s">
        <v>31</v>
      </c>
      <c r="F1115" s="3" t="s">
        <v>32</v>
      </c>
      <c r="G1115" s="4" t="s">
        <v>106</v>
      </c>
      <c r="H1115" s="4">
        <v>23</v>
      </c>
      <c r="I1115" s="5">
        <v>0</v>
      </c>
      <c r="J1115" s="5">
        <v>9.7951388888888893E-2</v>
      </c>
      <c r="K1115" s="5">
        <f t="shared" si="34"/>
        <v>4.258756038647343E-3</v>
      </c>
      <c r="L1115" s="5">
        <v>0</v>
      </c>
      <c r="M1115" s="6">
        <f t="shared" si="35"/>
        <v>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</row>
    <row r="1116" spans="1:23" x14ac:dyDescent="0.25">
      <c r="A1116" s="2">
        <v>46247</v>
      </c>
      <c r="B1116" s="3" t="s">
        <v>299</v>
      </c>
      <c r="C1116" s="3" t="s">
        <v>571</v>
      </c>
      <c r="D1116" s="3" t="s">
        <v>104</v>
      </c>
      <c r="E1116" s="3" t="s">
        <v>31</v>
      </c>
      <c r="F1116" s="3" t="s">
        <v>105</v>
      </c>
      <c r="G1116" s="4" t="s">
        <v>106</v>
      </c>
      <c r="H1116" s="4">
        <v>6</v>
      </c>
      <c r="I1116" s="5">
        <v>0</v>
      </c>
      <c r="J1116" s="5">
        <v>0.11944444444444445</v>
      </c>
      <c r="K1116" s="5">
        <f t="shared" si="34"/>
        <v>1.9907407407407408E-2</v>
      </c>
      <c r="L1116" s="5">
        <v>0</v>
      </c>
      <c r="M1116" s="6">
        <f t="shared" si="35"/>
        <v>0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 spans="1:23" x14ac:dyDescent="0.25">
      <c r="A1117" s="2">
        <v>46247</v>
      </c>
      <c r="B1117" s="3" t="s">
        <v>227</v>
      </c>
      <c r="C1117" s="3" t="s">
        <v>557</v>
      </c>
      <c r="D1117" s="3" t="s">
        <v>146</v>
      </c>
      <c r="E1117" s="3" t="s">
        <v>79</v>
      </c>
      <c r="F1117" s="3" t="s">
        <v>147</v>
      </c>
      <c r="G1117" s="4" t="s">
        <v>106</v>
      </c>
      <c r="H1117" s="4">
        <v>9</v>
      </c>
      <c r="I1117" s="5">
        <v>0</v>
      </c>
      <c r="J1117" s="5">
        <v>5.1296296296296298E-2</v>
      </c>
      <c r="K1117" s="5">
        <f t="shared" si="34"/>
        <v>5.6995884773662553E-3</v>
      </c>
      <c r="L1117" s="5">
        <v>0</v>
      </c>
      <c r="M1117" s="6">
        <f t="shared" si="35"/>
        <v>0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</row>
    <row r="1118" spans="1:23" x14ac:dyDescent="0.25">
      <c r="A1118" s="2">
        <v>46247</v>
      </c>
      <c r="B1118" s="3" t="s">
        <v>282</v>
      </c>
      <c r="C1118" s="3" t="s">
        <v>535</v>
      </c>
      <c r="D1118" s="3" t="s">
        <v>233</v>
      </c>
      <c r="E1118" s="3" t="s">
        <v>31</v>
      </c>
      <c r="F1118" s="3" t="s">
        <v>32</v>
      </c>
      <c r="G1118" s="4" t="s">
        <v>106</v>
      </c>
      <c r="H1118" s="4">
        <v>41</v>
      </c>
      <c r="I1118" s="5">
        <v>0</v>
      </c>
      <c r="J1118" s="5">
        <v>5.9768518518518519E-2</v>
      </c>
      <c r="K1118" s="5">
        <f t="shared" si="34"/>
        <v>1.4577687443541102E-3</v>
      </c>
      <c r="L1118" s="5">
        <v>0</v>
      </c>
      <c r="M1118" s="6">
        <f t="shared" si="35"/>
        <v>0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 spans="1:23" x14ac:dyDescent="0.25">
      <c r="A1119" s="2">
        <v>46247</v>
      </c>
      <c r="B1119" s="3" t="s">
        <v>675</v>
      </c>
      <c r="C1119" s="3" t="s">
        <v>676</v>
      </c>
      <c r="D1119" s="3" t="s">
        <v>104</v>
      </c>
      <c r="E1119" s="3" t="s">
        <v>31</v>
      </c>
      <c r="F1119" s="3" t="s">
        <v>105</v>
      </c>
      <c r="G1119" s="4" t="s">
        <v>106</v>
      </c>
      <c r="H1119" s="4">
        <v>3</v>
      </c>
      <c r="I1119" s="5">
        <v>0</v>
      </c>
      <c r="J1119" s="5">
        <v>9.8402777777777783E-2</v>
      </c>
      <c r="K1119" s="5">
        <f t="shared" si="34"/>
        <v>3.2800925925925928E-2</v>
      </c>
      <c r="L1119" s="5">
        <v>0</v>
      </c>
      <c r="M1119" s="6">
        <f t="shared" si="35"/>
        <v>0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</row>
    <row r="1120" spans="1:23" x14ac:dyDescent="0.25">
      <c r="A1120" s="2">
        <v>46247</v>
      </c>
      <c r="B1120" s="3" t="s">
        <v>677</v>
      </c>
      <c r="C1120" s="3" t="s">
        <v>678</v>
      </c>
      <c r="D1120" s="3" t="s">
        <v>274</v>
      </c>
      <c r="E1120" s="3" t="s">
        <v>79</v>
      </c>
      <c r="F1120" s="3" t="s">
        <v>147</v>
      </c>
      <c r="G1120" s="4" t="s">
        <v>33</v>
      </c>
      <c r="H1120" s="4">
        <v>15</v>
      </c>
      <c r="I1120" s="5">
        <v>0</v>
      </c>
      <c r="J1120" s="5">
        <v>4.7141203703703706E-2</v>
      </c>
      <c r="K1120" s="5">
        <f t="shared" si="34"/>
        <v>3.1427469135802471E-3</v>
      </c>
      <c r="L1120" s="5">
        <v>0</v>
      </c>
      <c r="M1120" s="6">
        <f t="shared" si="35"/>
        <v>0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 spans="1:23" x14ac:dyDescent="0.25">
      <c r="A1121" s="2">
        <v>46248</v>
      </c>
      <c r="B1121" s="3" t="s">
        <v>186</v>
      </c>
      <c r="C1121" s="3" t="s">
        <v>562</v>
      </c>
      <c r="D1121" s="3" t="s">
        <v>78</v>
      </c>
      <c r="E1121" s="3" t="s">
        <v>79</v>
      </c>
      <c r="F1121" s="3" t="s">
        <v>80</v>
      </c>
      <c r="G1121" s="4" t="s">
        <v>33</v>
      </c>
      <c r="H1121" s="4">
        <v>4</v>
      </c>
      <c r="I1121" s="5">
        <v>0.27208333333333334</v>
      </c>
      <c r="J1121" s="5">
        <v>1.9537037037037037E-2</v>
      </c>
      <c r="K1121" s="5">
        <f t="shared" si="34"/>
        <v>4.8842592592592592E-3</v>
      </c>
      <c r="L1121" s="5">
        <v>2.6724537037037036E-2</v>
      </c>
      <c r="M1121" s="6">
        <f t="shared" si="35"/>
        <v>9.8221881912540401E-2</v>
      </c>
      <c r="N1121" s="5">
        <v>6.9444444444444444E-5</v>
      </c>
      <c r="O1121" s="5">
        <v>1.3425925925925926E-2</v>
      </c>
      <c r="P1121" s="5"/>
      <c r="Q1121" s="5"/>
      <c r="R1121" s="5"/>
      <c r="S1121" s="5">
        <v>1.2939814814814815E-2</v>
      </c>
      <c r="T1121" s="5">
        <v>6.9444444444444444E-5</v>
      </c>
      <c r="U1121" s="5">
        <v>2.199074074074074E-4</v>
      </c>
      <c r="V1121" s="5"/>
      <c r="W1121" s="5"/>
    </row>
    <row r="1122" spans="1:23" x14ac:dyDescent="0.25">
      <c r="A1122" s="2">
        <v>46248</v>
      </c>
      <c r="B1122" s="3" t="s">
        <v>643</v>
      </c>
      <c r="C1122" s="3" t="s">
        <v>644</v>
      </c>
      <c r="D1122" s="3" t="s">
        <v>233</v>
      </c>
      <c r="E1122" s="3" t="s">
        <v>31</v>
      </c>
      <c r="F1122" s="3" t="s">
        <v>32</v>
      </c>
      <c r="G1122" s="4" t="s">
        <v>106</v>
      </c>
      <c r="H1122" s="4">
        <v>17</v>
      </c>
      <c r="I1122" s="5">
        <v>0.26324074074074072</v>
      </c>
      <c r="J1122" s="5">
        <v>0.12645833333333334</v>
      </c>
      <c r="K1122" s="5">
        <f t="shared" si="34"/>
        <v>7.4387254901960784E-3</v>
      </c>
      <c r="L1122" s="5">
        <v>3.7650462962962962E-2</v>
      </c>
      <c r="M1122" s="6">
        <f t="shared" si="35"/>
        <v>0.14302673232500879</v>
      </c>
      <c r="N1122" s="5">
        <v>6.5740740740740742E-3</v>
      </c>
      <c r="O1122" s="5">
        <v>1.4641203703703703E-2</v>
      </c>
      <c r="P1122" s="5"/>
      <c r="Q1122" s="5"/>
      <c r="R1122" s="5"/>
      <c r="S1122" s="5">
        <v>1.3912037037037037E-2</v>
      </c>
      <c r="T1122" s="5">
        <v>2.5462962962962961E-4</v>
      </c>
      <c r="U1122" s="5">
        <v>2.2453703703703702E-3</v>
      </c>
      <c r="V1122" s="5"/>
      <c r="W1122" s="5"/>
    </row>
    <row r="1123" spans="1:23" x14ac:dyDescent="0.25">
      <c r="A1123" s="2">
        <v>46248</v>
      </c>
      <c r="B1123" s="3" t="s">
        <v>193</v>
      </c>
      <c r="C1123" s="3" t="s">
        <v>563</v>
      </c>
      <c r="D1123" s="3" t="s">
        <v>274</v>
      </c>
      <c r="E1123" s="3" t="s">
        <v>79</v>
      </c>
      <c r="F1123" s="3" t="s">
        <v>147</v>
      </c>
      <c r="G1123" s="4" t="s">
        <v>33</v>
      </c>
      <c r="H1123" s="4">
        <v>13</v>
      </c>
      <c r="I1123" s="5">
        <v>0.25394675925925925</v>
      </c>
      <c r="J1123" s="5">
        <v>4.1331018518518517E-2</v>
      </c>
      <c r="K1123" s="5">
        <f t="shared" si="34"/>
        <v>3.1793091168091166E-3</v>
      </c>
      <c r="L1123" s="5">
        <v>3.2430555555555553E-2</v>
      </c>
      <c r="M1123" s="6">
        <f t="shared" si="35"/>
        <v>0.1277061209607584</v>
      </c>
      <c r="N1123" s="5">
        <v>1.0439814814814815E-2</v>
      </c>
      <c r="O1123" s="5">
        <v>7.1412037037037034E-3</v>
      </c>
      <c r="P1123" s="5"/>
      <c r="Q1123" s="5"/>
      <c r="R1123" s="5"/>
      <c r="S1123" s="5">
        <v>1.4456018518518519E-2</v>
      </c>
      <c r="T1123" s="5">
        <v>5.7870370370370373E-5</v>
      </c>
      <c r="U1123" s="5">
        <v>3.3564814814814812E-4</v>
      </c>
      <c r="V1123" s="5"/>
      <c r="W1123" s="5"/>
    </row>
    <row r="1124" spans="1:23" x14ac:dyDescent="0.25">
      <c r="A1124" s="2">
        <v>46248</v>
      </c>
      <c r="B1124" s="3" t="s">
        <v>231</v>
      </c>
      <c r="C1124" s="3" t="s">
        <v>525</v>
      </c>
      <c r="D1124" s="3" t="s">
        <v>233</v>
      </c>
      <c r="E1124" s="3" t="s">
        <v>31</v>
      </c>
      <c r="F1124" s="3" t="s">
        <v>32</v>
      </c>
      <c r="G1124" s="4" t="s">
        <v>106</v>
      </c>
      <c r="H1124" s="4">
        <v>37</v>
      </c>
      <c r="I1124" s="5">
        <v>0.26408564814814817</v>
      </c>
      <c r="J1124" s="5">
        <v>9.1458333333333336E-2</v>
      </c>
      <c r="K1124" s="5">
        <f t="shared" si="34"/>
        <v>2.4718468468468468E-3</v>
      </c>
      <c r="L1124" s="5">
        <v>4.5381944444444447E-2</v>
      </c>
      <c r="M1124" s="6">
        <f t="shared" si="35"/>
        <v>0.17184555375378008</v>
      </c>
      <c r="N1124" s="5">
        <v>2.9629629629629628E-3</v>
      </c>
      <c r="O1124" s="5">
        <v>1.4675925925925926E-2</v>
      </c>
      <c r="P1124" s="5"/>
      <c r="Q1124" s="5"/>
      <c r="R1124" s="5"/>
      <c r="S1124" s="5">
        <v>1.4548611111111111E-2</v>
      </c>
      <c r="T1124" s="5">
        <v>1.3194444444444444E-2</v>
      </c>
      <c r="U1124" s="5"/>
      <c r="V1124" s="5"/>
      <c r="W1124" s="5"/>
    </row>
    <row r="1125" spans="1:23" x14ac:dyDescent="0.25">
      <c r="A1125" s="2">
        <v>46248</v>
      </c>
      <c r="B1125" s="3" t="s">
        <v>148</v>
      </c>
      <c r="C1125" s="3" t="s">
        <v>513</v>
      </c>
      <c r="D1125" s="3" t="s">
        <v>104</v>
      </c>
      <c r="E1125" s="3" t="s">
        <v>31</v>
      </c>
      <c r="F1125" s="3" t="s">
        <v>105</v>
      </c>
      <c r="G1125" s="4" t="s">
        <v>106</v>
      </c>
      <c r="H1125" s="4">
        <v>4</v>
      </c>
      <c r="I1125" s="5">
        <v>0.22511574074074073</v>
      </c>
      <c r="J1125" s="5">
        <v>7.4618055555555562E-2</v>
      </c>
      <c r="K1125" s="5">
        <f t="shared" si="34"/>
        <v>1.8654513888888891E-2</v>
      </c>
      <c r="L1125" s="5">
        <v>0.18817129629629631</v>
      </c>
      <c r="M1125" s="6">
        <f t="shared" si="35"/>
        <v>0.83588688946015433</v>
      </c>
      <c r="N1125" s="5">
        <v>2.7777777777777779E-3</v>
      </c>
      <c r="O1125" s="5">
        <v>1.59375E-2</v>
      </c>
      <c r="P1125" s="5"/>
      <c r="Q1125" s="5"/>
      <c r="R1125" s="5"/>
      <c r="S1125" s="5"/>
      <c r="T1125" s="5">
        <v>6.4467592592592588E-3</v>
      </c>
      <c r="U1125" s="5"/>
      <c r="V1125" s="5"/>
      <c r="W1125" s="5">
        <v>0.16300925925925927</v>
      </c>
    </row>
    <row r="1126" spans="1:23" x14ac:dyDescent="0.25">
      <c r="A1126" s="2">
        <v>46248</v>
      </c>
      <c r="B1126" s="3" t="s">
        <v>82</v>
      </c>
      <c r="C1126" s="3" t="s">
        <v>83</v>
      </c>
      <c r="D1126" s="3" t="s">
        <v>78</v>
      </c>
      <c r="E1126" s="3" t="s">
        <v>79</v>
      </c>
      <c r="F1126" s="3" t="s">
        <v>80</v>
      </c>
      <c r="G1126" s="4" t="s">
        <v>81</v>
      </c>
      <c r="H1126" s="4">
        <v>0</v>
      </c>
      <c r="I1126" s="5">
        <v>0.11424768518518519</v>
      </c>
      <c r="J1126" s="5">
        <v>0</v>
      </c>
      <c r="K1126" s="5">
        <f t="shared" si="34"/>
        <v>0</v>
      </c>
      <c r="L1126" s="5">
        <v>0.108125</v>
      </c>
      <c r="M1126" s="6">
        <f t="shared" si="35"/>
        <v>0.94640867186708533</v>
      </c>
      <c r="N1126" s="5"/>
      <c r="O1126" s="5"/>
      <c r="P1126" s="5"/>
      <c r="Q1126" s="5"/>
      <c r="R1126" s="5"/>
      <c r="S1126" s="5">
        <v>3.1597222222222222E-3</v>
      </c>
      <c r="T1126" s="5">
        <v>0.10494212962962964</v>
      </c>
      <c r="U1126" s="5"/>
      <c r="V1126" s="5"/>
      <c r="W1126" s="5"/>
    </row>
    <row r="1127" spans="1:23" x14ac:dyDescent="0.25">
      <c r="A1127" s="2">
        <v>46248</v>
      </c>
      <c r="B1127" s="3" t="s">
        <v>34</v>
      </c>
      <c r="C1127" s="3" t="s">
        <v>505</v>
      </c>
      <c r="D1127" s="3" t="s">
        <v>233</v>
      </c>
      <c r="E1127" s="3" t="s">
        <v>31</v>
      </c>
      <c r="F1127" s="3" t="s">
        <v>32</v>
      </c>
      <c r="G1127" s="4" t="s">
        <v>106</v>
      </c>
      <c r="H1127" s="4">
        <v>26</v>
      </c>
      <c r="I1127" s="5">
        <v>0.25512731481481482</v>
      </c>
      <c r="J1127" s="5">
        <v>9.6284722222222216E-2</v>
      </c>
      <c r="K1127" s="5">
        <f t="shared" si="34"/>
        <v>3.7032585470085466E-3</v>
      </c>
      <c r="L1127" s="5">
        <v>3.5277777777777776E-2</v>
      </c>
      <c r="M1127" s="6">
        <f t="shared" si="35"/>
        <v>0.13827518940253142</v>
      </c>
      <c r="N1127" s="5">
        <v>2.3726851851851851E-3</v>
      </c>
      <c r="O1127" s="5">
        <v>1.361111111111111E-2</v>
      </c>
      <c r="P1127" s="5"/>
      <c r="Q1127" s="5"/>
      <c r="R1127" s="5"/>
      <c r="S1127" s="5">
        <v>1.3796296296296296E-2</v>
      </c>
      <c r="T1127" s="5">
        <v>9.2592592592592588E-5</v>
      </c>
      <c r="U1127" s="5">
        <v>5.3935185185185188E-3</v>
      </c>
      <c r="V1127" s="5"/>
      <c r="W1127" s="5"/>
    </row>
    <row r="1128" spans="1:23" x14ac:dyDescent="0.25">
      <c r="A1128" s="2">
        <v>46248</v>
      </c>
      <c r="B1128" s="3" t="s">
        <v>236</v>
      </c>
      <c r="C1128" s="3" t="s">
        <v>551</v>
      </c>
      <c r="D1128" s="3" t="s">
        <v>233</v>
      </c>
      <c r="E1128" s="3" t="s">
        <v>31</v>
      </c>
      <c r="F1128" s="3" t="s">
        <v>32</v>
      </c>
      <c r="G1128" s="4" t="s">
        <v>106</v>
      </c>
      <c r="H1128" s="4">
        <v>0</v>
      </c>
      <c r="I1128" s="5">
        <v>0.18814814814814815</v>
      </c>
      <c r="J1128" s="5">
        <v>0</v>
      </c>
      <c r="K1128" s="5">
        <f t="shared" si="34"/>
        <v>0</v>
      </c>
      <c r="L1128" s="5">
        <v>0.18814814814814815</v>
      </c>
      <c r="M1128" s="6">
        <f t="shared" si="35"/>
        <v>1</v>
      </c>
      <c r="N1128" s="5"/>
      <c r="O1128" s="5">
        <v>9.6990740740740735E-3</v>
      </c>
      <c r="P1128" s="5"/>
      <c r="Q1128" s="5"/>
      <c r="R1128" s="5"/>
      <c r="S1128" s="5"/>
      <c r="T1128" s="5">
        <v>4.6412037037037036E-2</v>
      </c>
      <c r="U1128" s="5"/>
      <c r="V1128" s="5"/>
      <c r="W1128" s="5">
        <v>0.13203703703703704</v>
      </c>
    </row>
    <row r="1129" spans="1:23" x14ac:dyDescent="0.25">
      <c r="A1129" s="2">
        <v>46248</v>
      </c>
      <c r="B1129" s="3" t="s">
        <v>238</v>
      </c>
      <c r="C1129" s="3" t="s">
        <v>526</v>
      </c>
      <c r="D1129" s="3" t="s">
        <v>233</v>
      </c>
      <c r="E1129" s="3" t="s">
        <v>31</v>
      </c>
      <c r="F1129" s="3" t="s">
        <v>32</v>
      </c>
      <c r="G1129" s="4" t="s">
        <v>106</v>
      </c>
      <c r="H1129" s="4">
        <v>0</v>
      </c>
      <c r="I1129" s="5">
        <v>0.24666666666666667</v>
      </c>
      <c r="J1129" s="5">
        <v>0</v>
      </c>
      <c r="K1129" s="5">
        <f t="shared" si="34"/>
        <v>0</v>
      </c>
      <c r="L1129" s="5">
        <v>0.24665509259259261</v>
      </c>
      <c r="M1129" s="6">
        <f t="shared" si="35"/>
        <v>0.99995307807807809</v>
      </c>
      <c r="N1129" s="5"/>
      <c r="O1129" s="5">
        <v>6.8634259259259256E-3</v>
      </c>
      <c r="P1129" s="5"/>
      <c r="Q1129" s="5"/>
      <c r="R1129" s="5"/>
      <c r="S1129" s="5">
        <v>1.2083333333333333E-2</v>
      </c>
      <c r="T1129" s="5">
        <v>4.3981481481481481E-4</v>
      </c>
      <c r="U1129" s="5"/>
      <c r="V1129" s="5"/>
      <c r="W1129" s="5">
        <v>0.22726851851851851</v>
      </c>
    </row>
    <row r="1130" spans="1:23" x14ac:dyDescent="0.25">
      <c r="A1130" s="2">
        <v>46248</v>
      </c>
      <c r="B1130" s="3" t="s">
        <v>608</v>
      </c>
      <c r="C1130" s="3" t="s">
        <v>631</v>
      </c>
      <c r="D1130" s="3" t="s">
        <v>601</v>
      </c>
      <c r="E1130" s="3" t="s">
        <v>31</v>
      </c>
      <c r="F1130" s="3" t="s">
        <v>105</v>
      </c>
      <c r="G1130" s="4" t="s">
        <v>33</v>
      </c>
      <c r="H1130" s="4">
        <v>5</v>
      </c>
      <c r="I1130" s="5">
        <v>0.23563657407407407</v>
      </c>
      <c r="J1130" s="5">
        <v>6.5347222222222223E-2</v>
      </c>
      <c r="K1130" s="5">
        <f t="shared" si="34"/>
        <v>1.3069444444444444E-2</v>
      </c>
      <c r="L1130" s="5">
        <v>0.21226851851851852</v>
      </c>
      <c r="M1130" s="6">
        <f t="shared" si="35"/>
        <v>0.90083009971020189</v>
      </c>
      <c r="N1130" s="5"/>
      <c r="O1130" s="5">
        <v>8.2060185185185187E-3</v>
      </c>
      <c r="P1130" s="5"/>
      <c r="Q1130" s="5"/>
      <c r="R1130" s="5"/>
      <c r="S1130" s="5">
        <v>1.4004629629629629E-2</v>
      </c>
      <c r="T1130" s="5">
        <v>1.1238425925925926E-2</v>
      </c>
      <c r="U1130" s="5">
        <v>0.17881944444444445</v>
      </c>
      <c r="V1130" s="5"/>
      <c r="W1130" s="5"/>
    </row>
    <row r="1131" spans="1:23" x14ac:dyDescent="0.25">
      <c r="A1131" s="2">
        <v>46248</v>
      </c>
      <c r="B1131" s="3" t="s">
        <v>307</v>
      </c>
      <c r="C1131" s="3" t="s">
        <v>308</v>
      </c>
      <c r="D1131" s="3" t="s">
        <v>78</v>
      </c>
      <c r="E1131" s="3" t="s">
        <v>79</v>
      </c>
      <c r="F1131" s="3" t="s">
        <v>80</v>
      </c>
      <c r="G1131" s="4" t="s">
        <v>81</v>
      </c>
      <c r="H1131" s="4">
        <v>0</v>
      </c>
      <c r="I1131" s="5">
        <v>0.30875000000000002</v>
      </c>
      <c r="J1131" s="5">
        <v>0</v>
      </c>
      <c r="K1131" s="5">
        <f t="shared" si="34"/>
        <v>0</v>
      </c>
      <c r="L1131" s="5">
        <v>1.4282407407407407E-2</v>
      </c>
      <c r="M1131" s="6">
        <f t="shared" si="35"/>
        <v>4.6258809416704148E-2</v>
      </c>
      <c r="N1131" s="5"/>
      <c r="O1131" s="5"/>
      <c r="P1131" s="5"/>
      <c r="Q1131" s="5"/>
      <c r="R1131" s="5">
        <v>4.6296296296296294E-5</v>
      </c>
      <c r="S1131" s="5">
        <v>1.3171296296296296E-2</v>
      </c>
      <c r="T1131" s="5">
        <v>4.0509259259259258E-4</v>
      </c>
      <c r="U1131" s="5">
        <v>6.018518518518519E-4</v>
      </c>
      <c r="V1131" s="5"/>
      <c r="W1131" s="5"/>
    </row>
    <row r="1132" spans="1:23" x14ac:dyDescent="0.25">
      <c r="A1132" s="2">
        <v>46248</v>
      </c>
      <c r="B1132" s="3" t="s">
        <v>197</v>
      </c>
      <c r="C1132" s="3" t="s">
        <v>564</v>
      </c>
      <c r="D1132" s="3" t="s">
        <v>601</v>
      </c>
      <c r="E1132" s="3" t="s">
        <v>31</v>
      </c>
      <c r="F1132" s="3" t="s">
        <v>105</v>
      </c>
      <c r="G1132" s="4" t="s">
        <v>33</v>
      </c>
      <c r="H1132" s="4">
        <v>5</v>
      </c>
      <c r="I1132" s="5">
        <v>0.22100694444444444</v>
      </c>
      <c r="J1132" s="5">
        <v>5.9409722222222225E-2</v>
      </c>
      <c r="K1132" s="5">
        <f t="shared" si="34"/>
        <v>1.1881944444444445E-2</v>
      </c>
      <c r="L1132" s="5">
        <v>0.18445601851851851</v>
      </c>
      <c r="M1132" s="6">
        <f t="shared" si="35"/>
        <v>0.83461639172558255</v>
      </c>
      <c r="N1132" s="5">
        <v>9.6064814814814819E-4</v>
      </c>
      <c r="O1132" s="5">
        <v>6.6087962962962966E-3</v>
      </c>
      <c r="P1132" s="5"/>
      <c r="Q1132" s="5">
        <v>2.5925925925925925E-3</v>
      </c>
      <c r="R1132" s="5"/>
      <c r="S1132" s="5">
        <v>1.607638888888889E-2</v>
      </c>
      <c r="T1132" s="5">
        <v>6.7129629629629625E-4</v>
      </c>
      <c r="U1132" s="5">
        <v>0.1575462962962963</v>
      </c>
      <c r="V1132" s="5"/>
      <c r="W1132" s="5"/>
    </row>
    <row r="1133" spans="1:23" x14ac:dyDescent="0.25">
      <c r="A1133" s="2">
        <v>46248</v>
      </c>
      <c r="B1133" s="3" t="s">
        <v>150</v>
      </c>
      <c r="C1133" s="3" t="s">
        <v>514</v>
      </c>
      <c r="D1133" s="3" t="s">
        <v>146</v>
      </c>
      <c r="E1133" s="3" t="s">
        <v>79</v>
      </c>
      <c r="F1133" s="3" t="s">
        <v>147</v>
      </c>
      <c r="G1133" s="4" t="s">
        <v>106</v>
      </c>
      <c r="H1133" s="4">
        <v>16</v>
      </c>
      <c r="I1133" s="5">
        <v>0.25425925925925924</v>
      </c>
      <c r="J1133" s="5">
        <v>3.2256944444444442E-2</v>
      </c>
      <c r="K1133" s="5">
        <f t="shared" si="34"/>
        <v>2.0160590277777776E-3</v>
      </c>
      <c r="L1133" s="5">
        <v>2.7708333333333335E-2</v>
      </c>
      <c r="M1133" s="6">
        <f t="shared" si="35"/>
        <v>0.10897669337217773</v>
      </c>
      <c r="N1133" s="5">
        <v>2.3495370370370371E-3</v>
      </c>
      <c r="O1133" s="5">
        <v>1.1030092592592593E-2</v>
      </c>
      <c r="P1133" s="5"/>
      <c r="Q1133" s="5"/>
      <c r="R1133" s="5">
        <v>1.1574074074074075E-4</v>
      </c>
      <c r="S1133" s="5">
        <v>1.3726851851851851E-2</v>
      </c>
      <c r="T1133" s="5">
        <v>3.5879629629629629E-4</v>
      </c>
      <c r="U1133" s="5">
        <v>5.7870370370370373E-5</v>
      </c>
      <c r="V1133" s="5"/>
      <c r="W1133" s="5"/>
    </row>
    <row r="1134" spans="1:23" x14ac:dyDescent="0.25">
      <c r="A1134" s="2">
        <v>46248</v>
      </c>
      <c r="B1134" s="3" t="s">
        <v>681</v>
      </c>
      <c r="C1134" s="3" t="s">
        <v>682</v>
      </c>
      <c r="D1134" s="3" t="s">
        <v>601</v>
      </c>
      <c r="E1134" s="3" t="s">
        <v>31</v>
      </c>
      <c r="F1134" s="3" t="s">
        <v>105</v>
      </c>
      <c r="G1134" s="4" t="s">
        <v>33</v>
      </c>
      <c r="H1134" s="4">
        <v>2</v>
      </c>
      <c r="I1134" s="5">
        <v>0.23270833333333332</v>
      </c>
      <c r="J1134" s="5">
        <v>4.9513888888888892E-2</v>
      </c>
      <c r="K1134" s="5">
        <f t="shared" si="34"/>
        <v>2.4756944444444446E-2</v>
      </c>
      <c r="L1134" s="5">
        <v>0.19872685185185185</v>
      </c>
      <c r="M1134" s="6">
        <f t="shared" si="35"/>
        <v>0.85397393812792199</v>
      </c>
      <c r="N1134" s="5">
        <v>4.2708333333333331E-3</v>
      </c>
      <c r="O1134" s="5">
        <v>1.5162037037037036E-2</v>
      </c>
      <c r="P1134" s="5"/>
      <c r="Q1134" s="5"/>
      <c r="R1134" s="5"/>
      <c r="S1134" s="5">
        <v>1.7025462962962964E-2</v>
      </c>
      <c r="T1134" s="5">
        <v>1.25E-3</v>
      </c>
      <c r="U1134" s="5">
        <v>0.16101851851851851</v>
      </c>
      <c r="V1134" s="5"/>
      <c r="W1134" s="5"/>
    </row>
    <row r="1135" spans="1:23" x14ac:dyDescent="0.25">
      <c r="A1135" s="2">
        <v>46248</v>
      </c>
      <c r="B1135" s="3" t="s">
        <v>154</v>
      </c>
      <c r="C1135" s="3" t="s">
        <v>515</v>
      </c>
      <c r="D1135" s="3" t="s">
        <v>146</v>
      </c>
      <c r="E1135" s="3" t="s">
        <v>79</v>
      </c>
      <c r="F1135" s="3" t="s">
        <v>147</v>
      </c>
      <c r="G1135" s="4" t="s">
        <v>106</v>
      </c>
      <c r="H1135" s="4">
        <v>11</v>
      </c>
      <c r="I1135" s="5">
        <v>0.25439814814814815</v>
      </c>
      <c r="J1135" s="5">
        <v>3.6736111111111108E-2</v>
      </c>
      <c r="K1135" s="5">
        <f t="shared" si="34"/>
        <v>3.3396464646464645E-3</v>
      </c>
      <c r="L1135" s="5">
        <v>2.929398148148148E-2</v>
      </c>
      <c r="M1135" s="6">
        <f t="shared" si="35"/>
        <v>0.1151501364877161</v>
      </c>
      <c r="N1135" s="5">
        <v>4.2939814814814811E-3</v>
      </c>
      <c r="O1135" s="5">
        <v>1.0150462962962964E-2</v>
      </c>
      <c r="P1135" s="5"/>
      <c r="Q1135" s="5"/>
      <c r="R1135" s="5"/>
      <c r="S1135" s="5">
        <v>1.3171296296296296E-2</v>
      </c>
      <c r="T1135" s="5">
        <v>5.4398148148148144E-4</v>
      </c>
      <c r="U1135" s="5">
        <v>9.9537037037037042E-4</v>
      </c>
      <c r="V1135" s="5"/>
      <c r="W1135" s="5">
        <v>4.6296296296296294E-5</v>
      </c>
    </row>
    <row r="1136" spans="1:23" x14ac:dyDescent="0.25">
      <c r="A1136" s="2">
        <v>46248</v>
      </c>
      <c r="B1136" s="3" t="s">
        <v>112</v>
      </c>
      <c r="C1136" s="3" t="s">
        <v>570</v>
      </c>
      <c r="D1136" s="3" t="s">
        <v>104</v>
      </c>
      <c r="E1136" s="3" t="s">
        <v>31</v>
      </c>
      <c r="F1136" s="3" t="s">
        <v>105</v>
      </c>
      <c r="G1136" s="4" t="s">
        <v>106</v>
      </c>
      <c r="H1136" s="4">
        <v>3</v>
      </c>
      <c r="I1136" s="5">
        <v>0.19931712962962964</v>
      </c>
      <c r="J1136" s="5">
        <v>3.8680555555555558E-2</v>
      </c>
      <c r="K1136" s="5">
        <f t="shared" si="34"/>
        <v>1.2893518518518519E-2</v>
      </c>
      <c r="L1136" s="5">
        <v>0.17502314814814815</v>
      </c>
      <c r="M1136" s="6">
        <f t="shared" si="35"/>
        <v>0.87811393066604726</v>
      </c>
      <c r="N1136" s="5">
        <v>3.2986111111111111E-3</v>
      </c>
      <c r="O1136" s="5">
        <v>8.1944444444444452E-3</v>
      </c>
      <c r="P1136" s="5"/>
      <c r="Q1136" s="5"/>
      <c r="R1136" s="5"/>
      <c r="S1136" s="5">
        <v>4.1666666666666666E-3</v>
      </c>
      <c r="T1136" s="5">
        <v>7.4884259259259262E-3</v>
      </c>
      <c r="U1136" s="5">
        <v>3.5879629629629629E-4</v>
      </c>
      <c r="V1136" s="5"/>
      <c r="W1136" s="5">
        <v>0.15151620370370369</v>
      </c>
    </row>
    <row r="1137" spans="1:23" x14ac:dyDescent="0.25">
      <c r="A1137" s="2">
        <v>46248</v>
      </c>
      <c r="B1137" s="3" t="s">
        <v>42</v>
      </c>
      <c r="C1137" s="3" t="s">
        <v>537</v>
      </c>
      <c r="D1137" s="3" t="s">
        <v>104</v>
      </c>
      <c r="E1137" s="3" t="s">
        <v>31</v>
      </c>
      <c r="F1137" s="3" t="s">
        <v>105</v>
      </c>
      <c r="G1137" s="4" t="s">
        <v>106</v>
      </c>
      <c r="H1137" s="4">
        <v>3</v>
      </c>
      <c r="I1137" s="5">
        <v>0.25343749999999998</v>
      </c>
      <c r="J1137" s="5">
        <v>3.7337962962962962E-2</v>
      </c>
      <c r="K1137" s="5">
        <f t="shared" si="34"/>
        <v>1.2445987654320987E-2</v>
      </c>
      <c r="L1137" s="5">
        <v>0.23508101851851851</v>
      </c>
      <c r="M1137" s="6">
        <f t="shared" si="35"/>
        <v>0.92756998675617663</v>
      </c>
      <c r="N1137" s="5">
        <v>4.0509259259259257E-3</v>
      </c>
      <c r="O1137" s="5">
        <v>1.3726851851851851E-2</v>
      </c>
      <c r="P1137" s="5"/>
      <c r="Q1137" s="5"/>
      <c r="R1137" s="5"/>
      <c r="S1137" s="5">
        <v>9.9189814814814817E-3</v>
      </c>
      <c r="T1137" s="5">
        <v>5.0115740740740737E-3</v>
      </c>
      <c r="U1137" s="5">
        <v>2.0833333333333335E-4</v>
      </c>
      <c r="V1137" s="5"/>
      <c r="W1137" s="5">
        <v>0.20215277777777776</v>
      </c>
    </row>
    <row r="1138" spans="1:23" x14ac:dyDescent="0.25">
      <c r="A1138" s="2">
        <v>46248</v>
      </c>
      <c r="B1138" s="3" t="s">
        <v>156</v>
      </c>
      <c r="C1138" s="3" t="s">
        <v>516</v>
      </c>
      <c r="D1138" s="3" t="s">
        <v>146</v>
      </c>
      <c r="E1138" s="3" t="s">
        <v>79</v>
      </c>
      <c r="F1138" s="3" t="s">
        <v>147</v>
      </c>
      <c r="G1138" s="4" t="s">
        <v>106</v>
      </c>
      <c r="H1138" s="4">
        <v>18</v>
      </c>
      <c r="I1138" s="5">
        <v>0.27120370370370372</v>
      </c>
      <c r="J1138" s="5">
        <v>3.4525462962962966E-2</v>
      </c>
      <c r="K1138" s="5">
        <f t="shared" si="34"/>
        <v>1.9180812757201649E-3</v>
      </c>
      <c r="L1138" s="5">
        <v>3.1932870370370368E-2</v>
      </c>
      <c r="M1138" s="6">
        <f t="shared" si="35"/>
        <v>0.11774496415158756</v>
      </c>
      <c r="N1138" s="5">
        <v>3.2407407407407406E-3</v>
      </c>
      <c r="O1138" s="5">
        <v>1.306712962962963E-2</v>
      </c>
      <c r="P1138" s="5"/>
      <c r="Q1138" s="5"/>
      <c r="R1138" s="5">
        <v>1.1574074074074075E-4</v>
      </c>
      <c r="S1138" s="5">
        <v>1.40625E-2</v>
      </c>
      <c r="T1138" s="5">
        <v>1.4467592592592592E-3</v>
      </c>
      <c r="U1138" s="5"/>
      <c r="V1138" s="5"/>
      <c r="W1138" s="5"/>
    </row>
    <row r="1139" spans="1:23" x14ac:dyDescent="0.25">
      <c r="A1139" s="2">
        <v>46248</v>
      </c>
      <c r="B1139" s="3" t="s">
        <v>114</v>
      </c>
      <c r="C1139" s="3" t="s">
        <v>541</v>
      </c>
      <c r="D1139" s="3" t="s">
        <v>104</v>
      </c>
      <c r="E1139" s="3" t="s">
        <v>31</v>
      </c>
      <c r="F1139" s="3" t="s">
        <v>105</v>
      </c>
      <c r="G1139" s="4" t="s">
        <v>106</v>
      </c>
      <c r="H1139" s="4">
        <v>4</v>
      </c>
      <c r="I1139" s="5">
        <v>0.22673611111111111</v>
      </c>
      <c r="J1139" s="5">
        <v>4.3483796296296298E-2</v>
      </c>
      <c r="K1139" s="5">
        <f t="shared" si="34"/>
        <v>1.0870949074074075E-2</v>
      </c>
      <c r="L1139" s="5">
        <v>0.2008449074074074</v>
      </c>
      <c r="M1139" s="6">
        <f t="shared" si="35"/>
        <v>0.8858090862685043</v>
      </c>
      <c r="N1139" s="5"/>
      <c r="O1139" s="5">
        <v>3.5879629629629629E-4</v>
      </c>
      <c r="P1139" s="5"/>
      <c r="Q1139" s="5"/>
      <c r="R1139" s="5"/>
      <c r="S1139" s="5">
        <v>1.4791666666666667E-2</v>
      </c>
      <c r="T1139" s="5">
        <v>6.177083333333333E-2</v>
      </c>
      <c r="U1139" s="5">
        <v>1.7361111111111112E-4</v>
      </c>
      <c r="V1139" s="5"/>
      <c r="W1139" s="5">
        <v>0.12375</v>
      </c>
    </row>
    <row r="1140" spans="1:23" x14ac:dyDescent="0.25">
      <c r="A1140" s="2">
        <v>46248</v>
      </c>
      <c r="B1140" s="3" t="s">
        <v>44</v>
      </c>
      <c r="C1140" s="3" t="s">
        <v>506</v>
      </c>
      <c r="D1140" s="3" t="s">
        <v>100</v>
      </c>
      <c r="E1140" s="3" t="s">
        <v>31</v>
      </c>
      <c r="F1140" s="3" t="s">
        <v>32</v>
      </c>
      <c r="G1140" s="4" t="s">
        <v>33</v>
      </c>
      <c r="H1140" s="4">
        <v>37</v>
      </c>
      <c r="I1140" s="5">
        <v>0.26181712962962961</v>
      </c>
      <c r="J1140" s="5">
        <v>0.18479166666666666</v>
      </c>
      <c r="K1140" s="5">
        <f t="shared" si="34"/>
        <v>4.9943693693693695E-3</v>
      </c>
      <c r="L1140" s="5">
        <v>2.9837962962962962E-2</v>
      </c>
      <c r="M1140" s="6">
        <f t="shared" si="35"/>
        <v>0.11396489987180054</v>
      </c>
      <c r="N1140" s="5"/>
      <c r="O1140" s="5">
        <v>1.3854166666666667E-2</v>
      </c>
      <c r="P1140" s="5"/>
      <c r="Q1140" s="5"/>
      <c r="R1140" s="5"/>
      <c r="S1140" s="5">
        <v>1.3946759259259259E-2</v>
      </c>
      <c r="T1140" s="5">
        <v>3.9351851851851852E-4</v>
      </c>
      <c r="U1140" s="5">
        <v>1.5625000000000001E-3</v>
      </c>
      <c r="V1140" s="5"/>
      <c r="W1140" s="5"/>
    </row>
    <row r="1141" spans="1:23" x14ac:dyDescent="0.25">
      <c r="A1141" s="2">
        <v>46248</v>
      </c>
      <c r="B1141" s="3" t="s">
        <v>240</v>
      </c>
      <c r="C1141" s="3" t="s">
        <v>527</v>
      </c>
      <c r="D1141" s="3" t="s">
        <v>233</v>
      </c>
      <c r="E1141" s="3" t="s">
        <v>31</v>
      </c>
      <c r="F1141" s="3" t="s">
        <v>32</v>
      </c>
      <c r="G1141" s="4" t="s">
        <v>106</v>
      </c>
      <c r="H1141" s="4">
        <v>0</v>
      </c>
      <c r="I1141" s="5">
        <v>0.22290509259259259</v>
      </c>
      <c r="J1141" s="5">
        <v>0</v>
      </c>
      <c r="K1141" s="5">
        <f t="shared" si="34"/>
        <v>0</v>
      </c>
      <c r="L1141" s="5">
        <v>0.22173611111111111</v>
      </c>
      <c r="M1141" s="6">
        <f t="shared" si="35"/>
        <v>0.99475569863440472</v>
      </c>
      <c r="N1141" s="5">
        <v>1.6053240740740739E-2</v>
      </c>
      <c r="O1141" s="5">
        <v>1.2280092592592592E-2</v>
      </c>
      <c r="P1141" s="5"/>
      <c r="Q1141" s="5"/>
      <c r="R1141" s="5"/>
      <c r="S1141" s="5">
        <v>1.4050925925925927E-2</v>
      </c>
      <c r="T1141" s="5">
        <v>5.5555555555555556E-4</v>
      </c>
      <c r="U1141" s="5"/>
      <c r="V1141" s="5"/>
      <c r="W1141" s="5">
        <v>0.17879629629629629</v>
      </c>
    </row>
    <row r="1142" spans="1:23" x14ac:dyDescent="0.25">
      <c r="A1142" s="2">
        <v>46248</v>
      </c>
      <c r="B1142" s="3" t="s">
        <v>497</v>
      </c>
      <c r="C1142" s="3" t="s">
        <v>498</v>
      </c>
      <c r="D1142" s="3" t="s">
        <v>78</v>
      </c>
      <c r="E1142" s="3" t="s">
        <v>79</v>
      </c>
      <c r="F1142" s="3" t="s">
        <v>80</v>
      </c>
      <c r="G1142" s="4" t="s">
        <v>81</v>
      </c>
      <c r="H1142" s="4">
        <v>0</v>
      </c>
      <c r="I1142" s="5">
        <v>0.3439814814814815</v>
      </c>
      <c r="J1142" s="5">
        <v>0</v>
      </c>
      <c r="K1142" s="5">
        <f t="shared" si="34"/>
        <v>0</v>
      </c>
      <c r="L1142" s="5">
        <v>5.9537037037037034E-2</v>
      </c>
      <c r="M1142" s="6">
        <f t="shared" si="35"/>
        <v>0.17308209959623147</v>
      </c>
      <c r="N1142" s="5">
        <v>1.6666666666666668E-3</v>
      </c>
      <c r="O1142" s="5">
        <v>1.4988425925925926E-2</v>
      </c>
      <c r="P1142" s="5"/>
      <c r="Q1142" s="5"/>
      <c r="R1142" s="5"/>
      <c r="S1142" s="5">
        <v>4.1828703703703701E-2</v>
      </c>
      <c r="T1142" s="5">
        <v>1.0185185185185184E-3</v>
      </c>
      <c r="U1142" s="5"/>
      <c r="V1142" s="5"/>
      <c r="W1142" s="5"/>
    </row>
    <row r="1143" spans="1:23" x14ac:dyDescent="0.25">
      <c r="A1143" s="2">
        <v>46248</v>
      </c>
      <c r="B1143" s="3" t="s">
        <v>309</v>
      </c>
      <c r="C1143" s="3" t="s">
        <v>310</v>
      </c>
      <c r="D1143" s="3" t="s">
        <v>78</v>
      </c>
      <c r="E1143" s="3" t="s">
        <v>79</v>
      </c>
      <c r="F1143" s="3" t="s">
        <v>80</v>
      </c>
      <c r="G1143" s="4" t="s">
        <v>81</v>
      </c>
      <c r="H1143" s="4">
        <v>0</v>
      </c>
      <c r="I1143" s="5">
        <v>0.34356481481481482</v>
      </c>
      <c r="J1143" s="5">
        <v>0</v>
      </c>
      <c r="K1143" s="5">
        <f t="shared" si="34"/>
        <v>0</v>
      </c>
      <c r="L1143" s="5">
        <v>7.2696759259259253E-2</v>
      </c>
      <c r="M1143" s="6">
        <f t="shared" si="35"/>
        <v>0.21159547230831421</v>
      </c>
      <c r="N1143" s="5">
        <v>1.5590277777777778E-2</v>
      </c>
      <c r="O1143" s="5">
        <v>4.8495370370370369E-2</v>
      </c>
      <c r="P1143" s="5"/>
      <c r="Q1143" s="5"/>
      <c r="R1143" s="5"/>
      <c r="S1143" s="5">
        <v>7.5115740740740742E-3</v>
      </c>
      <c r="T1143" s="5">
        <v>1.8518518518518518E-4</v>
      </c>
      <c r="U1143" s="5">
        <v>8.9120370370370373E-4</v>
      </c>
      <c r="V1143" s="5"/>
      <c r="W1143" s="5"/>
    </row>
    <row r="1144" spans="1:23" x14ac:dyDescent="0.25">
      <c r="A1144" s="2">
        <v>46248</v>
      </c>
      <c r="B1144" s="3" t="s">
        <v>160</v>
      </c>
      <c r="C1144" s="3" t="s">
        <v>544</v>
      </c>
      <c r="D1144" s="3" t="s">
        <v>146</v>
      </c>
      <c r="E1144" s="3" t="s">
        <v>79</v>
      </c>
      <c r="F1144" s="3" t="s">
        <v>147</v>
      </c>
      <c r="G1144" s="4" t="s">
        <v>106</v>
      </c>
      <c r="H1144" s="4">
        <v>14</v>
      </c>
      <c r="I1144" s="5">
        <v>0.25603009259259257</v>
      </c>
      <c r="J1144" s="5">
        <v>2.9756944444444444E-2</v>
      </c>
      <c r="K1144" s="5">
        <f t="shared" si="34"/>
        <v>2.1254960317460317E-3</v>
      </c>
      <c r="L1144" s="5">
        <v>4.6516203703703705E-2</v>
      </c>
      <c r="M1144" s="6">
        <f t="shared" si="35"/>
        <v>0.1816825640793816</v>
      </c>
      <c r="N1144" s="5">
        <v>1.0115740740740741E-2</v>
      </c>
      <c r="O1144" s="5">
        <v>1.6412037037037037E-2</v>
      </c>
      <c r="P1144" s="5"/>
      <c r="Q1144" s="5">
        <v>5.2662037037037035E-3</v>
      </c>
      <c r="R1144" s="5">
        <v>9.2592592592592588E-5</v>
      </c>
      <c r="S1144" s="5">
        <v>1.4074074074074074E-2</v>
      </c>
      <c r="T1144" s="5">
        <v>1.9675925925925926E-4</v>
      </c>
      <c r="U1144" s="5">
        <v>3.4722222222222224E-4</v>
      </c>
      <c r="V1144" s="5"/>
      <c r="W1144" s="5"/>
    </row>
    <row r="1145" spans="1:23" x14ac:dyDescent="0.25">
      <c r="A1145" s="2">
        <v>46248</v>
      </c>
      <c r="B1145" s="3" t="s">
        <v>645</v>
      </c>
      <c r="C1145" s="3" t="s">
        <v>646</v>
      </c>
      <c r="D1145" s="3" t="s">
        <v>100</v>
      </c>
      <c r="E1145" s="3" t="s">
        <v>31</v>
      </c>
      <c r="F1145" s="3" t="s">
        <v>32</v>
      </c>
      <c r="G1145" s="4" t="s">
        <v>33</v>
      </c>
      <c r="H1145" s="4">
        <v>41</v>
      </c>
      <c r="I1145" s="5">
        <v>0.26270833333333332</v>
      </c>
      <c r="J1145" s="5">
        <v>0.19718749999999999</v>
      </c>
      <c r="K1145" s="5">
        <f t="shared" si="34"/>
        <v>4.8094512195121951E-3</v>
      </c>
      <c r="L1145" s="5">
        <v>3.2337962962962964E-2</v>
      </c>
      <c r="M1145" s="6">
        <f t="shared" si="35"/>
        <v>0.12309454577495815</v>
      </c>
      <c r="N1145" s="5">
        <v>1.9212962962962964E-3</v>
      </c>
      <c r="O1145" s="5">
        <v>1.4351851851851852E-2</v>
      </c>
      <c r="P1145" s="5"/>
      <c r="Q1145" s="5"/>
      <c r="R1145" s="5"/>
      <c r="S1145" s="5">
        <v>1.4027777777777778E-2</v>
      </c>
      <c r="T1145" s="5">
        <v>5.4398148148148144E-4</v>
      </c>
      <c r="U1145" s="5">
        <v>1.3888888888888889E-3</v>
      </c>
      <c r="V1145" s="5"/>
      <c r="W1145" s="5"/>
    </row>
    <row r="1146" spans="1:23" x14ac:dyDescent="0.25">
      <c r="A1146" s="2">
        <v>46248</v>
      </c>
      <c r="B1146" s="3" t="s">
        <v>120</v>
      </c>
      <c r="C1146" s="3" t="s">
        <v>558</v>
      </c>
      <c r="D1146" s="3" t="s">
        <v>233</v>
      </c>
      <c r="E1146" s="3" t="s">
        <v>31</v>
      </c>
      <c r="F1146" s="3" t="s">
        <v>32</v>
      </c>
      <c r="G1146" s="4" t="s">
        <v>106</v>
      </c>
      <c r="H1146" s="4">
        <v>37</v>
      </c>
      <c r="I1146" s="5">
        <v>0.2621412037037037</v>
      </c>
      <c r="J1146" s="5">
        <v>8.3344907407407409E-2</v>
      </c>
      <c r="K1146" s="5">
        <f t="shared" si="34"/>
        <v>2.2525650650650651E-3</v>
      </c>
      <c r="L1146" s="5">
        <v>4.3067129629629629E-2</v>
      </c>
      <c r="M1146" s="6">
        <f t="shared" si="35"/>
        <v>0.16428981411982868</v>
      </c>
      <c r="N1146" s="5"/>
      <c r="O1146" s="5">
        <v>1.3587962962962963E-2</v>
      </c>
      <c r="P1146" s="5"/>
      <c r="Q1146" s="5"/>
      <c r="R1146" s="5"/>
      <c r="S1146" s="5">
        <v>1.3483796296296296E-2</v>
      </c>
      <c r="T1146" s="5">
        <v>9.0624999999999994E-3</v>
      </c>
      <c r="U1146" s="5">
        <v>3.1018518518518517E-3</v>
      </c>
      <c r="V1146" s="5"/>
      <c r="W1146" s="5">
        <v>3.8310185185185183E-3</v>
      </c>
    </row>
    <row r="1147" spans="1:23" x14ac:dyDescent="0.25">
      <c r="A1147" s="2">
        <v>46248</v>
      </c>
      <c r="B1147" s="3" t="s">
        <v>46</v>
      </c>
      <c r="C1147" s="3" t="s">
        <v>507</v>
      </c>
      <c r="D1147" s="3" t="s">
        <v>100</v>
      </c>
      <c r="E1147" s="3" t="s">
        <v>31</v>
      </c>
      <c r="F1147" s="3" t="s">
        <v>32</v>
      </c>
      <c r="G1147" s="4" t="s">
        <v>33</v>
      </c>
      <c r="H1147" s="4">
        <v>37</v>
      </c>
      <c r="I1147" s="5">
        <v>0.26241898148148146</v>
      </c>
      <c r="J1147" s="5">
        <v>0.1872800925925926</v>
      </c>
      <c r="K1147" s="5">
        <f t="shared" si="34"/>
        <v>5.061624124124124E-3</v>
      </c>
      <c r="L1147" s="5">
        <v>3.5925925925925924E-2</v>
      </c>
      <c r="M1147" s="6">
        <f t="shared" si="35"/>
        <v>0.13690292418294889</v>
      </c>
      <c r="N1147" s="5">
        <v>1.9907407407407408E-3</v>
      </c>
      <c r="O1147" s="5">
        <v>1.4166666666666666E-2</v>
      </c>
      <c r="P1147" s="5"/>
      <c r="Q1147" s="5"/>
      <c r="R1147" s="5"/>
      <c r="S1147" s="5">
        <v>1.4108796296296296E-2</v>
      </c>
      <c r="T1147" s="5">
        <v>2.0833333333333335E-4</v>
      </c>
      <c r="U1147" s="5">
        <v>1.4583333333333334E-3</v>
      </c>
      <c r="V1147" s="5"/>
      <c r="W1147" s="5">
        <v>3.9236111111111112E-3</v>
      </c>
    </row>
    <row r="1148" spans="1:23" x14ac:dyDescent="0.25">
      <c r="A1148" s="2">
        <v>46248</v>
      </c>
      <c r="B1148" s="3" t="s">
        <v>287</v>
      </c>
      <c r="C1148" s="3" t="s">
        <v>542</v>
      </c>
      <c r="D1148" s="3" t="s">
        <v>104</v>
      </c>
      <c r="E1148" s="3" t="s">
        <v>31</v>
      </c>
      <c r="F1148" s="3" t="s">
        <v>105</v>
      </c>
      <c r="G1148" s="4" t="s">
        <v>106</v>
      </c>
      <c r="H1148" s="4">
        <v>2</v>
      </c>
      <c r="I1148" s="5">
        <v>0.20943287037037037</v>
      </c>
      <c r="J1148" s="5">
        <v>3.0034722222222223E-2</v>
      </c>
      <c r="K1148" s="5">
        <f t="shared" si="34"/>
        <v>1.5017361111111112E-2</v>
      </c>
      <c r="L1148" s="5">
        <v>0.18817129629629631</v>
      </c>
      <c r="M1148" s="6">
        <f t="shared" si="35"/>
        <v>0.89848024316109432</v>
      </c>
      <c r="N1148" s="5"/>
      <c r="O1148" s="5">
        <v>1.170138888888889E-2</v>
      </c>
      <c r="P1148" s="5"/>
      <c r="Q1148" s="5"/>
      <c r="R1148" s="5"/>
      <c r="S1148" s="5">
        <v>5.0810185185185186E-3</v>
      </c>
      <c r="T1148" s="5">
        <v>2.3032407407407407E-3</v>
      </c>
      <c r="U1148" s="5">
        <v>8.4490740740740739E-4</v>
      </c>
      <c r="V1148" s="5"/>
      <c r="W1148" s="5">
        <v>0.16824074074074075</v>
      </c>
    </row>
    <row r="1149" spans="1:23" x14ac:dyDescent="0.25">
      <c r="A1149" s="2">
        <v>46248</v>
      </c>
      <c r="B1149" s="3" t="s">
        <v>499</v>
      </c>
      <c r="C1149" s="3" t="s">
        <v>517</v>
      </c>
      <c r="D1149" s="3" t="s">
        <v>146</v>
      </c>
      <c r="E1149" s="3" t="s">
        <v>79</v>
      </c>
      <c r="F1149" s="3" t="s">
        <v>147</v>
      </c>
      <c r="G1149" s="4" t="s">
        <v>106</v>
      </c>
      <c r="H1149" s="4">
        <v>12</v>
      </c>
      <c r="I1149" s="5">
        <v>0.24078703703703705</v>
      </c>
      <c r="J1149" s="5">
        <v>6.4988425925925922E-2</v>
      </c>
      <c r="K1149" s="5">
        <f t="shared" si="34"/>
        <v>5.4157021604938271E-3</v>
      </c>
      <c r="L1149" s="5">
        <v>4.7939814814814817E-2</v>
      </c>
      <c r="M1149" s="6">
        <f t="shared" si="35"/>
        <v>0.19909632762930204</v>
      </c>
      <c r="N1149" s="5">
        <v>5.2546296296296299E-3</v>
      </c>
      <c r="O1149" s="5">
        <v>1.3900462962962963E-2</v>
      </c>
      <c r="P1149" s="5"/>
      <c r="Q1149" s="5">
        <v>4.0046296296296297E-3</v>
      </c>
      <c r="R1149" s="5"/>
      <c r="S1149" s="5">
        <v>1.3935185185185186E-2</v>
      </c>
      <c r="T1149" s="5">
        <v>6.5972222222222224E-4</v>
      </c>
      <c r="U1149" s="5">
        <v>4.5138888888888887E-4</v>
      </c>
      <c r="V1149" s="5"/>
      <c r="W1149" s="5">
        <v>9.7337962962962959E-3</v>
      </c>
    </row>
    <row r="1150" spans="1:23" x14ac:dyDescent="0.25">
      <c r="A1150" s="2">
        <v>46248</v>
      </c>
      <c r="B1150" s="3" t="s">
        <v>647</v>
      </c>
      <c r="C1150" s="3" t="s">
        <v>648</v>
      </c>
      <c r="D1150" s="3" t="s">
        <v>233</v>
      </c>
      <c r="E1150" s="3" t="s">
        <v>31</v>
      </c>
      <c r="F1150" s="3" t="s">
        <v>32</v>
      </c>
      <c r="G1150" s="4" t="s">
        <v>106</v>
      </c>
      <c r="H1150" s="4">
        <v>29</v>
      </c>
      <c r="I1150" s="5">
        <v>0.26395833333333335</v>
      </c>
      <c r="J1150" s="5">
        <v>0.10212962962962963</v>
      </c>
      <c r="K1150" s="5">
        <f t="shared" si="34"/>
        <v>3.5217113665389527E-3</v>
      </c>
      <c r="L1150" s="5">
        <v>4.2118055555555554E-2</v>
      </c>
      <c r="M1150" s="6">
        <f t="shared" si="35"/>
        <v>0.1595632728229413</v>
      </c>
      <c r="N1150" s="5">
        <v>1.170138888888889E-2</v>
      </c>
      <c r="O1150" s="5">
        <v>1.4953703703703703E-2</v>
      </c>
      <c r="P1150" s="5"/>
      <c r="Q1150" s="5">
        <v>1.8518518518518518E-4</v>
      </c>
      <c r="R1150" s="5"/>
      <c r="S1150" s="5">
        <v>1.462962962962963E-2</v>
      </c>
      <c r="T1150" s="5">
        <v>6.4814814814814813E-4</v>
      </c>
      <c r="U1150" s="5"/>
      <c r="V1150" s="5"/>
      <c r="W1150" s="5"/>
    </row>
    <row r="1151" spans="1:23" x14ac:dyDescent="0.25">
      <c r="A1151" s="2">
        <v>46248</v>
      </c>
      <c r="B1151" s="3" t="s">
        <v>649</v>
      </c>
      <c r="C1151" s="3" t="s">
        <v>650</v>
      </c>
      <c r="D1151" s="3" t="s">
        <v>104</v>
      </c>
      <c r="E1151" s="3" t="s">
        <v>31</v>
      </c>
      <c r="F1151" s="3" t="s">
        <v>105</v>
      </c>
      <c r="G1151" s="4" t="s">
        <v>106</v>
      </c>
      <c r="H1151" s="4">
        <v>4</v>
      </c>
      <c r="I1151" s="5">
        <v>0.2429050925925926</v>
      </c>
      <c r="J1151" s="5">
        <v>8.307870370370371E-2</v>
      </c>
      <c r="K1151" s="5">
        <f t="shared" si="34"/>
        <v>2.0769675925925928E-2</v>
      </c>
      <c r="L1151" s="5">
        <v>0.20054398148148148</v>
      </c>
      <c r="M1151" s="6">
        <f t="shared" si="35"/>
        <v>0.82560632772668785</v>
      </c>
      <c r="N1151" s="5">
        <v>9.1319444444444443E-3</v>
      </c>
      <c r="O1151" s="5">
        <v>8.9236111111111113E-3</v>
      </c>
      <c r="P1151" s="5"/>
      <c r="Q1151" s="5"/>
      <c r="R1151" s="5"/>
      <c r="S1151" s="5">
        <v>1.0532407407407407E-2</v>
      </c>
      <c r="T1151" s="5">
        <v>7.1759259259259259E-4</v>
      </c>
      <c r="U1151" s="5"/>
      <c r="V1151" s="5"/>
      <c r="W1151" s="5">
        <v>0.17123842592592592</v>
      </c>
    </row>
    <row r="1152" spans="1:23" x14ac:dyDescent="0.25">
      <c r="A1152" s="2">
        <v>46248</v>
      </c>
      <c r="B1152" s="3" t="s">
        <v>246</v>
      </c>
      <c r="C1152" s="3" t="s">
        <v>568</v>
      </c>
      <c r="D1152" s="3" t="s">
        <v>233</v>
      </c>
      <c r="E1152" s="3" t="s">
        <v>31</v>
      </c>
      <c r="F1152" s="3" t="s">
        <v>32</v>
      </c>
      <c r="G1152" s="4" t="s">
        <v>106</v>
      </c>
      <c r="H1152" s="4">
        <v>49</v>
      </c>
      <c r="I1152" s="5">
        <v>0.3399537037037037</v>
      </c>
      <c r="J1152" s="5">
        <v>0.14246527777777779</v>
      </c>
      <c r="K1152" s="5">
        <f t="shared" si="34"/>
        <v>2.9074546485260773E-3</v>
      </c>
      <c r="L1152" s="5">
        <v>5.4386574074074073E-2</v>
      </c>
      <c r="M1152" s="6">
        <f t="shared" si="35"/>
        <v>0.15998229606427891</v>
      </c>
      <c r="N1152" s="5">
        <v>1.3206018518518518E-2</v>
      </c>
      <c r="O1152" s="5">
        <v>1.3946759259259259E-2</v>
      </c>
      <c r="P1152" s="5"/>
      <c r="Q1152" s="5"/>
      <c r="R1152" s="5"/>
      <c r="S1152" s="5">
        <v>1.3738425925925926E-2</v>
      </c>
      <c r="T1152" s="5">
        <v>1.3495370370370371E-2</v>
      </c>
      <c r="U1152" s="5"/>
      <c r="V1152" s="5"/>
      <c r="W1152" s="5"/>
    </row>
    <row r="1153" spans="1:23" x14ac:dyDescent="0.25">
      <c r="A1153" s="2">
        <v>46248</v>
      </c>
      <c r="B1153" s="3" t="s">
        <v>48</v>
      </c>
      <c r="C1153" s="3" t="s">
        <v>508</v>
      </c>
      <c r="D1153" s="3" t="s">
        <v>100</v>
      </c>
      <c r="E1153" s="3" t="s">
        <v>31</v>
      </c>
      <c r="F1153" s="3" t="s">
        <v>32</v>
      </c>
      <c r="G1153" s="4" t="s">
        <v>33</v>
      </c>
      <c r="H1153" s="4">
        <v>42</v>
      </c>
      <c r="I1153" s="5">
        <v>0.26665509259259257</v>
      </c>
      <c r="J1153" s="5">
        <v>0.1307638888888889</v>
      </c>
      <c r="K1153" s="5">
        <f t="shared" si="34"/>
        <v>3.1134259259259262E-3</v>
      </c>
      <c r="L1153" s="5">
        <v>6.535879629629629E-2</v>
      </c>
      <c r="M1153" s="6">
        <f t="shared" si="35"/>
        <v>0.24510612439776031</v>
      </c>
      <c r="N1153" s="5">
        <v>2.4074074074074076E-3</v>
      </c>
      <c r="O1153" s="5">
        <v>1.4050925925925927E-2</v>
      </c>
      <c r="P1153" s="5"/>
      <c r="Q1153" s="5"/>
      <c r="R1153" s="5"/>
      <c r="S1153" s="5">
        <v>1.4155092592592592E-2</v>
      </c>
      <c r="T1153" s="5">
        <v>6.9444444444444444E-5</v>
      </c>
      <c r="U1153" s="5">
        <v>3.9004629629629628E-3</v>
      </c>
      <c r="V1153" s="5"/>
      <c r="W1153" s="5">
        <v>3.0636574074074073E-2</v>
      </c>
    </row>
    <row r="1154" spans="1:23" x14ac:dyDescent="0.25">
      <c r="A1154" s="2">
        <v>46248</v>
      </c>
      <c r="B1154" s="3" t="s">
        <v>50</v>
      </c>
      <c r="C1154" s="3" t="s">
        <v>538</v>
      </c>
      <c r="D1154" s="3" t="s">
        <v>100</v>
      </c>
      <c r="E1154" s="3" t="s">
        <v>31</v>
      </c>
      <c r="F1154" s="3" t="s">
        <v>32</v>
      </c>
      <c r="G1154" s="4" t="s">
        <v>33</v>
      </c>
      <c r="H1154" s="4">
        <v>6</v>
      </c>
      <c r="I1154" s="5">
        <v>0.26399305555555558</v>
      </c>
      <c r="J1154" s="5">
        <v>3.0173611111111109E-2</v>
      </c>
      <c r="K1154" s="5">
        <f t="shared" ref="K1154:K1217" si="36">IFERROR(J1154/H1154,0)</f>
        <v>5.0289351851851849E-3</v>
      </c>
      <c r="L1154" s="5">
        <v>0.23689814814814814</v>
      </c>
      <c r="M1154" s="6">
        <f t="shared" ref="M1154:M1217" si="37">IFERROR(L1154/I1154,0)</f>
        <v>0.89736507518961806</v>
      </c>
      <c r="N1154" s="5">
        <v>2.0821759259259259E-2</v>
      </c>
      <c r="O1154" s="5">
        <v>1.4085648148148147E-2</v>
      </c>
      <c r="P1154" s="5"/>
      <c r="Q1154" s="5"/>
      <c r="R1154" s="5"/>
      <c r="S1154" s="5">
        <v>1.5208333333333334E-2</v>
      </c>
      <c r="T1154" s="5">
        <v>3.2407407407407406E-4</v>
      </c>
      <c r="U1154" s="5">
        <v>1.7361111111111112E-4</v>
      </c>
      <c r="V1154" s="5"/>
      <c r="W1154" s="5">
        <v>0.18628472222222223</v>
      </c>
    </row>
    <row r="1155" spans="1:23" x14ac:dyDescent="0.25">
      <c r="A1155" s="2">
        <v>46248</v>
      </c>
      <c r="B1155" s="3" t="s">
        <v>242</v>
      </c>
      <c r="C1155" s="3" t="s">
        <v>603</v>
      </c>
      <c r="D1155" s="3" t="s">
        <v>233</v>
      </c>
      <c r="E1155" s="3" t="s">
        <v>31</v>
      </c>
      <c r="F1155" s="3" t="s">
        <v>32</v>
      </c>
      <c r="G1155" s="4" t="s">
        <v>106</v>
      </c>
      <c r="H1155" s="4">
        <v>35</v>
      </c>
      <c r="I1155" s="5">
        <v>0.26006944444444446</v>
      </c>
      <c r="J1155" s="5">
        <v>0.12356481481481481</v>
      </c>
      <c r="K1155" s="5">
        <f t="shared" si="36"/>
        <v>3.5304232804232801E-3</v>
      </c>
      <c r="L1155" s="5">
        <v>1.0393518518518519E-2</v>
      </c>
      <c r="M1155" s="6">
        <f t="shared" si="37"/>
        <v>3.9964396973742766E-2</v>
      </c>
      <c r="N1155" s="5"/>
      <c r="O1155" s="5">
        <v>8.1828703703703699E-3</v>
      </c>
      <c r="P1155" s="5"/>
      <c r="Q1155" s="5"/>
      <c r="R1155" s="5"/>
      <c r="S1155" s="5">
        <v>6.9444444444444444E-5</v>
      </c>
      <c r="T1155" s="5">
        <v>5.7870370370370373E-5</v>
      </c>
      <c r="U1155" s="5">
        <v>1.9907407407407408E-3</v>
      </c>
      <c r="V1155" s="5"/>
      <c r="W1155" s="5">
        <v>2.3148148148148147E-5</v>
      </c>
    </row>
    <row r="1156" spans="1:23" x14ac:dyDescent="0.25">
      <c r="A1156" s="2">
        <v>46248</v>
      </c>
      <c r="B1156" s="3" t="s">
        <v>248</v>
      </c>
      <c r="C1156" s="3" t="s">
        <v>249</v>
      </c>
      <c r="D1156" s="3" t="s">
        <v>78</v>
      </c>
      <c r="E1156" s="3" t="s">
        <v>79</v>
      </c>
      <c r="F1156" s="3" t="s">
        <v>80</v>
      </c>
      <c r="G1156" s="4" t="s">
        <v>81</v>
      </c>
      <c r="H1156" s="4">
        <v>0</v>
      </c>
      <c r="I1156" s="5">
        <v>0.31706018518518519</v>
      </c>
      <c r="J1156" s="5">
        <v>0</v>
      </c>
      <c r="K1156" s="5">
        <f t="shared" si="36"/>
        <v>0</v>
      </c>
      <c r="L1156" s="5">
        <v>2.2453703703703702E-3</v>
      </c>
      <c r="M1156" s="6">
        <f t="shared" si="37"/>
        <v>7.0818427392859741E-3</v>
      </c>
      <c r="N1156" s="5">
        <v>4.6296296296296294E-5</v>
      </c>
      <c r="O1156" s="5"/>
      <c r="P1156" s="5"/>
      <c r="Q1156" s="5"/>
      <c r="R1156" s="5"/>
      <c r="S1156" s="5"/>
      <c r="T1156" s="5">
        <v>2.5462962962962961E-4</v>
      </c>
      <c r="U1156" s="5">
        <v>1.8287037037037037E-3</v>
      </c>
      <c r="V1156" s="5"/>
      <c r="W1156" s="5">
        <v>2.3148148148148147E-5</v>
      </c>
    </row>
    <row r="1157" spans="1:23" x14ac:dyDescent="0.25">
      <c r="A1157" s="2">
        <v>46248</v>
      </c>
      <c r="B1157" s="3" t="s">
        <v>289</v>
      </c>
      <c r="C1157" s="3" t="s">
        <v>559</v>
      </c>
      <c r="D1157" s="3" t="s">
        <v>104</v>
      </c>
      <c r="E1157" s="3" t="s">
        <v>31</v>
      </c>
      <c r="F1157" s="3" t="s">
        <v>105</v>
      </c>
      <c r="G1157" s="4" t="s">
        <v>106</v>
      </c>
      <c r="H1157" s="4">
        <v>3</v>
      </c>
      <c r="I1157" s="5">
        <v>0.18623842592592593</v>
      </c>
      <c r="J1157" s="5">
        <v>3.878472222222222E-2</v>
      </c>
      <c r="K1157" s="5">
        <f t="shared" si="36"/>
        <v>1.292824074074074E-2</v>
      </c>
      <c r="L1157" s="5">
        <v>0.15781249999999999</v>
      </c>
      <c r="M1157" s="6">
        <f t="shared" si="37"/>
        <v>0.84736809396557078</v>
      </c>
      <c r="N1157" s="5"/>
      <c r="O1157" s="5">
        <v>1.3495370370370371E-2</v>
      </c>
      <c r="P1157" s="5"/>
      <c r="Q1157" s="5"/>
      <c r="R1157" s="5"/>
      <c r="S1157" s="5">
        <v>5.6712962962962967E-4</v>
      </c>
      <c r="T1157" s="5">
        <v>8.3564814814814821E-3</v>
      </c>
      <c r="U1157" s="5">
        <v>4.6296296296296294E-5</v>
      </c>
      <c r="V1157" s="5"/>
      <c r="W1157" s="5">
        <v>0.13534722222222223</v>
      </c>
    </row>
    <row r="1158" spans="1:23" x14ac:dyDescent="0.25">
      <c r="A1158" s="2">
        <v>46248</v>
      </c>
      <c r="B1158" s="3" t="s">
        <v>252</v>
      </c>
      <c r="C1158" s="3" t="s">
        <v>553</v>
      </c>
      <c r="D1158" s="3" t="s">
        <v>78</v>
      </c>
      <c r="E1158" s="3" t="s">
        <v>79</v>
      </c>
      <c r="F1158" s="3" t="s">
        <v>80</v>
      </c>
      <c r="G1158" s="4" t="s">
        <v>81</v>
      </c>
      <c r="H1158" s="4">
        <v>0</v>
      </c>
      <c r="I1158" s="5">
        <v>1.1921296296296296E-3</v>
      </c>
      <c r="J1158" s="5">
        <v>0</v>
      </c>
      <c r="K1158" s="5">
        <f t="shared" si="36"/>
        <v>0</v>
      </c>
      <c r="L1158" s="5">
        <v>0</v>
      </c>
      <c r="M1158" s="6">
        <f t="shared" si="37"/>
        <v>0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25">
      <c r="A1159" s="2">
        <v>46248</v>
      </c>
      <c r="B1159" s="3" t="s">
        <v>500</v>
      </c>
      <c r="C1159" s="3" t="s">
        <v>518</v>
      </c>
      <c r="D1159" s="3" t="s">
        <v>274</v>
      </c>
      <c r="E1159" s="3" t="s">
        <v>79</v>
      </c>
      <c r="F1159" s="3" t="s">
        <v>147</v>
      </c>
      <c r="G1159" s="4" t="s">
        <v>33</v>
      </c>
      <c r="H1159" s="4">
        <v>10</v>
      </c>
      <c r="I1159" s="5">
        <v>0.25603009259259257</v>
      </c>
      <c r="J1159" s="5">
        <v>5.5995370370370369E-2</v>
      </c>
      <c r="K1159" s="5">
        <f t="shared" si="36"/>
        <v>5.5995370370370365E-3</v>
      </c>
      <c r="L1159" s="5">
        <v>3.1851851851851853E-2</v>
      </c>
      <c r="M1159" s="6">
        <f t="shared" si="37"/>
        <v>0.12440667239274898</v>
      </c>
      <c r="N1159" s="5">
        <v>2.2916666666666667E-3</v>
      </c>
      <c r="O1159" s="5">
        <v>1.1805555555555555E-2</v>
      </c>
      <c r="P1159" s="5"/>
      <c r="Q1159" s="5">
        <v>3.425925925925926E-3</v>
      </c>
      <c r="R1159" s="5"/>
      <c r="S1159" s="5">
        <v>1.3854166666666667E-2</v>
      </c>
      <c r="T1159" s="5">
        <v>4.7453703703703704E-4</v>
      </c>
      <c r="U1159" s="5"/>
      <c r="V1159" s="5"/>
      <c r="W1159" s="5"/>
    </row>
    <row r="1160" spans="1:23" x14ac:dyDescent="0.25">
      <c r="A1160" s="2">
        <v>46248</v>
      </c>
      <c r="B1160" s="3" t="s">
        <v>683</v>
      </c>
      <c r="C1160" s="3" t="s">
        <v>684</v>
      </c>
      <c r="D1160" s="3" t="s">
        <v>233</v>
      </c>
      <c r="E1160" s="3" t="s">
        <v>31</v>
      </c>
      <c r="F1160" s="3" t="s">
        <v>32</v>
      </c>
      <c r="G1160" s="4" t="s">
        <v>106</v>
      </c>
      <c r="H1160" s="4">
        <v>30</v>
      </c>
      <c r="I1160" s="5">
        <v>0.25734953703703706</v>
      </c>
      <c r="J1160" s="5">
        <v>8.3344907407407409E-2</v>
      </c>
      <c r="K1160" s="5">
        <f t="shared" si="36"/>
        <v>2.7781635802469136E-3</v>
      </c>
      <c r="L1160" s="5">
        <v>4.4155092592592593E-2</v>
      </c>
      <c r="M1160" s="6">
        <f t="shared" si="37"/>
        <v>0.1715763436024286</v>
      </c>
      <c r="N1160" s="5">
        <v>7.8703703703703696E-3</v>
      </c>
      <c r="O1160" s="5">
        <v>1.7002314814814814E-2</v>
      </c>
      <c r="P1160" s="5"/>
      <c r="Q1160" s="5"/>
      <c r="R1160" s="5"/>
      <c r="S1160" s="5">
        <v>1.1458333333333333E-2</v>
      </c>
      <c r="T1160" s="5">
        <v>2.0833333333333333E-3</v>
      </c>
      <c r="U1160" s="5">
        <v>5.2430555555555555E-3</v>
      </c>
      <c r="V1160" s="5"/>
      <c r="W1160" s="5">
        <v>4.9768518518518521E-4</v>
      </c>
    </row>
    <row r="1161" spans="1:23" x14ac:dyDescent="0.25">
      <c r="A1161" s="2">
        <v>46248</v>
      </c>
      <c r="B1161" s="3" t="s">
        <v>653</v>
      </c>
      <c r="C1161" s="3" t="s">
        <v>654</v>
      </c>
      <c r="D1161" s="3" t="s">
        <v>100</v>
      </c>
      <c r="E1161" s="3" t="s">
        <v>31</v>
      </c>
      <c r="F1161" s="3" t="s">
        <v>32</v>
      </c>
      <c r="G1161" s="4" t="s">
        <v>33</v>
      </c>
      <c r="H1161" s="4">
        <v>33</v>
      </c>
      <c r="I1161" s="5">
        <v>0.25425925925925924</v>
      </c>
      <c r="J1161" s="5">
        <v>0.16809027777777777</v>
      </c>
      <c r="K1161" s="5">
        <f t="shared" si="36"/>
        <v>5.0936447811447813E-3</v>
      </c>
      <c r="L1161" s="5">
        <v>3.9687500000000001E-2</v>
      </c>
      <c r="M1161" s="6">
        <f t="shared" si="37"/>
        <v>0.15609067734887111</v>
      </c>
      <c r="N1161" s="5">
        <v>8.067129629629629E-3</v>
      </c>
      <c r="O1161" s="5">
        <v>1.4039351851851851E-2</v>
      </c>
      <c r="P1161" s="5"/>
      <c r="Q1161" s="5"/>
      <c r="R1161" s="5"/>
      <c r="S1161" s="5">
        <v>1.4085648148148147E-2</v>
      </c>
      <c r="T1161" s="5">
        <v>6.018518518518519E-4</v>
      </c>
      <c r="U1161" s="5">
        <v>2.7893518518518519E-3</v>
      </c>
      <c r="V1161" s="5"/>
      <c r="W1161" s="5"/>
    </row>
    <row r="1162" spans="1:23" x14ac:dyDescent="0.25">
      <c r="A1162" s="2">
        <v>46248</v>
      </c>
      <c r="B1162" s="3" t="s">
        <v>52</v>
      </c>
      <c r="C1162" s="3" t="s">
        <v>509</v>
      </c>
      <c r="D1162" s="3" t="s">
        <v>100</v>
      </c>
      <c r="E1162" s="3" t="s">
        <v>31</v>
      </c>
      <c r="F1162" s="3" t="s">
        <v>32</v>
      </c>
      <c r="G1162" s="4" t="s">
        <v>33</v>
      </c>
      <c r="H1162" s="4">
        <v>3</v>
      </c>
      <c r="I1162" s="5">
        <v>0.18337962962962964</v>
      </c>
      <c r="J1162" s="5">
        <v>1.2800925925925926E-2</v>
      </c>
      <c r="K1162" s="5">
        <f t="shared" si="36"/>
        <v>4.2669753086419749E-3</v>
      </c>
      <c r="L1162" s="5">
        <v>0.17395833333333333</v>
      </c>
      <c r="M1162" s="6">
        <f t="shared" si="37"/>
        <v>0.94862408482706373</v>
      </c>
      <c r="N1162" s="5"/>
      <c r="O1162" s="5">
        <v>1.357638888888889E-2</v>
      </c>
      <c r="P1162" s="5"/>
      <c r="Q1162" s="5"/>
      <c r="R1162" s="5"/>
      <c r="S1162" s="5">
        <v>1.4155092592592592E-2</v>
      </c>
      <c r="T1162" s="5">
        <v>7.407407407407407E-4</v>
      </c>
      <c r="U1162" s="5">
        <v>4.6296296296296298E-4</v>
      </c>
      <c r="V1162" s="5"/>
      <c r="W1162" s="5">
        <v>0.14502314814814815</v>
      </c>
    </row>
    <row r="1163" spans="1:23" x14ac:dyDescent="0.25">
      <c r="A1163" s="2">
        <v>46248</v>
      </c>
      <c r="B1163" s="3" t="s">
        <v>164</v>
      </c>
      <c r="C1163" s="3" t="s">
        <v>519</v>
      </c>
      <c r="D1163" s="3" t="s">
        <v>146</v>
      </c>
      <c r="E1163" s="3" t="s">
        <v>79</v>
      </c>
      <c r="F1163" s="3" t="s">
        <v>147</v>
      </c>
      <c r="G1163" s="4" t="s">
        <v>106</v>
      </c>
      <c r="H1163" s="4">
        <v>26</v>
      </c>
      <c r="I1163" s="5">
        <v>0.33510416666666665</v>
      </c>
      <c r="J1163" s="5">
        <v>3.0011574074074072E-2</v>
      </c>
      <c r="K1163" s="5">
        <f t="shared" si="36"/>
        <v>1.1542913105413105E-3</v>
      </c>
      <c r="L1163" s="5">
        <v>3.875E-2</v>
      </c>
      <c r="M1163" s="6">
        <f t="shared" si="37"/>
        <v>0.11563568542119988</v>
      </c>
      <c r="N1163" s="5">
        <v>9.2129629629629627E-3</v>
      </c>
      <c r="O1163" s="5">
        <v>1.4166666666666666E-2</v>
      </c>
      <c r="P1163" s="5"/>
      <c r="Q1163" s="5"/>
      <c r="R1163" s="5">
        <v>5.7870370370370373E-5</v>
      </c>
      <c r="S1163" s="5">
        <v>1.4317129629629629E-2</v>
      </c>
      <c r="T1163" s="5">
        <v>3.8194444444444446E-4</v>
      </c>
      <c r="U1163" s="5">
        <v>1.0416666666666667E-4</v>
      </c>
      <c r="V1163" s="5"/>
      <c r="W1163" s="5"/>
    </row>
    <row r="1164" spans="1:23" x14ac:dyDescent="0.25">
      <c r="A1164" s="2">
        <v>46248</v>
      </c>
      <c r="B1164" s="3" t="s">
        <v>655</v>
      </c>
      <c r="C1164" s="3" t="s">
        <v>656</v>
      </c>
      <c r="D1164" s="3" t="s">
        <v>100</v>
      </c>
      <c r="E1164" s="3" t="s">
        <v>31</v>
      </c>
      <c r="F1164" s="3" t="s">
        <v>32</v>
      </c>
      <c r="G1164" s="4" t="s">
        <v>33</v>
      </c>
      <c r="H1164" s="4">
        <v>39</v>
      </c>
      <c r="I1164" s="5">
        <v>0.25905092592592593</v>
      </c>
      <c r="J1164" s="5">
        <v>0.15468750000000001</v>
      </c>
      <c r="K1164" s="5">
        <f t="shared" si="36"/>
        <v>3.9663461538461536E-3</v>
      </c>
      <c r="L1164" s="5">
        <v>3.3136574074074075E-2</v>
      </c>
      <c r="M1164" s="6">
        <f t="shared" si="37"/>
        <v>0.12791528907157537</v>
      </c>
      <c r="N1164" s="5">
        <v>3.4375E-3</v>
      </c>
      <c r="O1164" s="5">
        <v>1.3726851851851851E-2</v>
      </c>
      <c r="P1164" s="5"/>
      <c r="Q1164" s="5"/>
      <c r="R1164" s="5"/>
      <c r="S1164" s="5">
        <v>1.3912037037037037E-2</v>
      </c>
      <c r="T1164" s="5">
        <v>8.1018518518518516E-5</v>
      </c>
      <c r="U1164" s="5">
        <v>1.8981481481481482E-3</v>
      </c>
      <c r="V1164" s="5"/>
      <c r="W1164" s="5"/>
    </row>
    <row r="1165" spans="1:23" x14ac:dyDescent="0.25">
      <c r="A1165" s="2">
        <v>46248</v>
      </c>
      <c r="B1165" s="3" t="s">
        <v>657</v>
      </c>
      <c r="C1165" s="3" t="s">
        <v>658</v>
      </c>
      <c r="D1165" s="3" t="s">
        <v>274</v>
      </c>
      <c r="E1165" s="3" t="s">
        <v>79</v>
      </c>
      <c r="F1165" s="3" t="s">
        <v>147</v>
      </c>
      <c r="G1165" s="4" t="s">
        <v>33</v>
      </c>
      <c r="H1165" s="4">
        <v>12</v>
      </c>
      <c r="I1165" s="5">
        <v>0.25015046296296295</v>
      </c>
      <c r="J1165" s="5">
        <v>3.6527777777777777E-2</v>
      </c>
      <c r="K1165" s="5">
        <f t="shared" si="36"/>
        <v>3.0439814814814813E-3</v>
      </c>
      <c r="L1165" s="5">
        <v>3.5486111111111114E-2</v>
      </c>
      <c r="M1165" s="6">
        <f t="shared" si="37"/>
        <v>0.14185906630268821</v>
      </c>
      <c r="N1165" s="5">
        <v>3.4953703703703705E-3</v>
      </c>
      <c r="O1165" s="5">
        <v>1.5243055555555555E-2</v>
      </c>
      <c r="P1165" s="5"/>
      <c r="Q1165" s="5"/>
      <c r="R1165" s="5"/>
      <c r="S1165" s="5">
        <v>1.650462962962963E-2</v>
      </c>
      <c r="T1165" s="5">
        <v>1.5046296296296297E-4</v>
      </c>
      <c r="U1165" s="5">
        <v>9.2592592592592588E-5</v>
      </c>
      <c r="V1165" s="5"/>
      <c r="W1165" s="5"/>
    </row>
    <row r="1166" spans="1:23" x14ac:dyDescent="0.25">
      <c r="A1166" s="2">
        <v>46248</v>
      </c>
      <c r="B1166" s="3" t="s">
        <v>166</v>
      </c>
      <c r="C1166" s="3" t="s">
        <v>167</v>
      </c>
      <c r="D1166" s="3" t="s">
        <v>146</v>
      </c>
      <c r="E1166" s="3" t="s">
        <v>79</v>
      </c>
      <c r="F1166" s="3" t="s">
        <v>147</v>
      </c>
      <c r="G1166" s="4" t="s">
        <v>106</v>
      </c>
      <c r="H1166" s="4">
        <v>16</v>
      </c>
      <c r="I1166" s="5">
        <v>0.26165509259259262</v>
      </c>
      <c r="J1166" s="5">
        <v>4.0127314814814817E-2</v>
      </c>
      <c r="K1166" s="5">
        <f t="shared" si="36"/>
        <v>2.5079571759259261E-3</v>
      </c>
      <c r="L1166" s="5">
        <v>3.1990740740740743E-2</v>
      </c>
      <c r="M1166" s="6">
        <f t="shared" si="37"/>
        <v>0.12226301588003716</v>
      </c>
      <c r="N1166" s="5">
        <v>5.1273148148148146E-3</v>
      </c>
      <c r="O1166" s="5">
        <v>1.3055555555555556E-2</v>
      </c>
      <c r="P1166" s="5"/>
      <c r="Q1166" s="5"/>
      <c r="R1166" s="5"/>
      <c r="S1166" s="5">
        <v>1.3043981481481481E-2</v>
      </c>
      <c r="T1166" s="5">
        <v>2.3148148148148149E-4</v>
      </c>
      <c r="U1166" s="5">
        <v>5.0925925925925921E-4</v>
      </c>
      <c r="V1166" s="5"/>
      <c r="W1166" s="5"/>
    </row>
    <row r="1167" spans="1:23" x14ac:dyDescent="0.25">
      <c r="A1167" s="2">
        <v>46248</v>
      </c>
      <c r="B1167" s="3" t="s">
        <v>659</v>
      </c>
      <c r="C1167" s="3" t="s">
        <v>660</v>
      </c>
      <c r="D1167" s="3" t="s">
        <v>100</v>
      </c>
      <c r="E1167" s="3" t="s">
        <v>31</v>
      </c>
      <c r="F1167" s="3" t="s">
        <v>32</v>
      </c>
      <c r="G1167" s="4" t="s">
        <v>33</v>
      </c>
      <c r="H1167" s="4">
        <v>6</v>
      </c>
      <c r="I1167" s="5">
        <v>0.25422453703703701</v>
      </c>
      <c r="J1167" s="5">
        <v>4.9375000000000002E-2</v>
      </c>
      <c r="K1167" s="5">
        <f t="shared" si="36"/>
        <v>8.2291666666666676E-3</v>
      </c>
      <c r="L1167" s="5">
        <v>0.21409722222222222</v>
      </c>
      <c r="M1167" s="6">
        <f t="shared" si="37"/>
        <v>0.84215797860232189</v>
      </c>
      <c r="N1167" s="5">
        <v>1.3414351851851853E-2</v>
      </c>
      <c r="O1167" s="5">
        <v>1.8333333333333333E-2</v>
      </c>
      <c r="P1167" s="5"/>
      <c r="Q1167" s="5"/>
      <c r="R1167" s="5"/>
      <c r="S1167" s="5">
        <v>1.8935185185185187E-2</v>
      </c>
      <c r="T1167" s="5">
        <v>1.6782407407407408E-3</v>
      </c>
      <c r="U1167" s="5">
        <v>1.6203703703703703E-4</v>
      </c>
      <c r="V1167" s="5"/>
      <c r="W1167" s="5">
        <v>0.16157407407407406</v>
      </c>
    </row>
    <row r="1168" spans="1:23" x14ac:dyDescent="0.25">
      <c r="A1168" s="2">
        <v>46248</v>
      </c>
      <c r="B1168" s="3" t="s">
        <v>254</v>
      </c>
      <c r="C1168" s="3" t="s">
        <v>528</v>
      </c>
      <c r="D1168" s="3" t="s">
        <v>233</v>
      </c>
      <c r="E1168" s="3" t="s">
        <v>31</v>
      </c>
      <c r="F1168" s="3" t="s">
        <v>32</v>
      </c>
      <c r="G1168" s="4" t="s">
        <v>106</v>
      </c>
      <c r="H1168" s="4">
        <v>18</v>
      </c>
      <c r="I1168" s="5">
        <v>0.26745370370370369</v>
      </c>
      <c r="J1168" s="5">
        <v>8.3182870370370365E-2</v>
      </c>
      <c r="K1168" s="5">
        <f t="shared" si="36"/>
        <v>4.6212705761316869E-3</v>
      </c>
      <c r="L1168" s="5">
        <v>6.8101851851851858E-2</v>
      </c>
      <c r="M1168" s="6">
        <f t="shared" si="37"/>
        <v>0.25463043101956034</v>
      </c>
      <c r="N1168" s="5">
        <v>1.8136574074074076E-2</v>
      </c>
      <c r="O1168" s="5">
        <v>8.2870370370370372E-3</v>
      </c>
      <c r="P1168" s="5"/>
      <c r="Q1168" s="5">
        <v>1.3310185185185185E-2</v>
      </c>
      <c r="R1168" s="5">
        <v>6.9791666666666665E-3</v>
      </c>
      <c r="S1168" s="5">
        <v>1.3969907407407407E-2</v>
      </c>
      <c r="T1168" s="5">
        <v>7.4189814814814813E-3</v>
      </c>
      <c r="U1168" s="5"/>
      <c r="V1168" s="5"/>
      <c r="W1168" s="5"/>
    </row>
    <row r="1169" spans="1:23" x14ac:dyDescent="0.25">
      <c r="A1169" s="2">
        <v>46248</v>
      </c>
      <c r="B1169" s="3" t="s">
        <v>201</v>
      </c>
      <c r="C1169" s="3" t="s">
        <v>545</v>
      </c>
      <c r="D1169" s="3" t="s">
        <v>601</v>
      </c>
      <c r="E1169" s="3" t="s">
        <v>31</v>
      </c>
      <c r="F1169" s="3" t="s">
        <v>600</v>
      </c>
      <c r="G1169" s="4" t="s">
        <v>33</v>
      </c>
      <c r="H1169" s="4">
        <v>26</v>
      </c>
      <c r="I1169" s="5">
        <v>0.23456018518518518</v>
      </c>
      <c r="J1169" s="5">
        <v>5.6574074074074075E-2</v>
      </c>
      <c r="K1169" s="5">
        <f t="shared" si="36"/>
        <v>2.1759259259259258E-3</v>
      </c>
      <c r="L1169" s="5">
        <v>6.8854166666666661E-2</v>
      </c>
      <c r="M1169" s="6">
        <f t="shared" si="37"/>
        <v>0.29354584032369485</v>
      </c>
      <c r="N1169" s="5">
        <v>1.3773148148148149E-2</v>
      </c>
      <c r="O1169" s="5">
        <v>9.6759259259259264E-3</v>
      </c>
      <c r="P1169" s="5">
        <v>1.4421296296296297E-2</v>
      </c>
      <c r="Q1169" s="5"/>
      <c r="R1169" s="5"/>
      <c r="S1169" s="5">
        <v>1.6296296296296295E-2</v>
      </c>
      <c r="T1169" s="5">
        <v>2.0370370370370369E-3</v>
      </c>
      <c r="U1169" s="5">
        <v>1.2638888888888889E-2</v>
      </c>
      <c r="V1169" s="5"/>
      <c r="W1169" s="5"/>
    </row>
    <row r="1170" spans="1:23" x14ac:dyDescent="0.25">
      <c r="A1170" s="2">
        <v>46248</v>
      </c>
      <c r="B1170" s="3" t="s">
        <v>168</v>
      </c>
      <c r="C1170" s="3" t="s">
        <v>520</v>
      </c>
      <c r="D1170" s="3" t="s">
        <v>274</v>
      </c>
      <c r="E1170" s="3" t="s">
        <v>79</v>
      </c>
      <c r="F1170" s="3" t="s">
        <v>147</v>
      </c>
      <c r="G1170" s="4" t="s">
        <v>33</v>
      </c>
      <c r="H1170" s="4">
        <v>14</v>
      </c>
      <c r="I1170" s="5">
        <v>0.26425925925925925</v>
      </c>
      <c r="J1170" s="5">
        <v>2.6886574074074073E-2</v>
      </c>
      <c r="K1170" s="5">
        <f t="shared" si="36"/>
        <v>1.9204695767195766E-3</v>
      </c>
      <c r="L1170" s="5">
        <v>4.4791666666666667E-2</v>
      </c>
      <c r="M1170" s="6">
        <f t="shared" si="37"/>
        <v>0.1694989488437281</v>
      </c>
      <c r="N1170" s="5">
        <v>8.9004629629629625E-3</v>
      </c>
      <c r="O1170" s="5">
        <v>7.3379629629629628E-3</v>
      </c>
      <c r="P1170" s="5"/>
      <c r="Q1170" s="5">
        <v>5.1967592592592595E-3</v>
      </c>
      <c r="R1170" s="5">
        <v>7.4305555555555557E-3</v>
      </c>
      <c r="S1170" s="5">
        <v>1.5682870370370371E-2</v>
      </c>
      <c r="T1170" s="5">
        <v>6.9444444444444444E-5</v>
      </c>
      <c r="U1170" s="5">
        <v>1.7361111111111112E-4</v>
      </c>
      <c r="V1170" s="5"/>
      <c r="W1170" s="5"/>
    </row>
    <row r="1171" spans="1:23" x14ac:dyDescent="0.25">
      <c r="A1171" s="2">
        <v>46248</v>
      </c>
      <c r="B1171" s="3" t="s">
        <v>170</v>
      </c>
      <c r="C1171" s="3" t="s">
        <v>521</v>
      </c>
      <c r="D1171" s="3" t="s">
        <v>146</v>
      </c>
      <c r="E1171" s="3" t="s">
        <v>79</v>
      </c>
      <c r="F1171" s="3" t="s">
        <v>147</v>
      </c>
      <c r="G1171" s="4" t="s">
        <v>106</v>
      </c>
      <c r="H1171" s="4">
        <v>15</v>
      </c>
      <c r="I1171" s="5">
        <v>0.25481481481481483</v>
      </c>
      <c r="J1171" s="5">
        <v>6.1296296296296293E-2</v>
      </c>
      <c r="K1171" s="5">
        <f t="shared" si="36"/>
        <v>4.0864197530864196E-3</v>
      </c>
      <c r="L1171" s="5">
        <v>3.7418981481481484E-2</v>
      </c>
      <c r="M1171" s="6">
        <f t="shared" si="37"/>
        <v>0.14684774709302326</v>
      </c>
      <c r="N1171" s="5">
        <v>5.6365740740740742E-3</v>
      </c>
      <c r="O1171" s="5">
        <v>1.7997685185185186E-2</v>
      </c>
      <c r="P1171" s="5"/>
      <c r="Q1171" s="5"/>
      <c r="R1171" s="5"/>
      <c r="S1171" s="5">
        <v>1.275462962962963E-2</v>
      </c>
      <c r="T1171" s="5">
        <v>4.1666666666666669E-4</v>
      </c>
      <c r="U1171" s="5">
        <v>6.018518518518519E-4</v>
      </c>
      <c r="V1171" s="5"/>
      <c r="W1171" s="5"/>
    </row>
    <row r="1172" spans="1:23" x14ac:dyDescent="0.25">
      <c r="A1172" s="2">
        <v>46248</v>
      </c>
      <c r="B1172" s="3" t="s">
        <v>92</v>
      </c>
      <c r="C1172" s="3" t="s">
        <v>93</v>
      </c>
      <c r="D1172" s="3" t="s">
        <v>78</v>
      </c>
      <c r="E1172" s="3" t="s">
        <v>79</v>
      </c>
      <c r="F1172" s="3" t="s">
        <v>80</v>
      </c>
      <c r="G1172" s="4" t="s">
        <v>81</v>
      </c>
      <c r="H1172" s="4">
        <v>0</v>
      </c>
      <c r="I1172" s="5">
        <v>0.33799768518518519</v>
      </c>
      <c r="J1172" s="5">
        <v>0</v>
      </c>
      <c r="K1172" s="5">
        <f t="shared" si="36"/>
        <v>0</v>
      </c>
      <c r="L1172" s="5">
        <v>0.31270833333333331</v>
      </c>
      <c r="M1172" s="6">
        <f t="shared" si="37"/>
        <v>0.92517891997397517</v>
      </c>
      <c r="N1172" s="5"/>
      <c r="O1172" s="5">
        <v>0.20167824074074073</v>
      </c>
      <c r="P1172" s="5"/>
      <c r="Q1172" s="5"/>
      <c r="R1172" s="5"/>
      <c r="S1172" s="5">
        <v>7.7719907407407404E-2</v>
      </c>
      <c r="T1172" s="5">
        <v>3.3148148148148149E-2</v>
      </c>
      <c r="U1172" s="5">
        <v>1.5046296296296297E-4</v>
      </c>
      <c r="V1172" s="5"/>
      <c r="W1172" s="5"/>
    </row>
    <row r="1173" spans="1:23" x14ac:dyDescent="0.25">
      <c r="A1173" s="2">
        <v>46248</v>
      </c>
      <c r="B1173" s="3" t="s">
        <v>94</v>
      </c>
      <c r="C1173" s="3" t="s">
        <v>95</v>
      </c>
      <c r="D1173" s="3" t="s">
        <v>78</v>
      </c>
      <c r="E1173" s="3" t="s">
        <v>79</v>
      </c>
      <c r="F1173" s="3" t="s">
        <v>80</v>
      </c>
      <c r="G1173" s="4" t="s">
        <v>81</v>
      </c>
      <c r="H1173" s="4">
        <v>0</v>
      </c>
      <c r="I1173" s="5">
        <v>0.34002314814814816</v>
      </c>
      <c r="J1173" s="5">
        <v>0</v>
      </c>
      <c r="K1173" s="5">
        <f t="shared" si="36"/>
        <v>0</v>
      </c>
      <c r="L1173" s="5">
        <v>8.6168981481481485E-2</v>
      </c>
      <c r="M1173" s="6">
        <f t="shared" si="37"/>
        <v>0.2534209272244537</v>
      </c>
      <c r="N1173" s="5">
        <v>1.6261574074074074E-2</v>
      </c>
      <c r="O1173" s="5"/>
      <c r="P1173" s="5"/>
      <c r="Q1173" s="5"/>
      <c r="R1173" s="5">
        <v>5.9918981481481483E-2</v>
      </c>
      <c r="S1173" s="5">
        <v>9.9305555555555553E-3</v>
      </c>
      <c r="T1173" s="5">
        <v>5.7870370370370373E-5</v>
      </c>
      <c r="U1173" s="5"/>
      <c r="V1173" s="5"/>
      <c r="W1173" s="5"/>
    </row>
    <row r="1174" spans="1:23" x14ac:dyDescent="0.25">
      <c r="A1174" s="2">
        <v>46248</v>
      </c>
      <c r="B1174" s="3" t="s">
        <v>293</v>
      </c>
      <c r="C1174" s="3" t="s">
        <v>543</v>
      </c>
      <c r="D1174" s="3" t="s">
        <v>104</v>
      </c>
      <c r="E1174" s="3" t="s">
        <v>31</v>
      </c>
      <c r="F1174" s="3" t="s">
        <v>600</v>
      </c>
      <c r="G1174" s="4" t="s">
        <v>106</v>
      </c>
      <c r="H1174" s="4">
        <v>27</v>
      </c>
      <c r="I1174" s="5">
        <v>0.24815972222222221</v>
      </c>
      <c r="J1174" s="5">
        <v>0.10400462962962963</v>
      </c>
      <c r="K1174" s="5">
        <f t="shared" si="36"/>
        <v>3.8520233196159123E-3</v>
      </c>
      <c r="L1174" s="5">
        <v>0.12364583333333333</v>
      </c>
      <c r="M1174" s="6">
        <f t="shared" si="37"/>
        <v>0.49825101441164127</v>
      </c>
      <c r="N1174" s="5">
        <v>8.2870370370370372E-3</v>
      </c>
      <c r="O1174" s="5">
        <v>1.275462962962963E-2</v>
      </c>
      <c r="P1174" s="5"/>
      <c r="Q1174" s="5"/>
      <c r="R1174" s="5"/>
      <c r="S1174" s="5">
        <v>1.5625E-2</v>
      </c>
      <c r="T1174" s="5">
        <v>1.4236111111111112E-3</v>
      </c>
      <c r="U1174" s="5">
        <v>5.7870370370370373E-5</v>
      </c>
      <c r="V1174" s="5"/>
      <c r="W1174" s="5">
        <v>8.549768518518519E-2</v>
      </c>
    </row>
    <row r="1175" spans="1:23" x14ac:dyDescent="0.25">
      <c r="A1175" s="2">
        <v>46248</v>
      </c>
      <c r="B1175" s="3" t="s">
        <v>606</v>
      </c>
      <c r="C1175" s="3" t="s">
        <v>633</v>
      </c>
      <c r="D1175" s="3" t="s">
        <v>146</v>
      </c>
      <c r="E1175" s="3" t="s">
        <v>79</v>
      </c>
      <c r="F1175" s="3" t="s">
        <v>147</v>
      </c>
      <c r="G1175" s="4" t="s">
        <v>106</v>
      </c>
      <c r="H1175" s="4">
        <v>8</v>
      </c>
      <c r="I1175" s="5">
        <v>0.2578125</v>
      </c>
      <c r="J1175" s="5">
        <v>4.673611111111111E-2</v>
      </c>
      <c r="K1175" s="5">
        <f t="shared" si="36"/>
        <v>5.8420138888888888E-3</v>
      </c>
      <c r="L1175" s="5">
        <v>5.7407407407407407E-2</v>
      </c>
      <c r="M1175" s="6">
        <f t="shared" si="37"/>
        <v>0.22267115600448933</v>
      </c>
      <c r="N1175" s="5">
        <v>1.2662037037037038E-2</v>
      </c>
      <c r="O1175" s="5">
        <v>1.4085648148148147E-2</v>
      </c>
      <c r="P1175" s="5"/>
      <c r="Q1175" s="5"/>
      <c r="R1175" s="5"/>
      <c r="S1175" s="5">
        <v>1.4606481481481481E-2</v>
      </c>
      <c r="T1175" s="5">
        <v>5.0810185185185186E-3</v>
      </c>
      <c r="U1175" s="5">
        <v>8.0208333333333329E-3</v>
      </c>
      <c r="V1175" s="5"/>
      <c r="W1175" s="5">
        <v>2.9050925925925928E-3</v>
      </c>
    </row>
    <row r="1176" spans="1:23" x14ac:dyDescent="0.25">
      <c r="A1176" s="2">
        <v>46248</v>
      </c>
      <c r="B1176" s="3" t="s">
        <v>256</v>
      </c>
      <c r="C1176" s="3" t="s">
        <v>529</v>
      </c>
      <c r="D1176" s="3" t="s">
        <v>233</v>
      </c>
      <c r="E1176" s="3" t="s">
        <v>31</v>
      </c>
      <c r="F1176" s="3" t="s">
        <v>32</v>
      </c>
      <c r="G1176" s="4" t="s">
        <v>106</v>
      </c>
      <c r="H1176" s="4">
        <v>18</v>
      </c>
      <c r="I1176" s="5">
        <v>0.25701388888888888</v>
      </c>
      <c r="J1176" s="5">
        <v>7.72337962962963E-2</v>
      </c>
      <c r="K1176" s="5">
        <f t="shared" si="36"/>
        <v>4.29076646090535E-3</v>
      </c>
      <c r="L1176" s="5">
        <v>5.6851851851851855E-2</v>
      </c>
      <c r="M1176" s="6">
        <f t="shared" si="37"/>
        <v>0.22120147707826715</v>
      </c>
      <c r="N1176" s="5">
        <v>2.417824074074074E-2</v>
      </c>
      <c r="O1176" s="5">
        <v>9.2245370370370363E-3</v>
      </c>
      <c r="P1176" s="5"/>
      <c r="Q1176" s="5"/>
      <c r="R1176" s="5"/>
      <c r="S1176" s="5">
        <v>1.7233796296296296E-2</v>
      </c>
      <c r="T1176" s="5">
        <v>1.5046296296296297E-4</v>
      </c>
      <c r="U1176" s="5">
        <v>6.0069444444444441E-3</v>
      </c>
      <c r="V1176" s="5"/>
      <c r="W1176" s="5"/>
    </row>
    <row r="1177" spans="1:23" x14ac:dyDescent="0.25">
      <c r="A1177" s="2">
        <v>46248</v>
      </c>
      <c r="B1177" s="3" t="s">
        <v>612</v>
      </c>
      <c r="C1177" s="3" t="s">
        <v>634</v>
      </c>
      <c r="D1177" s="3" t="s">
        <v>601</v>
      </c>
      <c r="E1177" s="3" t="s">
        <v>31</v>
      </c>
      <c r="F1177" s="3" t="s">
        <v>105</v>
      </c>
      <c r="G1177" s="4" t="s">
        <v>33</v>
      </c>
      <c r="H1177" s="4">
        <v>1</v>
      </c>
      <c r="I1177" s="5">
        <v>0.22310185185185186</v>
      </c>
      <c r="J1177" s="5">
        <v>1.2997685185185185E-2</v>
      </c>
      <c r="K1177" s="5">
        <f t="shared" si="36"/>
        <v>1.2997685185185185E-2</v>
      </c>
      <c r="L1177" s="5">
        <v>0.2119675925925926</v>
      </c>
      <c r="M1177" s="6">
        <f t="shared" si="37"/>
        <v>0.95009338036937119</v>
      </c>
      <c r="N1177" s="5">
        <v>2.5335648148148149E-2</v>
      </c>
      <c r="O1177" s="5">
        <v>1.511574074074074E-2</v>
      </c>
      <c r="P1177" s="5"/>
      <c r="Q1177" s="5">
        <v>2.3935185185185184E-2</v>
      </c>
      <c r="R1177" s="5"/>
      <c r="S1177" s="5">
        <v>1.3078703703703703E-3</v>
      </c>
      <c r="T1177" s="5">
        <v>8.9699074074074073E-3</v>
      </c>
      <c r="U1177" s="5">
        <v>0.13730324074074074</v>
      </c>
      <c r="V1177" s="5"/>
      <c r="W1177" s="5"/>
    </row>
    <row r="1178" spans="1:23" x14ac:dyDescent="0.25">
      <c r="A1178" s="2">
        <v>46248</v>
      </c>
      <c r="B1178" s="3" t="s">
        <v>258</v>
      </c>
      <c r="C1178" s="3" t="s">
        <v>554</v>
      </c>
      <c r="D1178" s="3" t="s">
        <v>233</v>
      </c>
      <c r="E1178" s="3" t="s">
        <v>31</v>
      </c>
      <c r="F1178" s="3" t="s">
        <v>32</v>
      </c>
      <c r="G1178" s="4" t="s">
        <v>106</v>
      </c>
      <c r="H1178" s="4">
        <v>1</v>
      </c>
      <c r="I1178" s="5">
        <v>0.21149305555555556</v>
      </c>
      <c r="J1178" s="5">
        <v>1.1319444444444444E-2</v>
      </c>
      <c r="K1178" s="5">
        <f t="shared" si="36"/>
        <v>1.1319444444444444E-2</v>
      </c>
      <c r="L1178" s="5">
        <v>0.18967592592592591</v>
      </c>
      <c r="M1178" s="6">
        <f t="shared" si="37"/>
        <v>0.89684233568653193</v>
      </c>
      <c r="N1178" s="5"/>
      <c r="O1178" s="5"/>
      <c r="P1178" s="5"/>
      <c r="Q1178" s="5"/>
      <c r="R1178" s="5"/>
      <c r="S1178" s="5">
        <v>1.3564814814814814E-2</v>
      </c>
      <c r="T1178" s="5">
        <v>2.5462962962962961E-4</v>
      </c>
      <c r="U1178" s="5"/>
      <c r="V1178" s="5"/>
      <c r="W1178" s="5">
        <v>0.17585648148148147</v>
      </c>
    </row>
    <row r="1179" spans="1:23" x14ac:dyDescent="0.25">
      <c r="A1179" s="2">
        <v>46248</v>
      </c>
      <c r="B1179" s="3" t="s">
        <v>661</v>
      </c>
      <c r="C1179" s="3" t="s">
        <v>662</v>
      </c>
      <c r="D1179" s="3" t="s">
        <v>100</v>
      </c>
      <c r="E1179" s="3" t="s">
        <v>31</v>
      </c>
      <c r="F1179" s="3" t="s">
        <v>32</v>
      </c>
      <c r="G1179" s="4" t="s">
        <v>33</v>
      </c>
      <c r="H1179" s="4">
        <v>29</v>
      </c>
      <c r="I1179" s="5">
        <v>0.25987268518518519</v>
      </c>
      <c r="J1179" s="5">
        <v>0.16571759259259258</v>
      </c>
      <c r="K1179" s="5">
        <f t="shared" si="36"/>
        <v>5.7143997445721576E-3</v>
      </c>
      <c r="L1179" s="5">
        <v>5.7708333333333334E-2</v>
      </c>
      <c r="M1179" s="6">
        <f t="shared" si="37"/>
        <v>0.22206386674386497</v>
      </c>
      <c r="N1179" s="5">
        <v>1.6215277777777776E-2</v>
      </c>
      <c r="O1179" s="5">
        <v>1.7708333333333333E-2</v>
      </c>
      <c r="P1179" s="5"/>
      <c r="Q1179" s="5"/>
      <c r="R1179" s="5"/>
      <c r="S1179" s="5">
        <v>1.4270833333333333E-2</v>
      </c>
      <c r="T1179" s="5">
        <v>1.8171296296296297E-3</v>
      </c>
      <c r="U1179" s="5">
        <v>2.0370370370370369E-3</v>
      </c>
      <c r="V1179" s="5"/>
      <c r="W1179" s="5">
        <v>5.6134259259259262E-3</v>
      </c>
    </row>
    <row r="1180" spans="1:23" x14ac:dyDescent="0.25">
      <c r="A1180" s="2">
        <v>46248</v>
      </c>
      <c r="B1180" s="3" t="s">
        <v>663</v>
      </c>
      <c r="C1180" s="3" t="s">
        <v>664</v>
      </c>
      <c r="D1180" s="3" t="s">
        <v>233</v>
      </c>
      <c r="E1180" s="3" t="s">
        <v>31</v>
      </c>
      <c r="F1180" s="3" t="s">
        <v>32</v>
      </c>
      <c r="G1180" s="4" t="s">
        <v>106</v>
      </c>
      <c r="H1180" s="4">
        <v>19</v>
      </c>
      <c r="I1180" s="5">
        <v>0.26494212962962965</v>
      </c>
      <c r="J1180" s="5">
        <v>0.14467592592592593</v>
      </c>
      <c r="K1180" s="5">
        <f t="shared" si="36"/>
        <v>7.6145224171539965E-3</v>
      </c>
      <c r="L1180" s="5">
        <v>4.3981481481481483E-2</v>
      </c>
      <c r="M1180" s="6">
        <f t="shared" si="37"/>
        <v>0.16600410641736926</v>
      </c>
      <c r="N1180" s="5">
        <v>5.9490740740740745E-3</v>
      </c>
      <c r="O1180" s="5">
        <v>1.3819444444444445E-2</v>
      </c>
      <c r="P1180" s="5"/>
      <c r="Q1180" s="5">
        <v>4.7222222222222223E-3</v>
      </c>
      <c r="R1180" s="5"/>
      <c r="S1180" s="5">
        <v>1.9166666666666665E-2</v>
      </c>
      <c r="T1180" s="5">
        <v>8.1018518518518516E-5</v>
      </c>
      <c r="U1180" s="5">
        <v>2.3148148148148149E-4</v>
      </c>
      <c r="V1180" s="5"/>
      <c r="W1180" s="5"/>
    </row>
    <row r="1181" spans="1:23" x14ac:dyDescent="0.25">
      <c r="A1181" s="2">
        <v>46248</v>
      </c>
      <c r="B1181" s="3" t="s">
        <v>665</v>
      </c>
      <c r="C1181" s="3" t="s">
        <v>666</v>
      </c>
      <c r="D1181" s="3" t="s">
        <v>100</v>
      </c>
      <c r="E1181" s="3" t="s">
        <v>31</v>
      </c>
      <c r="F1181" s="3" t="s">
        <v>32</v>
      </c>
      <c r="G1181" s="4" t="s">
        <v>33</v>
      </c>
      <c r="H1181" s="4">
        <v>30</v>
      </c>
      <c r="I1181" s="5">
        <v>0.25535879629629632</v>
      </c>
      <c r="J1181" s="5">
        <v>0.18457175925925925</v>
      </c>
      <c r="K1181" s="5">
        <f t="shared" si="36"/>
        <v>6.1523919753086421E-3</v>
      </c>
      <c r="L1181" s="5">
        <v>3.0347222222222223E-2</v>
      </c>
      <c r="M1181" s="6">
        <f t="shared" si="37"/>
        <v>0.11884149934279109</v>
      </c>
      <c r="N1181" s="5">
        <v>1.3773148148148147E-3</v>
      </c>
      <c r="O1181" s="5">
        <v>1.3125E-2</v>
      </c>
      <c r="P1181" s="5"/>
      <c r="Q1181" s="5"/>
      <c r="R1181" s="5"/>
      <c r="S1181" s="5">
        <v>1.3125E-2</v>
      </c>
      <c r="T1181" s="5">
        <v>1.6203703703703703E-4</v>
      </c>
      <c r="U1181" s="5">
        <v>1.25E-3</v>
      </c>
      <c r="V1181" s="5"/>
      <c r="W1181" s="5">
        <v>1.25E-3</v>
      </c>
    </row>
    <row r="1182" spans="1:23" x14ac:dyDescent="0.25">
      <c r="A1182" s="2">
        <v>46248</v>
      </c>
      <c r="B1182" s="3" t="s">
        <v>264</v>
      </c>
      <c r="C1182" s="3" t="s">
        <v>530</v>
      </c>
      <c r="D1182" s="3" t="s">
        <v>78</v>
      </c>
      <c r="E1182" s="3" t="s">
        <v>79</v>
      </c>
      <c r="F1182" s="3" t="s">
        <v>80</v>
      </c>
      <c r="G1182" s="4" t="s">
        <v>106</v>
      </c>
      <c r="H1182" s="4">
        <v>0</v>
      </c>
      <c r="I1182" s="5">
        <v>1.1805555555555556E-3</v>
      </c>
      <c r="J1182" s="5">
        <v>0</v>
      </c>
      <c r="K1182" s="5">
        <f t="shared" si="36"/>
        <v>0</v>
      </c>
      <c r="L1182" s="5">
        <v>0</v>
      </c>
      <c r="M1182" s="6">
        <f t="shared" si="37"/>
        <v>0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25">
      <c r="A1183" s="2">
        <v>46248</v>
      </c>
      <c r="B1183" s="3" t="s">
        <v>128</v>
      </c>
      <c r="C1183" s="3" t="s">
        <v>555</v>
      </c>
      <c r="D1183" s="3" t="s">
        <v>233</v>
      </c>
      <c r="E1183" s="3" t="s">
        <v>31</v>
      </c>
      <c r="F1183" s="3" t="s">
        <v>32</v>
      </c>
      <c r="G1183" s="4" t="s">
        <v>106</v>
      </c>
      <c r="H1183" s="4">
        <v>27</v>
      </c>
      <c r="I1183" s="5">
        <v>0.24570601851851853</v>
      </c>
      <c r="J1183" s="5">
        <v>9.0057870370370371E-2</v>
      </c>
      <c r="K1183" s="5">
        <f t="shared" si="36"/>
        <v>3.335476680384088E-3</v>
      </c>
      <c r="L1183" s="5">
        <v>6.4560185185185179E-2</v>
      </c>
      <c r="M1183" s="6">
        <f t="shared" si="37"/>
        <v>0.26275378020632151</v>
      </c>
      <c r="N1183" s="5">
        <v>1.2210648148148148E-2</v>
      </c>
      <c r="O1183" s="5">
        <v>2.1550925925925925E-2</v>
      </c>
      <c r="P1183" s="5"/>
      <c r="Q1183" s="5">
        <v>6.7708333333333336E-3</v>
      </c>
      <c r="R1183" s="5"/>
      <c r="S1183" s="5">
        <v>1.8148148148148149E-2</v>
      </c>
      <c r="T1183" s="5">
        <v>5.7986111111111112E-3</v>
      </c>
      <c r="U1183" s="5">
        <v>6.9444444444444444E-5</v>
      </c>
      <c r="V1183" s="5"/>
      <c r="W1183" s="5"/>
    </row>
    <row r="1184" spans="1:23" x14ac:dyDescent="0.25">
      <c r="A1184" s="2">
        <v>46248</v>
      </c>
      <c r="B1184" s="3" t="s">
        <v>178</v>
      </c>
      <c r="C1184" s="3" t="s">
        <v>522</v>
      </c>
      <c r="D1184" s="3" t="s">
        <v>146</v>
      </c>
      <c r="E1184" s="3" t="s">
        <v>79</v>
      </c>
      <c r="F1184" s="3" t="s">
        <v>147</v>
      </c>
      <c r="G1184" s="4" t="s">
        <v>106</v>
      </c>
      <c r="H1184" s="4">
        <v>13</v>
      </c>
      <c r="I1184" s="5">
        <v>0.25369212962962961</v>
      </c>
      <c r="J1184" s="5">
        <v>3.5486111111111114E-2</v>
      </c>
      <c r="K1184" s="5">
        <f t="shared" si="36"/>
        <v>2.7297008547008551E-3</v>
      </c>
      <c r="L1184" s="5">
        <v>3.0532407407407407E-2</v>
      </c>
      <c r="M1184" s="6">
        <f t="shared" si="37"/>
        <v>0.12035220584880697</v>
      </c>
      <c r="N1184" s="5"/>
      <c r="O1184" s="5">
        <v>1.7210648148148149E-2</v>
      </c>
      <c r="P1184" s="5"/>
      <c r="Q1184" s="5"/>
      <c r="R1184" s="5">
        <v>1.9675925925925926E-4</v>
      </c>
      <c r="S1184" s="5">
        <v>1.1087962962962963E-2</v>
      </c>
      <c r="T1184" s="5">
        <v>1.3888888888888889E-4</v>
      </c>
      <c r="U1184" s="5">
        <v>1.8634259259259259E-3</v>
      </c>
      <c r="V1184" s="5"/>
      <c r="W1184" s="5"/>
    </row>
    <row r="1185" spans="1:23" x14ac:dyDescent="0.25">
      <c r="A1185" s="2">
        <v>46248</v>
      </c>
      <c r="B1185" s="3" t="s">
        <v>266</v>
      </c>
      <c r="C1185" s="3" t="s">
        <v>531</v>
      </c>
      <c r="D1185" s="3" t="s">
        <v>233</v>
      </c>
      <c r="E1185" s="3" t="s">
        <v>31</v>
      </c>
      <c r="F1185" s="3" t="s">
        <v>32</v>
      </c>
      <c r="G1185" s="4" t="s">
        <v>106</v>
      </c>
      <c r="H1185" s="4">
        <v>0</v>
      </c>
      <c r="I1185" s="5">
        <v>0.24056712962962962</v>
      </c>
      <c r="J1185" s="5">
        <v>0</v>
      </c>
      <c r="K1185" s="5">
        <f t="shared" si="36"/>
        <v>0</v>
      </c>
      <c r="L1185" s="5">
        <v>0.24056712962962962</v>
      </c>
      <c r="M1185" s="6">
        <f t="shared" si="37"/>
        <v>1</v>
      </c>
      <c r="N1185" s="5"/>
      <c r="O1185" s="5">
        <v>1.457175925925926E-2</v>
      </c>
      <c r="P1185" s="5"/>
      <c r="Q1185" s="5"/>
      <c r="R1185" s="5"/>
      <c r="S1185" s="5">
        <v>1.4675925925925926E-2</v>
      </c>
      <c r="T1185" s="5">
        <v>6.9444444444444447E-4</v>
      </c>
      <c r="U1185" s="5"/>
      <c r="V1185" s="5"/>
      <c r="W1185" s="5">
        <v>0.21062500000000001</v>
      </c>
    </row>
    <row r="1186" spans="1:23" x14ac:dyDescent="0.25">
      <c r="A1186" s="2">
        <v>46248</v>
      </c>
      <c r="B1186" s="3" t="s">
        <v>297</v>
      </c>
      <c r="C1186" s="3" t="s">
        <v>667</v>
      </c>
      <c r="D1186" s="3" t="s">
        <v>104</v>
      </c>
      <c r="E1186" s="3" t="s">
        <v>31</v>
      </c>
      <c r="F1186" s="3" t="s">
        <v>105</v>
      </c>
      <c r="G1186" s="4" t="s">
        <v>106</v>
      </c>
      <c r="H1186" s="4">
        <v>3</v>
      </c>
      <c r="I1186" s="5">
        <v>0.20949074074074073</v>
      </c>
      <c r="J1186" s="5">
        <v>3.6284722222222225E-2</v>
      </c>
      <c r="K1186" s="5">
        <f t="shared" si="36"/>
        <v>1.2094907407407408E-2</v>
      </c>
      <c r="L1186" s="5">
        <v>0.1955324074074074</v>
      </c>
      <c r="M1186" s="6">
        <f t="shared" si="37"/>
        <v>0.93337016574585641</v>
      </c>
      <c r="N1186" s="5">
        <v>1.3229166666666667E-2</v>
      </c>
      <c r="O1186" s="5">
        <v>1.6018518518518519E-2</v>
      </c>
      <c r="P1186" s="5"/>
      <c r="Q1186" s="5"/>
      <c r="R1186" s="5"/>
      <c r="S1186" s="5">
        <v>1.3530092592592592E-2</v>
      </c>
      <c r="T1186" s="5">
        <v>1.6261574074074074E-2</v>
      </c>
      <c r="U1186" s="5">
        <v>3.8194444444444446E-4</v>
      </c>
      <c r="V1186" s="5"/>
      <c r="W1186" s="5">
        <v>0.1361111111111111</v>
      </c>
    </row>
    <row r="1187" spans="1:23" x14ac:dyDescent="0.25">
      <c r="A1187" s="2">
        <v>46248</v>
      </c>
      <c r="B1187" s="3" t="s">
        <v>207</v>
      </c>
      <c r="C1187" s="3" t="s">
        <v>566</v>
      </c>
      <c r="D1187" s="3" t="s">
        <v>274</v>
      </c>
      <c r="E1187" s="3" t="s">
        <v>79</v>
      </c>
      <c r="F1187" s="3" t="s">
        <v>147</v>
      </c>
      <c r="G1187" s="4" t="s">
        <v>33</v>
      </c>
      <c r="H1187" s="4">
        <v>13</v>
      </c>
      <c r="I1187" s="5">
        <v>0.25760416666666669</v>
      </c>
      <c r="J1187" s="5">
        <v>4.6793981481481478E-2</v>
      </c>
      <c r="K1187" s="5">
        <f t="shared" si="36"/>
        <v>3.5995370370370369E-3</v>
      </c>
      <c r="L1187" s="5">
        <v>3.2164351851851854E-2</v>
      </c>
      <c r="M1187" s="6">
        <f t="shared" si="37"/>
        <v>0.12485959473424091</v>
      </c>
      <c r="N1187" s="5">
        <v>8.1018518518518516E-4</v>
      </c>
      <c r="O1187" s="5">
        <v>1.4409722222222223E-2</v>
      </c>
      <c r="P1187" s="5"/>
      <c r="Q1187" s="5">
        <v>2.7777777777777778E-4</v>
      </c>
      <c r="R1187" s="5">
        <v>2.1875000000000002E-3</v>
      </c>
      <c r="S1187" s="5">
        <v>1.3958333333333333E-2</v>
      </c>
      <c r="T1187" s="5">
        <v>1.273148148148148E-4</v>
      </c>
      <c r="U1187" s="5">
        <v>3.8194444444444446E-4</v>
      </c>
      <c r="V1187" s="5"/>
      <c r="W1187" s="5"/>
    </row>
    <row r="1188" spans="1:23" x14ac:dyDescent="0.25">
      <c r="A1188" s="2">
        <v>46248</v>
      </c>
      <c r="B1188" s="3" t="s">
        <v>614</v>
      </c>
      <c r="C1188" s="3" t="s">
        <v>635</v>
      </c>
      <c r="D1188" s="3" t="s">
        <v>601</v>
      </c>
      <c r="E1188" s="3" t="s">
        <v>31</v>
      </c>
      <c r="F1188" s="3" t="s">
        <v>105</v>
      </c>
      <c r="G1188" s="4" t="s">
        <v>33</v>
      </c>
      <c r="H1188" s="4">
        <v>1</v>
      </c>
      <c r="I1188" s="5">
        <v>0.22381944444444443</v>
      </c>
      <c r="J1188" s="5">
        <v>4.4907407407407405E-3</v>
      </c>
      <c r="K1188" s="5">
        <f t="shared" si="36"/>
        <v>4.4907407407407405E-3</v>
      </c>
      <c r="L1188" s="5">
        <v>0.22137731481481482</v>
      </c>
      <c r="M1188" s="6">
        <f t="shared" si="37"/>
        <v>0.98908884062467683</v>
      </c>
      <c r="N1188" s="5"/>
      <c r="O1188" s="5">
        <v>1.1550925925925926E-2</v>
      </c>
      <c r="P1188" s="5"/>
      <c r="Q1188" s="5"/>
      <c r="R1188" s="5"/>
      <c r="S1188" s="5">
        <v>1.712962962962963E-3</v>
      </c>
      <c r="T1188" s="5">
        <v>1.2951388888888889E-2</v>
      </c>
      <c r="U1188" s="5">
        <v>0.19516203703703705</v>
      </c>
      <c r="V1188" s="5"/>
      <c r="W1188" s="5"/>
    </row>
    <row r="1189" spans="1:23" x14ac:dyDescent="0.25">
      <c r="A1189" s="2">
        <v>46248</v>
      </c>
      <c r="B1189" s="3" t="s">
        <v>96</v>
      </c>
      <c r="C1189" s="3" t="s">
        <v>97</v>
      </c>
      <c r="D1189" s="3" t="s">
        <v>78</v>
      </c>
      <c r="E1189" s="3" t="s">
        <v>79</v>
      </c>
      <c r="F1189" s="3" t="s">
        <v>80</v>
      </c>
      <c r="G1189" s="4" t="s">
        <v>81</v>
      </c>
      <c r="H1189" s="4">
        <v>0</v>
      </c>
      <c r="I1189" s="5">
        <v>0.34445601851851854</v>
      </c>
      <c r="J1189" s="5">
        <v>0</v>
      </c>
      <c r="K1189" s="5">
        <f t="shared" si="36"/>
        <v>0</v>
      </c>
      <c r="L1189" s="5">
        <v>0.12685185185185185</v>
      </c>
      <c r="M1189" s="6">
        <f t="shared" si="37"/>
        <v>0.36826719532273777</v>
      </c>
      <c r="N1189" s="5">
        <v>0.10589120370370371</v>
      </c>
      <c r="O1189" s="5"/>
      <c r="P1189" s="5"/>
      <c r="Q1189" s="5"/>
      <c r="R1189" s="5"/>
      <c r="S1189" s="5">
        <v>2.0312500000000001E-2</v>
      </c>
      <c r="T1189" s="5">
        <v>6.9444444444444444E-5</v>
      </c>
      <c r="U1189" s="5">
        <v>5.3240740740740744E-4</v>
      </c>
      <c r="V1189" s="5"/>
      <c r="W1189" s="5"/>
    </row>
    <row r="1190" spans="1:23" x14ac:dyDescent="0.25">
      <c r="A1190" s="2">
        <v>46248</v>
      </c>
      <c r="B1190" s="3" t="s">
        <v>180</v>
      </c>
      <c r="C1190" s="3" t="s">
        <v>523</v>
      </c>
      <c r="D1190" s="3" t="s">
        <v>146</v>
      </c>
      <c r="E1190" s="3" t="s">
        <v>79</v>
      </c>
      <c r="F1190" s="3" t="s">
        <v>147</v>
      </c>
      <c r="G1190" s="4" t="s">
        <v>106</v>
      </c>
      <c r="H1190" s="4">
        <v>12</v>
      </c>
      <c r="I1190" s="5">
        <v>0.25723379629629628</v>
      </c>
      <c r="J1190" s="5">
        <v>5.3530092592592594E-2</v>
      </c>
      <c r="K1190" s="5">
        <f t="shared" si="36"/>
        <v>4.4608410493827159E-3</v>
      </c>
      <c r="L1190" s="5">
        <v>3.4918981481481481E-2</v>
      </c>
      <c r="M1190" s="6">
        <f t="shared" si="37"/>
        <v>0.13574803149606299</v>
      </c>
      <c r="N1190" s="5">
        <v>5.8101851851851856E-3</v>
      </c>
      <c r="O1190" s="5">
        <v>1.4502314814814815E-2</v>
      </c>
      <c r="P1190" s="5"/>
      <c r="Q1190" s="5"/>
      <c r="R1190" s="5"/>
      <c r="S1190" s="5">
        <v>1.4027777777777778E-2</v>
      </c>
      <c r="T1190" s="5">
        <v>1.5046296296296297E-4</v>
      </c>
      <c r="U1190" s="5">
        <v>4.1666666666666669E-4</v>
      </c>
      <c r="V1190" s="5"/>
      <c r="W1190" s="5"/>
    </row>
    <row r="1191" spans="1:23" x14ac:dyDescent="0.25">
      <c r="A1191" s="2">
        <v>46248</v>
      </c>
      <c r="B1191" s="3" t="s">
        <v>615</v>
      </c>
      <c r="C1191" s="3" t="s">
        <v>636</v>
      </c>
      <c r="D1191" s="3" t="s">
        <v>601</v>
      </c>
      <c r="E1191" s="3" t="s">
        <v>31</v>
      </c>
      <c r="F1191" s="3" t="s">
        <v>105</v>
      </c>
      <c r="G1191" s="4" t="s">
        <v>33</v>
      </c>
      <c r="H1191" s="4">
        <v>4</v>
      </c>
      <c r="I1191" s="5">
        <v>0.24158564814814815</v>
      </c>
      <c r="J1191" s="5">
        <v>7.0000000000000007E-2</v>
      </c>
      <c r="K1191" s="5">
        <f t="shared" si="36"/>
        <v>1.7500000000000002E-2</v>
      </c>
      <c r="L1191" s="5">
        <v>0.23020833333333332</v>
      </c>
      <c r="M1191" s="6">
        <f t="shared" si="37"/>
        <v>0.95290566760887263</v>
      </c>
      <c r="N1191" s="5">
        <v>1.8518518518518519E-3</v>
      </c>
      <c r="O1191" s="5">
        <v>1.2048611111111111E-2</v>
      </c>
      <c r="P1191" s="5"/>
      <c r="Q1191" s="5"/>
      <c r="R1191" s="5"/>
      <c r="S1191" s="5">
        <v>1.2962962962962963E-2</v>
      </c>
      <c r="T1191" s="5">
        <v>1.2268518518518518E-3</v>
      </c>
      <c r="U1191" s="5">
        <v>0.2020949074074074</v>
      </c>
      <c r="V1191" s="5"/>
      <c r="W1191" s="5">
        <v>2.3148148148148147E-5</v>
      </c>
    </row>
    <row r="1192" spans="1:23" x14ac:dyDescent="0.25">
      <c r="A1192" s="2">
        <v>46248</v>
      </c>
      <c r="B1192" s="3" t="s">
        <v>616</v>
      </c>
      <c r="C1192" s="3" t="s">
        <v>637</v>
      </c>
      <c r="D1192" s="3" t="s">
        <v>601</v>
      </c>
      <c r="E1192" s="3" t="s">
        <v>31</v>
      </c>
      <c r="F1192" s="3" t="s">
        <v>105</v>
      </c>
      <c r="G1192" s="4" t="s">
        <v>33</v>
      </c>
      <c r="H1192" s="4">
        <v>2</v>
      </c>
      <c r="I1192" s="5">
        <v>0.20550925925925925</v>
      </c>
      <c r="J1192" s="5">
        <v>2.7534722222222221E-2</v>
      </c>
      <c r="K1192" s="5">
        <f t="shared" si="36"/>
        <v>1.376736111111111E-2</v>
      </c>
      <c r="L1192" s="5">
        <v>0.19317129629629629</v>
      </c>
      <c r="M1192" s="6">
        <f t="shared" si="37"/>
        <v>0.93996395584591119</v>
      </c>
      <c r="N1192" s="5">
        <v>9.5023148148148141E-3</v>
      </c>
      <c r="O1192" s="5">
        <v>1.0219907407407407E-2</v>
      </c>
      <c r="P1192" s="5"/>
      <c r="Q1192" s="5"/>
      <c r="R1192" s="5"/>
      <c r="S1192" s="5">
        <v>1.4178240740740741E-2</v>
      </c>
      <c r="T1192" s="5">
        <v>1.0416666666666667E-3</v>
      </c>
      <c r="U1192" s="5">
        <v>0.15822916666666667</v>
      </c>
      <c r="V1192" s="5"/>
      <c r="W1192" s="5"/>
    </row>
    <row r="1193" spans="1:23" x14ac:dyDescent="0.25">
      <c r="A1193" s="2">
        <v>46248</v>
      </c>
      <c r="B1193" s="3" t="s">
        <v>209</v>
      </c>
      <c r="C1193" s="3" t="s">
        <v>567</v>
      </c>
      <c r="D1193" s="3" t="s">
        <v>601</v>
      </c>
      <c r="E1193" s="3" t="s">
        <v>31</v>
      </c>
      <c r="F1193" s="3" t="s">
        <v>105</v>
      </c>
      <c r="G1193" s="4" t="s">
        <v>33</v>
      </c>
      <c r="H1193" s="4">
        <v>1</v>
      </c>
      <c r="I1193" s="5">
        <v>0.2087037037037037</v>
      </c>
      <c r="J1193" s="5">
        <v>3.3611111111111112E-2</v>
      </c>
      <c r="K1193" s="5">
        <f t="shared" si="36"/>
        <v>3.3611111111111112E-2</v>
      </c>
      <c r="L1193" s="5">
        <v>0.17640046296296297</v>
      </c>
      <c r="M1193" s="6">
        <f t="shared" si="37"/>
        <v>0.84521960958296372</v>
      </c>
      <c r="N1193" s="5">
        <v>1.9212962962962964E-3</v>
      </c>
      <c r="O1193" s="5">
        <v>7.0949074074074074E-3</v>
      </c>
      <c r="P1193" s="5"/>
      <c r="Q1193" s="5"/>
      <c r="R1193" s="5"/>
      <c r="S1193" s="5">
        <v>1.6006944444444445E-2</v>
      </c>
      <c r="T1193" s="5">
        <v>1.9675925925925924E-3</v>
      </c>
      <c r="U1193" s="5">
        <v>0.14940972222222224</v>
      </c>
      <c r="V1193" s="5"/>
      <c r="W1193" s="5"/>
    </row>
    <row r="1194" spans="1:23" x14ac:dyDescent="0.25">
      <c r="A1194" s="2">
        <v>46248</v>
      </c>
      <c r="B1194" s="3" t="s">
        <v>60</v>
      </c>
      <c r="C1194" s="3" t="s">
        <v>510</v>
      </c>
      <c r="D1194" s="3" t="s">
        <v>100</v>
      </c>
      <c r="E1194" s="3" t="s">
        <v>31</v>
      </c>
      <c r="F1194" s="3" t="s">
        <v>32</v>
      </c>
      <c r="G1194" s="4" t="s">
        <v>33</v>
      </c>
      <c r="H1194" s="4">
        <v>33</v>
      </c>
      <c r="I1194" s="5">
        <v>0.2643287037037037</v>
      </c>
      <c r="J1194" s="5">
        <v>0.20256944444444444</v>
      </c>
      <c r="K1194" s="5">
        <f t="shared" si="36"/>
        <v>6.1384680134680134E-3</v>
      </c>
      <c r="L1194" s="5">
        <v>3.3819444444444444E-2</v>
      </c>
      <c r="M1194" s="6">
        <f t="shared" si="37"/>
        <v>0.12794465364742971</v>
      </c>
      <c r="N1194" s="5">
        <v>2.7430555555555554E-3</v>
      </c>
      <c r="O1194" s="5">
        <v>1.4675925925925926E-2</v>
      </c>
      <c r="P1194" s="5"/>
      <c r="Q1194" s="5"/>
      <c r="R1194" s="5"/>
      <c r="S1194" s="5">
        <v>1.4641203703703703E-2</v>
      </c>
      <c r="T1194" s="5">
        <v>6.9444444444444444E-5</v>
      </c>
      <c r="U1194" s="5">
        <v>1.6203703703703703E-3</v>
      </c>
      <c r="V1194" s="5"/>
      <c r="W1194" s="5"/>
    </row>
    <row r="1195" spans="1:23" x14ac:dyDescent="0.25">
      <c r="A1195" s="2">
        <v>46248</v>
      </c>
      <c r="B1195" s="3" t="s">
        <v>132</v>
      </c>
      <c r="C1195" s="3" t="s">
        <v>512</v>
      </c>
      <c r="D1195" s="3" t="s">
        <v>104</v>
      </c>
      <c r="E1195" s="3" t="s">
        <v>31</v>
      </c>
      <c r="F1195" s="3" t="s">
        <v>105</v>
      </c>
      <c r="G1195" s="4" t="s">
        <v>106</v>
      </c>
      <c r="H1195" s="4">
        <v>3</v>
      </c>
      <c r="I1195" s="5">
        <v>0.23670138888888889</v>
      </c>
      <c r="J1195" s="5">
        <v>3.923611111111111E-2</v>
      </c>
      <c r="K1195" s="5">
        <f t="shared" si="36"/>
        <v>1.3078703703703703E-2</v>
      </c>
      <c r="L1195" s="5">
        <v>0.21082175925925925</v>
      </c>
      <c r="M1195" s="6">
        <f t="shared" si="37"/>
        <v>0.89066549312992027</v>
      </c>
      <c r="N1195" s="5">
        <v>1.4236111111111112E-3</v>
      </c>
      <c r="O1195" s="5">
        <v>1.892361111111111E-2</v>
      </c>
      <c r="P1195" s="5"/>
      <c r="Q1195" s="5"/>
      <c r="R1195" s="5"/>
      <c r="S1195" s="5">
        <v>1.4722222222222222E-2</v>
      </c>
      <c r="T1195" s="5">
        <v>4.4675925925925924E-3</v>
      </c>
      <c r="U1195" s="5">
        <v>4.5138888888888887E-4</v>
      </c>
      <c r="V1195" s="5"/>
      <c r="W1195" s="5">
        <v>0.17082175925925927</v>
      </c>
    </row>
    <row r="1196" spans="1:23" x14ac:dyDescent="0.25">
      <c r="A1196" s="2">
        <v>46248</v>
      </c>
      <c r="B1196" s="3" t="s">
        <v>211</v>
      </c>
      <c r="C1196" s="3" t="s">
        <v>546</v>
      </c>
      <c r="D1196" s="3" t="s">
        <v>104</v>
      </c>
      <c r="E1196" s="3" t="s">
        <v>31</v>
      </c>
      <c r="F1196" s="3" t="s">
        <v>105</v>
      </c>
      <c r="G1196" s="4" t="s">
        <v>106</v>
      </c>
      <c r="H1196" s="4">
        <v>3</v>
      </c>
      <c r="I1196" s="5">
        <v>0.1998263888888889</v>
      </c>
      <c r="J1196" s="5">
        <v>8.8888888888888892E-2</v>
      </c>
      <c r="K1196" s="5">
        <f t="shared" si="36"/>
        <v>2.9629629629629631E-2</v>
      </c>
      <c r="L1196" s="5">
        <v>0.14141203703703703</v>
      </c>
      <c r="M1196" s="6">
        <f t="shared" si="37"/>
        <v>0.70767448595424265</v>
      </c>
      <c r="N1196" s="5"/>
      <c r="O1196" s="5">
        <v>1.9212962962962963E-2</v>
      </c>
      <c r="P1196" s="5">
        <v>3.7546296296296293E-2</v>
      </c>
      <c r="Q1196" s="5"/>
      <c r="R1196" s="5"/>
      <c r="S1196" s="5"/>
      <c r="T1196" s="5">
        <v>2.5462962962962961E-4</v>
      </c>
      <c r="U1196" s="5">
        <v>3.1250000000000001E-4</v>
      </c>
      <c r="V1196" s="5"/>
      <c r="W1196" s="5">
        <v>8.4085648148148145E-2</v>
      </c>
    </row>
    <row r="1197" spans="1:23" x14ac:dyDescent="0.25">
      <c r="A1197" s="2">
        <v>46248</v>
      </c>
      <c r="B1197" s="3" t="s">
        <v>617</v>
      </c>
      <c r="C1197" s="3" t="s">
        <v>638</v>
      </c>
      <c r="D1197" s="3" t="s">
        <v>601</v>
      </c>
      <c r="E1197" s="3" t="s">
        <v>31</v>
      </c>
      <c r="F1197" s="3" t="s">
        <v>105</v>
      </c>
      <c r="G1197" s="4" t="s">
        <v>33</v>
      </c>
      <c r="H1197" s="4">
        <v>4</v>
      </c>
      <c r="I1197" s="5">
        <v>0.21660879629629629</v>
      </c>
      <c r="J1197" s="5">
        <v>2.9652777777777778E-2</v>
      </c>
      <c r="K1197" s="5">
        <f t="shared" si="36"/>
        <v>7.4131944444444445E-3</v>
      </c>
      <c r="L1197" s="5">
        <v>0.17590277777777777</v>
      </c>
      <c r="M1197" s="6">
        <f t="shared" si="37"/>
        <v>0.81207587496660438</v>
      </c>
      <c r="N1197" s="5">
        <v>7.4768518518518517E-3</v>
      </c>
      <c r="O1197" s="5">
        <v>1.5787037037037037E-2</v>
      </c>
      <c r="P1197" s="5"/>
      <c r="Q1197" s="5"/>
      <c r="R1197" s="5"/>
      <c r="S1197" s="5"/>
      <c r="T1197" s="5">
        <v>2.9398148148148148E-3</v>
      </c>
      <c r="U1197" s="5">
        <v>0.14969907407407407</v>
      </c>
      <c r="V1197" s="5"/>
      <c r="W1197" s="5"/>
    </row>
    <row r="1198" spans="1:23" x14ac:dyDescent="0.25">
      <c r="A1198" s="2">
        <v>46248</v>
      </c>
      <c r="B1198" s="3" t="s">
        <v>618</v>
      </c>
      <c r="C1198" s="3" t="s">
        <v>639</v>
      </c>
      <c r="D1198" s="3" t="s">
        <v>601</v>
      </c>
      <c r="E1198" s="3" t="s">
        <v>31</v>
      </c>
      <c r="F1198" s="3" t="s">
        <v>105</v>
      </c>
      <c r="G1198" s="4" t="s">
        <v>33</v>
      </c>
      <c r="H1198" s="4">
        <v>3</v>
      </c>
      <c r="I1198" s="5">
        <v>0.22537037037037036</v>
      </c>
      <c r="J1198" s="5">
        <v>3.7118055555555557E-2</v>
      </c>
      <c r="K1198" s="5">
        <f t="shared" si="36"/>
        <v>1.2372685185185186E-2</v>
      </c>
      <c r="L1198" s="5">
        <v>0.20120370370370369</v>
      </c>
      <c r="M1198" s="6">
        <f t="shared" si="37"/>
        <v>0.89276910435497125</v>
      </c>
      <c r="N1198" s="5">
        <v>2.0150462962962964E-2</v>
      </c>
      <c r="O1198" s="5">
        <v>1.6053240740740739E-2</v>
      </c>
      <c r="P1198" s="5"/>
      <c r="Q1198" s="5"/>
      <c r="R1198" s="5"/>
      <c r="S1198" s="5">
        <v>8.5995370370370375E-3</v>
      </c>
      <c r="T1198" s="5">
        <v>3.2986111111111111E-3</v>
      </c>
      <c r="U1198" s="5">
        <v>0.15310185185185185</v>
      </c>
      <c r="V1198" s="5"/>
      <c r="W1198" s="5"/>
    </row>
    <row r="1199" spans="1:23" x14ac:dyDescent="0.25">
      <c r="A1199" s="2">
        <v>46248</v>
      </c>
      <c r="B1199" s="3" t="s">
        <v>501</v>
      </c>
      <c r="C1199" s="3" t="s">
        <v>524</v>
      </c>
      <c r="D1199" s="3" t="s">
        <v>274</v>
      </c>
      <c r="E1199" s="3" t="s">
        <v>79</v>
      </c>
      <c r="F1199" s="3" t="s">
        <v>147</v>
      </c>
      <c r="G1199" s="4" t="s">
        <v>33</v>
      </c>
      <c r="H1199" s="4">
        <v>9</v>
      </c>
      <c r="I1199" s="5">
        <v>0.2590277777777778</v>
      </c>
      <c r="J1199" s="5">
        <v>4.7569444444444442E-2</v>
      </c>
      <c r="K1199" s="5">
        <f t="shared" si="36"/>
        <v>5.2854938271604934E-3</v>
      </c>
      <c r="L1199" s="5">
        <v>4.3946759259259262E-2</v>
      </c>
      <c r="M1199" s="6">
        <f t="shared" si="37"/>
        <v>0.1696604110813226</v>
      </c>
      <c r="N1199" s="5">
        <v>6.076388888888889E-3</v>
      </c>
      <c r="O1199" s="5">
        <v>1.6875000000000001E-2</v>
      </c>
      <c r="P1199" s="5"/>
      <c r="Q1199" s="5">
        <v>4.2476851851851851E-3</v>
      </c>
      <c r="R1199" s="5"/>
      <c r="S1199" s="5">
        <v>1.3935185185185186E-2</v>
      </c>
      <c r="T1199" s="5">
        <v>2.8124999999999999E-3</v>
      </c>
      <c r="U1199" s="5"/>
      <c r="V1199" s="5"/>
      <c r="W1199" s="5"/>
    </row>
    <row r="1200" spans="1:23" x14ac:dyDescent="0.25">
      <c r="A1200" s="2">
        <v>46248</v>
      </c>
      <c r="B1200" s="3" t="s">
        <v>213</v>
      </c>
      <c r="C1200" s="3" t="s">
        <v>572</v>
      </c>
      <c r="D1200" s="3" t="s">
        <v>601</v>
      </c>
      <c r="E1200" s="3" t="s">
        <v>31</v>
      </c>
      <c r="F1200" s="3" t="s">
        <v>105</v>
      </c>
      <c r="G1200" s="4" t="s">
        <v>33</v>
      </c>
      <c r="H1200" s="4">
        <v>5</v>
      </c>
      <c r="I1200" s="5">
        <v>0.23376157407407408</v>
      </c>
      <c r="J1200" s="5">
        <v>0.11155092592592593</v>
      </c>
      <c r="K1200" s="5">
        <f t="shared" si="36"/>
        <v>2.2310185185185186E-2</v>
      </c>
      <c r="L1200" s="5">
        <v>0.2114351851851852</v>
      </c>
      <c r="M1200" s="6">
        <f t="shared" si="37"/>
        <v>0.90449076595533995</v>
      </c>
      <c r="N1200" s="5">
        <v>2.3148148148148147E-3</v>
      </c>
      <c r="O1200" s="5">
        <v>1.6064814814814816E-2</v>
      </c>
      <c r="P1200" s="5"/>
      <c r="Q1200" s="5"/>
      <c r="R1200" s="5"/>
      <c r="S1200" s="5">
        <v>1.3888888888888888E-2</v>
      </c>
      <c r="T1200" s="5">
        <v>6.2037037037037035E-3</v>
      </c>
      <c r="U1200" s="5">
        <v>0.17296296296296296</v>
      </c>
      <c r="V1200" s="5"/>
      <c r="W1200" s="5"/>
    </row>
    <row r="1201" spans="1:23" x14ac:dyDescent="0.25">
      <c r="A1201" s="2">
        <v>46248</v>
      </c>
      <c r="B1201" s="3" t="s">
        <v>619</v>
      </c>
      <c r="C1201" s="3" t="s">
        <v>640</v>
      </c>
      <c r="D1201" s="3" t="s">
        <v>601</v>
      </c>
      <c r="E1201" s="3" t="s">
        <v>31</v>
      </c>
      <c r="F1201" s="3" t="s">
        <v>105</v>
      </c>
      <c r="G1201" s="4" t="s">
        <v>33</v>
      </c>
      <c r="H1201" s="4">
        <v>4</v>
      </c>
      <c r="I1201" s="5">
        <v>0.17247685185185185</v>
      </c>
      <c r="J1201" s="5">
        <v>5.0092592592592591E-2</v>
      </c>
      <c r="K1201" s="5">
        <f t="shared" si="36"/>
        <v>1.2523148148148148E-2</v>
      </c>
      <c r="L1201" s="5">
        <v>0.13219907407407408</v>
      </c>
      <c r="M1201" s="6">
        <f t="shared" si="37"/>
        <v>0.76647429875184536</v>
      </c>
      <c r="N1201" s="5"/>
      <c r="O1201" s="5">
        <v>1.0324074074074074E-2</v>
      </c>
      <c r="P1201" s="5"/>
      <c r="Q1201" s="5">
        <v>2.0462962962962964E-2</v>
      </c>
      <c r="R1201" s="5"/>
      <c r="S1201" s="5"/>
      <c r="T1201" s="5">
        <v>1.9328703703703704E-3</v>
      </c>
      <c r="U1201" s="5">
        <v>9.947916666666666E-2</v>
      </c>
      <c r="V1201" s="5"/>
      <c r="W1201" s="5"/>
    </row>
    <row r="1202" spans="1:23" x14ac:dyDescent="0.25">
      <c r="A1202" s="2">
        <v>46248</v>
      </c>
      <c r="B1202" s="3" t="s">
        <v>668</v>
      </c>
      <c r="C1202" s="3" t="s">
        <v>669</v>
      </c>
      <c r="D1202" s="3" t="s">
        <v>233</v>
      </c>
      <c r="E1202" s="3" t="s">
        <v>31</v>
      </c>
      <c r="F1202" s="3" t="s">
        <v>32</v>
      </c>
      <c r="G1202" s="4" t="s">
        <v>106</v>
      </c>
      <c r="H1202" s="4">
        <v>32</v>
      </c>
      <c r="I1202" s="5">
        <v>0.26047453703703705</v>
      </c>
      <c r="J1202" s="5">
        <v>9.6469907407407407E-2</v>
      </c>
      <c r="K1202" s="5">
        <f t="shared" si="36"/>
        <v>3.0146846064814815E-3</v>
      </c>
      <c r="L1202" s="5">
        <v>4.193287037037037E-2</v>
      </c>
      <c r="M1202" s="6">
        <f t="shared" si="37"/>
        <v>0.16098644745612087</v>
      </c>
      <c r="N1202" s="5">
        <v>4.5370370370370373E-3</v>
      </c>
      <c r="O1202" s="5">
        <v>1.4375000000000001E-2</v>
      </c>
      <c r="P1202" s="5"/>
      <c r="Q1202" s="5"/>
      <c r="R1202" s="5"/>
      <c r="S1202" s="5">
        <v>1.2974537037037038E-2</v>
      </c>
      <c r="T1202" s="5">
        <v>9.7569444444444448E-3</v>
      </c>
      <c r="U1202" s="5">
        <v>2.8935185185185184E-4</v>
      </c>
      <c r="V1202" s="5"/>
      <c r="W1202" s="5"/>
    </row>
    <row r="1203" spans="1:23" x14ac:dyDescent="0.25">
      <c r="A1203" s="2">
        <v>46248</v>
      </c>
      <c r="B1203" s="3" t="s">
        <v>219</v>
      </c>
      <c r="C1203" s="3" t="s">
        <v>548</v>
      </c>
      <c r="D1203" s="3" t="s">
        <v>104</v>
      </c>
      <c r="E1203" s="3" t="s">
        <v>31</v>
      </c>
      <c r="F1203" s="3" t="s">
        <v>105</v>
      </c>
      <c r="G1203" s="4" t="s">
        <v>106</v>
      </c>
      <c r="H1203" s="4">
        <v>3</v>
      </c>
      <c r="I1203" s="5">
        <v>0.21409722222222222</v>
      </c>
      <c r="J1203" s="5">
        <v>4.880787037037037E-2</v>
      </c>
      <c r="K1203" s="5">
        <f t="shared" si="36"/>
        <v>1.6269290123456789E-2</v>
      </c>
      <c r="L1203" s="5">
        <v>0.18660879629629629</v>
      </c>
      <c r="M1203" s="6">
        <f t="shared" si="37"/>
        <v>0.87160774137744623</v>
      </c>
      <c r="N1203" s="5"/>
      <c r="O1203" s="5">
        <v>1.1296296296296296E-2</v>
      </c>
      <c r="P1203" s="5"/>
      <c r="Q1203" s="5"/>
      <c r="R1203" s="5"/>
      <c r="S1203" s="5">
        <v>1.2719907407407407E-2</v>
      </c>
      <c r="T1203" s="5">
        <v>2.0046296296296295E-2</v>
      </c>
      <c r="U1203" s="5">
        <v>1.9675925925925926E-4</v>
      </c>
      <c r="V1203" s="5"/>
      <c r="W1203" s="5">
        <v>0.14234953703703704</v>
      </c>
    </row>
    <row r="1204" spans="1:23" x14ac:dyDescent="0.25">
      <c r="A1204" s="2">
        <v>46248</v>
      </c>
      <c r="B1204" s="3" t="s">
        <v>305</v>
      </c>
      <c r="C1204" s="3" t="s">
        <v>306</v>
      </c>
      <c r="D1204" s="3" t="s">
        <v>100</v>
      </c>
      <c r="E1204" s="3" t="s">
        <v>31</v>
      </c>
      <c r="F1204" s="3" t="s">
        <v>32</v>
      </c>
      <c r="G1204" s="4" t="s">
        <v>33</v>
      </c>
      <c r="H1204" s="4">
        <v>39</v>
      </c>
      <c r="I1204" s="5">
        <v>0.26071759259259258</v>
      </c>
      <c r="J1204" s="5">
        <v>0.18174768518518519</v>
      </c>
      <c r="K1204" s="5">
        <f t="shared" si="36"/>
        <v>4.6601970560303891E-3</v>
      </c>
      <c r="L1204" s="5">
        <v>4.8680555555555553E-2</v>
      </c>
      <c r="M1204" s="6">
        <f t="shared" si="37"/>
        <v>0.18671757080706738</v>
      </c>
      <c r="N1204" s="5">
        <v>1.5810185185185184E-2</v>
      </c>
      <c r="O1204" s="5">
        <v>1.6782407407407409E-2</v>
      </c>
      <c r="P1204" s="5"/>
      <c r="Q1204" s="5"/>
      <c r="R1204" s="5"/>
      <c r="S1204" s="5">
        <v>1.5775462962962963E-2</v>
      </c>
      <c r="T1204" s="5">
        <v>3.1250000000000001E-4</v>
      </c>
      <c r="U1204" s="5"/>
      <c r="V1204" s="5"/>
      <c r="W1204" s="5"/>
    </row>
    <row r="1205" spans="1:23" x14ac:dyDescent="0.25">
      <c r="A1205" s="2">
        <v>46248</v>
      </c>
      <c r="B1205" s="3" t="s">
        <v>620</v>
      </c>
      <c r="C1205" s="3" t="s">
        <v>641</v>
      </c>
      <c r="D1205" s="3" t="s">
        <v>601</v>
      </c>
      <c r="E1205" s="3" t="s">
        <v>31</v>
      </c>
      <c r="F1205" s="3" t="s">
        <v>105</v>
      </c>
      <c r="G1205" s="4" t="s">
        <v>33</v>
      </c>
      <c r="H1205" s="4">
        <v>2</v>
      </c>
      <c r="I1205" s="5">
        <v>0.21501157407407406</v>
      </c>
      <c r="J1205" s="5">
        <v>2.9791666666666668E-2</v>
      </c>
      <c r="K1205" s="5">
        <f t="shared" si="36"/>
        <v>1.4895833333333334E-2</v>
      </c>
      <c r="L1205" s="5">
        <v>0.20385416666666667</v>
      </c>
      <c r="M1205" s="6">
        <f t="shared" si="37"/>
        <v>0.94810787532970886</v>
      </c>
      <c r="N1205" s="5">
        <v>2.4074074074074076E-3</v>
      </c>
      <c r="O1205" s="5">
        <v>1.6087962962962964E-2</v>
      </c>
      <c r="P1205" s="5"/>
      <c r="Q1205" s="5"/>
      <c r="R1205" s="5"/>
      <c r="S1205" s="5">
        <v>1.3136574074074075E-2</v>
      </c>
      <c r="T1205" s="5">
        <v>5.4861111111111109E-3</v>
      </c>
      <c r="U1205" s="5">
        <v>0.16673611111111111</v>
      </c>
      <c r="V1205" s="5"/>
      <c r="W1205" s="5"/>
    </row>
    <row r="1206" spans="1:23" x14ac:dyDescent="0.25">
      <c r="A1206" s="2">
        <v>46248</v>
      </c>
      <c r="B1206" s="3" t="s">
        <v>138</v>
      </c>
      <c r="C1206" s="3" t="s">
        <v>556</v>
      </c>
      <c r="D1206" s="3" t="s">
        <v>104</v>
      </c>
      <c r="E1206" s="3" t="s">
        <v>31</v>
      </c>
      <c r="F1206" s="3" t="s">
        <v>105</v>
      </c>
      <c r="G1206" s="4" t="s">
        <v>106</v>
      </c>
      <c r="H1206" s="4">
        <v>6</v>
      </c>
      <c r="I1206" s="5">
        <v>0.25723379629629628</v>
      </c>
      <c r="J1206" s="5">
        <v>0.12680555555555556</v>
      </c>
      <c r="K1206" s="5">
        <f t="shared" si="36"/>
        <v>2.1134259259259259E-2</v>
      </c>
      <c r="L1206" s="5">
        <v>0.17902777777777779</v>
      </c>
      <c r="M1206" s="6">
        <f t="shared" si="37"/>
        <v>0.69597300337457824</v>
      </c>
      <c r="N1206" s="5">
        <v>4.9421296296296297E-3</v>
      </c>
      <c r="O1206" s="5">
        <v>2.0983796296296296E-2</v>
      </c>
      <c r="P1206" s="5"/>
      <c r="Q1206" s="5"/>
      <c r="R1206" s="5"/>
      <c r="S1206" s="5">
        <v>1.7766203703703704E-2</v>
      </c>
      <c r="T1206" s="5">
        <v>5.6944444444444447E-3</v>
      </c>
      <c r="U1206" s="5">
        <v>3.8194444444444446E-4</v>
      </c>
      <c r="V1206" s="5"/>
      <c r="W1206" s="5">
        <v>0.12925925925925927</v>
      </c>
    </row>
    <row r="1207" spans="1:23" x14ac:dyDescent="0.25">
      <c r="A1207" s="2">
        <v>46248</v>
      </c>
      <c r="B1207" s="3" t="s">
        <v>276</v>
      </c>
      <c r="C1207" s="3" t="s">
        <v>532</v>
      </c>
      <c r="D1207" s="3" t="s">
        <v>233</v>
      </c>
      <c r="E1207" s="3" t="s">
        <v>31</v>
      </c>
      <c r="F1207" s="3" t="s">
        <v>32</v>
      </c>
      <c r="G1207" s="4" t="s">
        <v>106</v>
      </c>
      <c r="H1207" s="4">
        <v>31</v>
      </c>
      <c r="I1207" s="5">
        <v>0.26374999999999998</v>
      </c>
      <c r="J1207" s="5">
        <v>6.2962962962962957E-2</v>
      </c>
      <c r="K1207" s="5">
        <f t="shared" si="36"/>
        <v>2.0310633213859019E-3</v>
      </c>
      <c r="L1207" s="5">
        <v>5.6273148148148149E-2</v>
      </c>
      <c r="M1207" s="6">
        <f t="shared" si="37"/>
        <v>0.21335790767070389</v>
      </c>
      <c r="N1207" s="5">
        <v>1.4421296296296297E-2</v>
      </c>
      <c r="O1207" s="5">
        <v>1.6168981481481482E-2</v>
      </c>
      <c r="P1207" s="5"/>
      <c r="Q1207" s="5"/>
      <c r="R1207" s="5"/>
      <c r="S1207" s="5">
        <v>1.4409722222222223E-2</v>
      </c>
      <c r="T1207" s="5">
        <v>1.1273148148148148E-2</v>
      </c>
      <c r="U1207" s="5"/>
      <c r="V1207" s="5"/>
      <c r="W1207" s="5"/>
    </row>
    <row r="1208" spans="1:23" x14ac:dyDescent="0.25">
      <c r="A1208" s="2">
        <v>46248</v>
      </c>
      <c r="B1208" s="3" t="s">
        <v>278</v>
      </c>
      <c r="C1208" s="3" t="s">
        <v>533</v>
      </c>
      <c r="D1208" s="3" t="s">
        <v>233</v>
      </c>
      <c r="E1208" s="3" t="s">
        <v>31</v>
      </c>
      <c r="F1208" s="3" t="s">
        <v>32</v>
      </c>
      <c r="G1208" s="4" t="s">
        <v>106</v>
      </c>
      <c r="H1208" s="4">
        <v>21</v>
      </c>
      <c r="I1208" s="5">
        <v>0.26652777777777775</v>
      </c>
      <c r="J1208" s="5">
        <v>0.12325231481481481</v>
      </c>
      <c r="K1208" s="5">
        <f t="shared" si="36"/>
        <v>5.8691578483245146E-3</v>
      </c>
      <c r="L1208" s="5">
        <v>3.5185185185185187E-2</v>
      </c>
      <c r="M1208" s="6">
        <f t="shared" si="37"/>
        <v>0.13201320132013203</v>
      </c>
      <c r="N1208" s="5">
        <v>2.7430555555555554E-3</v>
      </c>
      <c r="O1208" s="5">
        <v>1.380787037037037E-2</v>
      </c>
      <c r="P1208" s="5"/>
      <c r="Q1208" s="5">
        <v>6.9444444444444444E-5</v>
      </c>
      <c r="R1208" s="5"/>
      <c r="S1208" s="5">
        <v>1.3645833333333333E-2</v>
      </c>
      <c r="T1208" s="5">
        <v>4.9189814814814816E-3</v>
      </c>
      <c r="U1208" s="5"/>
      <c r="V1208" s="5"/>
      <c r="W1208" s="5"/>
    </row>
    <row r="1209" spans="1:23" x14ac:dyDescent="0.25">
      <c r="A1209" s="2">
        <v>46248</v>
      </c>
      <c r="B1209" s="3" t="s">
        <v>313</v>
      </c>
      <c r="C1209" s="3" t="s">
        <v>511</v>
      </c>
      <c r="D1209" s="3" t="s">
        <v>78</v>
      </c>
      <c r="E1209" s="3" t="s">
        <v>79</v>
      </c>
      <c r="F1209" s="3" t="s">
        <v>80</v>
      </c>
      <c r="G1209" s="4" t="s">
        <v>81</v>
      </c>
      <c r="H1209" s="4">
        <v>2</v>
      </c>
      <c r="I1209" s="5">
        <v>0.26217592592592592</v>
      </c>
      <c r="J1209" s="5">
        <v>1.4143518518518519E-2</v>
      </c>
      <c r="K1209" s="5">
        <f t="shared" si="36"/>
        <v>7.0717592592592594E-3</v>
      </c>
      <c r="L1209" s="5">
        <v>7.2187500000000002E-2</v>
      </c>
      <c r="M1209" s="6">
        <f t="shared" si="37"/>
        <v>0.2753399258343634</v>
      </c>
      <c r="N1209" s="5"/>
      <c r="O1209" s="5">
        <v>2.0902777777777777E-2</v>
      </c>
      <c r="P1209" s="5"/>
      <c r="Q1209" s="5">
        <v>1.0300925925925926E-3</v>
      </c>
      <c r="R1209" s="5"/>
      <c r="S1209" s="5">
        <v>1.1388888888888889E-2</v>
      </c>
      <c r="T1209" s="5">
        <v>1.3888888888888889E-4</v>
      </c>
      <c r="U1209" s="5"/>
      <c r="V1209" s="5"/>
      <c r="W1209" s="5">
        <v>3.8726851851851853E-2</v>
      </c>
    </row>
    <row r="1210" spans="1:23" x14ac:dyDescent="0.25">
      <c r="A1210" s="2">
        <v>46248</v>
      </c>
      <c r="B1210" s="3" t="s">
        <v>673</v>
      </c>
      <c r="C1210" s="3" t="s">
        <v>674</v>
      </c>
      <c r="D1210" s="3" t="s">
        <v>104</v>
      </c>
      <c r="E1210" s="3" t="s">
        <v>31</v>
      </c>
      <c r="F1210" s="3" t="s">
        <v>105</v>
      </c>
      <c r="G1210" s="4" t="s">
        <v>106</v>
      </c>
      <c r="H1210" s="4">
        <v>3</v>
      </c>
      <c r="I1210" s="5">
        <v>0.23731481481481481</v>
      </c>
      <c r="J1210" s="5">
        <v>8.0694444444444444E-2</v>
      </c>
      <c r="K1210" s="5">
        <f t="shared" si="36"/>
        <v>2.6898148148148147E-2</v>
      </c>
      <c r="L1210" s="5">
        <v>0.19369212962962962</v>
      </c>
      <c r="M1210" s="6">
        <f t="shared" si="37"/>
        <v>0.81618220834959032</v>
      </c>
      <c r="N1210" s="5">
        <v>1.7222222222222222E-2</v>
      </c>
      <c r="O1210" s="5">
        <v>9.8611111111111104E-3</v>
      </c>
      <c r="P1210" s="5"/>
      <c r="Q1210" s="5"/>
      <c r="R1210" s="5"/>
      <c r="S1210" s="5">
        <v>8.518518518518519E-3</v>
      </c>
      <c r="T1210" s="5">
        <v>6.134259259259259E-4</v>
      </c>
      <c r="U1210" s="5">
        <v>2.199074074074074E-4</v>
      </c>
      <c r="V1210" s="5"/>
      <c r="W1210" s="5">
        <v>0.15725694444444444</v>
      </c>
    </row>
    <row r="1211" spans="1:23" x14ac:dyDescent="0.25">
      <c r="A1211" s="2">
        <v>46248</v>
      </c>
      <c r="B1211" s="3" t="s">
        <v>225</v>
      </c>
      <c r="C1211" s="3" t="s">
        <v>549</v>
      </c>
      <c r="D1211" s="3" t="s">
        <v>601</v>
      </c>
      <c r="E1211" s="3" t="s">
        <v>31</v>
      </c>
      <c r="F1211" s="3" t="s">
        <v>105</v>
      </c>
      <c r="G1211" s="4" t="s">
        <v>33</v>
      </c>
      <c r="H1211" s="4">
        <v>3</v>
      </c>
      <c r="I1211" s="5">
        <v>0.22278935185185186</v>
      </c>
      <c r="J1211" s="5">
        <v>4.8726851851851855E-2</v>
      </c>
      <c r="K1211" s="5">
        <f t="shared" si="36"/>
        <v>1.6242283950617286E-2</v>
      </c>
      <c r="L1211" s="5">
        <v>0.18429398148148149</v>
      </c>
      <c r="M1211" s="6">
        <f t="shared" si="37"/>
        <v>0.82721180321055643</v>
      </c>
      <c r="N1211" s="5">
        <v>4.4212962962962964E-3</v>
      </c>
      <c r="O1211" s="5">
        <v>7.2106481481481483E-3</v>
      </c>
      <c r="P1211" s="5"/>
      <c r="Q1211" s="5"/>
      <c r="R1211" s="5"/>
      <c r="S1211" s="5"/>
      <c r="T1211" s="5">
        <v>1.4467592592592592E-3</v>
      </c>
      <c r="U1211" s="5">
        <v>0.17121527777777779</v>
      </c>
      <c r="V1211" s="5"/>
      <c r="W1211" s="5"/>
    </row>
    <row r="1212" spans="1:23" x14ac:dyDescent="0.25">
      <c r="A1212" s="2">
        <v>46248</v>
      </c>
      <c r="B1212" s="3" t="s">
        <v>70</v>
      </c>
      <c r="C1212" s="3" t="s">
        <v>71</v>
      </c>
      <c r="D1212" s="3" t="s">
        <v>78</v>
      </c>
      <c r="E1212" s="3" t="s">
        <v>79</v>
      </c>
      <c r="F1212" s="3" t="s">
        <v>80</v>
      </c>
      <c r="G1212" s="4" t="s">
        <v>33</v>
      </c>
      <c r="H1212" s="4">
        <v>0</v>
      </c>
      <c r="I1212" s="5">
        <v>0.31731481481481483</v>
      </c>
      <c r="J1212" s="5">
        <v>0</v>
      </c>
      <c r="K1212" s="5">
        <f t="shared" si="36"/>
        <v>0</v>
      </c>
      <c r="L1212" s="5">
        <v>7.4675925925925923E-2</v>
      </c>
      <c r="M1212" s="6">
        <f t="shared" si="37"/>
        <v>0.23533702947184124</v>
      </c>
      <c r="N1212" s="5"/>
      <c r="O1212" s="5">
        <v>5.3333333333333337E-2</v>
      </c>
      <c r="P1212" s="5"/>
      <c r="Q1212" s="5"/>
      <c r="R1212" s="5">
        <v>3.5069444444444445E-3</v>
      </c>
      <c r="S1212" s="5">
        <v>1.6886574074074075E-2</v>
      </c>
      <c r="T1212" s="5">
        <v>9.3749999999999997E-4</v>
      </c>
      <c r="U1212" s="5"/>
      <c r="V1212" s="5"/>
      <c r="W1212" s="5"/>
    </row>
    <row r="1213" spans="1:23" x14ac:dyDescent="0.25">
      <c r="A1213" s="2">
        <v>46248</v>
      </c>
      <c r="B1213" s="3" t="s">
        <v>280</v>
      </c>
      <c r="C1213" s="3" t="s">
        <v>534</v>
      </c>
      <c r="D1213" s="3" t="s">
        <v>233</v>
      </c>
      <c r="E1213" s="3" t="s">
        <v>31</v>
      </c>
      <c r="F1213" s="3" t="s">
        <v>32</v>
      </c>
      <c r="G1213" s="4" t="s">
        <v>106</v>
      </c>
      <c r="H1213" s="4">
        <v>23</v>
      </c>
      <c r="I1213" s="5">
        <v>0.25458333333333333</v>
      </c>
      <c r="J1213" s="5">
        <v>9.0300925925925923E-2</v>
      </c>
      <c r="K1213" s="5">
        <f t="shared" si="36"/>
        <v>3.9261272141706922E-3</v>
      </c>
      <c r="L1213" s="5">
        <v>4.4143518518518519E-2</v>
      </c>
      <c r="M1213" s="6">
        <f t="shared" si="37"/>
        <v>0.1733951627568649</v>
      </c>
      <c r="N1213" s="5">
        <v>8.9467592592592585E-3</v>
      </c>
      <c r="O1213" s="5">
        <v>1.7187500000000001E-2</v>
      </c>
      <c r="P1213" s="5"/>
      <c r="Q1213" s="5"/>
      <c r="R1213" s="5"/>
      <c r="S1213" s="5">
        <v>1.443287037037037E-2</v>
      </c>
      <c r="T1213" s="5">
        <v>3.5763888888888889E-3</v>
      </c>
      <c r="U1213" s="5"/>
      <c r="V1213" s="5"/>
      <c r="W1213" s="5"/>
    </row>
    <row r="1214" spans="1:23" x14ac:dyDescent="0.25">
      <c r="A1214" s="2">
        <v>46248</v>
      </c>
      <c r="B1214" s="3" t="s">
        <v>299</v>
      </c>
      <c r="C1214" s="3" t="s">
        <v>571</v>
      </c>
      <c r="D1214" s="3" t="s">
        <v>104</v>
      </c>
      <c r="E1214" s="3" t="s">
        <v>31</v>
      </c>
      <c r="F1214" s="3" t="s">
        <v>105</v>
      </c>
      <c r="G1214" s="4" t="s">
        <v>106</v>
      </c>
      <c r="H1214" s="4">
        <v>4</v>
      </c>
      <c r="I1214" s="5">
        <v>0.25743055555555555</v>
      </c>
      <c r="J1214" s="5">
        <v>0.12086805555555556</v>
      </c>
      <c r="K1214" s="5">
        <f t="shared" si="36"/>
        <v>3.021701388888889E-2</v>
      </c>
      <c r="L1214" s="5">
        <v>0.17136574074074074</v>
      </c>
      <c r="M1214" s="6">
        <f t="shared" si="37"/>
        <v>0.66567754698318493</v>
      </c>
      <c r="N1214" s="5"/>
      <c r="O1214" s="5">
        <v>1.7465277777777777E-2</v>
      </c>
      <c r="P1214" s="5"/>
      <c r="Q1214" s="5"/>
      <c r="R1214" s="5"/>
      <c r="S1214" s="5">
        <v>1.0324074074074074E-2</v>
      </c>
      <c r="T1214" s="5">
        <v>1.5046296296296297E-4</v>
      </c>
      <c r="U1214" s="5">
        <v>4.5138888888888887E-4</v>
      </c>
      <c r="V1214" s="5"/>
      <c r="W1214" s="5">
        <v>0.14297453703703702</v>
      </c>
    </row>
    <row r="1215" spans="1:23" x14ac:dyDescent="0.25">
      <c r="A1215" s="2">
        <v>46248</v>
      </c>
      <c r="B1215" s="3" t="s">
        <v>598</v>
      </c>
      <c r="C1215" s="3" t="s">
        <v>598</v>
      </c>
      <c r="D1215" s="3" t="s">
        <v>284</v>
      </c>
      <c r="E1215" s="3"/>
      <c r="F1215" s="3"/>
      <c r="G1215" s="4"/>
      <c r="H1215" s="4">
        <v>1</v>
      </c>
      <c r="I1215" s="5">
        <v>0</v>
      </c>
      <c r="J1215" s="5">
        <v>1.1574074074074073E-5</v>
      </c>
      <c r="K1215" s="5">
        <f t="shared" si="36"/>
        <v>1.1574074074074073E-5</v>
      </c>
      <c r="L1215" s="5">
        <v>0</v>
      </c>
      <c r="M1215" s="6">
        <f t="shared" si="37"/>
        <v>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</row>
    <row r="1216" spans="1:23" x14ac:dyDescent="0.25">
      <c r="A1216" s="2">
        <v>46248</v>
      </c>
      <c r="B1216" s="3" t="s">
        <v>227</v>
      </c>
      <c r="C1216" s="3" t="s">
        <v>557</v>
      </c>
      <c r="D1216" s="3" t="s">
        <v>146</v>
      </c>
      <c r="E1216" s="3" t="s">
        <v>79</v>
      </c>
      <c r="F1216" s="3" t="s">
        <v>147</v>
      </c>
      <c r="G1216" s="4" t="s">
        <v>106</v>
      </c>
      <c r="H1216" s="4">
        <v>10</v>
      </c>
      <c r="I1216" s="5">
        <v>0.26984953703703701</v>
      </c>
      <c r="J1216" s="5">
        <v>5.7037037037037039E-2</v>
      </c>
      <c r="K1216" s="5">
        <f t="shared" si="36"/>
        <v>5.7037037037037039E-3</v>
      </c>
      <c r="L1216" s="5">
        <v>3.6203703703703703E-2</v>
      </c>
      <c r="M1216" s="6">
        <f t="shared" si="37"/>
        <v>0.13416255629423118</v>
      </c>
      <c r="N1216" s="5">
        <v>6.2384259259259259E-3</v>
      </c>
      <c r="O1216" s="5">
        <v>1.3981481481481482E-2</v>
      </c>
      <c r="P1216" s="5">
        <v>1.273148148148148E-4</v>
      </c>
      <c r="Q1216" s="5">
        <v>9.3749999999999997E-4</v>
      </c>
      <c r="R1216" s="5"/>
      <c r="S1216" s="5">
        <v>1.3796296296296296E-2</v>
      </c>
      <c r="T1216" s="5">
        <v>1.9675925925925926E-4</v>
      </c>
      <c r="U1216" s="5">
        <v>8.9120370370370373E-4</v>
      </c>
      <c r="V1216" s="5"/>
      <c r="W1216" s="5"/>
    </row>
    <row r="1217" spans="1:23" x14ac:dyDescent="0.25">
      <c r="A1217" s="2">
        <v>46248</v>
      </c>
      <c r="B1217" s="3" t="s">
        <v>282</v>
      </c>
      <c r="C1217" s="3" t="s">
        <v>535</v>
      </c>
      <c r="D1217" s="3" t="s">
        <v>233</v>
      </c>
      <c r="E1217" s="3" t="s">
        <v>31</v>
      </c>
      <c r="F1217" s="3" t="s">
        <v>32</v>
      </c>
      <c r="G1217" s="4" t="s">
        <v>106</v>
      </c>
      <c r="H1217" s="4">
        <v>30</v>
      </c>
      <c r="I1217" s="5">
        <v>0.25734953703703706</v>
      </c>
      <c r="J1217" s="5">
        <v>9.1597222222222219E-2</v>
      </c>
      <c r="K1217" s="5">
        <f t="shared" si="36"/>
        <v>3.0532407407407405E-3</v>
      </c>
      <c r="L1217" s="5">
        <v>4.3402777777777776E-2</v>
      </c>
      <c r="M1217" s="6">
        <f t="shared" si="37"/>
        <v>0.16865302451090622</v>
      </c>
      <c r="N1217" s="5">
        <v>8.0092592592592594E-3</v>
      </c>
      <c r="O1217" s="5">
        <v>1.7766203703703704E-2</v>
      </c>
      <c r="P1217" s="5"/>
      <c r="Q1217" s="5"/>
      <c r="R1217" s="5"/>
      <c r="S1217" s="5">
        <v>1.457175925925926E-2</v>
      </c>
      <c r="T1217" s="5">
        <v>3.0555555555555557E-3</v>
      </c>
      <c r="U1217" s="5"/>
      <c r="V1217" s="5"/>
      <c r="W1217" s="5"/>
    </row>
    <row r="1218" spans="1:23" x14ac:dyDescent="0.25">
      <c r="A1218" s="2">
        <v>46248</v>
      </c>
      <c r="B1218" s="3" t="s">
        <v>675</v>
      </c>
      <c r="C1218" s="3" t="s">
        <v>676</v>
      </c>
      <c r="D1218" s="3" t="s">
        <v>104</v>
      </c>
      <c r="E1218" s="3" t="s">
        <v>31</v>
      </c>
      <c r="F1218" s="3" t="s">
        <v>105</v>
      </c>
      <c r="G1218" s="4" t="s">
        <v>106</v>
      </c>
      <c r="H1218" s="4">
        <v>4</v>
      </c>
      <c r="I1218" s="5">
        <v>0.26195601851851852</v>
      </c>
      <c r="J1218" s="5">
        <v>0.14101851851851852</v>
      </c>
      <c r="K1218" s="5">
        <f t="shared" ref="K1218:K1281" si="38">IFERROR(J1218/H1218,0)</f>
        <v>3.5254629629629629E-2</v>
      </c>
      <c r="L1218" s="5">
        <v>0.17371527777777779</v>
      </c>
      <c r="M1218" s="6">
        <f t="shared" ref="M1218:M1281" si="39">IFERROR(L1218/I1218,0)</f>
        <v>0.66314673264701984</v>
      </c>
      <c r="N1218" s="5"/>
      <c r="O1218" s="5">
        <v>1.3564814814814814E-2</v>
      </c>
      <c r="P1218" s="5"/>
      <c r="Q1218" s="5"/>
      <c r="R1218" s="5"/>
      <c r="S1218" s="5">
        <v>1.3969907407407407E-2</v>
      </c>
      <c r="T1218" s="5">
        <v>3.7615740740740739E-3</v>
      </c>
      <c r="U1218" s="5">
        <v>3.1250000000000001E-4</v>
      </c>
      <c r="V1218" s="5"/>
      <c r="W1218" s="5">
        <v>0.14210648148148147</v>
      </c>
    </row>
    <row r="1219" spans="1:23" x14ac:dyDescent="0.25">
      <c r="A1219" s="2">
        <v>46248</v>
      </c>
      <c r="B1219" s="3" t="s">
        <v>677</v>
      </c>
      <c r="C1219" s="3" t="s">
        <v>678</v>
      </c>
      <c r="D1219" s="3" t="s">
        <v>274</v>
      </c>
      <c r="E1219" s="3" t="s">
        <v>79</v>
      </c>
      <c r="F1219" s="3" t="s">
        <v>147</v>
      </c>
      <c r="G1219" s="4" t="s">
        <v>33</v>
      </c>
      <c r="H1219" s="4">
        <v>12</v>
      </c>
      <c r="I1219" s="5">
        <v>0.26135416666666667</v>
      </c>
      <c r="J1219" s="5">
        <v>4.4027777777777777E-2</v>
      </c>
      <c r="K1219" s="5">
        <f t="shared" si="38"/>
        <v>3.6689814814814814E-3</v>
      </c>
      <c r="L1219" s="5">
        <v>3.9363425925925927E-2</v>
      </c>
      <c r="M1219" s="6">
        <f t="shared" si="39"/>
        <v>0.15061334750453922</v>
      </c>
      <c r="N1219" s="5">
        <v>6.0069444444444441E-3</v>
      </c>
      <c r="O1219" s="5">
        <v>1.5196759259259259E-2</v>
      </c>
      <c r="P1219" s="5"/>
      <c r="Q1219" s="5">
        <v>2.3958333333333331E-3</v>
      </c>
      <c r="R1219" s="5"/>
      <c r="S1219" s="5">
        <v>1.4768518518518519E-2</v>
      </c>
      <c r="T1219" s="5">
        <v>5.7870370370370367E-4</v>
      </c>
      <c r="U1219" s="5">
        <v>3.8194444444444446E-4</v>
      </c>
      <c r="V1219" s="5"/>
      <c r="W1219" s="5"/>
    </row>
    <row r="1220" spans="1:23" x14ac:dyDescent="0.25">
      <c r="A1220" s="2">
        <v>46249</v>
      </c>
      <c r="B1220" s="3" t="s">
        <v>186</v>
      </c>
      <c r="C1220" s="3" t="s">
        <v>562</v>
      </c>
      <c r="D1220" s="3" t="s">
        <v>78</v>
      </c>
      <c r="E1220" s="3" t="s">
        <v>79</v>
      </c>
      <c r="F1220" s="3" t="s">
        <v>80</v>
      </c>
      <c r="G1220" s="4" t="s">
        <v>33</v>
      </c>
      <c r="H1220" s="4">
        <v>3</v>
      </c>
      <c r="I1220" s="5">
        <v>0.26402777777777775</v>
      </c>
      <c r="J1220" s="5">
        <v>2.7164351851851853E-2</v>
      </c>
      <c r="K1220" s="5">
        <f t="shared" si="38"/>
        <v>9.0547839506172848E-3</v>
      </c>
      <c r="L1220" s="5">
        <v>3.2627314814814817E-2</v>
      </c>
      <c r="M1220" s="6">
        <f t="shared" si="39"/>
        <v>0.12357531123969842</v>
      </c>
      <c r="N1220" s="5">
        <v>5.5671296296296293E-3</v>
      </c>
      <c r="O1220" s="5">
        <v>1.2337962962962964E-2</v>
      </c>
      <c r="P1220" s="5"/>
      <c r="Q1220" s="5"/>
      <c r="R1220" s="5"/>
      <c r="S1220" s="5">
        <v>1.4548611111111111E-2</v>
      </c>
      <c r="T1220" s="5">
        <v>5.7870370370370373E-5</v>
      </c>
      <c r="U1220" s="5">
        <v>1.0416666666666667E-4</v>
      </c>
      <c r="V1220" s="5"/>
      <c r="W1220" s="5"/>
    </row>
    <row r="1221" spans="1:23" x14ac:dyDescent="0.25">
      <c r="A1221" s="2">
        <v>46249</v>
      </c>
      <c r="B1221" s="3" t="s">
        <v>643</v>
      </c>
      <c r="C1221" s="3" t="s">
        <v>644</v>
      </c>
      <c r="D1221" s="3" t="s">
        <v>233</v>
      </c>
      <c r="E1221" s="3" t="s">
        <v>31</v>
      </c>
      <c r="F1221" s="3" t="s">
        <v>32</v>
      </c>
      <c r="G1221" s="4" t="s">
        <v>106</v>
      </c>
      <c r="H1221" s="4">
        <v>16</v>
      </c>
      <c r="I1221" s="5">
        <v>0.26254629629629628</v>
      </c>
      <c r="J1221" s="5">
        <v>8.7928240740740737E-2</v>
      </c>
      <c r="K1221" s="5">
        <f t="shared" si="38"/>
        <v>5.4955150462962961E-3</v>
      </c>
      <c r="L1221" s="5">
        <v>3.2581018518518516E-2</v>
      </c>
      <c r="M1221" s="6">
        <f t="shared" si="39"/>
        <v>0.12409627931581732</v>
      </c>
      <c r="N1221" s="5">
        <v>2.8819444444444444E-3</v>
      </c>
      <c r="O1221" s="5">
        <v>1.2986111111111111E-2</v>
      </c>
      <c r="P1221" s="5"/>
      <c r="Q1221" s="5"/>
      <c r="R1221" s="5"/>
      <c r="S1221" s="5">
        <v>1.4351851851851852E-2</v>
      </c>
      <c r="T1221" s="5">
        <v>3.2407407407407406E-4</v>
      </c>
      <c r="U1221" s="5">
        <v>2.0023148148148148E-3</v>
      </c>
      <c r="V1221" s="5"/>
      <c r="W1221" s="5"/>
    </row>
    <row r="1222" spans="1:23" x14ac:dyDescent="0.25">
      <c r="A1222" s="2">
        <v>46249</v>
      </c>
      <c r="B1222" s="3" t="s">
        <v>193</v>
      </c>
      <c r="C1222" s="3" t="s">
        <v>563</v>
      </c>
      <c r="D1222" s="3" t="s">
        <v>274</v>
      </c>
      <c r="E1222" s="3" t="s">
        <v>79</v>
      </c>
      <c r="F1222" s="3" t="s">
        <v>147</v>
      </c>
      <c r="G1222" s="4" t="s">
        <v>33</v>
      </c>
      <c r="H1222" s="4">
        <v>14</v>
      </c>
      <c r="I1222" s="5">
        <v>0.26822916666666669</v>
      </c>
      <c r="J1222" s="5">
        <v>3.4004629629629628E-2</v>
      </c>
      <c r="K1222" s="5">
        <f t="shared" si="38"/>
        <v>2.4289021164021164E-3</v>
      </c>
      <c r="L1222" s="5">
        <v>3.1342592592592596E-2</v>
      </c>
      <c r="M1222" s="6">
        <f t="shared" si="39"/>
        <v>0.11685005393743259</v>
      </c>
      <c r="N1222" s="5">
        <v>2.476851851851852E-3</v>
      </c>
      <c r="O1222" s="5">
        <v>7.3379629629629628E-3</v>
      </c>
      <c r="P1222" s="5"/>
      <c r="Q1222" s="5"/>
      <c r="R1222" s="5">
        <v>7.0717592592592594E-3</v>
      </c>
      <c r="S1222" s="5">
        <v>1.3923611111111111E-2</v>
      </c>
      <c r="T1222" s="5">
        <v>5.7870370370370373E-5</v>
      </c>
      <c r="U1222" s="5">
        <v>4.3981481481481481E-4</v>
      </c>
      <c r="V1222" s="5"/>
      <c r="W1222" s="5"/>
    </row>
    <row r="1223" spans="1:23" x14ac:dyDescent="0.25">
      <c r="A1223" s="2">
        <v>46249</v>
      </c>
      <c r="B1223" s="3" t="s">
        <v>231</v>
      </c>
      <c r="C1223" s="3" t="s">
        <v>525</v>
      </c>
      <c r="D1223" s="3" t="s">
        <v>233</v>
      </c>
      <c r="E1223" s="3" t="s">
        <v>31</v>
      </c>
      <c r="F1223" s="3" t="s">
        <v>32</v>
      </c>
      <c r="G1223" s="4" t="s">
        <v>106</v>
      </c>
      <c r="H1223" s="4">
        <v>21</v>
      </c>
      <c r="I1223" s="5">
        <v>0.26202546296296297</v>
      </c>
      <c r="J1223" s="5">
        <v>6.0034722222222225E-2</v>
      </c>
      <c r="K1223" s="5">
        <f t="shared" si="38"/>
        <v>2.8587962962962963E-3</v>
      </c>
      <c r="L1223" s="5">
        <v>4.4166666666666667E-2</v>
      </c>
      <c r="M1223" s="6">
        <f t="shared" si="39"/>
        <v>0.16855868192057952</v>
      </c>
      <c r="N1223" s="5">
        <v>2.9629629629629628E-3</v>
      </c>
      <c r="O1223" s="5">
        <v>1.4050925925925927E-2</v>
      </c>
      <c r="P1223" s="5"/>
      <c r="Q1223" s="5"/>
      <c r="R1223" s="5"/>
      <c r="S1223" s="5">
        <v>1.3900462962962963E-2</v>
      </c>
      <c r="T1223" s="5">
        <v>1.3055555555555556E-2</v>
      </c>
      <c r="U1223" s="5">
        <v>1.9675925925925926E-4</v>
      </c>
      <c r="V1223" s="5"/>
      <c r="W1223" s="5"/>
    </row>
    <row r="1224" spans="1:23" x14ac:dyDescent="0.25">
      <c r="A1224" s="2">
        <v>46249</v>
      </c>
      <c r="B1224" s="3" t="s">
        <v>148</v>
      </c>
      <c r="C1224" s="3" t="s">
        <v>513</v>
      </c>
      <c r="D1224" s="3" t="s">
        <v>104</v>
      </c>
      <c r="E1224" s="3" t="s">
        <v>31</v>
      </c>
      <c r="F1224" s="3" t="s">
        <v>105</v>
      </c>
      <c r="G1224" s="4" t="s">
        <v>106</v>
      </c>
      <c r="H1224" s="4">
        <v>2</v>
      </c>
      <c r="I1224" s="5">
        <v>0.25190972222222224</v>
      </c>
      <c r="J1224" s="5">
        <v>5.2499999999999998E-2</v>
      </c>
      <c r="K1224" s="5">
        <f t="shared" si="38"/>
        <v>2.6249999999999999E-2</v>
      </c>
      <c r="L1224" s="5">
        <v>0.22954861111111111</v>
      </c>
      <c r="M1224" s="6">
        <f t="shared" si="39"/>
        <v>0.91123363197794616</v>
      </c>
      <c r="N1224" s="5">
        <v>3.7847222222222223E-3</v>
      </c>
      <c r="O1224" s="5">
        <v>1.4918981481481481E-2</v>
      </c>
      <c r="P1224" s="5"/>
      <c r="Q1224" s="5"/>
      <c r="R1224" s="5"/>
      <c r="S1224" s="5">
        <v>1.3935185185185186E-2</v>
      </c>
      <c r="T1224" s="5">
        <v>4.1504629629629627E-2</v>
      </c>
      <c r="U1224" s="5">
        <v>2.5462962962962961E-4</v>
      </c>
      <c r="V1224" s="5"/>
      <c r="W1224" s="5">
        <v>0.15515046296296298</v>
      </c>
    </row>
    <row r="1225" spans="1:23" x14ac:dyDescent="0.25">
      <c r="A1225" s="2">
        <v>46249</v>
      </c>
      <c r="B1225" s="3" t="s">
        <v>234</v>
      </c>
      <c r="C1225" s="3" t="s">
        <v>550</v>
      </c>
      <c r="D1225" s="3" t="s">
        <v>233</v>
      </c>
      <c r="E1225" s="3" t="s">
        <v>31</v>
      </c>
      <c r="F1225" s="3" t="s">
        <v>32</v>
      </c>
      <c r="G1225" s="4" t="s">
        <v>106</v>
      </c>
      <c r="H1225" s="4">
        <v>18</v>
      </c>
      <c r="I1225" s="5">
        <v>0.2651736111111111</v>
      </c>
      <c r="J1225" s="5">
        <v>2.78125E-2</v>
      </c>
      <c r="K1225" s="5">
        <f t="shared" si="38"/>
        <v>1.5451388888888889E-3</v>
      </c>
      <c r="L1225" s="5">
        <v>4.1319444444444443E-2</v>
      </c>
      <c r="M1225" s="6">
        <f t="shared" si="39"/>
        <v>0.15582034830430799</v>
      </c>
      <c r="N1225" s="5">
        <v>9.6874999999999999E-3</v>
      </c>
      <c r="O1225" s="5">
        <v>1.4236111111111111E-2</v>
      </c>
      <c r="P1225" s="5"/>
      <c r="Q1225" s="5">
        <v>2.7777777777777778E-4</v>
      </c>
      <c r="R1225" s="5"/>
      <c r="S1225" s="5">
        <v>1.3831018518518519E-2</v>
      </c>
      <c r="T1225" s="5">
        <v>3.2870370370370371E-3</v>
      </c>
      <c r="U1225" s="5"/>
      <c r="V1225" s="5"/>
      <c r="W1225" s="5"/>
    </row>
    <row r="1226" spans="1:23" x14ac:dyDescent="0.25">
      <c r="A1226" s="2">
        <v>46249</v>
      </c>
      <c r="B1226" s="3" t="s">
        <v>34</v>
      </c>
      <c r="C1226" s="3" t="s">
        <v>505</v>
      </c>
      <c r="D1226" s="3" t="s">
        <v>233</v>
      </c>
      <c r="E1226" s="3" t="s">
        <v>31</v>
      </c>
      <c r="F1226" s="3" t="s">
        <v>32</v>
      </c>
      <c r="G1226" s="4" t="s">
        <v>106</v>
      </c>
      <c r="H1226" s="4">
        <v>17</v>
      </c>
      <c r="I1226" s="5">
        <v>0.26231481481481483</v>
      </c>
      <c r="J1226" s="5">
        <v>3.9155092592592596E-2</v>
      </c>
      <c r="K1226" s="5">
        <f t="shared" si="38"/>
        <v>2.3032407407407411E-3</v>
      </c>
      <c r="L1226" s="5">
        <v>4.3287037037037034E-2</v>
      </c>
      <c r="M1226" s="6">
        <f t="shared" si="39"/>
        <v>0.16501941404871159</v>
      </c>
      <c r="N1226" s="5">
        <v>7.3726851851851852E-3</v>
      </c>
      <c r="O1226" s="5">
        <v>1.4097222222222223E-2</v>
      </c>
      <c r="P1226" s="5"/>
      <c r="Q1226" s="5"/>
      <c r="R1226" s="5"/>
      <c r="S1226" s="5">
        <v>1.3391203703703704E-2</v>
      </c>
      <c r="T1226" s="5">
        <v>8.1018518518518516E-5</v>
      </c>
      <c r="U1226" s="5">
        <v>8.3449074074074068E-3</v>
      </c>
      <c r="V1226" s="5"/>
      <c r="W1226" s="5"/>
    </row>
    <row r="1227" spans="1:23" x14ac:dyDescent="0.25">
      <c r="A1227" s="2">
        <v>46249</v>
      </c>
      <c r="B1227" s="3" t="s">
        <v>236</v>
      </c>
      <c r="C1227" s="3" t="s">
        <v>551</v>
      </c>
      <c r="D1227" s="3" t="s">
        <v>233</v>
      </c>
      <c r="E1227" s="3" t="s">
        <v>31</v>
      </c>
      <c r="F1227" s="3" t="s">
        <v>32</v>
      </c>
      <c r="G1227" s="4" t="s">
        <v>106</v>
      </c>
      <c r="H1227" s="4">
        <v>1</v>
      </c>
      <c r="I1227" s="5">
        <v>0.22994212962962962</v>
      </c>
      <c r="J1227" s="5">
        <v>1.3194444444444445E-3</v>
      </c>
      <c r="K1227" s="5">
        <f t="shared" si="38"/>
        <v>1.3194444444444445E-3</v>
      </c>
      <c r="L1227" s="5">
        <v>0.21041666666666667</v>
      </c>
      <c r="M1227" s="6">
        <f t="shared" si="39"/>
        <v>0.91508531736044696</v>
      </c>
      <c r="N1227" s="5">
        <v>8.324074074074074E-2</v>
      </c>
      <c r="O1227" s="5">
        <v>9.2708333333333341E-3</v>
      </c>
      <c r="P1227" s="5"/>
      <c r="Q1227" s="5"/>
      <c r="R1227" s="5"/>
      <c r="S1227" s="5"/>
      <c r="T1227" s="5">
        <v>6.0879629629629626E-3</v>
      </c>
      <c r="U1227" s="5">
        <v>8.1018518518518516E-5</v>
      </c>
      <c r="V1227" s="5"/>
      <c r="W1227" s="5">
        <v>0.11173611111111111</v>
      </c>
    </row>
    <row r="1228" spans="1:23" x14ac:dyDescent="0.25">
      <c r="A1228" s="2">
        <v>46249</v>
      </c>
      <c r="B1228" s="3" t="s">
        <v>238</v>
      </c>
      <c r="C1228" s="3" t="s">
        <v>526</v>
      </c>
      <c r="D1228" s="3" t="s">
        <v>233</v>
      </c>
      <c r="E1228" s="3" t="s">
        <v>31</v>
      </c>
      <c r="F1228" s="3" t="s">
        <v>32</v>
      </c>
      <c r="G1228" s="4" t="s">
        <v>106</v>
      </c>
      <c r="H1228" s="4">
        <v>0</v>
      </c>
      <c r="I1228" s="5">
        <v>0.23643518518518519</v>
      </c>
      <c r="J1228" s="5">
        <v>0</v>
      </c>
      <c r="K1228" s="5">
        <f t="shared" si="38"/>
        <v>0</v>
      </c>
      <c r="L1228" s="5">
        <v>0.23641203703703703</v>
      </c>
      <c r="M1228" s="6">
        <f t="shared" si="39"/>
        <v>0.99990209516350104</v>
      </c>
      <c r="N1228" s="5"/>
      <c r="O1228" s="5">
        <v>1.5405092592592592E-2</v>
      </c>
      <c r="P1228" s="5"/>
      <c r="Q1228" s="5"/>
      <c r="R1228" s="5"/>
      <c r="S1228" s="5">
        <v>2.1875000000000002E-3</v>
      </c>
      <c r="T1228" s="5">
        <v>8.1018518518518516E-4</v>
      </c>
      <c r="U1228" s="5"/>
      <c r="V1228" s="5"/>
      <c r="W1228" s="5">
        <v>0.21800925925925926</v>
      </c>
    </row>
    <row r="1229" spans="1:23" x14ac:dyDescent="0.25">
      <c r="A1229" s="2">
        <v>46249</v>
      </c>
      <c r="B1229" s="3" t="s">
        <v>608</v>
      </c>
      <c r="C1229" s="3" t="s">
        <v>631</v>
      </c>
      <c r="D1229" s="3" t="s">
        <v>601</v>
      </c>
      <c r="E1229" s="3" t="s">
        <v>31</v>
      </c>
      <c r="F1229" s="3" t="s">
        <v>105</v>
      </c>
      <c r="G1229" s="4" t="s">
        <v>33</v>
      </c>
      <c r="H1229" s="4">
        <v>1</v>
      </c>
      <c r="I1229" s="5">
        <v>0.24533564814814815</v>
      </c>
      <c r="J1229" s="5">
        <v>2.7777777777777776E-2</v>
      </c>
      <c r="K1229" s="5">
        <f t="shared" si="38"/>
        <v>2.7777777777777776E-2</v>
      </c>
      <c r="L1229" s="5">
        <v>0.23814814814814814</v>
      </c>
      <c r="M1229" s="6">
        <f t="shared" si="39"/>
        <v>0.97070340142472988</v>
      </c>
      <c r="N1229" s="5"/>
      <c r="O1229" s="5">
        <v>1.3958333333333333E-2</v>
      </c>
      <c r="P1229" s="5"/>
      <c r="Q1229" s="5"/>
      <c r="R1229" s="5"/>
      <c r="S1229" s="5">
        <v>1.3784722222222223E-2</v>
      </c>
      <c r="T1229" s="5">
        <v>3.7268518518518519E-3</v>
      </c>
      <c r="U1229" s="5">
        <v>0.20667824074074073</v>
      </c>
      <c r="V1229" s="5"/>
      <c r="W1229" s="5"/>
    </row>
    <row r="1230" spans="1:23" x14ac:dyDescent="0.25">
      <c r="A1230" s="2">
        <v>46249</v>
      </c>
      <c r="B1230" s="3" t="s">
        <v>197</v>
      </c>
      <c r="C1230" s="3" t="s">
        <v>564</v>
      </c>
      <c r="D1230" s="3" t="s">
        <v>601</v>
      </c>
      <c r="E1230" s="3" t="s">
        <v>31</v>
      </c>
      <c r="F1230" s="3" t="s">
        <v>105</v>
      </c>
      <c r="G1230" s="4" t="s">
        <v>33</v>
      </c>
      <c r="H1230" s="4">
        <v>3</v>
      </c>
      <c r="I1230" s="5">
        <v>0.24645833333333333</v>
      </c>
      <c r="J1230" s="5">
        <v>5.7337962962962966E-2</v>
      </c>
      <c r="K1230" s="5">
        <f t="shared" si="38"/>
        <v>1.9112654320987656E-2</v>
      </c>
      <c r="L1230" s="5">
        <v>0.24440972222222221</v>
      </c>
      <c r="M1230" s="6">
        <f t="shared" si="39"/>
        <v>0.99168779938010698</v>
      </c>
      <c r="N1230" s="5"/>
      <c r="O1230" s="5">
        <v>1.4537037037037038E-2</v>
      </c>
      <c r="P1230" s="5"/>
      <c r="Q1230" s="5"/>
      <c r="R1230" s="5"/>
      <c r="S1230" s="5">
        <v>1.4583333333333334E-2</v>
      </c>
      <c r="T1230" s="5">
        <v>2.7777777777777778E-4</v>
      </c>
      <c r="U1230" s="5">
        <v>2.0381944444444446E-2</v>
      </c>
      <c r="V1230" s="5"/>
      <c r="W1230" s="5">
        <v>0.19462962962962962</v>
      </c>
    </row>
    <row r="1231" spans="1:23" x14ac:dyDescent="0.25">
      <c r="A1231" s="2">
        <v>46249</v>
      </c>
      <c r="B1231" s="3" t="s">
        <v>150</v>
      </c>
      <c r="C1231" s="3" t="s">
        <v>514</v>
      </c>
      <c r="D1231" s="3" t="s">
        <v>146</v>
      </c>
      <c r="E1231" s="3" t="s">
        <v>79</v>
      </c>
      <c r="F1231" s="3" t="s">
        <v>147</v>
      </c>
      <c r="G1231" s="4" t="s">
        <v>106</v>
      </c>
      <c r="H1231" s="4">
        <v>17</v>
      </c>
      <c r="I1231" s="5">
        <v>0.23289351851851853</v>
      </c>
      <c r="J1231" s="5">
        <v>3.9502314814814816E-2</v>
      </c>
      <c r="K1231" s="5">
        <f t="shared" si="38"/>
        <v>2.3236655773420482E-3</v>
      </c>
      <c r="L1231" s="5">
        <v>3.3206018518518517E-2</v>
      </c>
      <c r="M1231" s="6">
        <f t="shared" si="39"/>
        <v>0.14258026041148991</v>
      </c>
      <c r="N1231" s="5">
        <v>1.5740740740740741E-3</v>
      </c>
      <c r="O1231" s="5">
        <v>1.5833333333333335E-2</v>
      </c>
      <c r="P1231" s="5"/>
      <c r="Q1231" s="5"/>
      <c r="R1231" s="5"/>
      <c r="S1231" s="5">
        <v>1.5057870370370371E-2</v>
      </c>
      <c r="T1231" s="5">
        <v>1.5046296296296297E-4</v>
      </c>
      <c r="U1231" s="5">
        <v>4.1666666666666669E-4</v>
      </c>
      <c r="V1231" s="5"/>
      <c r="W1231" s="5"/>
    </row>
    <row r="1232" spans="1:23" x14ac:dyDescent="0.25">
      <c r="A1232" s="2">
        <v>46249</v>
      </c>
      <c r="B1232" s="3" t="s">
        <v>681</v>
      </c>
      <c r="C1232" s="3" t="s">
        <v>682</v>
      </c>
      <c r="D1232" s="3" t="s">
        <v>601</v>
      </c>
      <c r="E1232" s="3" t="s">
        <v>31</v>
      </c>
      <c r="F1232" s="3" t="s">
        <v>105</v>
      </c>
      <c r="G1232" s="4" t="s">
        <v>33</v>
      </c>
      <c r="H1232" s="4">
        <v>3</v>
      </c>
      <c r="I1232" s="5">
        <v>0.25715277777777779</v>
      </c>
      <c r="J1232" s="5">
        <v>6.5740740740740738E-2</v>
      </c>
      <c r="K1232" s="5">
        <f t="shared" si="38"/>
        <v>2.1913580246913578E-2</v>
      </c>
      <c r="L1232" s="5">
        <v>0.24972222222222223</v>
      </c>
      <c r="M1232" s="6">
        <f t="shared" si="39"/>
        <v>0.9711045098568728</v>
      </c>
      <c r="N1232" s="5">
        <v>4.9652777777777777E-3</v>
      </c>
      <c r="O1232" s="5">
        <v>1.2974537037037038E-2</v>
      </c>
      <c r="P1232" s="5"/>
      <c r="Q1232" s="5"/>
      <c r="R1232" s="5"/>
      <c r="S1232" s="5">
        <v>1.443287037037037E-2</v>
      </c>
      <c r="T1232" s="5">
        <v>4.861111111111111E-4</v>
      </c>
      <c r="U1232" s="5">
        <v>7.9166666666666673E-3</v>
      </c>
      <c r="V1232" s="5"/>
      <c r="W1232" s="5">
        <v>0.20894675925925926</v>
      </c>
    </row>
    <row r="1233" spans="1:23" x14ac:dyDescent="0.25">
      <c r="A1233" s="2">
        <v>46249</v>
      </c>
      <c r="B1233" s="3" t="s">
        <v>154</v>
      </c>
      <c r="C1233" s="3" t="s">
        <v>515</v>
      </c>
      <c r="D1233" s="3" t="s">
        <v>146</v>
      </c>
      <c r="E1233" s="3" t="s">
        <v>79</v>
      </c>
      <c r="F1233" s="3" t="s">
        <v>147</v>
      </c>
      <c r="G1233" s="4" t="s">
        <v>106</v>
      </c>
      <c r="H1233" s="4">
        <v>18</v>
      </c>
      <c r="I1233" s="5">
        <v>0.26</v>
      </c>
      <c r="J1233" s="5">
        <v>2.7627314814814816E-2</v>
      </c>
      <c r="K1233" s="5">
        <f t="shared" si="38"/>
        <v>1.5348508230452675E-3</v>
      </c>
      <c r="L1233" s="5">
        <v>3.5277777777777776E-2</v>
      </c>
      <c r="M1233" s="6">
        <f t="shared" si="39"/>
        <v>0.13568376068376067</v>
      </c>
      <c r="N1233" s="5">
        <v>5.7060185185185183E-3</v>
      </c>
      <c r="O1233" s="5">
        <v>1.3483796296296296E-2</v>
      </c>
      <c r="P1233" s="5"/>
      <c r="Q1233" s="5"/>
      <c r="R1233" s="5"/>
      <c r="S1233" s="5">
        <v>1.4467592592592593E-2</v>
      </c>
      <c r="T1233" s="5">
        <v>1.9675925925925926E-4</v>
      </c>
      <c r="U1233" s="5">
        <v>1.2731481481481483E-3</v>
      </c>
      <c r="V1233" s="5"/>
      <c r="W1233" s="5"/>
    </row>
    <row r="1234" spans="1:23" x14ac:dyDescent="0.25">
      <c r="A1234" s="2">
        <v>46249</v>
      </c>
      <c r="B1234" s="3" t="s">
        <v>112</v>
      </c>
      <c r="C1234" s="3" t="s">
        <v>570</v>
      </c>
      <c r="D1234" s="3" t="s">
        <v>104</v>
      </c>
      <c r="E1234" s="3" t="s">
        <v>31</v>
      </c>
      <c r="F1234" s="3" t="s">
        <v>105</v>
      </c>
      <c r="G1234" s="4" t="s">
        <v>106</v>
      </c>
      <c r="H1234" s="4">
        <v>2</v>
      </c>
      <c r="I1234" s="5">
        <v>0.23776620370370372</v>
      </c>
      <c r="J1234" s="5">
        <v>3.6550925925925924E-2</v>
      </c>
      <c r="K1234" s="5">
        <f t="shared" si="38"/>
        <v>1.8275462962962962E-2</v>
      </c>
      <c r="L1234" s="5">
        <v>0.22782407407407407</v>
      </c>
      <c r="M1234" s="6">
        <f t="shared" si="39"/>
        <v>0.95818526992162778</v>
      </c>
      <c r="N1234" s="5">
        <v>7.083333333333333E-3</v>
      </c>
      <c r="O1234" s="5">
        <v>1.6863425925925928E-2</v>
      </c>
      <c r="P1234" s="5"/>
      <c r="Q1234" s="5"/>
      <c r="R1234" s="5"/>
      <c r="S1234" s="5">
        <v>1.3958333333333333E-2</v>
      </c>
      <c r="T1234" s="5">
        <v>8.2175925925925927E-4</v>
      </c>
      <c r="U1234" s="5">
        <v>4.1666666666666669E-4</v>
      </c>
      <c r="V1234" s="5"/>
      <c r="W1234" s="5">
        <v>0.18868055555555555</v>
      </c>
    </row>
    <row r="1235" spans="1:23" x14ac:dyDescent="0.25">
      <c r="A1235" s="2">
        <v>46249</v>
      </c>
      <c r="B1235" s="3" t="s">
        <v>42</v>
      </c>
      <c r="C1235" s="3" t="s">
        <v>537</v>
      </c>
      <c r="D1235" s="3" t="s">
        <v>104</v>
      </c>
      <c r="E1235" s="3" t="s">
        <v>31</v>
      </c>
      <c r="F1235" s="3" t="s">
        <v>105</v>
      </c>
      <c r="G1235" s="4" t="s">
        <v>106</v>
      </c>
      <c r="H1235" s="4">
        <v>2</v>
      </c>
      <c r="I1235" s="5">
        <v>0.19375000000000001</v>
      </c>
      <c r="J1235" s="5">
        <v>3.4768518518518518E-2</v>
      </c>
      <c r="K1235" s="5">
        <f t="shared" si="38"/>
        <v>1.7384259259259259E-2</v>
      </c>
      <c r="L1235" s="5">
        <v>0.17809027777777778</v>
      </c>
      <c r="M1235" s="6">
        <f t="shared" si="39"/>
        <v>0.91917562724014334</v>
      </c>
      <c r="N1235" s="5">
        <v>3.0208333333333333E-3</v>
      </c>
      <c r="O1235" s="5">
        <v>1.4363425925925925E-2</v>
      </c>
      <c r="P1235" s="5"/>
      <c r="Q1235" s="5"/>
      <c r="R1235" s="5"/>
      <c r="S1235" s="5">
        <v>1.3761574074074074E-2</v>
      </c>
      <c r="T1235" s="5">
        <v>4.7106481481481478E-3</v>
      </c>
      <c r="U1235" s="5">
        <v>2.4305555555555555E-4</v>
      </c>
      <c r="V1235" s="5"/>
      <c r="W1235" s="5">
        <v>0.14197916666666666</v>
      </c>
    </row>
    <row r="1236" spans="1:23" x14ac:dyDescent="0.25">
      <c r="A1236" s="2">
        <v>46249</v>
      </c>
      <c r="B1236" s="3" t="s">
        <v>114</v>
      </c>
      <c r="C1236" s="3" t="s">
        <v>541</v>
      </c>
      <c r="D1236" s="3" t="s">
        <v>104</v>
      </c>
      <c r="E1236" s="3" t="s">
        <v>31</v>
      </c>
      <c r="F1236" s="3" t="s">
        <v>105</v>
      </c>
      <c r="G1236" s="4" t="s">
        <v>106</v>
      </c>
      <c r="H1236" s="4">
        <v>3</v>
      </c>
      <c r="I1236" s="5">
        <v>0.23019675925925925</v>
      </c>
      <c r="J1236" s="5">
        <v>6.128472222222222E-2</v>
      </c>
      <c r="K1236" s="5">
        <f t="shared" si="38"/>
        <v>2.042824074074074E-2</v>
      </c>
      <c r="L1236" s="5">
        <v>0.21751157407407407</v>
      </c>
      <c r="M1236" s="6">
        <f t="shared" si="39"/>
        <v>0.94489416260244352</v>
      </c>
      <c r="N1236" s="5">
        <v>5.5902777777777773E-3</v>
      </c>
      <c r="O1236" s="5">
        <v>2.0231481481481482E-2</v>
      </c>
      <c r="P1236" s="5"/>
      <c r="Q1236" s="5"/>
      <c r="R1236" s="5"/>
      <c r="S1236" s="5">
        <v>1.3993055555555555E-2</v>
      </c>
      <c r="T1236" s="5">
        <v>2.0844907407407406E-2</v>
      </c>
      <c r="U1236" s="5">
        <v>4.6527777777777774E-3</v>
      </c>
      <c r="V1236" s="5"/>
      <c r="W1236" s="5">
        <v>0.15219907407407407</v>
      </c>
    </row>
    <row r="1237" spans="1:23" x14ac:dyDescent="0.25">
      <c r="A1237" s="2">
        <v>46249</v>
      </c>
      <c r="B1237" s="3" t="s">
        <v>44</v>
      </c>
      <c r="C1237" s="3" t="s">
        <v>506</v>
      </c>
      <c r="D1237" s="3" t="s">
        <v>100</v>
      </c>
      <c r="E1237" s="3" t="s">
        <v>31</v>
      </c>
      <c r="F1237" s="3" t="s">
        <v>32</v>
      </c>
      <c r="G1237" s="4" t="s">
        <v>33</v>
      </c>
      <c r="H1237" s="4">
        <v>20</v>
      </c>
      <c r="I1237" s="5">
        <v>0.26467592592592593</v>
      </c>
      <c r="J1237" s="5">
        <v>0.12880787037037036</v>
      </c>
      <c r="K1237" s="5">
        <f t="shared" si="38"/>
        <v>6.440393518518518E-3</v>
      </c>
      <c r="L1237" s="5">
        <v>4.1678240740740738E-2</v>
      </c>
      <c r="M1237" s="6">
        <f t="shared" si="39"/>
        <v>0.15746895224768234</v>
      </c>
      <c r="N1237" s="5">
        <v>2.685185185185185E-3</v>
      </c>
      <c r="O1237" s="5">
        <v>1.3796296296296296E-2</v>
      </c>
      <c r="P1237" s="5"/>
      <c r="Q1237" s="5">
        <v>5.324074074074074E-3</v>
      </c>
      <c r="R1237" s="5"/>
      <c r="S1237" s="5">
        <v>1.3865740740740741E-2</v>
      </c>
      <c r="T1237" s="5">
        <v>8.6805555555555551E-4</v>
      </c>
      <c r="U1237" s="5">
        <v>1.736111111111111E-3</v>
      </c>
      <c r="V1237" s="5"/>
      <c r="W1237" s="5">
        <v>3.2291666666666666E-3</v>
      </c>
    </row>
    <row r="1238" spans="1:23" x14ac:dyDescent="0.25">
      <c r="A1238" s="2">
        <v>46249</v>
      </c>
      <c r="B1238" s="3" t="s">
        <v>240</v>
      </c>
      <c r="C1238" s="3" t="s">
        <v>527</v>
      </c>
      <c r="D1238" s="3" t="s">
        <v>233</v>
      </c>
      <c r="E1238" s="3" t="s">
        <v>31</v>
      </c>
      <c r="F1238" s="3" t="s">
        <v>32</v>
      </c>
      <c r="G1238" s="4" t="s">
        <v>106</v>
      </c>
      <c r="H1238" s="4">
        <v>1</v>
      </c>
      <c r="I1238" s="5">
        <v>0.22140046296296295</v>
      </c>
      <c r="J1238" s="5">
        <v>2.6620370370370372E-4</v>
      </c>
      <c r="K1238" s="5">
        <f t="shared" si="38"/>
        <v>2.6620370370370372E-4</v>
      </c>
      <c r="L1238" s="5">
        <v>0.19663194444444446</v>
      </c>
      <c r="M1238" s="6">
        <f t="shared" si="39"/>
        <v>0.88812797323435633</v>
      </c>
      <c r="N1238" s="5">
        <v>1.755787037037037E-2</v>
      </c>
      <c r="O1238" s="5">
        <v>1.4074074074074074E-2</v>
      </c>
      <c r="P1238" s="5"/>
      <c r="Q1238" s="5"/>
      <c r="R1238" s="5"/>
      <c r="S1238" s="5">
        <v>1.3923611111111111E-2</v>
      </c>
      <c r="T1238" s="5">
        <v>4.0509259259259258E-4</v>
      </c>
      <c r="U1238" s="5"/>
      <c r="V1238" s="5"/>
      <c r="W1238" s="5">
        <v>0.1506712962962963</v>
      </c>
    </row>
    <row r="1239" spans="1:23" x14ac:dyDescent="0.25">
      <c r="A1239" s="2">
        <v>46249</v>
      </c>
      <c r="B1239" s="3" t="s">
        <v>160</v>
      </c>
      <c r="C1239" s="3" t="s">
        <v>544</v>
      </c>
      <c r="D1239" s="3" t="s">
        <v>146</v>
      </c>
      <c r="E1239" s="3" t="s">
        <v>79</v>
      </c>
      <c r="F1239" s="3" t="s">
        <v>147</v>
      </c>
      <c r="G1239" s="4" t="s">
        <v>106</v>
      </c>
      <c r="H1239" s="4">
        <v>18</v>
      </c>
      <c r="I1239" s="5">
        <v>0.26384259259259257</v>
      </c>
      <c r="J1239" s="5">
        <v>2.8101851851851854E-2</v>
      </c>
      <c r="K1239" s="5">
        <f t="shared" si="38"/>
        <v>1.5612139917695474E-3</v>
      </c>
      <c r="L1239" s="5">
        <v>4.2951388888888886E-2</v>
      </c>
      <c r="M1239" s="6">
        <f t="shared" si="39"/>
        <v>0.16279171784523599</v>
      </c>
      <c r="N1239" s="5">
        <v>5.0810185185185186E-3</v>
      </c>
      <c r="O1239" s="5">
        <v>1.7025462962962964E-2</v>
      </c>
      <c r="P1239" s="5"/>
      <c r="Q1239" s="5">
        <v>5.8101851851851856E-3</v>
      </c>
      <c r="R1239" s="5"/>
      <c r="S1239" s="5">
        <v>1.4166666666666666E-2</v>
      </c>
      <c r="T1239" s="5">
        <v>4.6296296296296298E-4</v>
      </c>
      <c r="U1239" s="5">
        <v>3.8194444444444446E-4</v>
      </c>
      <c r="V1239" s="5"/>
      <c r="W1239" s="5"/>
    </row>
    <row r="1240" spans="1:23" x14ac:dyDescent="0.25">
      <c r="A1240" s="2">
        <v>46249</v>
      </c>
      <c r="B1240" s="3" t="s">
        <v>645</v>
      </c>
      <c r="C1240" s="3" t="s">
        <v>646</v>
      </c>
      <c r="D1240" s="3" t="s">
        <v>100</v>
      </c>
      <c r="E1240" s="3" t="s">
        <v>31</v>
      </c>
      <c r="F1240" s="3" t="s">
        <v>32</v>
      </c>
      <c r="G1240" s="4" t="s">
        <v>33</v>
      </c>
      <c r="H1240" s="4">
        <v>28</v>
      </c>
      <c r="I1240" s="5">
        <v>0.26594907407407409</v>
      </c>
      <c r="J1240" s="5">
        <v>0.11856481481481482</v>
      </c>
      <c r="K1240" s="5">
        <f t="shared" si="38"/>
        <v>4.2344576719576723E-3</v>
      </c>
      <c r="L1240" s="5">
        <v>3.5497685185185188E-2</v>
      </c>
      <c r="M1240" s="6">
        <f t="shared" si="39"/>
        <v>0.13347549830272434</v>
      </c>
      <c r="N1240" s="5">
        <v>4.2245370370370371E-3</v>
      </c>
      <c r="O1240" s="5">
        <v>1.3773148148148149E-2</v>
      </c>
      <c r="P1240" s="5"/>
      <c r="Q1240" s="5"/>
      <c r="R1240" s="5"/>
      <c r="S1240" s="5">
        <v>1.3923611111111111E-2</v>
      </c>
      <c r="T1240" s="5">
        <v>2.1875000000000002E-3</v>
      </c>
      <c r="U1240" s="5">
        <v>1.2962962962962963E-3</v>
      </c>
      <c r="V1240" s="5"/>
      <c r="W1240" s="5"/>
    </row>
    <row r="1241" spans="1:23" x14ac:dyDescent="0.25">
      <c r="A1241" s="2">
        <v>46249</v>
      </c>
      <c r="B1241" s="3" t="s">
        <v>120</v>
      </c>
      <c r="C1241" s="3" t="s">
        <v>558</v>
      </c>
      <c r="D1241" s="3" t="s">
        <v>233</v>
      </c>
      <c r="E1241" s="3" t="s">
        <v>31</v>
      </c>
      <c r="F1241" s="3" t="s">
        <v>32</v>
      </c>
      <c r="G1241" s="4" t="s">
        <v>106</v>
      </c>
      <c r="H1241" s="4">
        <v>16</v>
      </c>
      <c r="I1241" s="5">
        <v>0.22873842592592591</v>
      </c>
      <c r="J1241" s="5">
        <v>2.9502314814814815E-2</v>
      </c>
      <c r="K1241" s="5">
        <f t="shared" si="38"/>
        <v>1.8438946759259259E-3</v>
      </c>
      <c r="L1241" s="5">
        <v>4.1388888888888892E-2</v>
      </c>
      <c r="M1241" s="6">
        <f t="shared" si="39"/>
        <v>0.18094418863532866</v>
      </c>
      <c r="N1241" s="5">
        <v>9.8495370370370369E-3</v>
      </c>
      <c r="O1241" s="5">
        <v>1.4166666666666666E-2</v>
      </c>
      <c r="P1241" s="5"/>
      <c r="Q1241" s="5"/>
      <c r="R1241" s="5"/>
      <c r="S1241" s="5">
        <v>1.3356481481481481E-2</v>
      </c>
      <c r="T1241" s="5">
        <v>2.3611111111111111E-3</v>
      </c>
      <c r="U1241" s="5">
        <v>1.6550925925925926E-3</v>
      </c>
      <c r="V1241" s="5"/>
      <c r="W1241" s="5"/>
    </row>
    <row r="1242" spans="1:23" x14ac:dyDescent="0.25">
      <c r="A1242" s="2">
        <v>46249</v>
      </c>
      <c r="B1242" s="3" t="s">
        <v>46</v>
      </c>
      <c r="C1242" s="3" t="s">
        <v>507</v>
      </c>
      <c r="D1242" s="3" t="s">
        <v>100</v>
      </c>
      <c r="E1242" s="3" t="s">
        <v>31</v>
      </c>
      <c r="F1242" s="3" t="s">
        <v>32</v>
      </c>
      <c r="G1242" s="4" t="s">
        <v>33</v>
      </c>
      <c r="H1242" s="4">
        <v>16</v>
      </c>
      <c r="I1242" s="5">
        <v>0.26157407407407407</v>
      </c>
      <c r="J1242" s="5">
        <v>9.6030092592592597E-2</v>
      </c>
      <c r="K1242" s="5">
        <f t="shared" si="38"/>
        <v>6.0018807870370373E-3</v>
      </c>
      <c r="L1242" s="5">
        <v>3.1261574074074074E-2</v>
      </c>
      <c r="M1242" s="6">
        <f t="shared" si="39"/>
        <v>0.11951327433628318</v>
      </c>
      <c r="N1242" s="5">
        <v>2.8356481481481483E-3</v>
      </c>
      <c r="O1242" s="5">
        <v>1.3784722222222223E-2</v>
      </c>
      <c r="P1242" s="5"/>
      <c r="Q1242" s="5"/>
      <c r="R1242" s="5"/>
      <c r="S1242" s="5">
        <v>1.3946759259259259E-2</v>
      </c>
      <c r="T1242" s="5">
        <v>6.9444444444444444E-5</v>
      </c>
      <c r="U1242" s="5">
        <v>6.134259259259259E-4</v>
      </c>
      <c r="V1242" s="5"/>
      <c r="W1242" s="5"/>
    </row>
    <row r="1243" spans="1:23" x14ac:dyDescent="0.25">
      <c r="A1243" s="2">
        <v>46249</v>
      </c>
      <c r="B1243" s="3" t="s">
        <v>287</v>
      </c>
      <c r="C1243" s="3" t="s">
        <v>542</v>
      </c>
      <c r="D1243" s="3" t="s">
        <v>104</v>
      </c>
      <c r="E1243" s="3" t="s">
        <v>31</v>
      </c>
      <c r="F1243" s="3" t="s">
        <v>105</v>
      </c>
      <c r="G1243" s="4" t="s">
        <v>106</v>
      </c>
      <c r="H1243" s="4">
        <v>2</v>
      </c>
      <c r="I1243" s="5">
        <v>0.21509259259259259</v>
      </c>
      <c r="J1243" s="5">
        <v>3.5046296296296298E-2</v>
      </c>
      <c r="K1243" s="5">
        <f t="shared" si="38"/>
        <v>1.7523148148148149E-2</v>
      </c>
      <c r="L1243" s="5">
        <v>0.20700231481481482</v>
      </c>
      <c r="M1243" s="6">
        <f t="shared" si="39"/>
        <v>0.96238699956952223</v>
      </c>
      <c r="N1243" s="5">
        <v>2.6064814814814815E-2</v>
      </c>
      <c r="O1243" s="5">
        <v>1.6319444444444445E-2</v>
      </c>
      <c r="P1243" s="5"/>
      <c r="Q1243" s="5"/>
      <c r="R1243" s="5"/>
      <c r="S1243" s="5">
        <v>2.5462962962962961E-4</v>
      </c>
      <c r="T1243" s="5">
        <v>2.9548611111111112E-2</v>
      </c>
      <c r="U1243" s="5"/>
      <c r="V1243" s="5"/>
      <c r="W1243" s="5">
        <v>0.1348148148148148</v>
      </c>
    </row>
    <row r="1244" spans="1:23" x14ac:dyDescent="0.25">
      <c r="A1244" s="2">
        <v>46249</v>
      </c>
      <c r="B1244" s="3" t="s">
        <v>499</v>
      </c>
      <c r="C1244" s="3" t="s">
        <v>517</v>
      </c>
      <c r="D1244" s="3" t="s">
        <v>146</v>
      </c>
      <c r="E1244" s="3" t="s">
        <v>79</v>
      </c>
      <c r="F1244" s="3" t="s">
        <v>147</v>
      </c>
      <c r="G1244" s="4" t="s">
        <v>106</v>
      </c>
      <c r="H1244" s="4">
        <v>10</v>
      </c>
      <c r="I1244" s="5">
        <v>0.25144675925925924</v>
      </c>
      <c r="J1244" s="5">
        <v>5.4803240740740743E-2</v>
      </c>
      <c r="K1244" s="5">
        <f t="shared" si="38"/>
        <v>5.4803240740740741E-3</v>
      </c>
      <c r="L1244" s="5">
        <v>6.1851851851851852E-2</v>
      </c>
      <c r="M1244" s="6">
        <f t="shared" si="39"/>
        <v>0.24598388952819333</v>
      </c>
      <c r="N1244" s="5">
        <v>1.2037037037037037E-2</v>
      </c>
      <c r="O1244" s="5">
        <v>1.6828703703703703E-2</v>
      </c>
      <c r="P1244" s="5"/>
      <c r="Q1244" s="5">
        <v>8.2060185185185187E-3</v>
      </c>
      <c r="R1244" s="5">
        <v>9.2592592592592588E-5</v>
      </c>
      <c r="S1244" s="5">
        <v>1.4097222222222223E-2</v>
      </c>
      <c r="T1244" s="5">
        <v>2.4305555555555555E-4</v>
      </c>
      <c r="U1244" s="5">
        <v>4.0393518518518521E-3</v>
      </c>
      <c r="V1244" s="5"/>
      <c r="W1244" s="5">
        <v>6.2384259259259259E-3</v>
      </c>
    </row>
    <row r="1245" spans="1:23" x14ac:dyDescent="0.25">
      <c r="A1245" s="2">
        <v>46249</v>
      </c>
      <c r="B1245" s="3" t="s">
        <v>647</v>
      </c>
      <c r="C1245" s="3" t="s">
        <v>648</v>
      </c>
      <c r="D1245" s="3" t="s">
        <v>233</v>
      </c>
      <c r="E1245" s="3" t="s">
        <v>31</v>
      </c>
      <c r="F1245" s="3" t="s">
        <v>32</v>
      </c>
      <c r="G1245" s="4" t="s">
        <v>106</v>
      </c>
      <c r="H1245" s="4">
        <v>15</v>
      </c>
      <c r="I1245" s="5">
        <v>0.26100694444444444</v>
      </c>
      <c r="J1245" s="5">
        <v>5.3101851851851851E-2</v>
      </c>
      <c r="K1245" s="5">
        <f t="shared" si="38"/>
        <v>3.5401234567901236E-3</v>
      </c>
      <c r="L1245" s="5">
        <v>3.7870370370370374E-2</v>
      </c>
      <c r="M1245" s="6">
        <f t="shared" si="39"/>
        <v>0.14509334397587692</v>
      </c>
      <c r="N1245" s="5">
        <v>7.3726851851851852E-3</v>
      </c>
      <c r="O1245" s="5">
        <v>1.4201388888888888E-2</v>
      </c>
      <c r="P1245" s="5"/>
      <c r="Q1245" s="5">
        <v>1.6203703703703703E-4</v>
      </c>
      <c r="R1245" s="5"/>
      <c r="S1245" s="5">
        <v>1.3622685185185186E-2</v>
      </c>
      <c r="T1245" s="5">
        <v>2.5115740740740741E-3</v>
      </c>
      <c r="U1245" s="5"/>
      <c r="V1245" s="5"/>
      <c r="W1245" s="5"/>
    </row>
    <row r="1246" spans="1:23" x14ac:dyDescent="0.25">
      <c r="A1246" s="2">
        <v>46249</v>
      </c>
      <c r="B1246" s="3" t="s">
        <v>649</v>
      </c>
      <c r="C1246" s="3" t="s">
        <v>650</v>
      </c>
      <c r="D1246" s="3" t="s">
        <v>104</v>
      </c>
      <c r="E1246" s="3" t="s">
        <v>31</v>
      </c>
      <c r="F1246" s="3" t="s">
        <v>105</v>
      </c>
      <c r="G1246" s="4" t="s">
        <v>106</v>
      </c>
      <c r="H1246" s="4">
        <v>1</v>
      </c>
      <c r="I1246" s="5">
        <v>0.21606481481481482</v>
      </c>
      <c r="J1246" s="5">
        <v>4.0011574074074074E-2</v>
      </c>
      <c r="K1246" s="5">
        <f t="shared" si="38"/>
        <v>4.0011574074074074E-2</v>
      </c>
      <c r="L1246" s="5">
        <v>0.19005787037037036</v>
      </c>
      <c r="M1246" s="6">
        <f t="shared" si="39"/>
        <v>0.87963359760017135</v>
      </c>
      <c r="N1246" s="5">
        <v>7.0254629629629634E-3</v>
      </c>
      <c r="O1246" s="5">
        <v>1.3159722222222222E-2</v>
      </c>
      <c r="P1246" s="5"/>
      <c r="Q1246" s="5">
        <v>3.3530092592592591E-2</v>
      </c>
      <c r="R1246" s="5"/>
      <c r="S1246" s="5">
        <v>1.4641203703703703E-2</v>
      </c>
      <c r="T1246" s="5">
        <v>4.1666666666666669E-4</v>
      </c>
      <c r="U1246" s="5"/>
      <c r="V1246" s="5"/>
      <c r="W1246" s="5">
        <v>0.12128472222222222</v>
      </c>
    </row>
    <row r="1247" spans="1:23" x14ac:dyDescent="0.25">
      <c r="A1247" s="2">
        <v>46249</v>
      </c>
      <c r="B1247" s="3" t="s">
        <v>246</v>
      </c>
      <c r="C1247" s="3" t="s">
        <v>568</v>
      </c>
      <c r="D1247" s="3" t="s">
        <v>233</v>
      </c>
      <c r="E1247" s="3" t="s">
        <v>31</v>
      </c>
      <c r="F1247" s="3" t="s">
        <v>32</v>
      </c>
      <c r="G1247" s="4" t="s">
        <v>106</v>
      </c>
      <c r="H1247" s="4">
        <v>19</v>
      </c>
      <c r="I1247" s="5">
        <v>0.26430555555555557</v>
      </c>
      <c r="J1247" s="5">
        <v>5.5636574074074074E-2</v>
      </c>
      <c r="K1247" s="5">
        <f t="shared" si="38"/>
        <v>2.9282407407407408E-3</v>
      </c>
      <c r="L1247" s="5">
        <v>3.6863425925925924E-2</v>
      </c>
      <c r="M1247" s="6">
        <f t="shared" si="39"/>
        <v>0.13947276230513223</v>
      </c>
      <c r="N1247" s="5">
        <v>7.0023148148148145E-3</v>
      </c>
      <c r="O1247" s="5">
        <v>1.3634259259259259E-2</v>
      </c>
      <c r="P1247" s="5"/>
      <c r="Q1247" s="5">
        <v>1.3425925925925925E-3</v>
      </c>
      <c r="R1247" s="5"/>
      <c r="S1247" s="5">
        <v>1.3703703703703704E-2</v>
      </c>
      <c r="T1247" s="5">
        <v>1.0185185185185184E-3</v>
      </c>
      <c r="U1247" s="5">
        <v>1.6203703703703703E-4</v>
      </c>
      <c r="V1247" s="5"/>
      <c r="W1247" s="5"/>
    </row>
    <row r="1248" spans="1:23" x14ac:dyDescent="0.25">
      <c r="A1248" s="2">
        <v>46249</v>
      </c>
      <c r="B1248" s="3" t="s">
        <v>48</v>
      </c>
      <c r="C1248" s="3" t="s">
        <v>508</v>
      </c>
      <c r="D1248" s="3" t="s">
        <v>100</v>
      </c>
      <c r="E1248" s="3" t="s">
        <v>31</v>
      </c>
      <c r="F1248" s="3" t="s">
        <v>32</v>
      </c>
      <c r="G1248" s="4" t="s">
        <v>33</v>
      </c>
      <c r="H1248" s="4">
        <v>18</v>
      </c>
      <c r="I1248" s="5">
        <v>0.2645601851851852</v>
      </c>
      <c r="J1248" s="5">
        <v>0.10054398148148148</v>
      </c>
      <c r="K1248" s="5">
        <f t="shared" si="38"/>
        <v>5.5857767489711939E-3</v>
      </c>
      <c r="L1248" s="5">
        <v>4.6493055555555558E-2</v>
      </c>
      <c r="M1248" s="6">
        <f t="shared" si="39"/>
        <v>0.17573715985650537</v>
      </c>
      <c r="N1248" s="5">
        <v>1.6122685185185184E-2</v>
      </c>
      <c r="O1248" s="5">
        <v>1.4155092592592592E-2</v>
      </c>
      <c r="P1248" s="5"/>
      <c r="Q1248" s="5"/>
      <c r="R1248" s="5"/>
      <c r="S1248" s="5">
        <v>1.3912037037037037E-2</v>
      </c>
      <c r="T1248" s="5">
        <v>2.4305555555555555E-4</v>
      </c>
      <c r="U1248" s="5">
        <v>9.837962962962962E-4</v>
      </c>
      <c r="V1248" s="5"/>
      <c r="W1248" s="5">
        <v>1.0532407407407407E-3</v>
      </c>
    </row>
    <row r="1249" spans="1:23" x14ac:dyDescent="0.25">
      <c r="A1249" s="2">
        <v>46249</v>
      </c>
      <c r="B1249" s="3" t="s">
        <v>50</v>
      </c>
      <c r="C1249" s="3" t="s">
        <v>538</v>
      </c>
      <c r="D1249" s="3" t="s">
        <v>100</v>
      </c>
      <c r="E1249" s="3" t="s">
        <v>31</v>
      </c>
      <c r="F1249" s="3" t="s">
        <v>32</v>
      </c>
      <c r="G1249" s="4" t="s">
        <v>33</v>
      </c>
      <c r="H1249" s="4">
        <v>0</v>
      </c>
      <c r="I1249" s="5">
        <v>0.15582175925925926</v>
      </c>
      <c r="J1249" s="5">
        <v>0</v>
      </c>
      <c r="K1249" s="5">
        <f t="shared" si="38"/>
        <v>0</v>
      </c>
      <c r="L1249" s="5">
        <v>0.15582175925925926</v>
      </c>
      <c r="M1249" s="6">
        <f t="shared" si="39"/>
        <v>1</v>
      </c>
      <c r="N1249" s="5">
        <v>2.2106481481481482E-3</v>
      </c>
      <c r="O1249" s="5">
        <v>1.1099537037037036E-2</v>
      </c>
      <c r="P1249" s="5"/>
      <c r="Q1249" s="5"/>
      <c r="R1249" s="5"/>
      <c r="S1249" s="5">
        <v>1.4074074074074074E-2</v>
      </c>
      <c r="T1249" s="5">
        <v>6.7129629629629625E-4</v>
      </c>
      <c r="U1249" s="5"/>
      <c r="V1249" s="5"/>
      <c r="W1249" s="5">
        <v>0.1277662037037037</v>
      </c>
    </row>
    <row r="1250" spans="1:23" x14ac:dyDescent="0.25">
      <c r="A1250" s="2">
        <v>46249</v>
      </c>
      <c r="B1250" s="3" t="s">
        <v>242</v>
      </c>
      <c r="C1250" s="3" t="s">
        <v>603</v>
      </c>
      <c r="D1250" s="3" t="s">
        <v>233</v>
      </c>
      <c r="E1250" s="3" t="s">
        <v>31</v>
      </c>
      <c r="F1250" s="3" t="s">
        <v>32</v>
      </c>
      <c r="G1250" s="4" t="s">
        <v>106</v>
      </c>
      <c r="H1250" s="4">
        <v>21</v>
      </c>
      <c r="I1250" s="5">
        <v>0.26724537037037038</v>
      </c>
      <c r="J1250" s="5">
        <v>0.10782407407407407</v>
      </c>
      <c r="K1250" s="5">
        <f t="shared" si="38"/>
        <v>5.1344797178130511E-3</v>
      </c>
      <c r="L1250" s="5">
        <v>1.2361111111111111E-2</v>
      </c>
      <c r="M1250" s="6">
        <f t="shared" si="39"/>
        <v>4.6253789519272406E-2</v>
      </c>
      <c r="N1250" s="5"/>
      <c r="O1250" s="5">
        <v>1.0092592592592592E-2</v>
      </c>
      <c r="P1250" s="5"/>
      <c r="Q1250" s="5"/>
      <c r="R1250" s="5"/>
      <c r="S1250" s="5"/>
      <c r="T1250" s="5">
        <v>4.5138888888888887E-4</v>
      </c>
      <c r="U1250" s="5">
        <v>1.7708333333333332E-3</v>
      </c>
      <c r="V1250" s="5"/>
      <c r="W1250" s="5">
        <v>1.1574074074074073E-5</v>
      </c>
    </row>
    <row r="1251" spans="1:23" x14ac:dyDescent="0.25">
      <c r="A1251" s="2">
        <v>46249</v>
      </c>
      <c r="B1251" s="3" t="s">
        <v>289</v>
      </c>
      <c r="C1251" s="3" t="s">
        <v>559</v>
      </c>
      <c r="D1251" s="3" t="s">
        <v>104</v>
      </c>
      <c r="E1251" s="3" t="s">
        <v>31</v>
      </c>
      <c r="F1251" s="3" t="s">
        <v>105</v>
      </c>
      <c r="G1251" s="4" t="s">
        <v>106</v>
      </c>
      <c r="H1251" s="4">
        <v>2</v>
      </c>
      <c r="I1251" s="5">
        <v>0.20898148148148149</v>
      </c>
      <c r="J1251" s="5">
        <v>5.0069444444444444E-2</v>
      </c>
      <c r="K1251" s="5">
        <f t="shared" si="38"/>
        <v>2.5034722222222222E-2</v>
      </c>
      <c r="L1251" s="5">
        <v>0.19075231481481481</v>
      </c>
      <c r="M1251" s="6">
        <f t="shared" si="39"/>
        <v>0.91277137793531227</v>
      </c>
      <c r="N1251" s="5"/>
      <c r="O1251" s="5">
        <v>1.0381944444444444E-2</v>
      </c>
      <c r="P1251" s="5"/>
      <c r="Q1251" s="5"/>
      <c r="R1251" s="5"/>
      <c r="S1251" s="5">
        <v>1.5787037037037037E-2</v>
      </c>
      <c r="T1251" s="5">
        <v>6.8287037037037035E-2</v>
      </c>
      <c r="U1251" s="5"/>
      <c r="V1251" s="5"/>
      <c r="W1251" s="5">
        <v>9.6296296296296297E-2</v>
      </c>
    </row>
    <row r="1252" spans="1:23" x14ac:dyDescent="0.25">
      <c r="A1252" s="2">
        <v>46249</v>
      </c>
      <c r="B1252" s="3" t="s">
        <v>500</v>
      </c>
      <c r="C1252" s="3" t="s">
        <v>518</v>
      </c>
      <c r="D1252" s="3" t="s">
        <v>274</v>
      </c>
      <c r="E1252" s="3" t="s">
        <v>79</v>
      </c>
      <c r="F1252" s="3" t="s">
        <v>147</v>
      </c>
      <c r="G1252" s="4" t="s">
        <v>33</v>
      </c>
      <c r="H1252" s="4">
        <v>14</v>
      </c>
      <c r="I1252" s="5">
        <v>0.26807870370370368</v>
      </c>
      <c r="J1252" s="5">
        <v>6.2071759259259257E-2</v>
      </c>
      <c r="K1252" s="5">
        <f t="shared" si="38"/>
        <v>4.43369708994709E-3</v>
      </c>
      <c r="L1252" s="5">
        <v>3.2638888888888891E-2</v>
      </c>
      <c r="M1252" s="6">
        <f t="shared" si="39"/>
        <v>0.12175114411536139</v>
      </c>
      <c r="N1252" s="5">
        <v>3.9351851851851848E-3</v>
      </c>
      <c r="O1252" s="5">
        <v>1.2650462962962962E-2</v>
      </c>
      <c r="P1252" s="5"/>
      <c r="Q1252" s="5"/>
      <c r="R1252" s="5"/>
      <c r="S1252" s="5">
        <v>1.5925925925925927E-2</v>
      </c>
      <c r="T1252" s="5">
        <v>1.273148148148148E-4</v>
      </c>
      <c r="U1252" s="5"/>
      <c r="V1252" s="5"/>
      <c r="W1252" s="5"/>
    </row>
    <row r="1253" spans="1:23" x14ac:dyDescent="0.25">
      <c r="A1253" s="2">
        <v>46249</v>
      </c>
      <c r="B1253" s="3" t="s">
        <v>683</v>
      </c>
      <c r="C1253" s="3" t="s">
        <v>684</v>
      </c>
      <c r="D1253" s="3" t="s">
        <v>233</v>
      </c>
      <c r="E1253" s="3" t="s">
        <v>31</v>
      </c>
      <c r="F1253" s="3" t="s">
        <v>32</v>
      </c>
      <c r="G1253" s="4" t="s">
        <v>106</v>
      </c>
      <c r="H1253" s="4">
        <v>18</v>
      </c>
      <c r="I1253" s="5">
        <v>0.25569444444444445</v>
      </c>
      <c r="J1253" s="5">
        <v>6.1111111111111109E-2</v>
      </c>
      <c r="K1253" s="5">
        <f t="shared" si="38"/>
        <v>3.3950617283950617E-3</v>
      </c>
      <c r="L1253" s="5">
        <v>4.0601851851851854E-2</v>
      </c>
      <c r="M1253" s="6">
        <f t="shared" si="39"/>
        <v>0.15879051240267972</v>
      </c>
      <c r="N1253" s="5">
        <v>7.3958333333333333E-3</v>
      </c>
      <c r="O1253" s="5">
        <v>6.9791666666666665E-3</v>
      </c>
      <c r="P1253" s="5"/>
      <c r="Q1253" s="5"/>
      <c r="R1253" s="5"/>
      <c r="S1253" s="5">
        <v>1.9085648148148147E-2</v>
      </c>
      <c r="T1253" s="5">
        <v>2.0833333333333335E-4</v>
      </c>
      <c r="U1253" s="5">
        <v>6.9212962962962961E-3</v>
      </c>
      <c r="V1253" s="5"/>
      <c r="W1253" s="5"/>
    </row>
    <row r="1254" spans="1:23" x14ac:dyDescent="0.25">
      <c r="A1254" s="2">
        <v>46249</v>
      </c>
      <c r="B1254" s="3" t="s">
        <v>653</v>
      </c>
      <c r="C1254" s="3" t="s">
        <v>654</v>
      </c>
      <c r="D1254" s="3" t="s">
        <v>100</v>
      </c>
      <c r="E1254" s="3" t="s">
        <v>31</v>
      </c>
      <c r="F1254" s="3" t="s">
        <v>32</v>
      </c>
      <c r="G1254" s="4" t="s">
        <v>33</v>
      </c>
      <c r="H1254" s="4">
        <v>20</v>
      </c>
      <c r="I1254" s="5">
        <v>0.25460648148148146</v>
      </c>
      <c r="J1254" s="5">
        <v>0.13130787037037037</v>
      </c>
      <c r="K1254" s="5">
        <f t="shared" si="38"/>
        <v>6.5653935185185181E-3</v>
      </c>
      <c r="L1254" s="5">
        <v>3.0011574074074072E-2</v>
      </c>
      <c r="M1254" s="6">
        <f t="shared" si="39"/>
        <v>0.11787435221383763</v>
      </c>
      <c r="N1254" s="5">
        <v>7.905092592592592E-3</v>
      </c>
      <c r="O1254" s="5">
        <v>7.1412037037037034E-3</v>
      </c>
      <c r="P1254" s="5"/>
      <c r="Q1254" s="5"/>
      <c r="R1254" s="5"/>
      <c r="S1254" s="5">
        <v>1.3784722222222223E-2</v>
      </c>
      <c r="T1254" s="5">
        <v>1.3888888888888889E-4</v>
      </c>
      <c r="U1254" s="5">
        <v>9.9537037037037042E-4</v>
      </c>
      <c r="V1254" s="5"/>
      <c r="W1254" s="5"/>
    </row>
    <row r="1255" spans="1:23" x14ac:dyDescent="0.25">
      <c r="A1255" s="2">
        <v>46249</v>
      </c>
      <c r="B1255" s="3" t="s">
        <v>52</v>
      </c>
      <c r="C1255" s="3" t="s">
        <v>509</v>
      </c>
      <c r="D1255" s="3" t="s">
        <v>100</v>
      </c>
      <c r="E1255" s="3" t="s">
        <v>31</v>
      </c>
      <c r="F1255" s="3" t="s">
        <v>32</v>
      </c>
      <c r="G1255" s="4" t="s">
        <v>33</v>
      </c>
      <c r="H1255" s="4">
        <v>0</v>
      </c>
      <c r="I1255" s="5">
        <v>0.23122685185185185</v>
      </c>
      <c r="J1255" s="5">
        <v>0</v>
      </c>
      <c r="K1255" s="5">
        <f t="shared" si="38"/>
        <v>0</v>
      </c>
      <c r="L1255" s="5">
        <v>0.23122685185185185</v>
      </c>
      <c r="M1255" s="6">
        <f t="shared" si="39"/>
        <v>1</v>
      </c>
      <c r="N1255" s="5"/>
      <c r="O1255" s="5">
        <v>1.4444444444444444E-2</v>
      </c>
      <c r="P1255" s="5"/>
      <c r="Q1255" s="5">
        <v>2.4548611111111111E-2</v>
      </c>
      <c r="R1255" s="5"/>
      <c r="S1255" s="5">
        <v>1.375E-2</v>
      </c>
      <c r="T1255" s="5">
        <v>5.3240740740740744E-4</v>
      </c>
      <c r="U1255" s="5"/>
      <c r="V1255" s="5"/>
      <c r="W1255" s="5">
        <v>0.1779513888888889</v>
      </c>
    </row>
    <row r="1256" spans="1:23" x14ac:dyDescent="0.25">
      <c r="A1256" s="2">
        <v>46249</v>
      </c>
      <c r="B1256" s="3" t="s">
        <v>164</v>
      </c>
      <c r="C1256" s="3" t="s">
        <v>519</v>
      </c>
      <c r="D1256" s="3" t="s">
        <v>146</v>
      </c>
      <c r="E1256" s="3" t="s">
        <v>79</v>
      </c>
      <c r="F1256" s="3" t="s">
        <v>147</v>
      </c>
      <c r="G1256" s="4" t="s">
        <v>106</v>
      </c>
      <c r="H1256" s="4">
        <v>20</v>
      </c>
      <c r="I1256" s="5">
        <v>0.25416666666666665</v>
      </c>
      <c r="J1256" s="5">
        <v>4.5289351851851851E-2</v>
      </c>
      <c r="K1256" s="5">
        <f t="shared" si="38"/>
        <v>2.2644675925925927E-3</v>
      </c>
      <c r="L1256" s="5">
        <v>3.4814814814814812E-2</v>
      </c>
      <c r="M1256" s="6">
        <f t="shared" si="39"/>
        <v>0.13697632058287795</v>
      </c>
      <c r="N1256" s="5"/>
      <c r="O1256" s="5">
        <v>1.9421296296296298E-2</v>
      </c>
      <c r="P1256" s="5"/>
      <c r="Q1256" s="5"/>
      <c r="R1256" s="5"/>
      <c r="S1256" s="5">
        <v>1.4224537037037037E-2</v>
      </c>
      <c r="T1256" s="5">
        <v>2.5462962962962961E-4</v>
      </c>
      <c r="U1256" s="5">
        <v>8.9120370370370373E-4</v>
      </c>
      <c r="V1256" s="5"/>
      <c r="W1256" s="5"/>
    </row>
    <row r="1257" spans="1:23" x14ac:dyDescent="0.25">
      <c r="A1257" s="2">
        <v>46249</v>
      </c>
      <c r="B1257" s="3" t="s">
        <v>655</v>
      </c>
      <c r="C1257" s="3" t="s">
        <v>656</v>
      </c>
      <c r="D1257" s="3" t="s">
        <v>100</v>
      </c>
      <c r="E1257" s="3" t="s">
        <v>31</v>
      </c>
      <c r="F1257" s="3" t="s">
        <v>32</v>
      </c>
      <c r="G1257" s="4" t="s">
        <v>33</v>
      </c>
      <c r="H1257" s="4">
        <v>19</v>
      </c>
      <c r="I1257" s="5">
        <v>0.25093749999999998</v>
      </c>
      <c r="J1257" s="5">
        <v>8.8391203703703708E-2</v>
      </c>
      <c r="K1257" s="5">
        <f t="shared" si="38"/>
        <v>4.6521686159844058E-3</v>
      </c>
      <c r="L1257" s="5">
        <v>7.2129629629629627E-2</v>
      </c>
      <c r="M1257" s="6">
        <f t="shared" si="39"/>
        <v>0.28744061620773953</v>
      </c>
      <c r="N1257" s="5">
        <v>5.5787037037037038E-3</v>
      </c>
      <c r="O1257" s="5">
        <v>7.5231481481481477E-3</v>
      </c>
      <c r="P1257" s="5"/>
      <c r="Q1257" s="5">
        <v>4.2430555555555555E-2</v>
      </c>
      <c r="R1257" s="5"/>
      <c r="S1257" s="5">
        <v>1.3877314814814815E-2</v>
      </c>
      <c r="T1257" s="5">
        <v>1.6203703703703703E-4</v>
      </c>
      <c r="U1257" s="5">
        <v>2.5000000000000001E-3</v>
      </c>
      <c r="V1257" s="5"/>
      <c r="W1257" s="5"/>
    </row>
    <row r="1258" spans="1:23" x14ac:dyDescent="0.25">
      <c r="A1258" s="2">
        <v>46249</v>
      </c>
      <c r="B1258" s="3" t="s">
        <v>657</v>
      </c>
      <c r="C1258" s="3" t="s">
        <v>658</v>
      </c>
      <c r="D1258" s="3" t="s">
        <v>274</v>
      </c>
      <c r="E1258" s="3" t="s">
        <v>79</v>
      </c>
      <c r="F1258" s="3" t="s">
        <v>147</v>
      </c>
      <c r="G1258" s="4" t="s">
        <v>33</v>
      </c>
      <c r="H1258" s="4">
        <v>11</v>
      </c>
      <c r="I1258" s="5">
        <v>0.22349537037037037</v>
      </c>
      <c r="J1258" s="5">
        <v>3.7581018518518521E-2</v>
      </c>
      <c r="K1258" s="5">
        <f t="shared" si="38"/>
        <v>3.416456228956229E-3</v>
      </c>
      <c r="L1258" s="5">
        <v>2.9791666666666668E-2</v>
      </c>
      <c r="M1258" s="6">
        <f t="shared" si="39"/>
        <v>0.13329880890730192</v>
      </c>
      <c r="N1258" s="5">
        <v>4.7222222222222223E-3</v>
      </c>
      <c r="O1258" s="5">
        <v>7.6620370370370366E-3</v>
      </c>
      <c r="P1258" s="5"/>
      <c r="Q1258" s="5"/>
      <c r="R1258" s="5"/>
      <c r="S1258" s="5">
        <v>1.6886574074074075E-2</v>
      </c>
      <c r="T1258" s="5">
        <v>1.1574074074074075E-4</v>
      </c>
      <c r="U1258" s="5">
        <v>3.7037037037037035E-4</v>
      </c>
      <c r="V1258" s="5"/>
      <c r="W1258" s="5"/>
    </row>
    <row r="1259" spans="1:23" x14ac:dyDescent="0.25">
      <c r="A1259" s="2">
        <v>46249</v>
      </c>
      <c r="B1259" s="3" t="s">
        <v>166</v>
      </c>
      <c r="C1259" s="3" t="s">
        <v>167</v>
      </c>
      <c r="D1259" s="3" t="s">
        <v>146</v>
      </c>
      <c r="E1259" s="3" t="s">
        <v>79</v>
      </c>
      <c r="F1259" s="3" t="s">
        <v>147</v>
      </c>
      <c r="G1259" s="4" t="s">
        <v>106</v>
      </c>
      <c r="H1259" s="4">
        <v>16</v>
      </c>
      <c r="I1259" s="5">
        <v>0.26251157407407405</v>
      </c>
      <c r="J1259" s="5">
        <v>4.701388888888889E-2</v>
      </c>
      <c r="K1259" s="5">
        <f t="shared" si="38"/>
        <v>2.9383680555555556E-3</v>
      </c>
      <c r="L1259" s="5">
        <v>3.5520833333333335E-2</v>
      </c>
      <c r="M1259" s="6">
        <f t="shared" si="39"/>
        <v>0.13531149420219568</v>
      </c>
      <c r="N1259" s="5">
        <v>5.5671296296296293E-3</v>
      </c>
      <c r="O1259" s="5">
        <v>1.3356481481481481E-2</v>
      </c>
      <c r="P1259" s="5"/>
      <c r="Q1259" s="5"/>
      <c r="R1259" s="5"/>
      <c r="S1259" s="5">
        <v>1.5173611111111112E-2</v>
      </c>
      <c r="T1259" s="5">
        <v>5.0925925925925921E-4</v>
      </c>
      <c r="U1259" s="5">
        <v>8.7962962962962962E-4</v>
      </c>
      <c r="V1259" s="5"/>
      <c r="W1259" s="5"/>
    </row>
    <row r="1260" spans="1:23" x14ac:dyDescent="0.25">
      <c r="A1260" s="2">
        <v>46249</v>
      </c>
      <c r="B1260" s="3" t="s">
        <v>659</v>
      </c>
      <c r="C1260" s="3" t="s">
        <v>660</v>
      </c>
      <c r="D1260" s="3" t="s">
        <v>100</v>
      </c>
      <c r="E1260" s="3" t="s">
        <v>31</v>
      </c>
      <c r="F1260" s="3" t="s">
        <v>32</v>
      </c>
      <c r="G1260" s="4" t="s">
        <v>33</v>
      </c>
      <c r="H1260" s="4">
        <v>0</v>
      </c>
      <c r="I1260" s="5">
        <v>0.22005787037037036</v>
      </c>
      <c r="J1260" s="5">
        <v>0</v>
      </c>
      <c r="K1260" s="5">
        <f t="shared" si="38"/>
        <v>0</v>
      </c>
      <c r="L1260" s="5">
        <v>0.22005787037037036</v>
      </c>
      <c r="M1260" s="6">
        <f t="shared" si="39"/>
        <v>1</v>
      </c>
      <c r="N1260" s="5">
        <v>5.0000000000000001E-3</v>
      </c>
      <c r="O1260" s="5">
        <v>1.0474537037037037E-2</v>
      </c>
      <c r="P1260" s="5"/>
      <c r="Q1260" s="5">
        <v>2.3101851851851853E-2</v>
      </c>
      <c r="R1260" s="5"/>
      <c r="S1260" s="5">
        <v>1.0844907407407407E-2</v>
      </c>
      <c r="T1260" s="5">
        <v>4.2731481481481481E-2</v>
      </c>
      <c r="U1260" s="5"/>
      <c r="V1260" s="5"/>
      <c r="W1260" s="5">
        <v>0.12790509259259258</v>
      </c>
    </row>
    <row r="1261" spans="1:23" x14ac:dyDescent="0.25">
      <c r="A1261" s="2">
        <v>46249</v>
      </c>
      <c r="B1261" s="3" t="s">
        <v>254</v>
      </c>
      <c r="C1261" s="3" t="s">
        <v>528</v>
      </c>
      <c r="D1261" s="3" t="s">
        <v>233</v>
      </c>
      <c r="E1261" s="3" t="s">
        <v>31</v>
      </c>
      <c r="F1261" s="3" t="s">
        <v>32</v>
      </c>
      <c r="G1261" s="4" t="s">
        <v>106</v>
      </c>
      <c r="H1261" s="4">
        <v>13</v>
      </c>
      <c r="I1261" s="5">
        <v>0.26390046296296299</v>
      </c>
      <c r="J1261" s="5">
        <v>5.1249999999999997E-2</v>
      </c>
      <c r="K1261" s="5">
        <f t="shared" si="38"/>
        <v>3.942307692307692E-3</v>
      </c>
      <c r="L1261" s="5">
        <v>5.828703703703704E-2</v>
      </c>
      <c r="M1261" s="6">
        <f t="shared" si="39"/>
        <v>0.22086750581114861</v>
      </c>
      <c r="N1261" s="5">
        <v>1.6921296296296295E-2</v>
      </c>
      <c r="O1261" s="5">
        <v>1.2372685185185184E-2</v>
      </c>
      <c r="P1261" s="5"/>
      <c r="Q1261" s="5">
        <v>2.8124999999999999E-3</v>
      </c>
      <c r="R1261" s="5"/>
      <c r="S1261" s="5">
        <v>1.3599537037037037E-2</v>
      </c>
      <c r="T1261" s="5">
        <v>1.1909722222222223E-2</v>
      </c>
      <c r="U1261" s="5">
        <v>6.7129629629629625E-4</v>
      </c>
      <c r="V1261" s="5"/>
      <c r="W1261" s="5"/>
    </row>
    <row r="1262" spans="1:23" x14ac:dyDescent="0.25">
      <c r="A1262" s="2">
        <v>46249</v>
      </c>
      <c r="B1262" s="3" t="s">
        <v>201</v>
      </c>
      <c r="C1262" s="3" t="s">
        <v>545</v>
      </c>
      <c r="D1262" s="3" t="s">
        <v>601</v>
      </c>
      <c r="E1262" s="3" t="s">
        <v>31</v>
      </c>
      <c r="F1262" s="3" t="s">
        <v>600</v>
      </c>
      <c r="G1262" s="4" t="s">
        <v>33</v>
      </c>
      <c r="H1262" s="4">
        <v>11</v>
      </c>
      <c r="I1262" s="5">
        <v>0.25297453703703704</v>
      </c>
      <c r="J1262" s="5">
        <v>3.636574074074074E-2</v>
      </c>
      <c r="K1262" s="5">
        <f t="shared" si="38"/>
        <v>3.3059764309764307E-3</v>
      </c>
      <c r="L1262" s="5">
        <v>4.7442129629629633E-2</v>
      </c>
      <c r="M1262" s="6">
        <f t="shared" si="39"/>
        <v>0.18753717344557808</v>
      </c>
      <c r="N1262" s="5">
        <v>1.0844907407407407E-2</v>
      </c>
      <c r="O1262" s="5">
        <v>2.1643518518518517E-2</v>
      </c>
      <c r="P1262" s="5"/>
      <c r="Q1262" s="5"/>
      <c r="R1262" s="5"/>
      <c r="S1262" s="5"/>
      <c r="T1262" s="5">
        <v>1.9212962962962964E-3</v>
      </c>
      <c r="U1262" s="5">
        <v>1.3032407407407407E-2</v>
      </c>
      <c r="V1262" s="5"/>
      <c r="W1262" s="5"/>
    </row>
    <row r="1263" spans="1:23" x14ac:dyDescent="0.25">
      <c r="A1263" s="2">
        <v>46249</v>
      </c>
      <c r="B1263" s="3" t="s">
        <v>168</v>
      </c>
      <c r="C1263" s="3" t="s">
        <v>520</v>
      </c>
      <c r="D1263" s="3" t="s">
        <v>274</v>
      </c>
      <c r="E1263" s="3" t="s">
        <v>79</v>
      </c>
      <c r="F1263" s="3" t="s">
        <v>147</v>
      </c>
      <c r="G1263" s="4" t="s">
        <v>33</v>
      </c>
      <c r="H1263" s="4">
        <v>10</v>
      </c>
      <c r="I1263" s="5">
        <v>0.25307870370370372</v>
      </c>
      <c r="J1263" s="5">
        <v>1.9039351851851852E-2</v>
      </c>
      <c r="K1263" s="5">
        <f t="shared" si="38"/>
        <v>1.9039351851851852E-3</v>
      </c>
      <c r="L1263" s="5">
        <v>4.0208333333333332E-2</v>
      </c>
      <c r="M1263" s="6">
        <f t="shared" si="39"/>
        <v>0.15887679502423852</v>
      </c>
      <c r="N1263" s="5">
        <v>1.0335648148148148E-2</v>
      </c>
      <c r="O1263" s="5">
        <v>1.6319444444444445E-2</v>
      </c>
      <c r="P1263" s="5"/>
      <c r="Q1263" s="5"/>
      <c r="R1263" s="5">
        <v>3.4722222222222222E-5</v>
      </c>
      <c r="S1263" s="5">
        <v>1.3217592592592593E-2</v>
      </c>
      <c r="T1263" s="5">
        <v>5.7870370370370373E-5</v>
      </c>
      <c r="U1263" s="5">
        <v>2.199074074074074E-4</v>
      </c>
      <c r="V1263" s="5"/>
      <c r="W1263" s="5"/>
    </row>
    <row r="1264" spans="1:23" x14ac:dyDescent="0.25">
      <c r="A1264" s="2">
        <v>46249</v>
      </c>
      <c r="B1264" s="3" t="s">
        <v>170</v>
      </c>
      <c r="C1264" s="3" t="s">
        <v>521</v>
      </c>
      <c r="D1264" s="3" t="s">
        <v>146</v>
      </c>
      <c r="E1264" s="3" t="s">
        <v>79</v>
      </c>
      <c r="F1264" s="3" t="s">
        <v>147</v>
      </c>
      <c r="G1264" s="4" t="s">
        <v>106</v>
      </c>
      <c r="H1264" s="4">
        <v>19</v>
      </c>
      <c r="I1264" s="5">
        <v>0.25790509259259259</v>
      </c>
      <c r="J1264" s="5">
        <v>8.1597222222222224E-2</v>
      </c>
      <c r="K1264" s="5">
        <f t="shared" si="38"/>
        <v>4.2945906432748536E-3</v>
      </c>
      <c r="L1264" s="5">
        <v>3.6585648148148145E-2</v>
      </c>
      <c r="M1264" s="6">
        <f t="shared" si="39"/>
        <v>0.14185702104743525</v>
      </c>
      <c r="N1264" s="5">
        <v>4.5138888888888885E-3</v>
      </c>
      <c r="O1264" s="5">
        <v>1.511574074074074E-2</v>
      </c>
      <c r="P1264" s="5"/>
      <c r="Q1264" s="5"/>
      <c r="R1264" s="5"/>
      <c r="S1264" s="5">
        <v>1.4884259259259259E-2</v>
      </c>
      <c r="T1264" s="5">
        <v>1.7361111111111112E-4</v>
      </c>
      <c r="U1264" s="5">
        <v>1.8171296296296297E-3</v>
      </c>
      <c r="V1264" s="5"/>
      <c r="W1264" s="5"/>
    </row>
    <row r="1265" spans="1:23" x14ac:dyDescent="0.25">
      <c r="A1265" s="2">
        <v>46249</v>
      </c>
      <c r="B1265" s="3" t="s">
        <v>606</v>
      </c>
      <c r="C1265" s="3" t="s">
        <v>633</v>
      </c>
      <c r="D1265" s="3" t="s">
        <v>146</v>
      </c>
      <c r="E1265" s="3" t="s">
        <v>79</v>
      </c>
      <c r="F1265" s="3" t="s">
        <v>147</v>
      </c>
      <c r="G1265" s="4" t="s">
        <v>106</v>
      </c>
      <c r="H1265" s="4">
        <v>10</v>
      </c>
      <c r="I1265" s="5">
        <v>0.26296296296296295</v>
      </c>
      <c r="J1265" s="5">
        <v>6.295138888888889E-2</v>
      </c>
      <c r="K1265" s="5">
        <f t="shared" si="38"/>
        <v>6.2951388888888892E-3</v>
      </c>
      <c r="L1265" s="5">
        <v>7.0231481481481478E-2</v>
      </c>
      <c r="M1265" s="6">
        <f t="shared" si="39"/>
        <v>0.2670774647887324</v>
      </c>
      <c r="N1265" s="5">
        <v>2.0659722222222222E-2</v>
      </c>
      <c r="O1265" s="5">
        <v>1.4050925925925927E-2</v>
      </c>
      <c r="P1265" s="5"/>
      <c r="Q1265" s="5"/>
      <c r="R1265" s="5"/>
      <c r="S1265" s="5">
        <v>1.5347222222222222E-2</v>
      </c>
      <c r="T1265" s="5">
        <v>5.4745370370370373E-3</v>
      </c>
      <c r="U1265" s="5">
        <v>1.1180555555555555E-2</v>
      </c>
      <c r="V1265" s="5"/>
      <c r="W1265" s="5">
        <v>3.4953703703703705E-3</v>
      </c>
    </row>
    <row r="1266" spans="1:23" x14ac:dyDescent="0.25">
      <c r="A1266" s="2">
        <v>46249</v>
      </c>
      <c r="B1266" s="3" t="s">
        <v>256</v>
      </c>
      <c r="C1266" s="3" t="s">
        <v>529</v>
      </c>
      <c r="D1266" s="3" t="s">
        <v>233</v>
      </c>
      <c r="E1266" s="3" t="s">
        <v>31</v>
      </c>
      <c r="F1266" s="3" t="s">
        <v>32</v>
      </c>
      <c r="G1266" s="4" t="s">
        <v>106</v>
      </c>
      <c r="H1266" s="4">
        <v>14</v>
      </c>
      <c r="I1266" s="5">
        <v>0.24570601851851853</v>
      </c>
      <c r="J1266" s="5">
        <v>6.5798611111111113E-2</v>
      </c>
      <c r="K1266" s="5">
        <f t="shared" si="38"/>
        <v>4.6999007936507934E-3</v>
      </c>
      <c r="L1266" s="5">
        <v>4.9201388888888892E-2</v>
      </c>
      <c r="M1266" s="6">
        <f t="shared" si="39"/>
        <v>0.20024494794856093</v>
      </c>
      <c r="N1266" s="5">
        <v>1.4490740740740742E-2</v>
      </c>
      <c r="O1266" s="5">
        <v>1.6041666666666666E-2</v>
      </c>
      <c r="P1266" s="5"/>
      <c r="Q1266" s="5"/>
      <c r="R1266" s="5"/>
      <c r="S1266" s="5">
        <v>1.380787037037037E-2</v>
      </c>
      <c r="T1266" s="5">
        <v>9.2592592592592588E-5</v>
      </c>
      <c r="U1266" s="5">
        <v>4.7569444444444447E-3</v>
      </c>
      <c r="V1266" s="5"/>
      <c r="W1266" s="5"/>
    </row>
    <row r="1267" spans="1:23" x14ac:dyDescent="0.25">
      <c r="A1267" s="2">
        <v>46249</v>
      </c>
      <c r="B1267" s="3" t="s">
        <v>258</v>
      </c>
      <c r="C1267" s="3" t="s">
        <v>554</v>
      </c>
      <c r="D1267" s="3" t="s">
        <v>233</v>
      </c>
      <c r="E1267" s="3" t="s">
        <v>31</v>
      </c>
      <c r="F1267" s="3" t="s">
        <v>32</v>
      </c>
      <c r="G1267" s="4" t="s">
        <v>106</v>
      </c>
      <c r="H1267" s="4">
        <v>0</v>
      </c>
      <c r="I1267" s="5">
        <v>0.21663194444444445</v>
      </c>
      <c r="J1267" s="5">
        <v>0</v>
      </c>
      <c r="K1267" s="5">
        <f t="shared" si="38"/>
        <v>0</v>
      </c>
      <c r="L1267" s="5">
        <v>0.21663194444444445</v>
      </c>
      <c r="M1267" s="6">
        <f t="shared" si="39"/>
        <v>1</v>
      </c>
      <c r="N1267" s="5"/>
      <c r="O1267" s="5"/>
      <c r="P1267" s="5"/>
      <c r="Q1267" s="5"/>
      <c r="R1267" s="5"/>
      <c r="S1267" s="5">
        <v>4.6296296296296294E-3</v>
      </c>
      <c r="T1267" s="5">
        <v>3.9351851851851852E-4</v>
      </c>
      <c r="U1267" s="5"/>
      <c r="V1267" s="5"/>
      <c r="W1267" s="5">
        <v>0.21160879629629631</v>
      </c>
    </row>
    <row r="1268" spans="1:23" x14ac:dyDescent="0.25">
      <c r="A1268" s="2">
        <v>46249</v>
      </c>
      <c r="B1268" s="3" t="s">
        <v>661</v>
      </c>
      <c r="C1268" s="3" t="s">
        <v>662</v>
      </c>
      <c r="D1268" s="3" t="s">
        <v>100</v>
      </c>
      <c r="E1268" s="3" t="s">
        <v>31</v>
      </c>
      <c r="F1268" s="3" t="s">
        <v>32</v>
      </c>
      <c r="G1268" s="4" t="s">
        <v>33</v>
      </c>
      <c r="H1268" s="4">
        <v>28</v>
      </c>
      <c r="I1268" s="5">
        <v>0.25908564814814816</v>
      </c>
      <c r="J1268" s="5">
        <v>9.8900462962962968E-2</v>
      </c>
      <c r="K1268" s="5">
        <f t="shared" si="38"/>
        <v>3.5321593915343917E-3</v>
      </c>
      <c r="L1268" s="5">
        <v>4.1377314814814818E-2</v>
      </c>
      <c r="M1268" s="6">
        <f t="shared" si="39"/>
        <v>0.15970515970515972</v>
      </c>
      <c r="N1268" s="5">
        <v>8.86574074074074E-3</v>
      </c>
      <c r="O1268" s="5">
        <v>1.5914351851851853E-2</v>
      </c>
      <c r="P1268" s="5"/>
      <c r="Q1268" s="5"/>
      <c r="R1268" s="5"/>
      <c r="S1268" s="5">
        <v>1.3993055555555555E-2</v>
      </c>
      <c r="T1268" s="5">
        <v>1.3888888888888889E-4</v>
      </c>
      <c r="U1268" s="5">
        <v>2.3611111111111111E-3</v>
      </c>
      <c r="V1268" s="5"/>
      <c r="W1268" s="5"/>
    </row>
    <row r="1269" spans="1:23" x14ac:dyDescent="0.25">
      <c r="A1269" s="2">
        <v>46249</v>
      </c>
      <c r="B1269" s="3" t="s">
        <v>663</v>
      </c>
      <c r="C1269" s="3" t="s">
        <v>664</v>
      </c>
      <c r="D1269" s="3" t="s">
        <v>233</v>
      </c>
      <c r="E1269" s="3" t="s">
        <v>31</v>
      </c>
      <c r="F1269" s="3" t="s">
        <v>32</v>
      </c>
      <c r="G1269" s="4" t="s">
        <v>106</v>
      </c>
      <c r="H1269" s="4">
        <v>15</v>
      </c>
      <c r="I1269" s="5">
        <v>0.25107638888888889</v>
      </c>
      <c r="J1269" s="5">
        <v>9.7557870370370364E-2</v>
      </c>
      <c r="K1269" s="5">
        <f t="shared" si="38"/>
        <v>6.5038580246913578E-3</v>
      </c>
      <c r="L1269" s="5">
        <v>2.9814814814814815E-2</v>
      </c>
      <c r="M1269" s="6">
        <f t="shared" si="39"/>
        <v>0.11874798322039368</v>
      </c>
      <c r="N1269" s="5">
        <v>3.1828703703703702E-3</v>
      </c>
      <c r="O1269" s="5">
        <v>1.0486111111111111E-2</v>
      </c>
      <c r="P1269" s="5"/>
      <c r="Q1269" s="5"/>
      <c r="R1269" s="5"/>
      <c r="S1269" s="5">
        <v>1.607638888888889E-2</v>
      </c>
      <c r="T1269" s="5">
        <v>6.9444444444444444E-5</v>
      </c>
      <c r="U1269" s="5"/>
      <c r="V1269" s="5"/>
      <c r="W1269" s="5"/>
    </row>
    <row r="1270" spans="1:23" x14ac:dyDescent="0.25">
      <c r="A1270" s="2">
        <v>46249</v>
      </c>
      <c r="B1270" s="3" t="s">
        <v>665</v>
      </c>
      <c r="C1270" s="3" t="s">
        <v>666</v>
      </c>
      <c r="D1270" s="3" t="s">
        <v>100</v>
      </c>
      <c r="E1270" s="3" t="s">
        <v>31</v>
      </c>
      <c r="F1270" s="3" t="s">
        <v>32</v>
      </c>
      <c r="G1270" s="4" t="s">
        <v>33</v>
      </c>
      <c r="H1270" s="4">
        <v>41</v>
      </c>
      <c r="I1270" s="5">
        <v>0.32119212962962962</v>
      </c>
      <c r="J1270" s="5">
        <v>0.15317129629629631</v>
      </c>
      <c r="K1270" s="5">
        <f t="shared" si="38"/>
        <v>3.7358852755194219E-3</v>
      </c>
      <c r="L1270" s="5">
        <v>2.2187499999999999E-2</v>
      </c>
      <c r="M1270" s="6">
        <f t="shared" si="39"/>
        <v>6.9078591762459007E-2</v>
      </c>
      <c r="N1270" s="5">
        <v>1.5277777777777779E-3</v>
      </c>
      <c r="O1270" s="5">
        <v>5.208333333333333E-3</v>
      </c>
      <c r="P1270" s="5"/>
      <c r="Q1270" s="5"/>
      <c r="R1270" s="5"/>
      <c r="S1270" s="5">
        <v>1.3344907407407408E-2</v>
      </c>
      <c r="T1270" s="5">
        <v>4.5138888888888887E-4</v>
      </c>
      <c r="U1270" s="5">
        <v>1.5393518518518519E-3</v>
      </c>
      <c r="V1270" s="5"/>
      <c r="W1270" s="5"/>
    </row>
    <row r="1271" spans="1:23" x14ac:dyDescent="0.25">
      <c r="A1271" s="2">
        <v>46249</v>
      </c>
      <c r="B1271" s="3" t="s">
        <v>128</v>
      </c>
      <c r="C1271" s="3" t="s">
        <v>555</v>
      </c>
      <c r="D1271" s="3" t="s">
        <v>233</v>
      </c>
      <c r="E1271" s="3" t="s">
        <v>31</v>
      </c>
      <c r="F1271" s="3" t="s">
        <v>32</v>
      </c>
      <c r="G1271" s="4" t="s">
        <v>106</v>
      </c>
      <c r="H1271" s="4">
        <v>17</v>
      </c>
      <c r="I1271" s="5">
        <v>0.2487037037037037</v>
      </c>
      <c r="J1271" s="5">
        <v>6.385416666666667E-2</v>
      </c>
      <c r="K1271" s="5">
        <f t="shared" si="38"/>
        <v>3.7561274509803925E-3</v>
      </c>
      <c r="L1271" s="5">
        <v>5.122685185185185E-2</v>
      </c>
      <c r="M1271" s="6">
        <f t="shared" si="39"/>
        <v>0.20597542814594191</v>
      </c>
      <c r="N1271" s="5">
        <v>1.861111111111111E-2</v>
      </c>
      <c r="O1271" s="5">
        <v>1.5277777777777777E-2</v>
      </c>
      <c r="P1271" s="5"/>
      <c r="Q1271" s="5"/>
      <c r="R1271" s="5"/>
      <c r="S1271" s="5">
        <v>1.5729166666666666E-2</v>
      </c>
      <c r="T1271" s="5">
        <v>9.3749999999999997E-4</v>
      </c>
      <c r="U1271" s="5">
        <v>6.4814814814814813E-4</v>
      </c>
      <c r="V1271" s="5"/>
      <c r="W1271" s="5"/>
    </row>
    <row r="1272" spans="1:23" x14ac:dyDescent="0.25">
      <c r="A1272" s="2">
        <v>46249</v>
      </c>
      <c r="B1272" s="3" t="s">
        <v>178</v>
      </c>
      <c r="C1272" s="3" t="s">
        <v>522</v>
      </c>
      <c r="D1272" s="3" t="s">
        <v>146</v>
      </c>
      <c r="E1272" s="3" t="s">
        <v>79</v>
      </c>
      <c r="F1272" s="3" t="s">
        <v>147</v>
      </c>
      <c r="G1272" s="4" t="s">
        <v>106</v>
      </c>
      <c r="H1272" s="4">
        <v>13</v>
      </c>
      <c r="I1272" s="5">
        <v>0.25673611111111111</v>
      </c>
      <c r="J1272" s="5">
        <v>5.1631944444444446E-2</v>
      </c>
      <c r="K1272" s="5">
        <f t="shared" si="38"/>
        <v>3.9716880341880345E-3</v>
      </c>
      <c r="L1272" s="5">
        <v>4.4467592592592593E-2</v>
      </c>
      <c r="M1272" s="6">
        <f t="shared" si="39"/>
        <v>0.1732034983319809</v>
      </c>
      <c r="N1272" s="5">
        <v>5.5787037037037038E-3</v>
      </c>
      <c r="O1272" s="5">
        <v>1.5555555555555555E-2</v>
      </c>
      <c r="P1272" s="5"/>
      <c r="Q1272" s="5"/>
      <c r="R1272" s="5"/>
      <c r="S1272" s="5">
        <v>1.2974537037037038E-2</v>
      </c>
      <c r="T1272" s="5">
        <v>9.525462962962963E-3</v>
      </c>
      <c r="U1272" s="5">
        <v>7.291666666666667E-4</v>
      </c>
      <c r="V1272" s="5"/>
      <c r="W1272" s="5">
        <v>1.0416666666666667E-4</v>
      </c>
    </row>
    <row r="1273" spans="1:23" x14ac:dyDescent="0.25">
      <c r="A1273" s="2">
        <v>46249</v>
      </c>
      <c r="B1273" s="3" t="s">
        <v>266</v>
      </c>
      <c r="C1273" s="3" t="s">
        <v>531</v>
      </c>
      <c r="D1273" s="3" t="s">
        <v>233</v>
      </c>
      <c r="E1273" s="3" t="s">
        <v>31</v>
      </c>
      <c r="F1273" s="3" t="s">
        <v>32</v>
      </c>
      <c r="G1273" s="4" t="s">
        <v>106</v>
      </c>
      <c r="H1273" s="4">
        <v>0</v>
      </c>
      <c r="I1273" s="5">
        <v>0.17371527777777779</v>
      </c>
      <c r="J1273" s="5">
        <v>0</v>
      </c>
      <c r="K1273" s="5">
        <f t="shared" si="38"/>
        <v>0</v>
      </c>
      <c r="L1273" s="5">
        <v>0.17371527777777779</v>
      </c>
      <c r="M1273" s="6">
        <f t="shared" si="39"/>
        <v>1</v>
      </c>
      <c r="N1273" s="5"/>
      <c r="O1273" s="5">
        <v>7.3495370370370372E-3</v>
      </c>
      <c r="P1273" s="5"/>
      <c r="Q1273" s="5"/>
      <c r="R1273" s="5"/>
      <c r="S1273" s="5"/>
      <c r="T1273" s="5">
        <v>4.1666666666666669E-4</v>
      </c>
      <c r="U1273" s="5"/>
      <c r="V1273" s="5"/>
      <c r="W1273" s="5">
        <v>0.16594907407407408</v>
      </c>
    </row>
    <row r="1274" spans="1:23" x14ac:dyDescent="0.25">
      <c r="A1274" s="2">
        <v>46249</v>
      </c>
      <c r="B1274" s="3" t="s">
        <v>297</v>
      </c>
      <c r="C1274" s="3" t="s">
        <v>667</v>
      </c>
      <c r="D1274" s="3" t="s">
        <v>104</v>
      </c>
      <c r="E1274" s="3" t="s">
        <v>31</v>
      </c>
      <c r="F1274" s="3" t="s">
        <v>105</v>
      </c>
      <c r="G1274" s="4" t="s">
        <v>106</v>
      </c>
      <c r="H1274" s="4">
        <v>2</v>
      </c>
      <c r="I1274" s="5">
        <v>0.2232986111111111</v>
      </c>
      <c r="J1274" s="5">
        <v>2.914351851851852E-2</v>
      </c>
      <c r="K1274" s="5">
        <f t="shared" si="38"/>
        <v>1.457175925925926E-2</v>
      </c>
      <c r="L1274" s="5">
        <v>0.21994212962962964</v>
      </c>
      <c r="M1274" s="6">
        <f t="shared" si="39"/>
        <v>0.98496864147618313</v>
      </c>
      <c r="N1274" s="5">
        <v>3.1921296296296295E-2</v>
      </c>
      <c r="O1274" s="5">
        <v>1.6481481481481482E-2</v>
      </c>
      <c r="P1274" s="5"/>
      <c r="Q1274" s="5"/>
      <c r="R1274" s="5"/>
      <c r="S1274" s="5">
        <v>1.4166666666666666E-2</v>
      </c>
      <c r="T1274" s="5">
        <v>3.9351851851851852E-4</v>
      </c>
      <c r="U1274" s="5">
        <v>3.7037037037037035E-4</v>
      </c>
      <c r="V1274" s="5"/>
      <c r="W1274" s="5">
        <v>0.15660879629629629</v>
      </c>
    </row>
    <row r="1275" spans="1:23" x14ac:dyDescent="0.25">
      <c r="A1275" s="2">
        <v>46249</v>
      </c>
      <c r="B1275" s="3" t="s">
        <v>207</v>
      </c>
      <c r="C1275" s="3" t="s">
        <v>566</v>
      </c>
      <c r="D1275" s="3" t="s">
        <v>274</v>
      </c>
      <c r="E1275" s="3" t="s">
        <v>79</v>
      </c>
      <c r="F1275" s="3" t="s">
        <v>147</v>
      </c>
      <c r="G1275" s="4" t="s">
        <v>33</v>
      </c>
      <c r="H1275" s="4">
        <v>13</v>
      </c>
      <c r="I1275" s="5">
        <v>0.25915509259259262</v>
      </c>
      <c r="J1275" s="5">
        <v>4.0590277777777781E-2</v>
      </c>
      <c r="K1275" s="5">
        <f t="shared" si="38"/>
        <v>3.1223290598290602E-3</v>
      </c>
      <c r="L1275" s="5">
        <v>3.6041666666666666E-2</v>
      </c>
      <c r="M1275" s="6">
        <f t="shared" si="39"/>
        <v>0.13907373498280556</v>
      </c>
      <c r="N1275" s="5">
        <v>7.2685185185185188E-3</v>
      </c>
      <c r="O1275" s="5">
        <v>1.4363425925925925E-2</v>
      </c>
      <c r="P1275" s="5"/>
      <c r="Q1275" s="5"/>
      <c r="R1275" s="5"/>
      <c r="S1275" s="5">
        <v>1.4050925925925927E-2</v>
      </c>
      <c r="T1275" s="5">
        <v>6.9444444444444444E-5</v>
      </c>
      <c r="U1275" s="5">
        <v>2.7777777777777778E-4</v>
      </c>
      <c r="V1275" s="5"/>
      <c r="W1275" s="5"/>
    </row>
    <row r="1276" spans="1:23" x14ac:dyDescent="0.25">
      <c r="A1276" s="2">
        <v>46249</v>
      </c>
      <c r="B1276" s="3" t="s">
        <v>614</v>
      </c>
      <c r="C1276" s="3" t="s">
        <v>635</v>
      </c>
      <c r="D1276" s="3" t="s">
        <v>601</v>
      </c>
      <c r="E1276" s="3" t="s">
        <v>31</v>
      </c>
      <c r="F1276" s="3" t="s">
        <v>105</v>
      </c>
      <c r="G1276" s="4" t="s">
        <v>33</v>
      </c>
      <c r="H1276" s="4">
        <v>6</v>
      </c>
      <c r="I1276" s="5">
        <v>0.24</v>
      </c>
      <c r="J1276" s="5">
        <v>4.3969907407407409E-2</v>
      </c>
      <c r="K1276" s="5">
        <f t="shared" si="38"/>
        <v>7.3283179012345679E-3</v>
      </c>
      <c r="L1276" s="5">
        <v>0.15628472222222223</v>
      </c>
      <c r="M1276" s="6">
        <f t="shared" si="39"/>
        <v>0.65118634259259267</v>
      </c>
      <c r="N1276" s="5">
        <v>8.4606481481481477E-3</v>
      </c>
      <c r="O1276" s="5">
        <v>1.2314814814814815E-2</v>
      </c>
      <c r="P1276" s="5"/>
      <c r="Q1276" s="5"/>
      <c r="R1276" s="5"/>
      <c r="S1276" s="5">
        <v>1.4212962962962964E-2</v>
      </c>
      <c r="T1276" s="5">
        <v>3.2986111111111111E-3</v>
      </c>
      <c r="U1276" s="5">
        <v>0.11799768518518519</v>
      </c>
      <c r="V1276" s="5"/>
      <c r="W1276" s="5"/>
    </row>
    <row r="1277" spans="1:23" x14ac:dyDescent="0.25">
      <c r="A1277" s="2">
        <v>46249</v>
      </c>
      <c r="B1277" s="3" t="s">
        <v>180</v>
      </c>
      <c r="C1277" s="3" t="s">
        <v>523</v>
      </c>
      <c r="D1277" s="3" t="s">
        <v>146</v>
      </c>
      <c r="E1277" s="3" t="s">
        <v>79</v>
      </c>
      <c r="F1277" s="3" t="s">
        <v>147</v>
      </c>
      <c r="G1277" s="4" t="s">
        <v>106</v>
      </c>
      <c r="H1277" s="4">
        <v>11</v>
      </c>
      <c r="I1277" s="5">
        <v>0.25916666666666666</v>
      </c>
      <c r="J1277" s="5">
        <v>5.6840277777777781E-2</v>
      </c>
      <c r="K1277" s="5">
        <f t="shared" si="38"/>
        <v>5.1672979797979801E-3</v>
      </c>
      <c r="L1277" s="5">
        <v>3.622685185185185E-2</v>
      </c>
      <c r="M1277" s="6">
        <f t="shared" si="39"/>
        <v>0.13978206502322257</v>
      </c>
      <c r="N1277" s="5">
        <v>5.7291666666666663E-3</v>
      </c>
      <c r="O1277" s="5">
        <v>1.4976851851851852E-2</v>
      </c>
      <c r="P1277" s="5"/>
      <c r="Q1277" s="5">
        <v>1.7476851851851852E-3</v>
      </c>
      <c r="R1277" s="5"/>
      <c r="S1277" s="5">
        <v>1.3495370370370371E-2</v>
      </c>
      <c r="T1277" s="5">
        <v>9.2592592592592588E-5</v>
      </c>
      <c r="U1277" s="5">
        <v>1.8518518518518518E-4</v>
      </c>
      <c r="V1277" s="5"/>
      <c r="W1277" s="5"/>
    </row>
    <row r="1278" spans="1:23" x14ac:dyDescent="0.25">
      <c r="A1278" s="2">
        <v>46249</v>
      </c>
      <c r="B1278" s="3" t="s">
        <v>615</v>
      </c>
      <c r="C1278" s="3" t="s">
        <v>636</v>
      </c>
      <c r="D1278" s="3" t="s">
        <v>601</v>
      </c>
      <c r="E1278" s="3" t="s">
        <v>31</v>
      </c>
      <c r="F1278" s="3" t="s">
        <v>105</v>
      </c>
      <c r="G1278" s="4" t="s">
        <v>33</v>
      </c>
      <c r="H1278" s="4">
        <v>3</v>
      </c>
      <c r="I1278" s="5">
        <v>0.17822916666666666</v>
      </c>
      <c r="J1278" s="5">
        <v>4.071759259259259E-2</v>
      </c>
      <c r="K1278" s="5">
        <f t="shared" si="38"/>
        <v>1.3572530864197531E-2</v>
      </c>
      <c r="L1278" s="5">
        <v>0.16592592592592592</v>
      </c>
      <c r="M1278" s="6">
        <f t="shared" si="39"/>
        <v>0.93096954347684913</v>
      </c>
      <c r="N1278" s="5"/>
      <c r="O1278" s="5">
        <v>1.5266203703703704E-2</v>
      </c>
      <c r="P1278" s="5"/>
      <c r="Q1278" s="5"/>
      <c r="R1278" s="5"/>
      <c r="S1278" s="5">
        <v>3.6226851851851854E-3</v>
      </c>
      <c r="T1278" s="5">
        <v>3.3564814814814812E-4</v>
      </c>
      <c r="U1278" s="5">
        <v>0.1467013888888889</v>
      </c>
      <c r="V1278" s="5"/>
      <c r="W1278" s="5"/>
    </row>
    <row r="1279" spans="1:23" x14ac:dyDescent="0.25">
      <c r="A1279" s="2">
        <v>46249</v>
      </c>
      <c r="B1279" s="3" t="s">
        <v>616</v>
      </c>
      <c r="C1279" s="3" t="s">
        <v>637</v>
      </c>
      <c r="D1279" s="3" t="s">
        <v>601</v>
      </c>
      <c r="E1279" s="3" t="s">
        <v>31</v>
      </c>
      <c r="F1279" s="3" t="s">
        <v>105</v>
      </c>
      <c r="G1279" s="4" t="s">
        <v>33</v>
      </c>
      <c r="H1279" s="4">
        <v>2</v>
      </c>
      <c r="I1279" s="5">
        <v>0.20413194444444444</v>
      </c>
      <c r="J1279" s="5">
        <v>4.2824074074074077E-2</v>
      </c>
      <c r="K1279" s="5">
        <f t="shared" si="38"/>
        <v>2.1412037037037038E-2</v>
      </c>
      <c r="L1279" s="5">
        <v>0.19038194444444445</v>
      </c>
      <c r="M1279" s="6">
        <f t="shared" si="39"/>
        <v>0.93264160571525778</v>
      </c>
      <c r="N1279" s="5">
        <v>1.3703703703703704E-2</v>
      </c>
      <c r="O1279" s="5">
        <v>7.7777777777777776E-3</v>
      </c>
      <c r="P1279" s="5"/>
      <c r="Q1279" s="5"/>
      <c r="R1279" s="5"/>
      <c r="S1279" s="5">
        <v>4.5370370370370373E-3</v>
      </c>
      <c r="T1279" s="5">
        <v>7.0601851851851847E-4</v>
      </c>
      <c r="U1279" s="5">
        <v>0.16365740740740742</v>
      </c>
      <c r="V1279" s="5"/>
      <c r="W1279" s="5"/>
    </row>
    <row r="1280" spans="1:23" x14ac:dyDescent="0.25">
      <c r="A1280" s="2">
        <v>46249</v>
      </c>
      <c r="B1280" s="3" t="s">
        <v>209</v>
      </c>
      <c r="C1280" s="3" t="s">
        <v>567</v>
      </c>
      <c r="D1280" s="3" t="s">
        <v>601</v>
      </c>
      <c r="E1280" s="3" t="s">
        <v>31</v>
      </c>
      <c r="F1280" s="3" t="s">
        <v>105</v>
      </c>
      <c r="G1280" s="4" t="s">
        <v>33</v>
      </c>
      <c r="H1280" s="4">
        <v>1</v>
      </c>
      <c r="I1280" s="5">
        <v>0.15584490740740742</v>
      </c>
      <c r="J1280" s="5">
        <v>1.2962962962962963E-2</v>
      </c>
      <c r="K1280" s="5">
        <f t="shared" si="38"/>
        <v>1.2962962962962963E-2</v>
      </c>
      <c r="L1280" s="5">
        <v>0.13971064814814815</v>
      </c>
      <c r="M1280" s="6">
        <f t="shared" si="39"/>
        <v>0.89647233568510953</v>
      </c>
      <c r="N1280" s="5">
        <v>3.8194444444444443E-3</v>
      </c>
      <c r="O1280" s="5">
        <v>4.4212962962962964E-3</v>
      </c>
      <c r="P1280" s="5"/>
      <c r="Q1280" s="5"/>
      <c r="R1280" s="5"/>
      <c r="S1280" s="5">
        <v>1.1921296296296296E-2</v>
      </c>
      <c r="T1280" s="5">
        <v>1.6898148148148148E-3</v>
      </c>
      <c r="U1280" s="5">
        <v>0.11785879629629629</v>
      </c>
      <c r="V1280" s="5"/>
      <c r="W1280" s="5"/>
    </row>
    <row r="1281" spans="1:23" x14ac:dyDescent="0.25">
      <c r="A1281" s="2">
        <v>46249</v>
      </c>
      <c r="B1281" s="3" t="s">
        <v>60</v>
      </c>
      <c r="C1281" s="3" t="s">
        <v>510</v>
      </c>
      <c r="D1281" s="3" t="s">
        <v>100</v>
      </c>
      <c r="E1281" s="3" t="s">
        <v>31</v>
      </c>
      <c r="F1281" s="3" t="s">
        <v>32</v>
      </c>
      <c r="G1281" s="4" t="s">
        <v>33</v>
      </c>
      <c r="H1281" s="4">
        <v>25</v>
      </c>
      <c r="I1281" s="5">
        <v>0.26162037037037039</v>
      </c>
      <c r="J1281" s="5">
        <v>0.12579861111111112</v>
      </c>
      <c r="K1281" s="5">
        <f t="shared" si="38"/>
        <v>5.0319444444444448E-3</v>
      </c>
      <c r="L1281" s="5">
        <v>3.8449074074074073E-2</v>
      </c>
      <c r="M1281" s="6">
        <f t="shared" si="39"/>
        <v>0.14696513891346663</v>
      </c>
      <c r="N1281" s="5"/>
      <c r="O1281" s="5">
        <v>1.4050925925925927E-2</v>
      </c>
      <c r="P1281" s="5"/>
      <c r="Q1281" s="5"/>
      <c r="R1281" s="5">
        <v>1.1574074074074075E-4</v>
      </c>
      <c r="S1281" s="5">
        <v>1.3900462962962963E-2</v>
      </c>
      <c r="T1281" s="5">
        <v>3.9351851851851852E-4</v>
      </c>
      <c r="U1281" s="5">
        <v>6.3657407407407413E-4</v>
      </c>
      <c r="V1281" s="5"/>
      <c r="W1281" s="5">
        <v>9.1203703703703707E-3</v>
      </c>
    </row>
    <row r="1282" spans="1:23" x14ac:dyDescent="0.25">
      <c r="A1282" s="2">
        <v>46249</v>
      </c>
      <c r="B1282" s="3" t="s">
        <v>132</v>
      </c>
      <c r="C1282" s="3" t="s">
        <v>512</v>
      </c>
      <c r="D1282" s="3" t="s">
        <v>104</v>
      </c>
      <c r="E1282" s="3" t="s">
        <v>31</v>
      </c>
      <c r="F1282" s="3" t="s">
        <v>105</v>
      </c>
      <c r="G1282" s="4" t="s">
        <v>106</v>
      </c>
      <c r="H1282" s="4">
        <v>2</v>
      </c>
      <c r="I1282" s="5">
        <v>0.24968750000000001</v>
      </c>
      <c r="J1282" s="5">
        <v>7.8912037037037031E-2</v>
      </c>
      <c r="K1282" s="5">
        <f t="shared" ref="K1282:K1345" si="40">IFERROR(J1282/H1282,0)</f>
        <v>3.9456018518518515E-2</v>
      </c>
      <c r="L1282" s="5">
        <v>0.20827546296296295</v>
      </c>
      <c r="M1282" s="6">
        <f t="shared" ref="M1282:M1345" si="41">IFERROR(L1282/I1282,0)</f>
        <v>0.83414453251749865</v>
      </c>
      <c r="N1282" s="5">
        <v>4.8842592592592592E-3</v>
      </c>
      <c r="O1282" s="5">
        <v>1.494212962962963E-2</v>
      </c>
      <c r="P1282" s="5"/>
      <c r="Q1282" s="5"/>
      <c r="R1282" s="5"/>
      <c r="S1282" s="5">
        <v>0.01</v>
      </c>
      <c r="T1282" s="5">
        <v>2.1770833333333333E-2</v>
      </c>
      <c r="U1282" s="5"/>
      <c r="V1282" s="5"/>
      <c r="W1282" s="5">
        <v>0.15667824074074074</v>
      </c>
    </row>
    <row r="1283" spans="1:23" x14ac:dyDescent="0.25">
      <c r="A1283" s="2">
        <v>46249</v>
      </c>
      <c r="B1283" s="3" t="s">
        <v>134</v>
      </c>
      <c r="C1283" s="3" t="s">
        <v>560</v>
      </c>
      <c r="D1283" s="3" t="s">
        <v>104</v>
      </c>
      <c r="E1283" s="3" t="s">
        <v>31</v>
      </c>
      <c r="F1283" s="3" t="s">
        <v>105</v>
      </c>
      <c r="G1283" s="4" t="s">
        <v>106</v>
      </c>
      <c r="H1283" s="4">
        <v>1</v>
      </c>
      <c r="I1283" s="5">
        <v>0.24407407407407408</v>
      </c>
      <c r="J1283" s="5">
        <v>2.642361111111111E-2</v>
      </c>
      <c r="K1283" s="5">
        <f t="shared" si="40"/>
        <v>2.642361111111111E-2</v>
      </c>
      <c r="L1283" s="5">
        <v>0.229375</v>
      </c>
      <c r="M1283" s="6">
        <f t="shared" si="41"/>
        <v>0.93977617602427921</v>
      </c>
      <c r="N1283" s="5">
        <v>4.9189814814814816E-3</v>
      </c>
      <c r="O1283" s="5">
        <v>2.9166666666666668E-3</v>
      </c>
      <c r="P1283" s="5"/>
      <c r="Q1283" s="5"/>
      <c r="R1283" s="5"/>
      <c r="S1283" s="5">
        <v>1.1620370370370371E-2</v>
      </c>
      <c r="T1283" s="5">
        <v>4.3321759259259261E-2</v>
      </c>
      <c r="U1283" s="5"/>
      <c r="V1283" s="5"/>
      <c r="W1283" s="5">
        <v>0.16659722222222223</v>
      </c>
    </row>
    <row r="1284" spans="1:23" x14ac:dyDescent="0.25">
      <c r="A1284" s="2">
        <v>46249</v>
      </c>
      <c r="B1284" s="3" t="s">
        <v>211</v>
      </c>
      <c r="C1284" s="3" t="s">
        <v>546</v>
      </c>
      <c r="D1284" s="3" t="s">
        <v>104</v>
      </c>
      <c r="E1284" s="3" t="s">
        <v>31</v>
      </c>
      <c r="F1284" s="3" t="s">
        <v>105</v>
      </c>
      <c r="G1284" s="4" t="s">
        <v>106</v>
      </c>
      <c r="H1284" s="4">
        <v>2</v>
      </c>
      <c r="I1284" s="5">
        <v>0.1630787037037037</v>
      </c>
      <c r="J1284" s="5">
        <v>3.0532407407407407E-2</v>
      </c>
      <c r="K1284" s="5">
        <f t="shared" si="40"/>
        <v>1.5266203703703704E-2</v>
      </c>
      <c r="L1284" s="5">
        <v>0.10702546296296296</v>
      </c>
      <c r="M1284" s="6">
        <f t="shared" si="41"/>
        <v>0.65628105039034779</v>
      </c>
      <c r="N1284" s="5"/>
      <c r="O1284" s="5">
        <v>1.6250000000000001E-2</v>
      </c>
      <c r="P1284" s="5">
        <v>3.3402777777777781E-2</v>
      </c>
      <c r="Q1284" s="5"/>
      <c r="R1284" s="5"/>
      <c r="S1284" s="5">
        <v>1.8865740740740742E-3</v>
      </c>
      <c r="T1284" s="5">
        <v>2.4305555555555555E-4</v>
      </c>
      <c r="U1284" s="5">
        <v>4.861111111111111E-4</v>
      </c>
      <c r="V1284" s="5"/>
      <c r="W1284" s="5">
        <v>5.4756944444444441E-2</v>
      </c>
    </row>
    <row r="1285" spans="1:23" x14ac:dyDescent="0.25">
      <c r="A1285" s="2">
        <v>46249</v>
      </c>
      <c r="B1285" s="3" t="s">
        <v>618</v>
      </c>
      <c r="C1285" s="3" t="s">
        <v>639</v>
      </c>
      <c r="D1285" s="3" t="s">
        <v>601</v>
      </c>
      <c r="E1285" s="3" t="s">
        <v>31</v>
      </c>
      <c r="F1285" s="3" t="s">
        <v>105</v>
      </c>
      <c r="G1285" s="4" t="s">
        <v>33</v>
      </c>
      <c r="H1285" s="4">
        <v>2</v>
      </c>
      <c r="I1285" s="5">
        <v>0.20394675925925926</v>
      </c>
      <c r="J1285" s="5">
        <v>5.2418981481481483E-2</v>
      </c>
      <c r="K1285" s="5">
        <f t="shared" si="40"/>
        <v>2.6209490740740742E-2</v>
      </c>
      <c r="L1285" s="5">
        <v>0.1821875</v>
      </c>
      <c r="M1285" s="6">
        <f t="shared" si="41"/>
        <v>0.89330911980023842</v>
      </c>
      <c r="N1285" s="5">
        <v>9.8263888888888897E-3</v>
      </c>
      <c r="O1285" s="5">
        <v>1.8865740740740742E-2</v>
      </c>
      <c r="P1285" s="5"/>
      <c r="Q1285" s="5"/>
      <c r="R1285" s="5"/>
      <c r="S1285" s="5">
        <v>1.4780092592592593E-2</v>
      </c>
      <c r="T1285" s="5">
        <v>4.7453703703703704E-4</v>
      </c>
      <c r="U1285" s="5">
        <v>0.13824074074074075</v>
      </c>
      <c r="V1285" s="5"/>
      <c r="W1285" s="5"/>
    </row>
    <row r="1286" spans="1:23" x14ac:dyDescent="0.25">
      <c r="A1286" s="2">
        <v>46249</v>
      </c>
      <c r="B1286" s="3" t="s">
        <v>501</v>
      </c>
      <c r="C1286" s="3" t="s">
        <v>524</v>
      </c>
      <c r="D1286" s="3" t="s">
        <v>274</v>
      </c>
      <c r="E1286" s="3" t="s">
        <v>79</v>
      </c>
      <c r="F1286" s="3" t="s">
        <v>147</v>
      </c>
      <c r="G1286" s="4" t="s">
        <v>33</v>
      </c>
      <c r="H1286" s="4">
        <v>14</v>
      </c>
      <c r="I1286" s="5">
        <v>0.27043981481481483</v>
      </c>
      <c r="J1286" s="5">
        <v>4.6932870370370368E-2</v>
      </c>
      <c r="K1286" s="5">
        <f t="shared" si="40"/>
        <v>3.3523478835978835E-3</v>
      </c>
      <c r="L1286" s="5">
        <v>2.9849537037037036E-2</v>
      </c>
      <c r="M1286" s="6">
        <f t="shared" si="41"/>
        <v>0.11037404776170504</v>
      </c>
      <c r="N1286" s="5"/>
      <c r="O1286" s="5">
        <v>1.6377314814814813E-2</v>
      </c>
      <c r="P1286" s="5"/>
      <c r="Q1286" s="5"/>
      <c r="R1286" s="5"/>
      <c r="S1286" s="5">
        <v>1.3321759259259259E-2</v>
      </c>
      <c r="T1286" s="5">
        <v>1.5046296296296297E-4</v>
      </c>
      <c r="U1286" s="5"/>
      <c r="V1286" s="5"/>
      <c r="W1286" s="5"/>
    </row>
    <row r="1287" spans="1:23" x14ac:dyDescent="0.25">
      <c r="A1287" s="2">
        <v>46249</v>
      </c>
      <c r="B1287" s="3" t="s">
        <v>213</v>
      </c>
      <c r="C1287" s="3" t="s">
        <v>572</v>
      </c>
      <c r="D1287" s="3" t="s">
        <v>601</v>
      </c>
      <c r="E1287" s="3" t="s">
        <v>31</v>
      </c>
      <c r="F1287" s="3" t="s">
        <v>105</v>
      </c>
      <c r="G1287" s="4" t="s">
        <v>33</v>
      </c>
      <c r="H1287" s="4">
        <v>5</v>
      </c>
      <c r="I1287" s="5">
        <v>0.25009259259259259</v>
      </c>
      <c r="J1287" s="5">
        <v>0.1303125</v>
      </c>
      <c r="K1287" s="5">
        <f t="shared" si="40"/>
        <v>2.6062499999999999E-2</v>
      </c>
      <c r="L1287" s="5">
        <v>0.21030092592592592</v>
      </c>
      <c r="M1287" s="6">
        <f t="shared" si="41"/>
        <v>0.84089226212513879</v>
      </c>
      <c r="N1287" s="5">
        <v>2.3807870370370372E-2</v>
      </c>
      <c r="O1287" s="5">
        <v>2.4282407407407409E-2</v>
      </c>
      <c r="P1287" s="5"/>
      <c r="Q1287" s="5"/>
      <c r="R1287" s="5"/>
      <c r="S1287" s="5">
        <v>1.2592592592592593E-2</v>
      </c>
      <c r="T1287" s="5">
        <v>6.018518518518519E-4</v>
      </c>
      <c r="U1287" s="5">
        <v>0.14901620370370369</v>
      </c>
      <c r="V1287" s="5"/>
      <c r="W1287" s="5"/>
    </row>
    <row r="1288" spans="1:23" x14ac:dyDescent="0.25">
      <c r="A1288" s="2">
        <v>46249</v>
      </c>
      <c r="B1288" s="3" t="s">
        <v>619</v>
      </c>
      <c r="C1288" s="3" t="s">
        <v>640</v>
      </c>
      <c r="D1288" s="3" t="s">
        <v>601</v>
      </c>
      <c r="E1288" s="3" t="s">
        <v>31</v>
      </c>
      <c r="F1288" s="3" t="s">
        <v>105</v>
      </c>
      <c r="G1288" s="4" t="s">
        <v>33</v>
      </c>
      <c r="H1288" s="4">
        <v>5</v>
      </c>
      <c r="I1288" s="5">
        <v>0.20988425925925927</v>
      </c>
      <c r="J1288" s="5">
        <v>4.5613425925925925E-2</v>
      </c>
      <c r="K1288" s="5">
        <f t="shared" si="40"/>
        <v>9.1226851851851851E-3</v>
      </c>
      <c r="L1288" s="5">
        <v>0.14587962962962964</v>
      </c>
      <c r="M1288" s="6">
        <f t="shared" si="41"/>
        <v>0.69504797617734637</v>
      </c>
      <c r="N1288" s="5">
        <v>8.2986111111111108E-3</v>
      </c>
      <c r="O1288" s="5">
        <v>1.4085648148148147E-2</v>
      </c>
      <c r="P1288" s="5"/>
      <c r="Q1288" s="5"/>
      <c r="R1288" s="5"/>
      <c r="S1288" s="5">
        <v>1.3032407407407407E-2</v>
      </c>
      <c r="T1288" s="5">
        <v>1.1076388888888889E-2</v>
      </c>
      <c r="U1288" s="5">
        <v>8.8587962962962966E-2</v>
      </c>
      <c r="V1288" s="5"/>
      <c r="W1288" s="5">
        <v>1.0798611111111111E-2</v>
      </c>
    </row>
    <row r="1289" spans="1:23" x14ac:dyDescent="0.25">
      <c r="A1289" s="2">
        <v>46249</v>
      </c>
      <c r="B1289" s="3" t="s">
        <v>668</v>
      </c>
      <c r="C1289" s="3" t="s">
        <v>669</v>
      </c>
      <c r="D1289" s="3" t="s">
        <v>233</v>
      </c>
      <c r="E1289" s="3" t="s">
        <v>31</v>
      </c>
      <c r="F1289" s="3" t="s">
        <v>32</v>
      </c>
      <c r="G1289" s="4" t="s">
        <v>106</v>
      </c>
      <c r="H1289" s="4">
        <v>18</v>
      </c>
      <c r="I1289" s="5">
        <v>0.26322916666666668</v>
      </c>
      <c r="J1289" s="5">
        <v>7.5219907407407402E-2</v>
      </c>
      <c r="K1289" s="5">
        <f t="shared" si="40"/>
        <v>4.1788837448559664E-3</v>
      </c>
      <c r="L1289" s="5">
        <v>3.6886574074074072E-2</v>
      </c>
      <c r="M1289" s="6">
        <f t="shared" si="41"/>
        <v>0.14013102932770521</v>
      </c>
      <c r="N1289" s="5">
        <v>5.9606481481481481E-3</v>
      </c>
      <c r="O1289" s="5">
        <v>1.3819444444444445E-2</v>
      </c>
      <c r="P1289" s="5"/>
      <c r="Q1289" s="5">
        <v>5.4398148148148144E-4</v>
      </c>
      <c r="R1289" s="5"/>
      <c r="S1289" s="5">
        <v>9.6064814814814815E-3</v>
      </c>
      <c r="T1289" s="5">
        <v>6.6782407407407407E-3</v>
      </c>
      <c r="U1289" s="5">
        <v>2.7777777777777778E-4</v>
      </c>
      <c r="V1289" s="5"/>
      <c r="W1289" s="5"/>
    </row>
    <row r="1290" spans="1:23" x14ac:dyDescent="0.25">
      <c r="A1290" s="2">
        <v>46249</v>
      </c>
      <c r="B1290" s="3" t="s">
        <v>219</v>
      </c>
      <c r="C1290" s="3" t="s">
        <v>548</v>
      </c>
      <c r="D1290" s="3" t="s">
        <v>104</v>
      </c>
      <c r="E1290" s="3" t="s">
        <v>31</v>
      </c>
      <c r="F1290" s="3" t="s">
        <v>105</v>
      </c>
      <c r="G1290" s="4" t="s">
        <v>106</v>
      </c>
      <c r="H1290" s="4">
        <v>2</v>
      </c>
      <c r="I1290" s="5">
        <v>0.21106481481481482</v>
      </c>
      <c r="J1290" s="5">
        <v>2.7719907407407408E-2</v>
      </c>
      <c r="K1290" s="5">
        <f t="shared" si="40"/>
        <v>1.3859953703703704E-2</v>
      </c>
      <c r="L1290" s="5">
        <v>0.18692129629629631</v>
      </c>
      <c r="M1290" s="6">
        <f t="shared" si="41"/>
        <v>0.88561087957885509</v>
      </c>
      <c r="N1290" s="5"/>
      <c r="O1290" s="5">
        <v>1.6400462962962964E-2</v>
      </c>
      <c r="P1290" s="5"/>
      <c r="Q1290" s="5"/>
      <c r="R1290" s="5"/>
      <c r="S1290" s="5">
        <v>1.773148148148148E-2</v>
      </c>
      <c r="T1290" s="5">
        <v>2.568287037037037E-2</v>
      </c>
      <c r="U1290" s="5">
        <v>3.2407407407407406E-4</v>
      </c>
      <c r="V1290" s="5"/>
      <c r="W1290" s="5">
        <v>0.1267824074074074</v>
      </c>
    </row>
    <row r="1291" spans="1:23" x14ac:dyDescent="0.25">
      <c r="A1291" s="2">
        <v>46249</v>
      </c>
      <c r="B1291" s="3" t="s">
        <v>305</v>
      </c>
      <c r="C1291" s="3" t="s">
        <v>306</v>
      </c>
      <c r="D1291" s="3" t="s">
        <v>100</v>
      </c>
      <c r="E1291" s="3" t="s">
        <v>31</v>
      </c>
      <c r="F1291" s="3" t="s">
        <v>32</v>
      </c>
      <c r="G1291" s="4" t="s">
        <v>33</v>
      </c>
      <c r="H1291" s="4">
        <v>27</v>
      </c>
      <c r="I1291" s="5">
        <v>0.26078703703703704</v>
      </c>
      <c r="J1291" s="5">
        <v>7.1192129629629633E-2</v>
      </c>
      <c r="K1291" s="5">
        <f t="shared" si="40"/>
        <v>2.6367455418381345E-3</v>
      </c>
      <c r="L1291" s="5">
        <v>5.3854166666666668E-2</v>
      </c>
      <c r="M1291" s="6">
        <f t="shared" si="41"/>
        <v>0.2065063021480561</v>
      </c>
      <c r="N1291" s="5">
        <v>1.4976851851851852E-2</v>
      </c>
      <c r="O1291" s="5">
        <v>1.7002314814814814E-2</v>
      </c>
      <c r="P1291" s="5"/>
      <c r="Q1291" s="5">
        <v>3.6111111111111109E-3</v>
      </c>
      <c r="R1291" s="5"/>
      <c r="S1291" s="5">
        <v>1.7465277777777777E-2</v>
      </c>
      <c r="T1291" s="5">
        <v>1.1574074074074075E-4</v>
      </c>
      <c r="U1291" s="5"/>
      <c r="V1291" s="5"/>
      <c r="W1291" s="5">
        <v>6.8287037037037036E-4</v>
      </c>
    </row>
    <row r="1292" spans="1:23" x14ac:dyDescent="0.25">
      <c r="A1292" s="2">
        <v>46249</v>
      </c>
      <c r="B1292" s="3" t="s">
        <v>620</v>
      </c>
      <c r="C1292" s="3" t="s">
        <v>641</v>
      </c>
      <c r="D1292" s="3" t="s">
        <v>601</v>
      </c>
      <c r="E1292" s="3" t="s">
        <v>31</v>
      </c>
      <c r="F1292" s="3" t="s">
        <v>105</v>
      </c>
      <c r="G1292" s="4" t="s">
        <v>33</v>
      </c>
      <c r="H1292" s="4">
        <v>6</v>
      </c>
      <c r="I1292" s="5">
        <v>0.23445601851851852</v>
      </c>
      <c r="J1292" s="5">
        <v>0.13603009259259261</v>
      </c>
      <c r="K1292" s="5">
        <f t="shared" si="40"/>
        <v>2.2671682098765435E-2</v>
      </c>
      <c r="L1292" s="5">
        <v>0.18447916666666667</v>
      </c>
      <c r="M1292" s="6">
        <f t="shared" si="41"/>
        <v>0.78683911734215328</v>
      </c>
      <c r="N1292" s="5">
        <v>4.178240740740741E-3</v>
      </c>
      <c r="O1292" s="5">
        <v>1.9340277777777779E-2</v>
      </c>
      <c r="P1292" s="5"/>
      <c r="Q1292" s="5"/>
      <c r="R1292" s="5"/>
      <c r="S1292" s="5">
        <v>1.5081018518518518E-2</v>
      </c>
      <c r="T1292" s="5">
        <v>5.5324074074074078E-3</v>
      </c>
      <c r="U1292" s="5">
        <v>0.14034722222222223</v>
      </c>
      <c r="V1292" s="5"/>
      <c r="W1292" s="5"/>
    </row>
    <row r="1293" spans="1:23" x14ac:dyDescent="0.25">
      <c r="A1293" s="2">
        <v>46249</v>
      </c>
      <c r="B1293" s="3" t="s">
        <v>138</v>
      </c>
      <c r="C1293" s="3" t="s">
        <v>556</v>
      </c>
      <c r="D1293" s="3" t="s">
        <v>104</v>
      </c>
      <c r="E1293" s="3" t="s">
        <v>31</v>
      </c>
      <c r="F1293" s="3" t="s">
        <v>105</v>
      </c>
      <c r="G1293" s="4" t="s">
        <v>106</v>
      </c>
      <c r="H1293" s="4">
        <v>3</v>
      </c>
      <c r="I1293" s="5">
        <v>0.24754629629629629</v>
      </c>
      <c r="J1293" s="5">
        <v>5.7604166666666665E-2</v>
      </c>
      <c r="K1293" s="5">
        <f t="shared" si="40"/>
        <v>1.9201388888888889E-2</v>
      </c>
      <c r="L1293" s="5">
        <v>0.2129861111111111</v>
      </c>
      <c r="M1293" s="6">
        <f t="shared" si="41"/>
        <v>0.86038900317935285</v>
      </c>
      <c r="N1293" s="5">
        <v>2.662037037037037E-3</v>
      </c>
      <c r="O1293" s="5">
        <v>1.0381944444444444E-2</v>
      </c>
      <c r="P1293" s="5"/>
      <c r="Q1293" s="5"/>
      <c r="R1293" s="5"/>
      <c r="S1293" s="5">
        <v>1.4537037037037038E-2</v>
      </c>
      <c r="T1293" s="5">
        <v>3.3692129629629627E-2</v>
      </c>
      <c r="U1293" s="5">
        <v>1.4467592592592592E-3</v>
      </c>
      <c r="V1293" s="5"/>
      <c r="W1293" s="5">
        <v>0.15026620370370369</v>
      </c>
    </row>
    <row r="1294" spans="1:23" x14ac:dyDescent="0.25">
      <c r="A1294" s="2">
        <v>46249</v>
      </c>
      <c r="B1294" s="3" t="s">
        <v>276</v>
      </c>
      <c r="C1294" s="3" t="s">
        <v>532</v>
      </c>
      <c r="D1294" s="3" t="s">
        <v>233</v>
      </c>
      <c r="E1294" s="3" t="s">
        <v>31</v>
      </c>
      <c r="F1294" s="3" t="s">
        <v>32</v>
      </c>
      <c r="G1294" s="4" t="s">
        <v>106</v>
      </c>
      <c r="H1294" s="4">
        <v>21</v>
      </c>
      <c r="I1294" s="5">
        <v>0.26505787037037037</v>
      </c>
      <c r="J1294" s="5">
        <v>4.6666666666666669E-2</v>
      </c>
      <c r="K1294" s="5">
        <f t="shared" si="40"/>
        <v>2.2222222222222222E-3</v>
      </c>
      <c r="L1294" s="5">
        <v>5.1608796296296298E-2</v>
      </c>
      <c r="M1294" s="6">
        <f t="shared" si="41"/>
        <v>0.19470765468756823</v>
      </c>
      <c r="N1294" s="5">
        <v>5.9837962962962961E-3</v>
      </c>
      <c r="O1294" s="5">
        <v>1.4143518518518519E-2</v>
      </c>
      <c r="P1294" s="5"/>
      <c r="Q1294" s="5"/>
      <c r="R1294" s="5"/>
      <c r="S1294" s="5">
        <v>1.4293981481481482E-2</v>
      </c>
      <c r="T1294" s="5">
        <v>1.6875000000000001E-2</v>
      </c>
      <c r="U1294" s="5">
        <v>3.0092592592592595E-4</v>
      </c>
      <c r="V1294" s="5"/>
      <c r="W1294" s="5"/>
    </row>
    <row r="1295" spans="1:23" x14ac:dyDescent="0.25">
      <c r="A1295" s="2">
        <v>46249</v>
      </c>
      <c r="B1295" s="3" t="s">
        <v>278</v>
      </c>
      <c r="C1295" s="3" t="s">
        <v>533</v>
      </c>
      <c r="D1295" s="3" t="s">
        <v>233</v>
      </c>
      <c r="E1295" s="3" t="s">
        <v>31</v>
      </c>
      <c r="F1295" s="3" t="s">
        <v>32</v>
      </c>
      <c r="G1295" s="4" t="s">
        <v>106</v>
      </c>
      <c r="H1295" s="4">
        <v>15</v>
      </c>
      <c r="I1295" s="5">
        <v>0.26144675925925925</v>
      </c>
      <c r="J1295" s="5">
        <v>6.9722222222222227E-2</v>
      </c>
      <c r="K1295" s="5">
        <f t="shared" si="40"/>
        <v>4.6481481481481486E-3</v>
      </c>
      <c r="L1295" s="5">
        <v>4.2094907407407407E-2</v>
      </c>
      <c r="M1295" s="6">
        <f t="shared" si="41"/>
        <v>0.16100757005622207</v>
      </c>
      <c r="N1295" s="5">
        <v>5.8449074074074072E-3</v>
      </c>
      <c r="O1295" s="5">
        <v>1.4085648148148147E-2</v>
      </c>
      <c r="P1295" s="5">
        <v>8.0092592592592594E-3</v>
      </c>
      <c r="Q1295" s="5"/>
      <c r="R1295" s="5"/>
      <c r="S1295" s="5">
        <v>1.3912037037037037E-2</v>
      </c>
      <c r="T1295" s="5">
        <v>2.4305555555555555E-4</v>
      </c>
      <c r="U1295" s="5"/>
      <c r="V1295" s="5"/>
      <c r="W1295" s="5"/>
    </row>
    <row r="1296" spans="1:23" x14ac:dyDescent="0.25">
      <c r="A1296" s="2">
        <v>46249</v>
      </c>
      <c r="B1296" s="3" t="s">
        <v>313</v>
      </c>
      <c r="C1296" s="3" t="s">
        <v>511</v>
      </c>
      <c r="D1296" s="3" t="s">
        <v>78</v>
      </c>
      <c r="E1296" s="3" t="s">
        <v>79</v>
      </c>
      <c r="F1296" s="3" t="s">
        <v>80</v>
      </c>
      <c r="G1296" s="4" t="s">
        <v>81</v>
      </c>
      <c r="H1296" s="4">
        <v>0</v>
      </c>
      <c r="I1296" s="5">
        <v>0.25111111111111112</v>
      </c>
      <c r="J1296" s="5">
        <v>0</v>
      </c>
      <c r="K1296" s="5">
        <f t="shared" si="40"/>
        <v>0</v>
      </c>
      <c r="L1296" s="5">
        <v>3.9467592592592592E-3</v>
      </c>
      <c r="M1296" s="6">
        <f t="shared" si="41"/>
        <v>1.5717182890855455E-2</v>
      </c>
      <c r="N1296" s="5">
        <v>3.7268518518518519E-3</v>
      </c>
      <c r="O1296" s="5">
        <v>1.5046296296296297E-4</v>
      </c>
      <c r="P1296" s="5"/>
      <c r="Q1296" s="5"/>
      <c r="R1296" s="5"/>
      <c r="S1296" s="5"/>
      <c r="T1296" s="5">
        <v>6.9444444444444444E-5</v>
      </c>
      <c r="U1296" s="5"/>
      <c r="V1296" s="5"/>
      <c r="W1296" s="5"/>
    </row>
    <row r="1297" spans="1:23" x14ac:dyDescent="0.25">
      <c r="A1297" s="2">
        <v>46249</v>
      </c>
      <c r="B1297" s="3" t="s">
        <v>673</v>
      </c>
      <c r="C1297" s="3" t="s">
        <v>674</v>
      </c>
      <c r="D1297" s="3" t="s">
        <v>104</v>
      </c>
      <c r="E1297" s="3" t="s">
        <v>31</v>
      </c>
      <c r="F1297" s="3" t="s">
        <v>105</v>
      </c>
      <c r="G1297" s="4" t="s">
        <v>106</v>
      </c>
      <c r="H1297" s="4">
        <v>2</v>
      </c>
      <c r="I1297" s="5">
        <v>0.24042824074074073</v>
      </c>
      <c r="J1297" s="5">
        <v>4.7361111111111111E-2</v>
      </c>
      <c r="K1297" s="5">
        <f t="shared" si="40"/>
        <v>2.3680555555555555E-2</v>
      </c>
      <c r="L1297" s="5">
        <v>0.21812500000000001</v>
      </c>
      <c r="M1297" s="6">
        <f t="shared" si="41"/>
        <v>0.90723535358397933</v>
      </c>
      <c r="N1297" s="5">
        <v>7.8240740740740736E-3</v>
      </c>
      <c r="O1297" s="5">
        <v>1.3715277777777778E-2</v>
      </c>
      <c r="P1297" s="5"/>
      <c r="Q1297" s="5"/>
      <c r="R1297" s="5"/>
      <c r="S1297" s="5">
        <v>1.4814814814814815E-2</v>
      </c>
      <c r="T1297" s="5">
        <v>2.5462962962962961E-4</v>
      </c>
      <c r="U1297" s="5">
        <v>2.3148148148148149E-4</v>
      </c>
      <c r="V1297" s="5"/>
      <c r="W1297" s="5">
        <v>0.18128472222222222</v>
      </c>
    </row>
    <row r="1298" spans="1:23" x14ac:dyDescent="0.25">
      <c r="A1298" s="2">
        <v>46249</v>
      </c>
      <c r="B1298" s="3" t="s">
        <v>225</v>
      </c>
      <c r="C1298" s="3" t="s">
        <v>549</v>
      </c>
      <c r="D1298" s="3" t="s">
        <v>601</v>
      </c>
      <c r="E1298" s="3" t="s">
        <v>31</v>
      </c>
      <c r="F1298" s="3" t="s">
        <v>105</v>
      </c>
      <c r="G1298" s="4" t="s">
        <v>33</v>
      </c>
      <c r="H1298" s="4">
        <v>6</v>
      </c>
      <c r="I1298" s="5">
        <v>0.2338425925925926</v>
      </c>
      <c r="J1298" s="5">
        <v>5.7083333333333333E-2</v>
      </c>
      <c r="K1298" s="5">
        <f t="shared" si="40"/>
        <v>9.5138888888888894E-3</v>
      </c>
      <c r="L1298" s="5">
        <v>0.1333449074074074</v>
      </c>
      <c r="M1298" s="6">
        <f t="shared" si="41"/>
        <v>0.57023361710552356</v>
      </c>
      <c r="N1298" s="5">
        <v>6.7708333333333336E-3</v>
      </c>
      <c r="O1298" s="5">
        <v>1.3680555555555555E-2</v>
      </c>
      <c r="P1298" s="5"/>
      <c r="Q1298" s="5"/>
      <c r="R1298" s="5"/>
      <c r="S1298" s="5">
        <v>1.2777777777777779E-2</v>
      </c>
      <c r="T1298" s="5">
        <v>5.5555555555555556E-4</v>
      </c>
      <c r="U1298" s="5">
        <v>9.9537037037037035E-2</v>
      </c>
      <c r="V1298" s="5"/>
      <c r="W1298" s="5"/>
    </row>
    <row r="1299" spans="1:23" x14ac:dyDescent="0.25">
      <c r="A1299" s="2">
        <v>46249</v>
      </c>
      <c r="B1299" s="3" t="s">
        <v>280</v>
      </c>
      <c r="C1299" s="3" t="s">
        <v>534</v>
      </c>
      <c r="D1299" s="3" t="s">
        <v>233</v>
      </c>
      <c r="E1299" s="3" t="s">
        <v>31</v>
      </c>
      <c r="F1299" s="3" t="s">
        <v>32</v>
      </c>
      <c r="G1299" s="4" t="s">
        <v>106</v>
      </c>
      <c r="H1299" s="4">
        <v>18</v>
      </c>
      <c r="I1299" s="5">
        <v>0.26515046296296296</v>
      </c>
      <c r="J1299" s="5">
        <v>5.5983796296296295E-2</v>
      </c>
      <c r="K1299" s="5">
        <f t="shared" si="40"/>
        <v>3.1102109053497942E-3</v>
      </c>
      <c r="L1299" s="5">
        <v>3.6550925925925924E-2</v>
      </c>
      <c r="M1299" s="6">
        <f t="shared" si="41"/>
        <v>0.13784975337203717</v>
      </c>
      <c r="N1299" s="5">
        <v>4.1435185185185186E-3</v>
      </c>
      <c r="O1299" s="5">
        <v>1.6886574074074075E-2</v>
      </c>
      <c r="P1299" s="5"/>
      <c r="Q1299" s="5"/>
      <c r="R1299" s="5"/>
      <c r="S1299" s="5">
        <v>1.5069444444444444E-2</v>
      </c>
      <c r="T1299" s="5">
        <v>4.1666666666666669E-4</v>
      </c>
      <c r="U1299" s="5"/>
      <c r="V1299" s="5"/>
      <c r="W1299" s="5">
        <v>3.4722222222222222E-5</v>
      </c>
    </row>
    <row r="1300" spans="1:23" x14ac:dyDescent="0.25">
      <c r="A1300" s="2">
        <v>46249</v>
      </c>
      <c r="B1300" s="3" t="s">
        <v>299</v>
      </c>
      <c r="C1300" s="3" t="s">
        <v>571</v>
      </c>
      <c r="D1300" s="3" t="s">
        <v>104</v>
      </c>
      <c r="E1300" s="3" t="s">
        <v>31</v>
      </c>
      <c r="F1300" s="3" t="s">
        <v>105</v>
      </c>
      <c r="G1300" s="4" t="s">
        <v>106</v>
      </c>
      <c r="H1300" s="4">
        <v>3</v>
      </c>
      <c r="I1300" s="5">
        <v>0.25481481481481483</v>
      </c>
      <c r="J1300" s="5">
        <v>8.0659722222222216E-2</v>
      </c>
      <c r="K1300" s="5">
        <f t="shared" si="40"/>
        <v>2.6886574074074073E-2</v>
      </c>
      <c r="L1300" s="5">
        <v>0.21152777777777779</v>
      </c>
      <c r="M1300" s="6">
        <f t="shared" si="41"/>
        <v>0.8301235465116279</v>
      </c>
      <c r="N1300" s="5">
        <v>3.5185185185185185E-3</v>
      </c>
      <c r="O1300" s="5">
        <v>1.2280092592592592E-2</v>
      </c>
      <c r="P1300" s="5"/>
      <c r="Q1300" s="5"/>
      <c r="R1300" s="5"/>
      <c r="S1300" s="5">
        <v>7.2337962962962963E-3</v>
      </c>
      <c r="T1300" s="5">
        <v>2.3657407407407408E-2</v>
      </c>
      <c r="U1300" s="5">
        <v>7.7546296296296293E-4</v>
      </c>
      <c r="V1300" s="5"/>
      <c r="W1300" s="5">
        <v>0.1640625</v>
      </c>
    </row>
    <row r="1301" spans="1:23" x14ac:dyDescent="0.25">
      <c r="A1301" s="2">
        <v>46249</v>
      </c>
      <c r="B1301" s="3" t="s">
        <v>598</v>
      </c>
      <c r="C1301" s="3" t="s">
        <v>598</v>
      </c>
      <c r="D1301" s="3" t="s">
        <v>284</v>
      </c>
      <c r="E1301" s="3"/>
      <c r="F1301" s="3"/>
      <c r="G1301" s="4"/>
      <c r="H1301" s="4">
        <v>48</v>
      </c>
      <c r="I1301" s="5">
        <v>0</v>
      </c>
      <c r="J1301" s="5">
        <v>5.5555555555555556E-4</v>
      </c>
      <c r="K1301" s="5">
        <f t="shared" si="40"/>
        <v>1.1574074074074073E-5</v>
      </c>
      <c r="L1301" s="5">
        <v>0</v>
      </c>
      <c r="M1301" s="6">
        <f t="shared" si="41"/>
        <v>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</row>
    <row r="1302" spans="1:23" x14ac:dyDescent="0.25">
      <c r="A1302" s="2">
        <v>46249</v>
      </c>
      <c r="B1302" s="3" t="s">
        <v>227</v>
      </c>
      <c r="C1302" s="3" t="s">
        <v>557</v>
      </c>
      <c r="D1302" s="3" t="s">
        <v>146</v>
      </c>
      <c r="E1302" s="3" t="s">
        <v>79</v>
      </c>
      <c r="F1302" s="3" t="s">
        <v>147</v>
      </c>
      <c r="G1302" s="4" t="s">
        <v>106</v>
      </c>
      <c r="H1302" s="4">
        <v>11</v>
      </c>
      <c r="I1302" s="5">
        <v>0.26138888888888889</v>
      </c>
      <c r="J1302" s="5">
        <v>7.4675925925925923E-2</v>
      </c>
      <c r="K1302" s="5">
        <f t="shared" si="40"/>
        <v>6.7887205387205385E-3</v>
      </c>
      <c r="L1302" s="5">
        <v>3.5844907407407409E-2</v>
      </c>
      <c r="M1302" s="6">
        <f t="shared" si="41"/>
        <v>0.13713248317392845</v>
      </c>
      <c r="N1302" s="5">
        <v>5.4513888888888893E-3</v>
      </c>
      <c r="O1302" s="5">
        <v>1.3425925925925926E-2</v>
      </c>
      <c r="P1302" s="5">
        <v>2.5000000000000001E-3</v>
      </c>
      <c r="Q1302" s="5"/>
      <c r="R1302" s="5"/>
      <c r="S1302" s="5">
        <v>1.3738425925925926E-2</v>
      </c>
      <c r="T1302" s="5">
        <v>1.273148148148148E-4</v>
      </c>
      <c r="U1302" s="5">
        <v>5.6712962962962967E-4</v>
      </c>
      <c r="V1302" s="5"/>
      <c r="W1302" s="5"/>
    </row>
    <row r="1303" spans="1:23" x14ac:dyDescent="0.25">
      <c r="A1303" s="2">
        <v>46249</v>
      </c>
      <c r="B1303" s="3" t="s">
        <v>282</v>
      </c>
      <c r="C1303" s="3" t="s">
        <v>535</v>
      </c>
      <c r="D1303" s="3" t="s">
        <v>233</v>
      </c>
      <c r="E1303" s="3" t="s">
        <v>31</v>
      </c>
      <c r="F1303" s="3" t="s">
        <v>32</v>
      </c>
      <c r="G1303" s="4" t="s">
        <v>106</v>
      </c>
      <c r="H1303" s="4">
        <v>20</v>
      </c>
      <c r="I1303" s="5">
        <v>0.2636574074074074</v>
      </c>
      <c r="J1303" s="5">
        <v>4.9108796296296296E-2</v>
      </c>
      <c r="K1303" s="5">
        <f t="shared" si="40"/>
        <v>2.4554398148148148E-3</v>
      </c>
      <c r="L1303" s="5">
        <v>4.2488425925925923E-2</v>
      </c>
      <c r="M1303" s="6">
        <f t="shared" si="41"/>
        <v>0.16115013169446882</v>
      </c>
      <c r="N1303" s="5">
        <v>6.7013888888888887E-3</v>
      </c>
      <c r="O1303" s="5">
        <v>1.8761574074074073E-2</v>
      </c>
      <c r="P1303" s="5"/>
      <c r="Q1303" s="5"/>
      <c r="R1303" s="5"/>
      <c r="S1303" s="5">
        <v>1.5300925925925926E-2</v>
      </c>
      <c r="T1303" s="5">
        <v>1.724537037037037E-3</v>
      </c>
      <c r="U1303" s="5"/>
      <c r="V1303" s="5"/>
      <c r="W1303" s="5"/>
    </row>
    <row r="1304" spans="1:23" x14ac:dyDescent="0.25">
      <c r="A1304" s="2">
        <v>46249</v>
      </c>
      <c r="B1304" s="3" t="s">
        <v>675</v>
      </c>
      <c r="C1304" s="3" t="s">
        <v>676</v>
      </c>
      <c r="D1304" s="3" t="s">
        <v>104</v>
      </c>
      <c r="E1304" s="3" t="s">
        <v>31</v>
      </c>
      <c r="F1304" s="3" t="s">
        <v>105</v>
      </c>
      <c r="G1304" s="4" t="s">
        <v>106</v>
      </c>
      <c r="H1304" s="4">
        <v>3</v>
      </c>
      <c r="I1304" s="5">
        <v>0.25180555555555556</v>
      </c>
      <c r="J1304" s="5">
        <v>7.9097222222222222E-2</v>
      </c>
      <c r="K1304" s="5">
        <f t="shared" si="40"/>
        <v>2.6365740740740742E-2</v>
      </c>
      <c r="L1304" s="5">
        <v>0.21401620370370369</v>
      </c>
      <c r="M1304" s="6">
        <f t="shared" si="41"/>
        <v>0.84992645706931413</v>
      </c>
      <c r="N1304" s="5">
        <v>2.650462962962963E-3</v>
      </c>
      <c r="O1304" s="5">
        <v>1.3831018518518519E-2</v>
      </c>
      <c r="P1304" s="5"/>
      <c r="Q1304" s="5"/>
      <c r="R1304" s="5"/>
      <c r="S1304" s="5"/>
      <c r="T1304" s="5">
        <v>1.6203703703703703E-3</v>
      </c>
      <c r="U1304" s="5">
        <v>1.2268518518518518E-3</v>
      </c>
      <c r="V1304" s="5"/>
      <c r="W1304" s="5">
        <v>0.19468750000000001</v>
      </c>
    </row>
    <row r="1305" spans="1:23" x14ac:dyDescent="0.25">
      <c r="A1305" s="2">
        <v>46251</v>
      </c>
      <c r="B1305" s="3" t="s">
        <v>186</v>
      </c>
      <c r="C1305" s="3" t="s">
        <v>562</v>
      </c>
      <c r="D1305" s="3" t="s">
        <v>78</v>
      </c>
      <c r="E1305" s="3" t="s">
        <v>79</v>
      </c>
      <c r="F1305" s="3" t="s">
        <v>80</v>
      </c>
      <c r="G1305" s="4" t="s">
        <v>33</v>
      </c>
      <c r="H1305" s="4">
        <v>1</v>
      </c>
      <c r="I1305" s="5">
        <v>0.26685185185185184</v>
      </c>
      <c r="J1305" s="5">
        <v>6.5972222222222224E-4</v>
      </c>
      <c r="K1305" s="5">
        <f t="shared" si="40"/>
        <v>6.5972222222222224E-4</v>
      </c>
      <c r="L1305" s="5">
        <v>3.4629629629629628E-2</v>
      </c>
      <c r="M1305" s="6">
        <f t="shared" si="41"/>
        <v>0.12977099236641221</v>
      </c>
      <c r="N1305" s="5">
        <v>3.414351851851852E-3</v>
      </c>
      <c r="O1305" s="5">
        <v>1.7280092592592593E-2</v>
      </c>
      <c r="P1305" s="5"/>
      <c r="Q1305" s="5"/>
      <c r="R1305" s="5"/>
      <c r="S1305" s="5">
        <v>1.3738425925925926E-2</v>
      </c>
      <c r="T1305" s="5">
        <v>6.9444444444444444E-5</v>
      </c>
      <c r="U1305" s="5">
        <v>1.0416666666666667E-4</v>
      </c>
      <c r="V1305" s="5"/>
      <c r="W1305" s="5"/>
    </row>
    <row r="1306" spans="1:23" x14ac:dyDescent="0.25">
      <c r="A1306" s="2">
        <v>46251</v>
      </c>
      <c r="B1306" s="3" t="s">
        <v>643</v>
      </c>
      <c r="C1306" s="3" t="s">
        <v>644</v>
      </c>
      <c r="D1306" s="3" t="s">
        <v>233</v>
      </c>
      <c r="E1306" s="3" t="s">
        <v>31</v>
      </c>
      <c r="F1306" s="3" t="s">
        <v>32</v>
      </c>
      <c r="G1306" s="4" t="s">
        <v>106</v>
      </c>
      <c r="H1306" s="4">
        <v>23</v>
      </c>
      <c r="I1306" s="5">
        <v>0.24790509259259258</v>
      </c>
      <c r="J1306" s="5">
        <v>0.13105324074074073</v>
      </c>
      <c r="K1306" s="5">
        <f t="shared" si="40"/>
        <v>5.6979669887278579E-3</v>
      </c>
      <c r="L1306" s="5">
        <v>4.9363425925925929E-2</v>
      </c>
      <c r="M1306" s="6">
        <f t="shared" si="41"/>
        <v>0.19912227461599516</v>
      </c>
      <c r="N1306" s="5">
        <v>2.6967592592592594E-3</v>
      </c>
      <c r="O1306" s="5">
        <v>1.3912037037037037E-2</v>
      </c>
      <c r="P1306" s="5">
        <v>9.9537037037037042E-4</v>
      </c>
      <c r="Q1306" s="5">
        <v>1.2581018518518519E-2</v>
      </c>
      <c r="R1306" s="5"/>
      <c r="S1306" s="5">
        <v>1.4756944444444444E-2</v>
      </c>
      <c r="T1306" s="5">
        <v>1.0416666666666667E-4</v>
      </c>
      <c r="U1306" s="5">
        <v>4.2708333333333331E-3</v>
      </c>
      <c r="V1306" s="5"/>
      <c r="W1306" s="5"/>
    </row>
    <row r="1307" spans="1:23" x14ac:dyDescent="0.25">
      <c r="A1307" s="2">
        <v>46251</v>
      </c>
      <c r="B1307" s="3" t="s">
        <v>193</v>
      </c>
      <c r="C1307" s="3" t="s">
        <v>563</v>
      </c>
      <c r="D1307" s="3" t="s">
        <v>274</v>
      </c>
      <c r="E1307" s="3" t="s">
        <v>79</v>
      </c>
      <c r="F1307" s="3" t="s">
        <v>147</v>
      </c>
      <c r="G1307" s="4" t="s">
        <v>33</v>
      </c>
      <c r="H1307" s="4">
        <v>20</v>
      </c>
      <c r="I1307" s="5">
        <v>0.26521990740740742</v>
      </c>
      <c r="J1307" s="5">
        <v>7.1539351851851854E-2</v>
      </c>
      <c r="K1307" s="5">
        <f t="shared" si="40"/>
        <v>3.5769675925925925E-3</v>
      </c>
      <c r="L1307" s="5">
        <v>3.484953703703704E-2</v>
      </c>
      <c r="M1307" s="6">
        <f t="shared" si="41"/>
        <v>0.13139864717433997</v>
      </c>
      <c r="N1307" s="5"/>
      <c r="O1307" s="5">
        <v>1.3923611111111111E-2</v>
      </c>
      <c r="P1307" s="5"/>
      <c r="Q1307" s="5">
        <v>6.8634259259259256E-3</v>
      </c>
      <c r="R1307" s="5"/>
      <c r="S1307" s="5">
        <v>1.3912037037037037E-2</v>
      </c>
      <c r="T1307" s="5">
        <v>6.9444444444444444E-5</v>
      </c>
      <c r="U1307" s="5">
        <v>8.1018518518518516E-5</v>
      </c>
      <c r="V1307" s="5"/>
      <c r="W1307" s="5"/>
    </row>
    <row r="1308" spans="1:23" x14ac:dyDescent="0.25">
      <c r="A1308" s="2">
        <v>46251</v>
      </c>
      <c r="B1308" s="3" t="s">
        <v>231</v>
      </c>
      <c r="C1308" s="3" t="s">
        <v>525</v>
      </c>
      <c r="D1308" s="3" t="s">
        <v>233</v>
      </c>
      <c r="E1308" s="3" t="s">
        <v>31</v>
      </c>
      <c r="F1308" s="3" t="s">
        <v>32</v>
      </c>
      <c r="G1308" s="4" t="s">
        <v>106</v>
      </c>
      <c r="H1308" s="4">
        <v>32</v>
      </c>
      <c r="I1308" s="5">
        <v>0.25634259259259257</v>
      </c>
      <c r="J1308" s="5">
        <v>0.15268518518518517</v>
      </c>
      <c r="K1308" s="5">
        <f t="shared" si="40"/>
        <v>4.7714120370370367E-3</v>
      </c>
      <c r="L1308" s="5">
        <v>5.935185185185185E-2</v>
      </c>
      <c r="M1308" s="6">
        <f t="shared" si="41"/>
        <v>0.23153332129311904</v>
      </c>
      <c r="N1308" s="5">
        <v>1.5509259259259259E-3</v>
      </c>
      <c r="O1308" s="5">
        <v>1.9085648148148147E-2</v>
      </c>
      <c r="P1308" s="5"/>
      <c r="Q1308" s="5">
        <v>9.6296296296296303E-3</v>
      </c>
      <c r="R1308" s="5"/>
      <c r="S1308" s="5">
        <v>1.3506944444444445E-2</v>
      </c>
      <c r="T1308" s="5">
        <v>1.4965277777777777E-2</v>
      </c>
      <c r="U1308" s="5">
        <v>6.134259259259259E-4</v>
      </c>
      <c r="V1308" s="5"/>
      <c r="W1308" s="5"/>
    </row>
    <row r="1309" spans="1:23" x14ac:dyDescent="0.25">
      <c r="A1309" s="2">
        <v>46251</v>
      </c>
      <c r="B1309" s="3" t="s">
        <v>148</v>
      </c>
      <c r="C1309" s="3" t="s">
        <v>513</v>
      </c>
      <c r="D1309" s="3" t="s">
        <v>104</v>
      </c>
      <c r="E1309" s="3" t="s">
        <v>31</v>
      </c>
      <c r="F1309" s="3" t="s">
        <v>105</v>
      </c>
      <c r="G1309" s="4" t="s">
        <v>106</v>
      </c>
      <c r="H1309" s="4">
        <v>5</v>
      </c>
      <c r="I1309" s="5">
        <v>0.23840277777777777</v>
      </c>
      <c r="J1309" s="5">
        <v>0.12752314814814814</v>
      </c>
      <c r="K1309" s="5">
        <f t="shared" si="40"/>
        <v>2.5504629629629627E-2</v>
      </c>
      <c r="L1309" s="5">
        <v>0.18625</v>
      </c>
      <c r="M1309" s="6">
        <f t="shared" si="41"/>
        <v>0.78124089717448297</v>
      </c>
      <c r="N1309" s="5">
        <v>3.9351851851851848E-3</v>
      </c>
      <c r="O1309" s="5">
        <v>1.5196759259259259E-2</v>
      </c>
      <c r="P1309" s="5"/>
      <c r="Q1309" s="5"/>
      <c r="R1309" s="5"/>
      <c r="S1309" s="5">
        <v>1.4050925925925927E-2</v>
      </c>
      <c r="T1309" s="5">
        <v>1.1990740740740741E-2</v>
      </c>
      <c r="U1309" s="5"/>
      <c r="V1309" s="5"/>
      <c r="W1309" s="5">
        <v>0.14107638888888888</v>
      </c>
    </row>
    <row r="1310" spans="1:23" x14ac:dyDescent="0.25">
      <c r="A1310" s="2">
        <v>46251</v>
      </c>
      <c r="B1310" s="3" t="s">
        <v>82</v>
      </c>
      <c r="C1310" s="3" t="s">
        <v>83</v>
      </c>
      <c r="D1310" s="3" t="s">
        <v>78</v>
      </c>
      <c r="E1310" s="3" t="s">
        <v>79</v>
      </c>
      <c r="F1310" s="3" t="s">
        <v>80</v>
      </c>
      <c r="G1310" s="4" t="s">
        <v>81</v>
      </c>
      <c r="H1310" s="4">
        <v>0</v>
      </c>
      <c r="I1310" s="5">
        <v>0.27657407407407408</v>
      </c>
      <c r="J1310" s="5">
        <v>0</v>
      </c>
      <c r="K1310" s="5">
        <f t="shared" si="40"/>
        <v>0</v>
      </c>
      <c r="L1310" s="5">
        <v>0.27657407407407408</v>
      </c>
      <c r="M1310" s="6">
        <f t="shared" si="41"/>
        <v>1</v>
      </c>
      <c r="N1310" s="5"/>
      <c r="O1310" s="5"/>
      <c r="P1310" s="5"/>
      <c r="Q1310" s="5"/>
      <c r="R1310" s="5"/>
      <c r="S1310" s="5"/>
      <c r="T1310" s="5">
        <v>0.27657407407407408</v>
      </c>
      <c r="U1310" s="5"/>
      <c r="V1310" s="5"/>
      <c r="W1310" s="5"/>
    </row>
    <row r="1311" spans="1:23" x14ac:dyDescent="0.25">
      <c r="A1311" s="2">
        <v>46251</v>
      </c>
      <c r="B1311" s="3" t="s">
        <v>234</v>
      </c>
      <c r="C1311" s="3" t="s">
        <v>550</v>
      </c>
      <c r="D1311" s="3" t="s">
        <v>233</v>
      </c>
      <c r="E1311" s="3" t="s">
        <v>31</v>
      </c>
      <c r="F1311" s="3" t="s">
        <v>32</v>
      </c>
      <c r="G1311" s="4" t="s">
        <v>106</v>
      </c>
      <c r="H1311" s="4">
        <v>51</v>
      </c>
      <c r="I1311" s="5">
        <v>0.34258101851851852</v>
      </c>
      <c r="J1311" s="5">
        <v>0.17695601851851853</v>
      </c>
      <c r="K1311" s="5">
        <f t="shared" si="40"/>
        <v>3.4697258533042848E-3</v>
      </c>
      <c r="L1311" s="5">
        <v>6.0127314814814814E-2</v>
      </c>
      <c r="M1311" s="6">
        <f t="shared" si="41"/>
        <v>0.17551268623939997</v>
      </c>
      <c r="N1311" s="5">
        <v>9.1087962962962971E-3</v>
      </c>
      <c r="O1311" s="5">
        <v>2.119212962962963E-2</v>
      </c>
      <c r="P1311" s="5">
        <v>1.9791666666666668E-3</v>
      </c>
      <c r="Q1311" s="5"/>
      <c r="R1311" s="5"/>
      <c r="S1311" s="5">
        <v>1.3842592592592592E-2</v>
      </c>
      <c r="T1311" s="5">
        <v>1.275462962962963E-2</v>
      </c>
      <c r="U1311" s="5">
        <v>1.238425925925926E-3</v>
      </c>
      <c r="V1311" s="5"/>
      <c r="W1311" s="5"/>
    </row>
    <row r="1312" spans="1:23" x14ac:dyDescent="0.25">
      <c r="A1312" s="2">
        <v>46251</v>
      </c>
      <c r="B1312" s="3" t="s">
        <v>34</v>
      </c>
      <c r="C1312" s="3" t="s">
        <v>505</v>
      </c>
      <c r="D1312" s="3" t="s">
        <v>233</v>
      </c>
      <c r="E1312" s="3" t="s">
        <v>31</v>
      </c>
      <c r="F1312" s="3" t="s">
        <v>32</v>
      </c>
      <c r="G1312" s="4" t="s">
        <v>106</v>
      </c>
      <c r="H1312" s="4">
        <v>41</v>
      </c>
      <c r="I1312" s="5">
        <v>0.26234953703703706</v>
      </c>
      <c r="J1312" s="5">
        <v>0.12640046296296295</v>
      </c>
      <c r="K1312" s="5">
        <f t="shared" si="40"/>
        <v>3.0829381210478769E-3</v>
      </c>
      <c r="L1312" s="5">
        <v>4.8009259259259258E-2</v>
      </c>
      <c r="M1312" s="6">
        <f t="shared" si="41"/>
        <v>0.18299730886310495</v>
      </c>
      <c r="N1312" s="5">
        <v>6.4699074074074077E-3</v>
      </c>
      <c r="O1312" s="5">
        <v>1.2916666666666667E-2</v>
      </c>
      <c r="P1312" s="5"/>
      <c r="Q1312" s="5">
        <v>1.0729166666666666E-2</v>
      </c>
      <c r="R1312" s="5"/>
      <c r="S1312" s="5">
        <v>1.3414351851851853E-2</v>
      </c>
      <c r="T1312" s="5">
        <v>3.7037037037037035E-4</v>
      </c>
      <c r="U1312" s="5">
        <v>1.5856481481481481E-3</v>
      </c>
      <c r="V1312" s="5"/>
      <c r="W1312" s="5">
        <v>1.7476851851851852E-3</v>
      </c>
    </row>
    <row r="1313" spans="1:23" x14ac:dyDescent="0.25">
      <c r="A1313" s="2">
        <v>46251</v>
      </c>
      <c r="B1313" s="3" t="s">
        <v>236</v>
      </c>
      <c r="C1313" s="3" t="s">
        <v>551</v>
      </c>
      <c r="D1313" s="3" t="s">
        <v>233</v>
      </c>
      <c r="E1313" s="3" t="s">
        <v>31</v>
      </c>
      <c r="F1313" s="3" t="s">
        <v>32</v>
      </c>
      <c r="G1313" s="4" t="s">
        <v>106</v>
      </c>
      <c r="H1313" s="4">
        <v>1</v>
      </c>
      <c r="I1313" s="5">
        <v>0.20268518518518519</v>
      </c>
      <c r="J1313" s="5">
        <v>2.8124999999999999E-3</v>
      </c>
      <c r="K1313" s="5">
        <f t="shared" si="40"/>
        <v>2.8124999999999999E-3</v>
      </c>
      <c r="L1313" s="5">
        <v>0.19873842592592592</v>
      </c>
      <c r="M1313" s="6">
        <f t="shared" si="41"/>
        <v>0.98052763819095468</v>
      </c>
      <c r="N1313" s="5">
        <v>4.3530092592592592E-2</v>
      </c>
      <c r="O1313" s="5">
        <v>8.7384259259259255E-3</v>
      </c>
      <c r="P1313" s="5"/>
      <c r="Q1313" s="5"/>
      <c r="R1313" s="5"/>
      <c r="S1313" s="5"/>
      <c r="T1313" s="5">
        <v>3.5879629629629629E-4</v>
      </c>
      <c r="U1313" s="5"/>
      <c r="V1313" s="5"/>
      <c r="W1313" s="5">
        <v>0.14611111111111111</v>
      </c>
    </row>
    <row r="1314" spans="1:23" x14ac:dyDescent="0.25">
      <c r="A1314" s="2">
        <v>46251</v>
      </c>
      <c r="B1314" s="3" t="s">
        <v>238</v>
      </c>
      <c r="C1314" s="3" t="s">
        <v>526</v>
      </c>
      <c r="D1314" s="3" t="s">
        <v>233</v>
      </c>
      <c r="E1314" s="3" t="s">
        <v>31</v>
      </c>
      <c r="F1314" s="3" t="s">
        <v>32</v>
      </c>
      <c r="G1314" s="4" t="s">
        <v>106</v>
      </c>
      <c r="H1314" s="4">
        <v>5</v>
      </c>
      <c r="I1314" s="5">
        <v>0.24703703703703703</v>
      </c>
      <c r="J1314" s="5">
        <v>1.4340277777777778E-2</v>
      </c>
      <c r="K1314" s="5">
        <f t="shared" si="40"/>
        <v>2.8680555555555555E-3</v>
      </c>
      <c r="L1314" s="5">
        <v>0.22835648148148149</v>
      </c>
      <c r="M1314" s="6">
        <f t="shared" si="41"/>
        <v>0.92438155922038989</v>
      </c>
      <c r="N1314" s="5"/>
      <c r="O1314" s="5"/>
      <c r="P1314" s="5"/>
      <c r="Q1314" s="5"/>
      <c r="R1314" s="5"/>
      <c r="S1314" s="5">
        <v>1.4618055555555556E-2</v>
      </c>
      <c r="T1314" s="5">
        <v>4.861111111111111E-4</v>
      </c>
      <c r="U1314" s="5"/>
      <c r="V1314" s="5"/>
      <c r="W1314" s="5">
        <v>0.21325231481481483</v>
      </c>
    </row>
    <row r="1315" spans="1:23" x14ac:dyDescent="0.25">
      <c r="A1315" s="2">
        <v>46251</v>
      </c>
      <c r="B1315" s="3" t="s">
        <v>608</v>
      </c>
      <c r="C1315" s="3" t="s">
        <v>631</v>
      </c>
      <c r="D1315" s="3" t="s">
        <v>601</v>
      </c>
      <c r="E1315" s="3" t="s">
        <v>31</v>
      </c>
      <c r="F1315" s="3" t="s">
        <v>105</v>
      </c>
      <c r="G1315" s="4" t="s">
        <v>33</v>
      </c>
      <c r="H1315" s="4">
        <v>11</v>
      </c>
      <c r="I1315" s="5">
        <v>0.24725694444444443</v>
      </c>
      <c r="J1315" s="5">
        <v>0.14454861111111111</v>
      </c>
      <c r="K1315" s="5">
        <f t="shared" si="40"/>
        <v>1.3140782828282828E-2</v>
      </c>
      <c r="L1315" s="5">
        <v>0.16730324074074074</v>
      </c>
      <c r="M1315" s="6">
        <f t="shared" si="41"/>
        <v>0.67663717642653187</v>
      </c>
      <c r="N1315" s="5">
        <v>4.1898148148148146E-3</v>
      </c>
      <c r="O1315" s="5">
        <v>1.4027777777777778E-2</v>
      </c>
      <c r="P1315" s="5"/>
      <c r="Q1315" s="5"/>
      <c r="R1315" s="5"/>
      <c r="S1315" s="5">
        <v>1.4583333333333334E-2</v>
      </c>
      <c r="T1315" s="5">
        <v>2.4421296296296296E-3</v>
      </c>
      <c r="U1315" s="5">
        <v>0.1320486111111111</v>
      </c>
      <c r="V1315" s="5"/>
      <c r="W1315" s="5"/>
    </row>
    <row r="1316" spans="1:23" x14ac:dyDescent="0.25">
      <c r="A1316" s="2">
        <v>46251</v>
      </c>
      <c r="B1316" s="3" t="s">
        <v>307</v>
      </c>
      <c r="C1316" s="3" t="s">
        <v>308</v>
      </c>
      <c r="D1316" s="3" t="s">
        <v>78</v>
      </c>
      <c r="E1316" s="3" t="s">
        <v>79</v>
      </c>
      <c r="F1316" s="3" t="s">
        <v>80</v>
      </c>
      <c r="G1316" s="4" t="s">
        <v>81</v>
      </c>
      <c r="H1316" s="4">
        <v>0</v>
      </c>
      <c r="I1316" s="5">
        <v>0.26706018518518521</v>
      </c>
      <c r="J1316" s="5">
        <v>0</v>
      </c>
      <c r="K1316" s="5">
        <f t="shared" si="40"/>
        <v>0</v>
      </c>
      <c r="L1316" s="5">
        <v>0.14001157407407408</v>
      </c>
      <c r="M1316" s="6">
        <f t="shared" si="41"/>
        <v>0.52426974083383893</v>
      </c>
      <c r="N1316" s="5"/>
      <c r="O1316" s="5"/>
      <c r="P1316" s="5"/>
      <c r="Q1316" s="5"/>
      <c r="R1316" s="5">
        <v>0.13962962962962963</v>
      </c>
      <c r="S1316" s="5"/>
      <c r="T1316" s="5">
        <v>2.7777777777777778E-4</v>
      </c>
      <c r="U1316" s="5">
        <v>9.2592592592592588E-5</v>
      </c>
      <c r="V1316" s="5"/>
      <c r="W1316" s="5"/>
    </row>
    <row r="1317" spans="1:23" x14ac:dyDescent="0.25">
      <c r="A1317" s="2">
        <v>46251</v>
      </c>
      <c r="B1317" s="3" t="s">
        <v>197</v>
      </c>
      <c r="C1317" s="3" t="s">
        <v>564</v>
      </c>
      <c r="D1317" s="3" t="s">
        <v>601</v>
      </c>
      <c r="E1317" s="3" t="s">
        <v>31</v>
      </c>
      <c r="F1317" s="3" t="s">
        <v>105</v>
      </c>
      <c r="G1317" s="4" t="s">
        <v>33</v>
      </c>
      <c r="H1317" s="4">
        <v>11</v>
      </c>
      <c r="I1317" s="5">
        <v>0.2484837962962963</v>
      </c>
      <c r="J1317" s="5">
        <v>0.12554398148148149</v>
      </c>
      <c r="K1317" s="5">
        <f t="shared" si="40"/>
        <v>1.1413089225589227E-2</v>
      </c>
      <c r="L1317" s="5">
        <v>0.18461805555555555</v>
      </c>
      <c r="M1317" s="6">
        <f t="shared" si="41"/>
        <v>0.74297824770599463</v>
      </c>
      <c r="N1317" s="5">
        <v>7.3379629629629628E-3</v>
      </c>
      <c r="O1317" s="5">
        <v>1.3020833333333334E-2</v>
      </c>
      <c r="P1317" s="5"/>
      <c r="Q1317" s="5">
        <v>2.480324074074074E-2</v>
      </c>
      <c r="R1317" s="5"/>
      <c r="S1317" s="5">
        <v>1.4988425925925926E-2</v>
      </c>
      <c r="T1317" s="5">
        <v>1.5509259259259259E-3</v>
      </c>
      <c r="U1317" s="5">
        <v>0.12291666666666666</v>
      </c>
      <c r="V1317" s="5"/>
      <c r="W1317" s="5"/>
    </row>
    <row r="1318" spans="1:23" x14ac:dyDescent="0.25">
      <c r="A1318" s="2">
        <v>46251</v>
      </c>
      <c r="B1318" s="3" t="s">
        <v>150</v>
      </c>
      <c r="C1318" s="3" t="s">
        <v>514</v>
      </c>
      <c r="D1318" s="3" t="s">
        <v>146</v>
      </c>
      <c r="E1318" s="3" t="s">
        <v>79</v>
      </c>
      <c r="F1318" s="3" t="s">
        <v>147</v>
      </c>
      <c r="G1318" s="4" t="s">
        <v>106</v>
      </c>
      <c r="H1318" s="4">
        <v>47</v>
      </c>
      <c r="I1318" s="5">
        <v>0.33994212962962961</v>
      </c>
      <c r="J1318" s="5">
        <v>0.14194444444444446</v>
      </c>
      <c r="K1318" s="5">
        <f t="shared" si="40"/>
        <v>3.0200945626477544E-3</v>
      </c>
      <c r="L1318" s="5">
        <v>2.4733796296296295E-2</v>
      </c>
      <c r="M1318" s="6">
        <f t="shared" si="41"/>
        <v>7.275884375744783E-2</v>
      </c>
      <c r="N1318" s="5"/>
      <c r="O1318" s="5">
        <v>7.5694444444444446E-3</v>
      </c>
      <c r="P1318" s="5"/>
      <c r="Q1318" s="5">
        <v>1.5277777777777779E-3</v>
      </c>
      <c r="R1318" s="5"/>
      <c r="S1318" s="5">
        <v>1.3935185185185186E-2</v>
      </c>
      <c r="T1318" s="5">
        <v>4.5138888888888887E-4</v>
      </c>
      <c r="U1318" s="5">
        <v>1.2268518518518518E-3</v>
      </c>
      <c r="V1318" s="5"/>
      <c r="W1318" s="5"/>
    </row>
    <row r="1319" spans="1:23" x14ac:dyDescent="0.25">
      <c r="A1319" s="2">
        <v>46251</v>
      </c>
      <c r="B1319" s="3" t="s">
        <v>681</v>
      </c>
      <c r="C1319" s="3" t="s">
        <v>682</v>
      </c>
      <c r="D1319" s="3" t="s">
        <v>601</v>
      </c>
      <c r="E1319" s="3" t="s">
        <v>31</v>
      </c>
      <c r="F1319" s="3" t="s">
        <v>105</v>
      </c>
      <c r="G1319" s="4" t="s">
        <v>33</v>
      </c>
      <c r="H1319" s="4">
        <v>5</v>
      </c>
      <c r="I1319" s="5">
        <v>0.19737268518518519</v>
      </c>
      <c r="J1319" s="5">
        <v>0.12812499999999999</v>
      </c>
      <c r="K1319" s="5">
        <f t="shared" si="40"/>
        <v>2.5624999999999998E-2</v>
      </c>
      <c r="L1319" s="5">
        <v>0.10440972222222222</v>
      </c>
      <c r="M1319" s="6">
        <f t="shared" si="41"/>
        <v>0.52899783029378988</v>
      </c>
      <c r="N1319" s="5">
        <v>2.8009259259259259E-3</v>
      </c>
      <c r="O1319" s="5">
        <v>1.4826388888888889E-2</v>
      </c>
      <c r="P1319" s="5"/>
      <c r="Q1319" s="5"/>
      <c r="R1319" s="5"/>
      <c r="S1319" s="5">
        <v>1.4004629629629629E-2</v>
      </c>
      <c r="T1319" s="5">
        <v>2.5462962962962961E-4</v>
      </c>
      <c r="U1319" s="5">
        <v>7.2523148148148142E-2</v>
      </c>
      <c r="V1319" s="5"/>
      <c r="W1319" s="5"/>
    </row>
    <row r="1320" spans="1:23" x14ac:dyDescent="0.25">
      <c r="A1320" s="2">
        <v>46251</v>
      </c>
      <c r="B1320" s="3" t="s">
        <v>112</v>
      </c>
      <c r="C1320" s="3" t="s">
        <v>570</v>
      </c>
      <c r="D1320" s="3" t="s">
        <v>104</v>
      </c>
      <c r="E1320" s="3" t="s">
        <v>31</v>
      </c>
      <c r="F1320" s="3" t="s">
        <v>105</v>
      </c>
      <c r="G1320" s="4" t="s">
        <v>106</v>
      </c>
      <c r="H1320" s="4">
        <v>6</v>
      </c>
      <c r="I1320" s="5">
        <v>0.22872685185185185</v>
      </c>
      <c r="J1320" s="5">
        <v>0.17465277777777777</v>
      </c>
      <c r="K1320" s="5">
        <f t="shared" si="40"/>
        <v>2.9108796296296296E-2</v>
      </c>
      <c r="L1320" s="5">
        <v>0.14057870370370371</v>
      </c>
      <c r="M1320" s="6">
        <f t="shared" si="41"/>
        <v>0.61461390547515438</v>
      </c>
      <c r="N1320" s="5">
        <v>1.3923611111111111E-2</v>
      </c>
      <c r="O1320" s="5">
        <v>1.6516203703703703E-2</v>
      </c>
      <c r="P1320" s="5"/>
      <c r="Q1320" s="5"/>
      <c r="R1320" s="5"/>
      <c r="S1320" s="5">
        <v>1.380787037037037E-2</v>
      </c>
      <c r="T1320" s="5">
        <v>6.7129629629629625E-4</v>
      </c>
      <c r="U1320" s="5">
        <v>3.9351851851851852E-4</v>
      </c>
      <c r="V1320" s="5"/>
      <c r="W1320" s="5">
        <v>9.52662037037037E-2</v>
      </c>
    </row>
    <row r="1321" spans="1:23" x14ac:dyDescent="0.25">
      <c r="A1321" s="2">
        <v>46251</v>
      </c>
      <c r="B1321" s="3" t="s">
        <v>42</v>
      </c>
      <c r="C1321" s="3" t="s">
        <v>537</v>
      </c>
      <c r="D1321" s="3" t="s">
        <v>104</v>
      </c>
      <c r="E1321" s="3" t="s">
        <v>31</v>
      </c>
      <c r="F1321" s="3" t="s">
        <v>105</v>
      </c>
      <c r="G1321" s="4" t="s">
        <v>106</v>
      </c>
      <c r="H1321" s="4">
        <v>9</v>
      </c>
      <c r="I1321" s="5">
        <v>0.26082175925925927</v>
      </c>
      <c r="J1321" s="5">
        <v>0.21048611111111112</v>
      </c>
      <c r="K1321" s="5">
        <f t="shared" si="40"/>
        <v>2.3387345679012347E-2</v>
      </c>
      <c r="L1321" s="5">
        <v>0.17253472222222221</v>
      </c>
      <c r="M1321" s="6">
        <f t="shared" si="41"/>
        <v>0.6615043266030618</v>
      </c>
      <c r="N1321" s="5">
        <v>1.1041666666666667E-2</v>
      </c>
      <c r="O1321" s="5">
        <v>1.3993055555555555E-2</v>
      </c>
      <c r="P1321" s="5"/>
      <c r="Q1321" s="5"/>
      <c r="R1321" s="5"/>
      <c r="S1321" s="5">
        <v>1.3831018518518519E-2</v>
      </c>
      <c r="T1321" s="5">
        <v>1.7476851851851852E-3</v>
      </c>
      <c r="U1321" s="5">
        <v>1.7361111111111112E-4</v>
      </c>
      <c r="V1321" s="5"/>
      <c r="W1321" s="5">
        <v>0.13174768518518518</v>
      </c>
    </row>
    <row r="1322" spans="1:23" x14ac:dyDescent="0.25">
      <c r="A1322" s="2">
        <v>46251</v>
      </c>
      <c r="B1322" s="3" t="s">
        <v>156</v>
      </c>
      <c r="C1322" s="3" t="s">
        <v>516</v>
      </c>
      <c r="D1322" s="3" t="s">
        <v>146</v>
      </c>
      <c r="E1322" s="3" t="s">
        <v>79</v>
      </c>
      <c r="F1322" s="3" t="s">
        <v>147</v>
      </c>
      <c r="G1322" s="4" t="s">
        <v>106</v>
      </c>
      <c r="H1322" s="4">
        <v>33</v>
      </c>
      <c r="I1322" s="5">
        <v>0.28144675925925927</v>
      </c>
      <c r="J1322" s="5">
        <v>9.5949074074074076E-2</v>
      </c>
      <c r="K1322" s="5">
        <f t="shared" si="40"/>
        <v>2.907547699214366E-3</v>
      </c>
      <c r="L1322" s="5">
        <v>5.181712962962963E-2</v>
      </c>
      <c r="M1322" s="6">
        <f t="shared" si="41"/>
        <v>0.18410988197557263</v>
      </c>
      <c r="N1322" s="5"/>
      <c r="O1322" s="5">
        <v>9.3055555555555548E-3</v>
      </c>
      <c r="P1322" s="5"/>
      <c r="Q1322" s="5">
        <v>7.6041666666666671E-3</v>
      </c>
      <c r="R1322" s="5"/>
      <c r="S1322" s="5">
        <v>1.9259259259259261E-2</v>
      </c>
      <c r="T1322" s="5">
        <v>1.5520833333333333E-2</v>
      </c>
      <c r="U1322" s="5">
        <v>1.1574074074074075E-4</v>
      </c>
      <c r="V1322" s="5"/>
      <c r="W1322" s="5"/>
    </row>
    <row r="1323" spans="1:23" x14ac:dyDescent="0.25">
      <c r="A1323" s="2">
        <v>46251</v>
      </c>
      <c r="B1323" s="3" t="s">
        <v>114</v>
      </c>
      <c r="C1323" s="3" t="s">
        <v>541</v>
      </c>
      <c r="D1323" s="3" t="s">
        <v>104</v>
      </c>
      <c r="E1323" s="3" t="s">
        <v>31</v>
      </c>
      <c r="F1323" s="3" t="s">
        <v>105</v>
      </c>
      <c r="G1323" s="4" t="s">
        <v>106</v>
      </c>
      <c r="H1323" s="4">
        <v>6</v>
      </c>
      <c r="I1323" s="5">
        <v>0.23199074074074075</v>
      </c>
      <c r="J1323" s="5">
        <v>0.12372685185185185</v>
      </c>
      <c r="K1323" s="5">
        <f t="shared" si="40"/>
        <v>2.0621141975308642E-2</v>
      </c>
      <c r="L1323" s="5">
        <v>0.18956018518518519</v>
      </c>
      <c r="M1323" s="6">
        <f t="shared" si="41"/>
        <v>0.81710237477549397</v>
      </c>
      <c r="N1323" s="5"/>
      <c r="O1323" s="5">
        <v>1.462962962962963E-2</v>
      </c>
      <c r="P1323" s="5"/>
      <c r="Q1323" s="5"/>
      <c r="R1323" s="5"/>
      <c r="S1323" s="5">
        <v>1.494212962962963E-2</v>
      </c>
      <c r="T1323" s="5">
        <v>1.8124999999999999E-2</v>
      </c>
      <c r="U1323" s="5">
        <v>2.5462962962962961E-4</v>
      </c>
      <c r="V1323" s="5"/>
      <c r="W1323" s="5">
        <v>0.1416087962962963</v>
      </c>
    </row>
    <row r="1324" spans="1:23" x14ac:dyDescent="0.25">
      <c r="A1324" s="2">
        <v>46251</v>
      </c>
      <c r="B1324" s="3" t="s">
        <v>44</v>
      </c>
      <c r="C1324" s="3" t="s">
        <v>506</v>
      </c>
      <c r="D1324" s="3" t="s">
        <v>100</v>
      </c>
      <c r="E1324" s="3" t="s">
        <v>31</v>
      </c>
      <c r="F1324" s="3" t="s">
        <v>32</v>
      </c>
      <c r="G1324" s="4" t="s">
        <v>33</v>
      </c>
      <c r="H1324" s="4">
        <v>41</v>
      </c>
      <c r="I1324" s="5">
        <v>0.25714120370370369</v>
      </c>
      <c r="J1324" s="5">
        <v>0.20730324074074075</v>
      </c>
      <c r="K1324" s="5">
        <f t="shared" si="40"/>
        <v>5.0561766034327013E-3</v>
      </c>
      <c r="L1324" s="5">
        <v>3.5115740740740739E-2</v>
      </c>
      <c r="M1324" s="6">
        <f t="shared" si="41"/>
        <v>0.13656209209164152</v>
      </c>
      <c r="N1324" s="5">
        <v>4.6527777777777774E-3</v>
      </c>
      <c r="O1324" s="5">
        <v>1.3831018518518519E-2</v>
      </c>
      <c r="P1324" s="5"/>
      <c r="Q1324" s="5"/>
      <c r="R1324" s="5"/>
      <c r="S1324" s="5">
        <v>1.3900462962962963E-2</v>
      </c>
      <c r="T1324" s="5">
        <v>2.8935185185185184E-4</v>
      </c>
      <c r="U1324" s="5">
        <v>2.4074074074074076E-3</v>
      </c>
      <c r="V1324" s="5"/>
      <c r="W1324" s="5"/>
    </row>
    <row r="1325" spans="1:23" x14ac:dyDescent="0.25">
      <c r="A1325" s="2">
        <v>46251</v>
      </c>
      <c r="B1325" s="3" t="s">
        <v>240</v>
      </c>
      <c r="C1325" s="3" t="s">
        <v>527</v>
      </c>
      <c r="D1325" s="3" t="s">
        <v>233</v>
      </c>
      <c r="E1325" s="3" t="s">
        <v>31</v>
      </c>
      <c r="F1325" s="3" t="s">
        <v>32</v>
      </c>
      <c r="G1325" s="4" t="s">
        <v>106</v>
      </c>
      <c r="H1325" s="4">
        <v>1</v>
      </c>
      <c r="I1325" s="5">
        <v>0.22604166666666667</v>
      </c>
      <c r="J1325" s="5">
        <v>1.050925925925926E-2</v>
      </c>
      <c r="K1325" s="5">
        <f t="shared" si="40"/>
        <v>1.050925925925926E-2</v>
      </c>
      <c r="L1325" s="5">
        <v>0.21248842592592593</v>
      </c>
      <c r="M1325" s="6">
        <f t="shared" si="41"/>
        <v>0.94004096262160775</v>
      </c>
      <c r="N1325" s="5">
        <v>1.3414351851851853E-2</v>
      </c>
      <c r="O1325" s="5">
        <v>1.0659722222222221E-2</v>
      </c>
      <c r="P1325" s="5"/>
      <c r="Q1325" s="5"/>
      <c r="R1325" s="5"/>
      <c r="S1325" s="5">
        <v>1.3900462962962963E-2</v>
      </c>
      <c r="T1325" s="5">
        <v>6.018518518518519E-4</v>
      </c>
      <c r="U1325" s="5"/>
      <c r="V1325" s="5"/>
      <c r="W1325" s="5">
        <v>0.17391203703703703</v>
      </c>
    </row>
    <row r="1326" spans="1:23" x14ac:dyDescent="0.25">
      <c r="A1326" s="2">
        <v>46251</v>
      </c>
      <c r="B1326" s="3" t="s">
        <v>497</v>
      </c>
      <c r="C1326" s="3" t="s">
        <v>498</v>
      </c>
      <c r="D1326" s="3" t="s">
        <v>78</v>
      </c>
      <c r="E1326" s="3" t="s">
        <v>79</v>
      </c>
      <c r="F1326" s="3" t="s">
        <v>80</v>
      </c>
      <c r="G1326" s="4" t="s">
        <v>81</v>
      </c>
      <c r="H1326" s="4">
        <v>0</v>
      </c>
      <c r="I1326" s="5">
        <v>0.34365740740740741</v>
      </c>
      <c r="J1326" s="5">
        <v>0</v>
      </c>
      <c r="K1326" s="5">
        <f t="shared" si="40"/>
        <v>0</v>
      </c>
      <c r="L1326" s="5">
        <v>6.1921296296296294E-2</v>
      </c>
      <c r="M1326" s="6">
        <f t="shared" si="41"/>
        <v>0.18018321433382728</v>
      </c>
      <c r="N1326" s="5"/>
      <c r="O1326" s="5">
        <v>1.3622685185185186E-2</v>
      </c>
      <c r="P1326" s="5"/>
      <c r="Q1326" s="5"/>
      <c r="R1326" s="5"/>
      <c r="S1326" s="5">
        <v>4.1435185185185186E-2</v>
      </c>
      <c r="T1326" s="5">
        <v>1.3310185185185185E-3</v>
      </c>
      <c r="U1326" s="5"/>
      <c r="V1326" s="5"/>
      <c r="W1326" s="5">
        <v>5.4629629629629629E-3</v>
      </c>
    </row>
    <row r="1327" spans="1:23" x14ac:dyDescent="0.25">
      <c r="A1327" s="2">
        <v>46251</v>
      </c>
      <c r="B1327" s="3" t="s">
        <v>309</v>
      </c>
      <c r="C1327" s="3" t="s">
        <v>310</v>
      </c>
      <c r="D1327" s="3" t="s">
        <v>78</v>
      </c>
      <c r="E1327" s="3" t="s">
        <v>79</v>
      </c>
      <c r="F1327" s="3" t="s">
        <v>80</v>
      </c>
      <c r="G1327" s="4" t="s">
        <v>81</v>
      </c>
      <c r="H1327" s="4">
        <v>0</v>
      </c>
      <c r="I1327" s="5">
        <v>0.35447916666666668</v>
      </c>
      <c r="J1327" s="5">
        <v>0</v>
      </c>
      <c r="K1327" s="5">
        <f t="shared" si="40"/>
        <v>0</v>
      </c>
      <c r="L1327" s="5">
        <v>6.7210648148148144E-2</v>
      </c>
      <c r="M1327" s="6">
        <f t="shared" si="41"/>
        <v>0.18960394423221338</v>
      </c>
      <c r="N1327" s="5">
        <v>1.1840277777777778E-2</v>
      </c>
      <c r="O1327" s="5">
        <v>4.597222222222222E-2</v>
      </c>
      <c r="P1327" s="5"/>
      <c r="Q1327" s="5"/>
      <c r="R1327" s="5"/>
      <c r="S1327" s="5">
        <v>6.8634259259259256E-3</v>
      </c>
      <c r="T1327" s="5">
        <v>1.25E-3</v>
      </c>
      <c r="U1327" s="5">
        <v>1.2037037037037038E-3</v>
      </c>
      <c r="V1327" s="5"/>
      <c r="W1327" s="5"/>
    </row>
    <row r="1328" spans="1:23" x14ac:dyDescent="0.25">
      <c r="A1328" s="2">
        <v>46251</v>
      </c>
      <c r="B1328" s="3" t="s">
        <v>645</v>
      </c>
      <c r="C1328" s="3" t="s">
        <v>646</v>
      </c>
      <c r="D1328" s="3" t="s">
        <v>100</v>
      </c>
      <c r="E1328" s="3" t="s">
        <v>31</v>
      </c>
      <c r="F1328" s="3" t="s">
        <v>32</v>
      </c>
      <c r="G1328" s="4" t="s">
        <v>33</v>
      </c>
      <c r="H1328" s="4">
        <v>34</v>
      </c>
      <c r="I1328" s="5">
        <v>0.26614583333333336</v>
      </c>
      <c r="J1328" s="5">
        <v>0.22961805555555556</v>
      </c>
      <c r="K1328" s="5">
        <f t="shared" si="40"/>
        <v>6.7534722222222223E-3</v>
      </c>
      <c r="L1328" s="5">
        <v>3.9525462962962964E-2</v>
      </c>
      <c r="M1328" s="6">
        <f t="shared" si="41"/>
        <v>0.14851054577081974</v>
      </c>
      <c r="N1328" s="5">
        <v>7.6967592592592591E-3</v>
      </c>
      <c r="O1328" s="5">
        <v>1.4293981481481482E-2</v>
      </c>
      <c r="P1328" s="5"/>
      <c r="Q1328" s="5"/>
      <c r="R1328" s="5"/>
      <c r="S1328" s="5">
        <v>1.4189814814814815E-2</v>
      </c>
      <c r="T1328" s="5">
        <v>9.3749999999999997E-4</v>
      </c>
      <c r="U1328" s="5">
        <v>2.3611111111111111E-3</v>
      </c>
      <c r="V1328" s="5"/>
      <c r="W1328" s="5"/>
    </row>
    <row r="1329" spans="1:23" x14ac:dyDescent="0.25">
      <c r="A1329" s="2">
        <v>46251</v>
      </c>
      <c r="B1329" s="3" t="s">
        <v>120</v>
      </c>
      <c r="C1329" s="3" t="s">
        <v>558</v>
      </c>
      <c r="D1329" s="3" t="s">
        <v>233</v>
      </c>
      <c r="E1329" s="3" t="s">
        <v>31</v>
      </c>
      <c r="F1329" s="3" t="s">
        <v>32</v>
      </c>
      <c r="G1329" s="4" t="s">
        <v>106</v>
      </c>
      <c r="H1329" s="4">
        <v>46</v>
      </c>
      <c r="I1329" s="5">
        <v>0.22047453703703704</v>
      </c>
      <c r="J1329" s="5">
        <v>0.12819444444444444</v>
      </c>
      <c r="K1329" s="5">
        <f t="shared" si="40"/>
        <v>2.7868357487922705E-3</v>
      </c>
      <c r="L1329" s="5">
        <v>3.9293981481481478E-2</v>
      </c>
      <c r="M1329" s="6">
        <f t="shared" si="41"/>
        <v>0.17822457871804293</v>
      </c>
      <c r="N1329" s="5">
        <v>1.1851851851851851E-2</v>
      </c>
      <c r="O1329" s="5">
        <v>1.2905092592592593E-2</v>
      </c>
      <c r="P1329" s="5"/>
      <c r="Q1329" s="5"/>
      <c r="R1329" s="5"/>
      <c r="S1329" s="5">
        <v>1.1481481481481481E-2</v>
      </c>
      <c r="T1329" s="5">
        <v>9.6064814814814819E-4</v>
      </c>
      <c r="U1329" s="5">
        <v>2.0717592592592593E-3</v>
      </c>
      <c r="V1329" s="5"/>
      <c r="W1329" s="5">
        <v>2.3148148148148147E-5</v>
      </c>
    </row>
    <row r="1330" spans="1:23" x14ac:dyDescent="0.25">
      <c r="A1330" s="2">
        <v>46251</v>
      </c>
      <c r="B1330" s="3" t="s">
        <v>46</v>
      </c>
      <c r="C1330" s="3" t="s">
        <v>507</v>
      </c>
      <c r="D1330" s="3" t="s">
        <v>100</v>
      </c>
      <c r="E1330" s="3" t="s">
        <v>31</v>
      </c>
      <c r="F1330" s="3" t="s">
        <v>32</v>
      </c>
      <c r="G1330" s="4" t="s">
        <v>33</v>
      </c>
      <c r="H1330" s="4">
        <v>36</v>
      </c>
      <c r="I1330" s="5">
        <v>0.26501157407407405</v>
      </c>
      <c r="J1330" s="5">
        <v>0.18385416666666668</v>
      </c>
      <c r="K1330" s="5">
        <f t="shared" si="40"/>
        <v>5.1070601851851858E-3</v>
      </c>
      <c r="L1330" s="5">
        <v>3.2060185185185185E-2</v>
      </c>
      <c r="M1330" s="6">
        <f t="shared" si="41"/>
        <v>0.12097654714591433</v>
      </c>
      <c r="N1330" s="5">
        <v>2.6157407407407405E-3</v>
      </c>
      <c r="O1330" s="5">
        <v>1.4039351851851851E-2</v>
      </c>
      <c r="P1330" s="5"/>
      <c r="Q1330" s="5"/>
      <c r="R1330" s="5"/>
      <c r="S1330" s="5">
        <v>1.3946759259259259E-2</v>
      </c>
      <c r="T1330" s="5">
        <v>5.7870370370370373E-5</v>
      </c>
      <c r="U1330" s="5">
        <v>1.3425925925925925E-3</v>
      </c>
      <c r="V1330" s="5"/>
      <c r="W1330" s="5"/>
    </row>
    <row r="1331" spans="1:23" x14ac:dyDescent="0.25">
      <c r="A1331" s="2">
        <v>46251</v>
      </c>
      <c r="B1331" s="3" t="s">
        <v>287</v>
      </c>
      <c r="C1331" s="3" t="s">
        <v>542</v>
      </c>
      <c r="D1331" s="3" t="s">
        <v>104</v>
      </c>
      <c r="E1331" s="3" t="s">
        <v>31</v>
      </c>
      <c r="F1331" s="3" t="s">
        <v>105</v>
      </c>
      <c r="G1331" s="4" t="s">
        <v>106</v>
      </c>
      <c r="H1331" s="4">
        <v>5</v>
      </c>
      <c r="I1331" s="5">
        <v>0.23210648148148147</v>
      </c>
      <c r="J1331" s="5">
        <v>0.11726851851851852</v>
      </c>
      <c r="K1331" s="5">
        <f t="shared" si="40"/>
        <v>2.3453703703703706E-2</v>
      </c>
      <c r="L1331" s="5">
        <v>0.18108796296296295</v>
      </c>
      <c r="M1331" s="6">
        <f t="shared" si="41"/>
        <v>0.78019347761045177</v>
      </c>
      <c r="N1331" s="5">
        <v>1.5289351851851853E-2</v>
      </c>
      <c r="O1331" s="5">
        <v>2.0150462962962964E-2</v>
      </c>
      <c r="P1331" s="5"/>
      <c r="Q1331" s="5"/>
      <c r="R1331" s="5">
        <v>7.2916666666666668E-3</v>
      </c>
      <c r="S1331" s="5">
        <v>1.7094907407407406E-2</v>
      </c>
      <c r="T1331" s="5">
        <v>1.0347222222222223E-2</v>
      </c>
      <c r="U1331" s="5">
        <v>6.9444444444444447E-4</v>
      </c>
      <c r="V1331" s="5"/>
      <c r="W1331" s="5">
        <v>0.11021990740740741</v>
      </c>
    </row>
    <row r="1332" spans="1:23" x14ac:dyDescent="0.25">
      <c r="A1332" s="2">
        <v>46251</v>
      </c>
      <c r="B1332" s="3" t="s">
        <v>499</v>
      </c>
      <c r="C1332" s="3" t="s">
        <v>517</v>
      </c>
      <c r="D1332" s="3" t="s">
        <v>146</v>
      </c>
      <c r="E1332" s="3" t="s">
        <v>79</v>
      </c>
      <c r="F1332" s="3" t="s">
        <v>147</v>
      </c>
      <c r="G1332" s="4" t="s">
        <v>106</v>
      </c>
      <c r="H1332" s="4">
        <v>16</v>
      </c>
      <c r="I1332" s="5">
        <v>0.24887731481481482</v>
      </c>
      <c r="J1332" s="5">
        <v>6.9675925925925933E-2</v>
      </c>
      <c r="K1332" s="5">
        <f t="shared" si="40"/>
        <v>4.3547453703703708E-3</v>
      </c>
      <c r="L1332" s="5">
        <v>8.5787037037037037E-2</v>
      </c>
      <c r="M1332" s="6">
        <f t="shared" si="41"/>
        <v>0.34469608891782544</v>
      </c>
      <c r="N1332" s="5">
        <v>1.3148148148148148E-2</v>
      </c>
      <c r="O1332" s="5">
        <v>1.5416666666666667E-2</v>
      </c>
      <c r="P1332" s="5">
        <v>7.9629629629629634E-3</v>
      </c>
      <c r="Q1332" s="5">
        <v>2.4814814814814814E-2</v>
      </c>
      <c r="R1332" s="5">
        <v>6.9444444444444444E-5</v>
      </c>
      <c r="S1332" s="5">
        <v>1.4490740740740742E-2</v>
      </c>
      <c r="T1332" s="5">
        <v>1.8749999999999999E-3</v>
      </c>
      <c r="U1332" s="5">
        <v>5.0925925925925921E-4</v>
      </c>
      <c r="V1332" s="5"/>
      <c r="W1332" s="5">
        <v>7.4884259259259262E-3</v>
      </c>
    </row>
    <row r="1333" spans="1:23" x14ac:dyDescent="0.25">
      <c r="A1333" s="2">
        <v>46251</v>
      </c>
      <c r="B1333" s="3" t="s">
        <v>647</v>
      </c>
      <c r="C1333" s="3" t="s">
        <v>648</v>
      </c>
      <c r="D1333" s="3" t="s">
        <v>233</v>
      </c>
      <c r="E1333" s="3" t="s">
        <v>31</v>
      </c>
      <c r="F1333" s="3" t="s">
        <v>32</v>
      </c>
      <c r="G1333" s="4" t="s">
        <v>106</v>
      </c>
      <c r="H1333" s="4">
        <v>47</v>
      </c>
      <c r="I1333" s="5">
        <v>0.26177083333333334</v>
      </c>
      <c r="J1333" s="5">
        <v>0.15559027777777779</v>
      </c>
      <c r="K1333" s="5">
        <f t="shared" si="40"/>
        <v>3.3104314420803783E-3</v>
      </c>
      <c r="L1333" s="5">
        <v>4.8900462962962965E-2</v>
      </c>
      <c r="M1333" s="6">
        <f t="shared" si="41"/>
        <v>0.18680638457797233</v>
      </c>
      <c r="N1333" s="5">
        <v>5.0578703703703706E-3</v>
      </c>
      <c r="O1333" s="5">
        <v>7.6620370370370366E-3</v>
      </c>
      <c r="P1333" s="5"/>
      <c r="Q1333" s="5">
        <v>9.6990740740740735E-3</v>
      </c>
      <c r="R1333" s="5">
        <v>7.4768518518518517E-3</v>
      </c>
      <c r="S1333" s="5">
        <v>1.4189814814814815E-2</v>
      </c>
      <c r="T1333" s="5">
        <v>4.8148148148148152E-3</v>
      </c>
      <c r="U1333" s="5"/>
      <c r="V1333" s="5"/>
      <c r="W1333" s="5"/>
    </row>
    <row r="1334" spans="1:23" x14ac:dyDescent="0.25">
      <c r="A1334" s="2">
        <v>46251</v>
      </c>
      <c r="B1334" s="3" t="s">
        <v>649</v>
      </c>
      <c r="C1334" s="3" t="s">
        <v>650</v>
      </c>
      <c r="D1334" s="3" t="s">
        <v>104</v>
      </c>
      <c r="E1334" s="3" t="s">
        <v>31</v>
      </c>
      <c r="F1334" s="3" t="s">
        <v>105</v>
      </c>
      <c r="G1334" s="4" t="s">
        <v>106</v>
      </c>
      <c r="H1334" s="4">
        <v>8</v>
      </c>
      <c r="I1334" s="5">
        <v>0.26094907407407408</v>
      </c>
      <c r="J1334" s="5">
        <v>0.19702546296296297</v>
      </c>
      <c r="K1334" s="5">
        <f t="shared" si="40"/>
        <v>2.4628182870370371E-2</v>
      </c>
      <c r="L1334" s="5">
        <v>0.15907407407407406</v>
      </c>
      <c r="M1334" s="6">
        <f t="shared" si="41"/>
        <v>0.60959815488334956</v>
      </c>
      <c r="N1334" s="5">
        <v>4.6064814814814814E-3</v>
      </c>
      <c r="O1334" s="5">
        <v>1.3425925925925926E-2</v>
      </c>
      <c r="P1334" s="5"/>
      <c r="Q1334" s="5"/>
      <c r="R1334" s="5"/>
      <c r="S1334" s="5">
        <v>1.3738425925925926E-2</v>
      </c>
      <c r="T1334" s="5">
        <v>1.6203703703703703E-4</v>
      </c>
      <c r="U1334" s="5">
        <v>2.8356481481481483E-3</v>
      </c>
      <c r="V1334" s="5"/>
      <c r="W1334" s="5">
        <v>0.12430555555555556</v>
      </c>
    </row>
    <row r="1335" spans="1:23" x14ac:dyDescent="0.25">
      <c r="A1335" s="2">
        <v>46251</v>
      </c>
      <c r="B1335" s="3" t="s">
        <v>651</v>
      </c>
      <c r="C1335" s="3" t="s">
        <v>652</v>
      </c>
      <c r="D1335" s="3" t="s">
        <v>100</v>
      </c>
      <c r="E1335" s="3" t="s">
        <v>31</v>
      </c>
      <c r="F1335" s="3" t="s">
        <v>32</v>
      </c>
      <c r="G1335" s="4" t="s">
        <v>33</v>
      </c>
      <c r="H1335" s="4">
        <v>39</v>
      </c>
      <c r="I1335" s="5">
        <v>0.25627314814814817</v>
      </c>
      <c r="J1335" s="5">
        <v>0.18327546296296296</v>
      </c>
      <c r="K1335" s="5">
        <f t="shared" si="40"/>
        <v>4.6993708452041788E-3</v>
      </c>
      <c r="L1335" s="5">
        <v>6.6481481481481475E-2</v>
      </c>
      <c r="M1335" s="6">
        <f t="shared" si="41"/>
        <v>0.25941649354168544</v>
      </c>
      <c r="N1335" s="5">
        <v>2.6041666666666665E-3</v>
      </c>
      <c r="O1335" s="5">
        <v>1.787037037037037E-2</v>
      </c>
      <c r="P1335" s="5"/>
      <c r="Q1335" s="5">
        <v>2.837962962962963E-2</v>
      </c>
      <c r="R1335" s="5"/>
      <c r="S1335" s="5">
        <v>1.6087962962962964E-2</v>
      </c>
      <c r="T1335" s="5">
        <v>1.5393518518518519E-3</v>
      </c>
      <c r="U1335" s="5"/>
      <c r="V1335" s="5"/>
      <c r="W1335" s="5"/>
    </row>
    <row r="1336" spans="1:23" x14ac:dyDescent="0.25">
      <c r="A1336" s="2">
        <v>46251</v>
      </c>
      <c r="B1336" s="3" t="s">
        <v>246</v>
      </c>
      <c r="C1336" s="3" t="s">
        <v>568</v>
      </c>
      <c r="D1336" s="3" t="s">
        <v>233</v>
      </c>
      <c r="E1336" s="3" t="s">
        <v>31</v>
      </c>
      <c r="F1336" s="3" t="s">
        <v>32</v>
      </c>
      <c r="G1336" s="4" t="s">
        <v>106</v>
      </c>
      <c r="H1336" s="4">
        <v>58</v>
      </c>
      <c r="I1336" s="5">
        <v>0.35091435185185182</v>
      </c>
      <c r="J1336" s="5">
        <v>0.19655092592592593</v>
      </c>
      <c r="K1336" s="5">
        <f t="shared" si="40"/>
        <v>3.3888090676883783E-3</v>
      </c>
      <c r="L1336" s="5">
        <v>5.7465277777777775E-2</v>
      </c>
      <c r="M1336" s="6">
        <f t="shared" si="41"/>
        <v>0.16375869916553976</v>
      </c>
      <c r="N1336" s="5">
        <v>9.7916666666666673E-3</v>
      </c>
      <c r="O1336" s="5">
        <v>2.060185185185185E-2</v>
      </c>
      <c r="P1336" s="5"/>
      <c r="Q1336" s="5">
        <v>6.4814814814814813E-3</v>
      </c>
      <c r="R1336" s="5"/>
      <c r="S1336" s="5">
        <v>1.3796296296296296E-2</v>
      </c>
      <c r="T1336" s="5">
        <v>6.6203703703703702E-3</v>
      </c>
      <c r="U1336" s="5">
        <v>1.7361111111111112E-4</v>
      </c>
      <c r="V1336" s="5"/>
      <c r="W1336" s="5"/>
    </row>
    <row r="1337" spans="1:23" x14ac:dyDescent="0.25">
      <c r="A1337" s="2">
        <v>46251</v>
      </c>
      <c r="B1337" s="3" t="s">
        <v>48</v>
      </c>
      <c r="C1337" s="3" t="s">
        <v>508</v>
      </c>
      <c r="D1337" s="3" t="s">
        <v>100</v>
      </c>
      <c r="E1337" s="3" t="s">
        <v>31</v>
      </c>
      <c r="F1337" s="3" t="s">
        <v>32</v>
      </c>
      <c r="G1337" s="4" t="s">
        <v>33</v>
      </c>
      <c r="H1337" s="4">
        <v>40</v>
      </c>
      <c r="I1337" s="5">
        <v>0.2630439814814815</v>
      </c>
      <c r="J1337" s="5">
        <v>0.16140046296296295</v>
      </c>
      <c r="K1337" s="5">
        <f t="shared" si="40"/>
        <v>4.0350115740740737E-3</v>
      </c>
      <c r="L1337" s="5">
        <v>5.2199074074074071E-2</v>
      </c>
      <c r="M1337" s="6">
        <f t="shared" si="41"/>
        <v>0.19844238130857567</v>
      </c>
      <c r="N1337" s="5">
        <v>4.7106481481481478E-3</v>
      </c>
      <c r="O1337" s="5">
        <v>7.1180555555555554E-3</v>
      </c>
      <c r="P1337" s="5"/>
      <c r="Q1337" s="5"/>
      <c r="R1337" s="5">
        <v>7.4189814814814813E-3</v>
      </c>
      <c r="S1337" s="5">
        <v>1.4386574074074074E-2</v>
      </c>
      <c r="T1337" s="5">
        <v>6.9444444444444444E-5</v>
      </c>
      <c r="U1337" s="5">
        <v>4.6064814814814814E-3</v>
      </c>
      <c r="V1337" s="5"/>
      <c r="W1337" s="5">
        <v>1.3842592592592592E-2</v>
      </c>
    </row>
    <row r="1338" spans="1:23" x14ac:dyDescent="0.25">
      <c r="A1338" s="2">
        <v>46251</v>
      </c>
      <c r="B1338" s="3" t="s">
        <v>50</v>
      </c>
      <c r="C1338" s="3" t="s">
        <v>538</v>
      </c>
      <c r="D1338" s="3" t="s">
        <v>100</v>
      </c>
      <c r="E1338" s="3" t="s">
        <v>31</v>
      </c>
      <c r="F1338" s="3" t="s">
        <v>32</v>
      </c>
      <c r="G1338" s="4" t="s">
        <v>33</v>
      </c>
      <c r="H1338" s="4">
        <v>5</v>
      </c>
      <c r="I1338" s="5">
        <v>0.19699074074074074</v>
      </c>
      <c r="J1338" s="5">
        <v>3.1053240740740742E-2</v>
      </c>
      <c r="K1338" s="5">
        <f t="shared" si="40"/>
        <v>6.2106481481481483E-3</v>
      </c>
      <c r="L1338" s="5">
        <v>0.16480324074074074</v>
      </c>
      <c r="M1338" s="6">
        <f t="shared" si="41"/>
        <v>0.83660399529964746</v>
      </c>
      <c r="N1338" s="5">
        <v>8.2175925925925923E-3</v>
      </c>
      <c r="O1338" s="5">
        <v>1.3599537037037037E-2</v>
      </c>
      <c r="P1338" s="5"/>
      <c r="Q1338" s="5"/>
      <c r="R1338" s="5"/>
      <c r="S1338" s="5">
        <v>1.4641203703703703E-2</v>
      </c>
      <c r="T1338" s="5">
        <v>3.2407407407407406E-4</v>
      </c>
      <c r="U1338" s="5">
        <v>6.018518518518519E-4</v>
      </c>
      <c r="V1338" s="5"/>
      <c r="W1338" s="5">
        <v>0.12741898148148148</v>
      </c>
    </row>
    <row r="1339" spans="1:23" x14ac:dyDescent="0.25">
      <c r="A1339" s="2">
        <v>46251</v>
      </c>
      <c r="B1339" s="3" t="s">
        <v>242</v>
      </c>
      <c r="C1339" s="3" t="s">
        <v>603</v>
      </c>
      <c r="D1339" s="3" t="s">
        <v>233</v>
      </c>
      <c r="E1339" s="3" t="s">
        <v>31</v>
      </c>
      <c r="F1339" s="3" t="s">
        <v>32</v>
      </c>
      <c r="G1339" s="4" t="s">
        <v>106</v>
      </c>
      <c r="H1339" s="4">
        <v>24</v>
      </c>
      <c r="I1339" s="5">
        <v>0.25783564814814813</v>
      </c>
      <c r="J1339" s="5">
        <v>0.19856481481481481</v>
      </c>
      <c r="K1339" s="5">
        <f t="shared" si="40"/>
        <v>8.2735339506172841E-3</v>
      </c>
      <c r="L1339" s="5">
        <v>2.4791666666666667E-2</v>
      </c>
      <c r="M1339" s="6">
        <f t="shared" si="41"/>
        <v>9.6152982897158512E-2</v>
      </c>
      <c r="N1339" s="5"/>
      <c r="O1339" s="5">
        <v>9.1435185185185178E-3</v>
      </c>
      <c r="P1339" s="5"/>
      <c r="Q1339" s="5"/>
      <c r="R1339" s="5"/>
      <c r="S1339" s="5">
        <v>1.3784722222222223E-2</v>
      </c>
      <c r="T1339" s="5">
        <v>1.3888888888888889E-4</v>
      </c>
      <c r="U1339" s="5">
        <v>1.6203703703703703E-3</v>
      </c>
      <c r="V1339" s="5"/>
      <c r="W1339" s="5">
        <v>5.7870370370370373E-5</v>
      </c>
    </row>
    <row r="1340" spans="1:23" x14ac:dyDescent="0.25">
      <c r="A1340" s="2">
        <v>46251</v>
      </c>
      <c r="B1340" s="3" t="s">
        <v>248</v>
      </c>
      <c r="C1340" s="3" t="s">
        <v>249</v>
      </c>
      <c r="D1340" s="3" t="s">
        <v>78</v>
      </c>
      <c r="E1340" s="3" t="s">
        <v>79</v>
      </c>
      <c r="F1340" s="3" t="s">
        <v>80</v>
      </c>
      <c r="G1340" s="4" t="s">
        <v>81</v>
      </c>
      <c r="H1340" s="4">
        <v>0</v>
      </c>
      <c r="I1340" s="5">
        <v>0.33839120370370368</v>
      </c>
      <c r="J1340" s="5">
        <v>0</v>
      </c>
      <c r="K1340" s="5">
        <f t="shared" si="40"/>
        <v>0</v>
      </c>
      <c r="L1340" s="5">
        <v>1.5648148148148147E-2</v>
      </c>
      <c r="M1340" s="6">
        <f t="shared" si="41"/>
        <v>4.6242774566473986E-2</v>
      </c>
      <c r="N1340" s="5">
        <v>5.7870370370370373E-5</v>
      </c>
      <c r="O1340" s="5">
        <v>1.3668981481481482E-2</v>
      </c>
      <c r="P1340" s="5"/>
      <c r="Q1340" s="5"/>
      <c r="R1340" s="5"/>
      <c r="S1340" s="5"/>
      <c r="T1340" s="5">
        <v>9.2592592592592588E-5</v>
      </c>
      <c r="U1340" s="5">
        <v>1.7013888888888888E-3</v>
      </c>
      <c r="V1340" s="5"/>
      <c r="W1340" s="5"/>
    </row>
    <row r="1341" spans="1:23" x14ac:dyDescent="0.25">
      <c r="A1341" s="2">
        <v>46251</v>
      </c>
      <c r="B1341" s="3" t="s">
        <v>289</v>
      </c>
      <c r="C1341" s="3" t="s">
        <v>559</v>
      </c>
      <c r="D1341" s="3" t="s">
        <v>104</v>
      </c>
      <c r="E1341" s="3" t="s">
        <v>31</v>
      </c>
      <c r="F1341" s="3" t="s">
        <v>105</v>
      </c>
      <c r="G1341" s="4" t="s">
        <v>106</v>
      </c>
      <c r="H1341" s="4">
        <v>6</v>
      </c>
      <c r="I1341" s="5">
        <v>0.19990740740740739</v>
      </c>
      <c r="J1341" s="5">
        <v>0.12430555555555556</v>
      </c>
      <c r="K1341" s="5">
        <f t="shared" si="40"/>
        <v>2.0717592592592593E-2</v>
      </c>
      <c r="L1341" s="5">
        <v>0.14797453703703703</v>
      </c>
      <c r="M1341" s="6">
        <f t="shared" si="41"/>
        <v>0.74021537748957855</v>
      </c>
      <c r="N1341" s="5"/>
      <c r="O1341" s="5">
        <v>2.2650462962962963E-2</v>
      </c>
      <c r="P1341" s="5"/>
      <c r="Q1341" s="5"/>
      <c r="R1341" s="5"/>
      <c r="S1341" s="5">
        <v>1.5335648148148149E-2</v>
      </c>
      <c r="T1341" s="5">
        <v>8.1250000000000003E-3</v>
      </c>
      <c r="U1341" s="5">
        <v>1.7361111111111112E-4</v>
      </c>
      <c r="V1341" s="5"/>
      <c r="W1341" s="5">
        <v>0.10168981481481482</v>
      </c>
    </row>
    <row r="1342" spans="1:23" x14ac:dyDescent="0.25">
      <c r="A1342" s="2">
        <v>46251</v>
      </c>
      <c r="B1342" s="3" t="s">
        <v>252</v>
      </c>
      <c r="C1342" s="3" t="s">
        <v>553</v>
      </c>
      <c r="D1342" s="3" t="s">
        <v>78</v>
      </c>
      <c r="E1342" s="3" t="s">
        <v>79</v>
      </c>
      <c r="F1342" s="3" t="s">
        <v>80</v>
      </c>
      <c r="G1342" s="4" t="s">
        <v>81</v>
      </c>
      <c r="H1342" s="4">
        <v>0</v>
      </c>
      <c r="I1342" s="5">
        <v>0.53988425925925931</v>
      </c>
      <c r="J1342" s="5">
        <v>0</v>
      </c>
      <c r="K1342" s="5">
        <f t="shared" si="40"/>
        <v>0</v>
      </c>
      <c r="L1342" s="5">
        <v>1.6273148148148148E-2</v>
      </c>
      <c r="M1342" s="6">
        <f t="shared" si="41"/>
        <v>3.0141919993139817E-2</v>
      </c>
      <c r="N1342" s="5"/>
      <c r="O1342" s="5">
        <v>3.6458333333333334E-3</v>
      </c>
      <c r="P1342" s="5"/>
      <c r="Q1342" s="5"/>
      <c r="R1342" s="5"/>
      <c r="S1342" s="5"/>
      <c r="T1342" s="5">
        <v>4.3981481481481481E-4</v>
      </c>
      <c r="U1342" s="5">
        <v>1.2106481481481482E-2</v>
      </c>
      <c r="V1342" s="5"/>
      <c r="W1342" s="5"/>
    </row>
    <row r="1343" spans="1:23" x14ac:dyDescent="0.25">
      <c r="A1343" s="2">
        <v>46251</v>
      </c>
      <c r="B1343" s="3" t="s">
        <v>500</v>
      </c>
      <c r="C1343" s="3" t="s">
        <v>518</v>
      </c>
      <c r="D1343" s="3" t="s">
        <v>274</v>
      </c>
      <c r="E1343" s="3" t="s">
        <v>79</v>
      </c>
      <c r="F1343" s="3" t="s">
        <v>147</v>
      </c>
      <c r="G1343" s="4" t="s">
        <v>33</v>
      </c>
      <c r="H1343" s="4">
        <v>25</v>
      </c>
      <c r="I1343" s="5">
        <v>0.26172453703703702</v>
      </c>
      <c r="J1343" s="5">
        <v>7.4432870370370371E-2</v>
      </c>
      <c r="K1343" s="5">
        <f t="shared" si="40"/>
        <v>2.977314814814815E-3</v>
      </c>
      <c r="L1343" s="5">
        <v>2.4953703703703704E-2</v>
      </c>
      <c r="M1343" s="6">
        <f t="shared" si="41"/>
        <v>9.5343386547561138E-2</v>
      </c>
      <c r="N1343" s="5"/>
      <c r="O1343" s="5">
        <v>7.3611111111111108E-3</v>
      </c>
      <c r="P1343" s="5"/>
      <c r="Q1343" s="5">
        <v>5.0810185185185186E-3</v>
      </c>
      <c r="R1343" s="5"/>
      <c r="S1343" s="5">
        <v>1.2280092592592592E-2</v>
      </c>
      <c r="T1343" s="5">
        <v>2.3148148148148149E-4</v>
      </c>
      <c r="U1343" s="5"/>
      <c r="V1343" s="5"/>
      <c r="W1343" s="5"/>
    </row>
    <row r="1344" spans="1:23" x14ac:dyDescent="0.25">
      <c r="A1344" s="2">
        <v>46251</v>
      </c>
      <c r="B1344" s="3" t="s">
        <v>683</v>
      </c>
      <c r="C1344" s="3" t="s">
        <v>684</v>
      </c>
      <c r="D1344" s="3" t="s">
        <v>233</v>
      </c>
      <c r="E1344" s="3" t="s">
        <v>31</v>
      </c>
      <c r="F1344" s="3" t="s">
        <v>32</v>
      </c>
      <c r="G1344" s="4" t="s">
        <v>106</v>
      </c>
      <c r="H1344" s="4">
        <v>38</v>
      </c>
      <c r="I1344" s="5">
        <v>0.25793981481481482</v>
      </c>
      <c r="J1344" s="5">
        <v>0.1439236111111111</v>
      </c>
      <c r="K1344" s="5">
        <f t="shared" si="40"/>
        <v>3.7874634502923971E-3</v>
      </c>
      <c r="L1344" s="5">
        <v>5.4629629629629632E-2</v>
      </c>
      <c r="M1344" s="6">
        <f t="shared" si="41"/>
        <v>0.21179215651081398</v>
      </c>
      <c r="N1344" s="5">
        <v>1.2500000000000001E-2</v>
      </c>
      <c r="O1344" s="5">
        <v>1.5972222222222221E-2</v>
      </c>
      <c r="P1344" s="5"/>
      <c r="Q1344" s="5"/>
      <c r="R1344" s="5"/>
      <c r="S1344" s="5">
        <v>1.576388888888889E-2</v>
      </c>
      <c r="T1344" s="5">
        <v>4.3518518518518515E-3</v>
      </c>
      <c r="U1344" s="5">
        <v>1.2037037037037038E-3</v>
      </c>
      <c r="V1344" s="5"/>
      <c r="W1344" s="5">
        <v>4.8379629629629632E-3</v>
      </c>
    </row>
    <row r="1345" spans="1:23" x14ac:dyDescent="0.25">
      <c r="A1345" s="2">
        <v>46251</v>
      </c>
      <c r="B1345" s="3" t="s">
        <v>653</v>
      </c>
      <c r="C1345" s="3" t="s">
        <v>654</v>
      </c>
      <c r="D1345" s="3" t="s">
        <v>100</v>
      </c>
      <c r="E1345" s="3" t="s">
        <v>31</v>
      </c>
      <c r="F1345" s="3" t="s">
        <v>32</v>
      </c>
      <c r="G1345" s="4" t="s">
        <v>33</v>
      </c>
      <c r="H1345" s="4">
        <v>30</v>
      </c>
      <c r="I1345" s="5">
        <v>0.26325231481481481</v>
      </c>
      <c r="J1345" s="5">
        <v>0.19188657407407408</v>
      </c>
      <c r="K1345" s="5">
        <f t="shared" si="40"/>
        <v>6.3962191358024698E-3</v>
      </c>
      <c r="L1345" s="5">
        <v>6.3611111111111104E-2</v>
      </c>
      <c r="M1345" s="6">
        <f t="shared" si="41"/>
        <v>0.24163552429105295</v>
      </c>
      <c r="N1345" s="5">
        <v>7.2569444444444443E-3</v>
      </c>
      <c r="O1345" s="5">
        <v>1.425925925925926E-2</v>
      </c>
      <c r="P1345" s="5"/>
      <c r="Q1345" s="5">
        <v>2.5196759259259259E-2</v>
      </c>
      <c r="R1345" s="5"/>
      <c r="S1345" s="5">
        <v>1.4293981481481482E-2</v>
      </c>
      <c r="T1345" s="5">
        <v>1.1111111111111111E-3</v>
      </c>
      <c r="U1345" s="5">
        <v>1.4699074074074074E-3</v>
      </c>
      <c r="V1345" s="5"/>
      <c r="W1345" s="5"/>
    </row>
    <row r="1346" spans="1:23" x14ac:dyDescent="0.25">
      <c r="A1346" s="2">
        <v>46251</v>
      </c>
      <c r="B1346" s="3" t="s">
        <v>52</v>
      </c>
      <c r="C1346" s="3" t="s">
        <v>509</v>
      </c>
      <c r="D1346" s="3" t="s">
        <v>100</v>
      </c>
      <c r="E1346" s="3" t="s">
        <v>31</v>
      </c>
      <c r="F1346" s="3" t="s">
        <v>32</v>
      </c>
      <c r="G1346" s="4" t="s">
        <v>33</v>
      </c>
      <c r="H1346" s="4">
        <v>8</v>
      </c>
      <c r="I1346" s="5">
        <v>0.25163194444444442</v>
      </c>
      <c r="J1346" s="5">
        <v>4.1365740740740738E-2</v>
      </c>
      <c r="K1346" s="5">
        <f t="shared" ref="K1346:K1409" si="42">IFERROR(J1346/H1346,0)</f>
        <v>5.1707175925925922E-3</v>
      </c>
      <c r="L1346" s="5">
        <v>0.21611111111111111</v>
      </c>
      <c r="M1346" s="6">
        <f t="shared" ref="M1346:M1409" si="43">IFERROR(L1346/I1346,0)</f>
        <v>0.85883813991996694</v>
      </c>
      <c r="N1346" s="5"/>
      <c r="O1346" s="5">
        <v>9.0046296296296298E-3</v>
      </c>
      <c r="P1346" s="5"/>
      <c r="Q1346" s="5"/>
      <c r="R1346" s="5"/>
      <c r="S1346" s="5">
        <v>1.3842592592592592E-2</v>
      </c>
      <c r="T1346" s="5">
        <v>7.1759259259259259E-4</v>
      </c>
      <c r="U1346" s="5">
        <v>2.0138888888888888E-3</v>
      </c>
      <c r="V1346" s="5"/>
      <c r="W1346" s="5">
        <v>0.1905324074074074</v>
      </c>
    </row>
    <row r="1347" spans="1:23" x14ac:dyDescent="0.25">
      <c r="A1347" s="2">
        <v>46251</v>
      </c>
      <c r="B1347" s="3" t="s">
        <v>164</v>
      </c>
      <c r="C1347" s="3" t="s">
        <v>519</v>
      </c>
      <c r="D1347" s="3" t="s">
        <v>146</v>
      </c>
      <c r="E1347" s="3" t="s">
        <v>79</v>
      </c>
      <c r="F1347" s="3" t="s">
        <v>147</v>
      </c>
      <c r="G1347" s="4" t="s">
        <v>106</v>
      </c>
      <c r="H1347" s="4">
        <v>57</v>
      </c>
      <c r="I1347" s="5">
        <v>0.36863425925925924</v>
      </c>
      <c r="J1347" s="5">
        <v>0.13564814814814816</v>
      </c>
      <c r="K1347" s="5">
        <f t="shared" si="42"/>
        <v>2.379792072774529E-3</v>
      </c>
      <c r="L1347" s="5">
        <v>2.8136574074074074E-2</v>
      </c>
      <c r="M1347" s="6">
        <f t="shared" si="43"/>
        <v>7.6326530612244897E-2</v>
      </c>
      <c r="N1347" s="5"/>
      <c r="O1347" s="5">
        <v>7.1759259259259259E-3</v>
      </c>
      <c r="P1347" s="5"/>
      <c r="Q1347" s="5">
        <v>8.2291666666666659E-3</v>
      </c>
      <c r="R1347" s="5"/>
      <c r="S1347" s="5">
        <v>1.2638888888888889E-2</v>
      </c>
      <c r="T1347" s="5">
        <v>9.2592592592592588E-5</v>
      </c>
      <c r="U1347" s="5"/>
      <c r="V1347" s="5"/>
      <c r="W1347" s="5"/>
    </row>
    <row r="1348" spans="1:23" x14ac:dyDescent="0.25">
      <c r="A1348" s="2">
        <v>46251</v>
      </c>
      <c r="B1348" s="3" t="s">
        <v>655</v>
      </c>
      <c r="C1348" s="3" t="s">
        <v>656</v>
      </c>
      <c r="D1348" s="3" t="s">
        <v>100</v>
      </c>
      <c r="E1348" s="3" t="s">
        <v>31</v>
      </c>
      <c r="F1348" s="3" t="s">
        <v>32</v>
      </c>
      <c r="G1348" s="4" t="s">
        <v>33</v>
      </c>
      <c r="H1348" s="4">
        <v>36</v>
      </c>
      <c r="I1348" s="5">
        <v>0.26194444444444442</v>
      </c>
      <c r="J1348" s="5">
        <v>0.166875</v>
      </c>
      <c r="K1348" s="5">
        <f t="shared" si="42"/>
        <v>4.6354166666666662E-3</v>
      </c>
      <c r="L1348" s="5">
        <v>4.0648148148148149E-2</v>
      </c>
      <c r="M1348" s="6">
        <f t="shared" si="43"/>
        <v>0.1551785083068222</v>
      </c>
      <c r="N1348" s="5">
        <v>6.8171296296296296E-3</v>
      </c>
      <c r="O1348" s="5">
        <v>1.6770833333333332E-2</v>
      </c>
      <c r="P1348" s="5"/>
      <c r="Q1348" s="5"/>
      <c r="R1348" s="5"/>
      <c r="S1348" s="5">
        <v>1.4664351851851852E-2</v>
      </c>
      <c r="T1348" s="5">
        <v>2.199074074074074E-4</v>
      </c>
      <c r="U1348" s="5">
        <v>2.0949074074074073E-3</v>
      </c>
      <c r="V1348" s="5"/>
      <c r="W1348" s="5"/>
    </row>
    <row r="1349" spans="1:23" x14ac:dyDescent="0.25">
      <c r="A1349" s="2">
        <v>46251</v>
      </c>
      <c r="B1349" s="3" t="s">
        <v>657</v>
      </c>
      <c r="C1349" s="3" t="s">
        <v>658</v>
      </c>
      <c r="D1349" s="3" t="s">
        <v>274</v>
      </c>
      <c r="E1349" s="3" t="s">
        <v>79</v>
      </c>
      <c r="F1349" s="3" t="s">
        <v>147</v>
      </c>
      <c r="G1349" s="4" t="s">
        <v>33</v>
      </c>
      <c r="H1349" s="4">
        <v>21</v>
      </c>
      <c r="I1349" s="5">
        <v>0.26478009259259261</v>
      </c>
      <c r="J1349" s="5">
        <v>7.8715277777777773E-2</v>
      </c>
      <c r="K1349" s="5">
        <f t="shared" si="42"/>
        <v>3.7483465608465607E-3</v>
      </c>
      <c r="L1349" s="5">
        <v>4.1666666666666664E-2</v>
      </c>
      <c r="M1349" s="6">
        <f t="shared" si="43"/>
        <v>0.1573632906412554</v>
      </c>
      <c r="N1349" s="5">
        <v>4.5370370370370373E-3</v>
      </c>
      <c r="O1349" s="5">
        <v>8.86574074074074E-3</v>
      </c>
      <c r="P1349" s="5"/>
      <c r="Q1349" s="5">
        <v>5.8333333333333336E-3</v>
      </c>
      <c r="R1349" s="5">
        <v>7.1990740740740739E-3</v>
      </c>
      <c r="S1349" s="5">
        <v>1.4699074074074074E-2</v>
      </c>
      <c r="T1349" s="5">
        <v>1.273148148148148E-4</v>
      </c>
      <c r="U1349" s="5">
        <v>3.9351851851851852E-4</v>
      </c>
      <c r="V1349" s="5"/>
      <c r="W1349" s="5"/>
    </row>
    <row r="1350" spans="1:23" x14ac:dyDescent="0.25">
      <c r="A1350" s="2">
        <v>46251</v>
      </c>
      <c r="B1350" s="3" t="s">
        <v>166</v>
      </c>
      <c r="C1350" s="3" t="s">
        <v>167</v>
      </c>
      <c r="D1350" s="3" t="s">
        <v>146</v>
      </c>
      <c r="E1350" s="3" t="s">
        <v>79</v>
      </c>
      <c r="F1350" s="3" t="s">
        <v>147</v>
      </c>
      <c r="G1350" s="4" t="s">
        <v>106</v>
      </c>
      <c r="H1350" s="4">
        <v>30</v>
      </c>
      <c r="I1350" s="5">
        <v>0.26418981481481479</v>
      </c>
      <c r="J1350" s="5">
        <v>9.0624999999999997E-2</v>
      </c>
      <c r="K1350" s="5">
        <f t="shared" si="42"/>
        <v>3.0208333333333333E-3</v>
      </c>
      <c r="L1350" s="5">
        <v>5.7418981481481481E-2</v>
      </c>
      <c r="M1350" s="6">
        <f t="shared" si="43"/>
        <v>0.2173398755804784</v>
      </c>
      <c r="N1350" s="5">
        <v>3.8657407407407408E-3</v>
      </c>
      <c r="O1350" s="5">
        <v>1.2881944444444444E-2</v>
      </c>
      <c r="P1350" s="5"/>
      <c r="Q1350" s="5">
        <v>6.5972222222222222E-3</v>
      </c>
      <c r="R1350" s="5"/>
      <c r="S1350" s="5">
        <v>1.6458333333333332E-2</v>
      </c>
      <c r="T1350" s="5">
        <v>2.7777777777777778E-4</v>
      </c>
      <c r="U1350" s="5">
        <v>4.9768518518518521E-4</v>
      </c>
      <c r="V1350" s="5"/>
      <c r="W1350" s="5">
        <v>1.6840277777777777E-2</v>
      </c>
    </row>
    <row r="1351" spans="1:23" x14ac:dyDescent="0.25">
      <c r="A1351" s="2">
        <v>46251</v>
      </c>
      <c r="B1351" s="3" t="s">
        <v>659</v>
      </c>
      <c r="C1351" s="3" t="s">
        <v>660</v>
      </c>
      <c r="D1351" s="3" t="s">
        <v>100</v>
      </c>
      <c r="E1351" s="3" t="s">
        <v>31</v>
      </c>
      <c r="F1351" s="3" t="s">
        <v>32</v>
      </c>
      <c r="G1351" s="4" t="s">
        <v>33</v>
      </c>
      <c r="H1351" s="4">
        <v>4</v>
      </c>
      <c r="I1351" s="5">
        <v>0.25552083333333331</v>
      </c>
      <c r="J1351" s="5">
        <v>2.6365740740740742E-2</v>
      </c>
      <c r="K1351" s="5">
        <f t="shared" si="42"/>
        <v>6.5914351851851854E-3</v>
      </c>
      <c r="L1351" s="5">
        <v>0.23150462962962962</v>
      </c>
      <c r="M1351" s="6">
        <f t="shared" si="43"/>
        <v>0.90601078045024241</v>
      </c>
      <c r="N1351" s="5">
        <v>1.2870370370370371E-2</v>
      </c>
      <c r="O1351" s="5">
        <v>1.5613425925925926E-2</v>
      </c>
      <c r="P1351" s="5"/>
      <c r="Q1351" s="5"/>
      <c r="R1351" s="5"/>
      <c r="S1351" s="5">
        <v>1.6273148148148148E-2</v>
      </c>
      <c r="T1351" s="5">
        <v>3.2407407407407406E-4</v>
      </c>
      <c r="U1351" s="5"/>
      <c r="V1351" s="5"/>
      <c r="W1351" s="5">
        <v>0.18642361111111111</v>
      </c>
    </row>
    <row r="1352" spans="1:23" x14ac:dyDescent="0.25">
      <c r="A1352" s="2">
        <v>46251</v>
      </c>
      <c r="B1352" s="3" t="s">
        <v>254</v>
      </c>
      <c r="C1352" s="3" t="s">
        <v>528</v>
      </c>
      <c r="D1352" s="3" t="s">
        <v>233</v>
      </c>
      <c r="E1352" s="3" t="s">
        <v>31</v>
      </c>
      <c r="F1352" s="3" t="s">
        <v>32</v>
      </c>
      <c r="G1352" s="4" t="s">
        <v>106</v>
      </c>
      <c r="H1352" s="4">
        <v>30</v>
      </c>
      <c r="I1352" s="5">
        <v>0.26186342592592593</v>
      </c>
      <c r="J1352" s="5">
        <v>0.10811342592592593</v>
      </c>
      <c r="K1352" s="5">
        <f t="shared" si="42"/>
        <v>3.6037808641975312E-3</v>
      </c>
      <c r="L1352" s="5">
        <v>6.2696759259259258E-2</v>
      </c>
      <c r="M1352" s="6">
        <f t="shared" si="43"/>
        <v>0.23942541436464088</v>
      </c>
      <c r="N1352" s="5">
        <v>2.2326388888888889E-2</v>
      </c>
      <c r="O1352" s="5">
        <v>1.5138888888888889E-2</v>
      </c>
      <c r="P1352" s="5">
        <v>1.724537037037037E-3</v>
      </c>
      <c r="Q1352" s="5">
        <v>2.4305555555555556E-3</v>
      </c>
      <c r="R1352" s="5"/>
      <c r="S1352" s="5">
        <v>1.4282407407407407E-2</v>
      </c>
      <c r="T1352" s="5">
        <v>5.1273148148148146E-3</v>
      </c>
      <c r="U1352" s="5">
        <v>1.6319444444444445E-3</v>
      </c>
      <c r="V1352" s="5"/>
      <c r="W1352" s="5"/>
    </row>
    <row r="1353" spans="1:23" x14ac:dyDescent="0.25">
      <c r="A1353" s="2">
        <v>46251</v>
      </c>
      <c r="B1353" s="3" t="s">
        <v>201</v>
      </c>
      <c r="C1353" s="3" t="s">
        <v>545</v>
      </c>
      <c r="D1353" s="3" t="s">
        <v>601</v>
      </c>
      <c r="E1353" s="3" t="s">
        <v>31</v>
      </c>
      <c r="F1353" s="3" t="s">
        <v>600</v>
      </c>
      <c r="G1353" s="4" t="s">
        <v>33</v>
      </c>
      <c r="H1353" s="4">
        <v>28</v>
      </c>
      <c r="I1353" s="5">
        <v>0.24884259259259259</v>
      </c>
      <c r="J1353" s="5">
        <v>6.0266203703703704E-2</v>
      </c>
      <c r="K1353" s="5">
        <f t="shared" si="42"/>
        <v>2.1523644179894182E-3</v>
      </c>
      <c r="L1353" s="5">
        <v>5.9340277777777777E-2</v>
      </c>
      <c r="M1353" s="6">
        <f t="shared" si="43"/>
        <v>0.23846511627906977</v>
      </c>
      <c r="N1353" s="5">
        <v>7.9166666666666673E-3</v>
      </c>
      <c r="O1353" s="5">
        <v>1.6747685185185185E-2</v>
      </c>
      <c r="P1353" s="5">
        <v>9.2592592592592588E-5</v>
      </c>
      <c r="Q1353" s="5"/>
      <c r="R1353" s="5"/>
      <c r="S1353" s="5">
        <v>1.3009259259259259E-2</v>
      </c>
      <c r="T1353" s="5">
        <v>1.2812499999999999E-2</v>
      </c>
      <c r="U1353" s="5">
        <v>8.7615740740740744E-3</v>
      </c>
      <c r="V1353" s="5"/>
      <c r="W1353" s="5"/>
    </row>
    <row r="1354" spans="1:23" x14ac:dyDescent="0.25">
      <c r="A1354" s="2">
        <v>46251</v>
      </c>
      <c r="B1354" s="3" t="s">
        <v>168</v>
      </c>
      <c r="C1354" s="3" t="s">
        <v>520</v>
      </c>
      <c r="D1354" s="3" t="s">
        <v>274</v>
      </c>
      <c r="E1354" s="3" t="s">
        <v>79</v>
      </c>
      <c r="F1354" s="3" t="s">
        <v>147</v>
      </c>
      <c r="G1354" s="4" t="s">
        <v>33</v>
      </c>
      <c r="H1354" s="4">
        <v>21</v>
      </c>
      <c r="I1354" s="5">
        <v>0.26743055555555556</v>
      </c>
      <c r="J1354" s="5">
        <v>6.40162037037037E-2</v>
      </c>
      <c r="K1354" s="5">
        <f t="shared" si="42"/>
        <v>3.0483906525573192E-3</v>
      </c>
      <c r="L1354" s="5">
        <v>4.2708333333333334E-2</v>
      </c>
      <c r="M1354" s="6">
        <f t="shared" si="43"/>
        <v>0.15969877953778239</v>
      </c>
      <c r="N1354" s="5">
        <v>9.6412037037037039E-3</v>
      </c>
      <c r="O1354" s="5">
        <v>1.2500000000000001E-2</v>
      </c>
      <c r="P1354" s="5"/>
      <c r="Q1354" s="5">
        <v>5.2777777777777779E-3</v>
      </c>
      <c r="R1354" s="5"/>
      <c r="S1354" s="5">
        <v>1.4675925925925926E-2</v>
      </c>
      <c r="T1354" s="5">
        <v>2.6620370370370372E-4</v>
      </c>
      <c r="U1354" s="5">
        <v>3.3564814814814812E-4</v>
      </c>
      <c r="V1354" s="5"/>
      <c r="W1354" s="5"/>
    </row>
    <row r="1355" spans="1:23" x14ac:dyDescent="0.25">
      <c r="A1355" s="2">
        <v>46251</v>
      </c>
      <c r="B1355" s="3" t="s">
        <v>170</v>
      </c>
      <c r="C1355" s="3" t="s">
        <v>521</v>
      </c>
      <c r="D1355" s="3" t="s">
        <v>146</v>
      </c>
      <c r="E1355" s="3" t="s">
        <v>79</v>
      </c>
      <c r="F1355" s="3" t="s">
        <v>147</v>
      </c>
      <c r="G1355" s="4" t="s">
        <v>106</v>
      </c>
      <c r="H1355" s="4">
        <v>25</v>
      </c>
      <c r="I1355" s="5">
        <v>0.25533564814814813</v>
      </c>
      <c r="J1355" s="5">
        <v>0.11858796296296296</v>
      </c>
      <c r="K1355" s="5">
        <f t="shared" si="42"/>
        <v>4.7435185185185184E-3</v>
      </c>
      <c r="L1355" s="5">
        <v>4.1099537037037039E-2</v>
      </c>
      <c r="M1355" s="6">
        <f t="shared" si="43"/>
        <v>0.16096278500521283</v>
      </c>
      <c r="N1355" s="5">
        <v>2.4537037037037036E-3</v>
      </c>
      <c r="O1355" s="5">
        <v>1.5868055555555555E-2</v>
      </c>
      <c r="P1355" s="5"/>
      <c r="Q1355" s="5">
        <v>8.1250000000000003E-3</v>
      </c>
      <c r="R1355" s="5"/>
      <c r="S1355" s="5">
        <v>1.3634259259259259E-2</v>
      </c>
      <c r="T1355" s="5">
        <v>3.7037037037037035E-4</v>
      </c>
      <c r="U1355" s="5">
        <v>6.134259259259259E-4</v>
      </c>
      <c r="V1355" s="5"/>
      <c r="W1355" s="5"/>
    </row>
    <row r="1356" spans="1:23" x14ac:dyDescent="0.25">
      <c r="A1356" s="2">
        <v>46251</v>
      </c>
      <c r="B1356" s="3" t="s">
        <v>92</v>
      </c>
      <c r="C1356" s="3" t="s">
        <v>93</v>
      </c>
      <c r="D1356" s="3" t="s">
        <v>78</v>
      </c>
      <c r="E1356" s="3" t="s">
        <v>79</v>
      </c>
      <c r="F1356" s="3" t="s">
        <v>80</v>
      </c>
      <c r="G1356" s="4" t="s">
        <v>81</v>
      </c>
      <c r="H1356" s="4">
        <v>0</v>
      </c>
      <c r="I1356" s="5">
        <v>0.27087962962962964</v>
      </c>
      <c r="J1356" s="5">
        <v>0</v>
      </c>
      <c r="K1356" s="5">
        <f t="shared" si="42"/>
        <v>0</v>
      </c>
      <c r="L1356" s="5">
        <v>0.13881944444444444</v>
      </c>
      <c r="M1356" s="6">
        <f t="shared" si="43"/>
        <v>0.51247649974363352</v>
      </c>
      <c r="N1356" s="5">
        <v>6.099537037037037E-3</v>
      </c>
      <c r="O1356" s="5">
        <v>6.8726851851851858E-2</v>
      </c>
      <c r="P1356" s="5"/>
      <c r="Q1356" s="5"/>
      <c r="R1356" s="5"/>
      <c r="S1356" s="5"/>
      <c r="T1356" s="5">
        <v>6.2615740740740736E-2</v>
      </c>
      <c r="U1356" s="5">
        <v>1.3310185185185185E-3</v>
      </c>
      <c r="V1356" s="5"/>
      <c r="W1356" s="5"/>
    </row>
    <row r="1357" spans="1:23" x14ac:dyDescent="0.25">
      <c r="A1357" s="2">
        <v>46251</v>
      </c>
      <c r="B1357" s="3" t="s">
        <v>94</v>
      </c>
      <c r="C1357" s="3" t="s">
        <v>95</v>
      </c>
      <c r="D1357" s="3" t="s">
        <v>78</v>
      </c>
      <c r="E1357" s="3" t="s">
        <v>79</v>
      </c>
      <c r="F1357" s="3" t="s">
        <v>80</v>
      </c>
      <c r="G1357" s="4" t="s">
        <v>81</v>
      </c>
      <c r="H1357" s="4">
        <v>0</v>
      </c>
      <c r="I1357" s="5">
        <v>0.36278935185185185</v>
      </c>
      <c r="J1357" s="5">
        <v>0</v>
      </c>
      <c r="K1357" s="5">
        <f t="shared" si="42"/>
        <v>0</v>
      </c>
      <c r="L1357" s="5">
        <v>0.13452546296296297</v>
      </c>
      <c r="M1357" s="6">
        <f t="shared" si="43"/>
        <v>0.37080874142606479</v>
      </c>
      <c r="N1357" s="5">
        <v>3.1307870370370368E-2</v>
      </c>
      <c r="O1357" s="5"/>
      <c r="P1357" s="5"/>
      <c r="Q1357" s="5"/>
      <c r="R1357" s="5">
        <v>0.10313657407407407</v>
      </c>
      <c r="S1357" s="5"/>
      <c r="T1357" s="5">
        <v>8.1018518518518516E-5</v>
      </c>
      <c r="U1357" s="5"/>
      <c r="V1357" s="5"/>
      <c r="W1357" s="5"/>
    </row>
    <row r="1358" spans="1:23" x14ac:dyDescent="0.25">
      <c r="A1358" s="2">
        <v>46251</v>
      </c>
      <c r="B1358" s="3" t="s">
        <v>293</v>
      </c>
      <c r="C1358" s="3" t="s">
        <v>543</v>
      </c>
      <c r="D1358" s="3" t="s">
        <v>104</v>
      </c>
      <c r="E1358" s="3" t="s">
        <v>31</v>
      </c>
      <c r="F1358" s="3" t="s">
        <v>600</v>
      </c>
      <c r="G1358" s="4" t="s">
        <v>106</v>
      </c>
      <c r="H1358" s="4">
        <v>21</v>
      </c>
      <c r="I1358" s="5">
        <v>0.22778935185185184</v>
      </c>
      <c r="J1358" s="5">
        <v>4.3229166666666666E-2</v>
      </c>
      <c r="K1358" s="5">
        <f t="shared" si="42"/>
        <v>2.0585317460317461E-3</v>
      </c>
      <c r="L1358" s="5">
        <v>0.15372685185185186</v>
      </c>
      <c r="M1358" s="6">
        <f t="shared" si="43"/>
        <v>0.67486408210964899</v>
      </c>
      <c r="N1358" s="5">
        <v>5.8217592592592592E-3</v>
      </c>
      <c r="O1358" s="5">
        <v>1.7280092592592593E-2</v>
      </c>
      <c r="P1358" s="5"/>
      <c r="Q1358" s="5"/>
      <c r="R1358" s="5"/>
      <c r="S1358" s="5">
        <v>1.2581018518518519E-2</v>
      </c>
      <c r="T1358" s="5">
        <v>1.1747685185185186E-2</v>
      </c>
      <c r="U1358" s="5">
        <v>1.1574074074074075E-4</v>
      </c>
      <c r="V1358" s="5"/>
      <c r="W1358" s="5">
        <v>0.10616898148148148</v>
      </c>
    </row>
    <row r="1359" spans="1:23" x14ac:dyDescent="0.25">
      <c r="A1359" s="2">
        <v>46251</v>
      </c>
      <c r="B1359" s="3" t="s">
        <v>606</v>
      </c>
      <c r="C1359" s="3" t="s">
        <v>633</v>
      </c>
      <c r="D1359" s="3" t="s">
        <v>146</v>
      </c>
      <c r="E1359" s="3" t="s">
        <v>79</v>
      </c>
      <c r="F1359" s="3" t="s">
        <v>147</v>
      </c>
      <c r="G1359" s="4" t="s">
        <v>106</v>
      </c>
      <c r="H1359" s="4">
        <v>16</v>
      </c>
      <c r="I1359" s="5">
        <v>0.26113425925925926</v>
      </c>
      <c r="J1359" s="5">
        <v>8.0659722222222216E-2</v>
      </c>
      <c r="K1359" s="5">
        <f t="shared" si="42"/>
        <v>5.0412326388888885E-3</v>
      </c>
      <c r="L1359" s="5">
        <v>9.0173611111111107E-2</v>
      </c>
      <c r="M1359" s="6">
        <f t="shared" si="43"/>
        <v>0.34531513163726618</v>
      </c>
      <c r="N1359" s="5">
        <v>1.5648148148148147E-2</v>
      </c>
      <c r="O1359" s="5">
        <v>1.425925925925926E-2</v>
      </c>
      <c r="P1359" s="5"/>
      <c r="Q1359" s="5"/>
      <c r="R1359" s="5"/>
      <c r="S1359" s="5">
        <v>1.4583333333333334E-2</v>
      </c>
      <c r="T1359" s="5">
        <v>6.1342592592592594E-3</v>
      </c>
      <c r="U1359" s="5">
        <v>1.5625E-2</v>
      </c>
      <c r="V1359" s="5"/>
      <c r="W1359" s="5">
        <v>2.388888888888889E-2</v>
      </c>
    </row>
    <row r="1360" spans="1:23" x14ac:dyDescent="0.25">
      <c r="A1360" s="2">
        <v>46251</v>
      </c>
      <c r="B1360" s="3" t="s">
        <v>256</v>
      </c>
      <c r="C1360" s="3" t="s">
        <v>529</v>
      </c>
      <c r="D1360" s="3" t="s">
        <v>233</v>
      </c>
      <c r="E1360" s="3" t="s">
        <v>31</v>
      </c>
      <c r="F1360" s="3" t="s">
        <v>32</v>
      </c>
      <c r="G1360" s="4" t="s">
        <v>106</v>
      </c>
      <c r="H1360" s="4">
        <v>23</v>
      </c>
      <c r="I1360" s="5">
        <v>0.24186342592592591</v>
      </c>
      <c r="J1360" s="5">
        <v>0.14925925925925926</v>
      </c>
      <c r="K1360" s="5">
        <f t="shared" si="42"/>
        <v>6.4895330112721417E-3</v>
      </c>
      <c r="L1360" s="5">
        <v>4.0219907407407406E-2</v>
      </c>
      <c r="M1360" s="6">
        <f t="shared" si="43"/>
        <v>0.16629181222185002</v>
      </c>
      <c r="N1360" s="5"/>
      <c r="O1360" s="5">
        <v>1.6250000000000001E-2</v>
      </c>
      <c r="P1360" s="5"/>
      <c r="Q1360" s="5"/>
      <c r="R1360" s="5"/>
      <c r="S1360" s="5">
        <v>1.5219907407407408E-2</v>
      </c>
      <c r="T1360" s="5">
        <v>1.5046296296296296E-3</v>
      </c>
      <c r="U1360" s="5">
        <v>7.2453703703703708E-3</v>
      </c>
      <c r="V1360" s="5"/>
      <c r="W1360" s="5"/>
    </row>
    <row r="1361" spans="1:23" x14ac:dyDescent="0.25">
      <c r="A1361" s="2">
        <v>46251</v>
      </c>
      <c r="B1361" s="3" t="s">
        <v>612</v>
      </c>
      <c r="C1361" s="3" t="s">
        <v>634</v>
      </c>
      <c r="D1361" s="3" t="s">
        <v>601</v>
      </c>
      <c r="E1361" s="3" t="s">
        <v>31</v>
      </c>
      <c r="F1361" s="3" t="s">
        <v>105</v>
      </c>
      <c r="G1361" s="4" t="s">
        <v>33</v>
      </c>
      <c r="H1361" s="4">
        <v>6</v>
      </c>
      <c r="I1361" s="5">
        <v>0.22391203703703705</v>
      </c>
      <c r="J1361" s="5">
        <v>0.12346064814814815</v>
      </c>
      <c r="K1361" s="5">
        <f t="shared" si="42"/>
        <v>2.0576774691358025E-2</v>
      </c>
      <c r="L1361" s="5">
        <v>0.18586805555555555</v>
      </c>
      <c r="M1361" s="6">
        <f t="shared" si="43"/>
        <v>0.83009407629484122</v>
      </c>
      <c r="N1361" s="5">
        <v>2.6076388888888889E-2</v>
      </c>
      <c r="O1361" s="5">
        <v>1.4976851851851852E-2</v>
      </c>
      <c r="P1361" s="5"/>
      <c r="Q1361" s="5">
        <v>5.0694444444444441E-3</v>
      </c>
      <c r="R1361" s="5"/>
      <c r="S1361" s="5">
        <v>1.1724537037037037E-2</v>
      </c>
      <c r="T1361" s="5">
        <v>4.4988425925925925E-2</v>
      </c>
      <c r="U1361" s="5">
        <v>8.3032407407407402E-2</v>
      </c>
      <c r="V1361" s="5"/>
      <c r="W1361" s="5"/>
    </row>
    <row r="1362" spans="1:23" x14ac:dyDescent="0.25">
      <c r="A1362" s="2">
        <v>46251</v>
      </c>
      <c r="B1362" s="3" t="s">
        <v>661</v>
      </c>
      <c r="C1362" s="3" t="s">
        <v>662</v>
      </c>
      <c r="D1362" s="3" t="s">
        <v>100</v>
      </c>
      <c r="E1362" s="3" t="s">
        <v>31</v>
      </c>
      <c r="F1362" s="3" t="s">
        <v>32</v>
      </c>
      <c r="G1362" s="4" t="s">
        <v>33</v>
      </c>
      <c r="H1362" s="4">
        <v>35</v>
      </c>
      <c r="I1362" s="5">
        <v>0.23791666666666667</v>
      </c>
      <c r="J1362" s="5">
        <v>0.17398148148148149</v>
      </c>
      <c r="K1362" s="5">
        <f t="shared" si="42"/>
        <v>4.9708994708994713E-3</v>
      </c>
      <c r="L1362" s="5">
        <v>5.0995370370370371E-2</v>
      </c>
      <c r="M1362" s="6">
        <f t="shared" si="43"/>
        <v>0.21434131153920996</v>
      </c>
      <c r="N1362" s="5"/>
      <c r="O1362" s="5">
        <v>1.5671296296296298E-2</v>
      </c>
      <c r="P1362" s="5"/>
      <c r="Q1362" s="5"/>
      <c r="R1362" s="5"/>
      <c r="S1362" s="5">
        <v>1.5104166666666667E-2</v>
      </c>
      <c r="T1362" s="5">
        <v>1.193287037037037E-2</v>
      </c>
      <c r="U1362" s="5">
        <v>2.7314814814814814E-3</v>
      </c>
      <c r="V1362" s="5"/>
      <c r="W1362" s="5">
        <v>5.4282407407407404E-3</v>
      </c>
    </row>
    <row r="1363" spans="1:23" x14ac:dyDescent="0.25">
      <c r="A1363" s="2">
        <v>46251</v>
      </c>
      <c r="B1363" s="3" t="s">
        <v>663</v>
      </c>
      <c r="C1363" s="3" t="s">
        <v>664</v>
      </c>
      <c r="D1363" s="3" t="s">
        <v>233</v>
      </c>
      <c r="E1363" s="3" t="s">
        <v>31</v>
      </c>
      <c r="F1363" s="3" t="s">
        <v>32</v>
      </c>
      <c r="G1363" s="4" t="s">
        <v>106</v>
      </c>
      <c r="H1363" s="4">
        <v>23</v>
      </c>
      <c r="I1363" s="5">
        <v>0.21340277777777777</v>
      </c>
      <c r="J1363" s="5">
        <v>0.15177083333333333</v>
      </c>
      <c r="K1363" s="5">
        <f t="shared" si="42"/>
        <v>6.598731884057971E-3</v>
      </c>
      <c r="L1363" s="5">
        <v>2.3252314814814816E-2</v>
      </c>
      <c r="M1363" s="6">
        <f t="shared" si="43"/>
        <v>0.10895975702353836</v>
      </c>
      <c r="N1363" s="5">
        <v>3.6458333333333334E-3</v>
      </c>
      <c r="O1363" s="5">
        <v>1.7627314814814814E-2</v>
      </c>
      <c r="P1363" s="5">
        <v>7.9861111111111116E-4</v>
      </c>
      <c r="Q1363" s="5"/>
      <c r="R1363" s="5"/>
      <c r="S1363" s="5"/>
      <c r="T1363" s="5">
        <v>1.1805555555555556E-3</v>
      </c>
      <c r="U1363" s="5"/>
      <c r="V1363" s="5"/>
      <c r="W1363" s="5"/>
    </row>
    <row r="1364" spans="1:23" x14ac:dyDescent="0.25">
      <c r="A1364" s="2">
        <v>46251</v>
      </c>
      <c r="B1364" s="3" t="s">
        <v>665</v>
      </c>
      <c r="C1364" s="3" t="s">
        <v>666</v>
      </c>
      <c r="D1364" s="3" t="s">
        <v>100</v>
      </c>
      <c r="E1364" s="3" t="s">
        <v>31</v>
      </c>
      <c r="F1364" s="3" t="s">
        <v>32</v>
      </c>
      <c r="G1364" s="4" t="s">
        <v>33</v>
      </c>
      <c r="H1364" s="4">
        <v>39</v>
      </c>
      <c r="I1364" s="5">
        <v>0.26521990740740742</v>
      </c>
      <c r="J1364" s="5">
        <v>0.21702546296296296</v>
      </c>
      <c r="K1364" s="5">
        <f t="shared" si="42"/>
        <v>5.5647554605887939E-3</v>
      </c>
      <c r="L1364" s="5">
        <v>5.1967592592592593E-2</v>
      </c>
      <c r="M1364" s="6">
        <f t="shared" si="43"/>
        <v>0.19594152301985598</v>
      </c>
      <c r="N1364" s="5"/>
      <c r="O1364" s="5">
        <v>1.3865740740740741E-2</v>
      </c>
      <c r="P1364" s="5"/>
      <c r="Q1364" s="5"/>
      <c r="R1364" s="5">
        <v>2.2430555555555554E-2</v>
      </c>
      <c r="S1364" s="5">
        <v>1.380787037037037E-2</v>
      </c>
      <c r="T1364" s="5">
        <v>9.2592592592592588E-5</v>
      </c>
      <c r="U1364" s="5">
        <v>1.7013888888888888E-3</v>
      </c>
      <c r="V1364" s="5"/>
      <c r="W1364" s="5"/>
    </row>
    <row r="1365" spans="1:23" x14ac:dyDescent="0.25">
      <c r="A1365" s="2">
        <v>46251</v>
      </c>
      <c r="B1365" s="3" t="s">
        <v>264</v>
      </c>
      <c r="C1365" s="3" t="s">
        <v>530</v>
      </c>
      <c r="D1365" s="3" t="s">
        <v>78</v>
      </c>
      <c r="E1365" s="3" t="s">
        <v>79</v>
      </c>
      <c r="F1365" s="3" t="s">
        <v>80</v>
      </c>
      <c r="G1365" s="4" t="s">
        <v>106</v>
      </c>
      <c r="H1365" s="4">
        <v>1</v>
      </c>
      <c r="I1365" s="5">
        <v>0.58961805555555558</v>
      </c>
      <c r="J1365" s="5">
        <v>5.4386574074074073E-2</v>
      </c>
      <c r="K1365" s="5">
        <f t="shared" si="42"/>
        <v>5.4386574074074073E-2</v>
      </c>
      <c r="L1365" s="5">
        <v>2.2430555555555554E-2</v>
      </c>
      <c r="M1365" s="6">
        <f t="shared" si="43"/>
        <v>3.8042518108474171E-2</v>
      </c>
      <c r="N1365" s="5"/>
      <c r="O1365" s="5"/>
      <c r="P1365" s="5"/>
      <c r="Q1365" s="5"/>
      <c r="R1365" s="5">
        <v>2.224537037037037E-2</v>
      </c>
      <c r="S1365" s="5"/>
      <c r="T1365" s="5">
        <v>6.9444444444444444E-5</v>
      </c>
      <c r="U1365" s="5">
        <v>1.0416666666666667E-4</v>
      </c>
      <c r="V1365" s="5"/>
      <c r="W1365" s="5"/>
    </row>
    <row r="1366" spans="1:23" x14ac:dyDescent="0.25">
      <c r="A1366" s="2">
        <v>46251</v>
      </c>
      <c r="B1366" s="3" t="s">
        <v>128</v>
      </c>
      <c r="C1366" s="3" t="s">
        <v>555</v>
      </c>
      <c r="D1366" s="3" t="s">
        <v>233</v>
      </c>
      <c r="E1366" s="3" t="s">
        <v>31</v>
      </c>
      <c r="F1366" s="3" t="s">
        <v>32</v>
      </c>
      <c r="G1366" s="4" t="s">
        <v>106</v>
      </c>
      <c r="H1366" s="4">
        <v>33</v>
      </c>
      <c r="I1366" s="5">
        <v>0.23776620370370372</v>
      </c>
      <c r="J1366" s="5">
        <v>0.13149305555555554</v>
      </c>
      <c r="K1366" s="5">
        <f t="shared" si="42"/>
        <v>3.9846380471380465E-3</v>
      </c>
      <c r="L1366" s="5">
        <v>3.72337962962963E-2</v>
      </c>
      <c r="M1366" s="6">
        <f t="shared" si="43"/>
        <v>0.15659835467069075</v>
      </c>
      <c r="N1366" s="5">
        <v>9.1319444444444443E-3</v>
      </c>
      <c r="O1366" s="5">
        <v>7.905092592592592E-3</v>
      </c>
      <c r="P1366" s="5"/>
      <c r="Q1366" s="5"/>
      <c r="R1366" s="5"/>
      <c r="S1366" s="5">
        <v>1.6620370370370369E-2</v>
      </c>
      <c r="T1366" s="5">
        <v>2.9050925925925928E-3</v>
      </c>
      <c r="U1366" s="5">
        <v>6.4814814814814813E-4</v>
      </c>
      <c r="V1366" s="5"/>
      <c r="W1366" s="5"/>
    </row>
    <row r="1367" spans="1:23" x14ac:dyDescent="0.25">
      <c r="A1367" s="2">
        <v>46251</v>
      </c>
      <c r="B1367" s="3" t="s">
        <v>266</v>
      </c>
      <c r="C1367" s="3" t="s">
        <v>531</v>
      </c>
      <c r="D1367" s="3" t="s">
        <v>233</v>
      </c>
      <c r="E1367" s="3" t="s">
        <v>31</v>
      </c>
      <c r="F1367" s="3" t="s">
        <v>32</v>
      </c>
      <c r="G1367" s="4" t="s">
        <v>106</v>
      </c>
      <c r="H1367" s="4">
        <v>0</v>
      </c>
      <c r="I1367" s="5">
        <v>0.22116898148148148</v>
      </c>
      <c r="J1367" s="5">
        <v>0</v>
      </c>
      <c r="K1367" s="5">
        <f t="shared" si="42"/>
        <v>0</v>
      </c>
      <c r="L1367" s="5">
        <v>0.22116898148148148</v>
      </c>
      <c r="M1367" s="6">
        <f t="shared" si="43"/>
        <v>1</v>
      </c>
      <c r="N1367" s="5"/>
      <c r="O1367" s="5">
        <v>1.2129629629629629E-2</v>
      </c>
      <c r="P1367" s="5"/>
      <c r="Q1367" s="5">
        <v>1.3773148148148149E-2</v>
      </c>
      <c r="R1367" s="5"/>
      <c r="S1367" s="5">
        <v>1.3912037037037037E-2</v>
      </c>
      <c r="T1367" s="5">
        <v>6.7129629629629625E-4</v>
      </c>
      <c r="U1367" s="5"/>
      <c r="V1367" s="5"/>
      <c r="W1367" s="5">
        <v>0.18068287037037037</v>
      </c>
    </row>
    <row r="1368" spans="1:23" x14ac:dyDescent="0.25">
      <c r="A1368" s="2">
        <v>46251</v>
      </c>
      <c r="B1368" s="3" t="s">
        <v>297</v>
      </c>
      <c r="C1368" s="3" t="s">
        <v>667</v>
      </c>
      <c r="D1368" s="3" t="s">
        <v>104</v>
      </c>
      <c r="E1368" s="3" t="s">
        <v>31</v>
      </c>
      <c r="F1368" s="3" t="s">
        <v>105</v>
      </c>
      <c r="G1368" s="4" t="s">
        <v>106</v>
      </c>
      <c r="H1368" s="4">
        <v>5</v>
      </c>
      <c r="I1368" s="5">
        <v>0.23145833333333332</v>
      </c>
      <c r="J1368" s="5">
        <v>0.10866898148148148</v>
      </c>
      <c r="K1368" s="5">
        <f t="shared" si="42"/>
        <v>2.1733796296296296E-2</v>
      </c>
      <c r="L1368" s="5">
        <v>0.19460648148148149</v>
      </c>
      <c r="M1368" s="6">
        <f t="shared" si="43"/>
        <v>0.84078407840784086</v>
      </c>
      <c r="N1368" s="5">
        <v>1.7615740740740741E-2</v>
      </c>
      <c r="O1368" s="5">
        <v>1.5821759259259258E-2</v>
      </c>
      <c r="P1368" s="5"/>
      <c r="Q1368" s="5"/>
      <c r="R1368" s="5"/>
      <c r="S1368" s="5">
        <v>1.4074074074074074E-2</v>
      </c>
      <c r="T1368" s="5">
        <v>3.9351851851851852E-4</v>
      </c>
      <c r="U1368" s="5">
        <v>2.5462962962962961E-4</v>
      </c>
      <c r="V1368" s="5"/>
      <c r="W1368" s="5">
        <v>0.14644675925925926</v>
      </c>
    </row>
    <row r="1369" spans="1:23" x14ac:dyDescent="0.25">
      <c r="A1369" s="2">
        <v>46251</v>
      </c>
      <c r="B1369" s="3" t="s">
        <v>207</v>
      </c>
      <c r="C1369" s="3" t="s">
        <v>566</v>
      </c>
      <c r="D1369" s="3" t="s">
        <v>274</v>
      </c>
      <c r="E1369" s="3" t="s">
        <v>79</v>
      </c>
      <c r="F1369" s="3" t="s">
        <v>147</v>
      </c>
      <c r="G1369" s="4" t="s">
        <v>33</v>
      </c>
      <c r="H1369" s="4">
        <v>19</v>
      </c>
      <c r="I1369" s="5">
        <v>0.25912037037037039</v>
      </c>
      <c r="J1369" s="5">
        <v>9.1076388888888887E-2</v>
      </c>
      <c r="K1369" s="5">
        <f t="shared" si="42"/>
        <v>4.7934941520467837E-3</v>
      </c>
      <c r="L1369" s="5">
        <v>3.6932870370370373E-2</v>
      </c>
      <c r="M1369" s="6">
        <f t="shared" si="43"/>
        <v>0.14253171341790244</v>
      </c>
      <c r="N1369" s="5">
        <v>1.1921296296296296E-3</v>
      </c>
      <c r="O1369" s="5">
        <v>7.4189814814814813E-3</v>
      </c>
      <c r="P1369" s="5"/>
      <c r="Q1369" s="5">
        <v>5.5902777777777773E-3</v>
      </c>
      <c r="R1369" s="5">
        <v>6.9675925925925929E-3</v>
      </c>
      <c r="S1369" s="5">
        <v>1.4710648148148148E-2</v>
      </c>
      <c r="T1369" s="5">
        <v>6.9444444444444444E-5</v>
      </c>
      <c r="U1369" s="5">
        <v>9.837962962962962E-4</v>
      </c>
      <c r="V1369" s="5"/>
      <c r="W1369" s="5"/>
    </row>
    <row r="1370" spans="1:23" x14ac:dyDescent="0.25">
      <c r="A1370" s="2">
        <v>46251</v>
      </c>
      <c r="B1370" s="3" t="s">
        <v>614</v>
      </c>
      <c r="C1370" s="3" t="s">
        <v>635</v>
      </c>
      <c r="D1370" s="3" t="s">
        <v>601</v>
      </c>
      <c r="E1370" s="3" t="s">
        <v>31</v>
      </c>
      <c r="F1370" s="3" t="s">
        <v>105</v>
      </c>
      <c r="G1370" s="4" t="s">
        <v>33</v>
      </c>
      <c r="H1370" s="4">
        <v>14</v>
      </c>
      <c r="I1370" s="5">
        <v>0.22576388888888888</v>
      </c>
      <c r="J1370" s="5">
        <v>0.16657407407407407</v>
      </c>
      <c r="K1370" s="5">
        <f t="shared" si="42"/>
        <v>1.1898148148148147E-2</v>
      </c>
      <c r="L1370" s="5">
        <v>0.17318287037037036</v>
      </c>
      <c r="M1370" s="6">
        <f t="shared" si="43"/>
        <v>0.76709730339382753</v>
      </c>
      <c r="N1370" s="5">
        <v>4.8495370370370368E-3</v>
      </c>
      <c r="O1370" s="5">
        <v>1.4641203703703703E-2</v>
      </c>
      <c r="P1370" s="5"/>
      <c r="Q1370" s="5"/>
      <c r="R1370" s="5"/>
      <c r="S1370" s="5">
        <v>1.4733796296296297E-2</v>
      </c>
      <c r="T1370" s="5">
        <v>5.5081018518518515E-2</v>
      </c>
      <c r="U1370" s="5">
        <v>8.3877314814814821E-2</v>
      </c>
      <c r="V1370" s="5"/>
      <c r="W1370" s="5"/>
    </row>
    <row r="1371" spans="1:23" x14ac:dyDescent="0.25">
      <c r="A1371" s="2">
        <v>46251</v>
      </c>
      <c r="B1371" s="3" t="s">
        <v>96</v>
      </c>
      <c r="C1371" s="3" t="s">
        <v>97</v>
      </c>
      <c r="D1371" s="3" t="s">
        <v>78</v>
      </c>
      <c r="E1371" s="3" t="s">
        <v>79</v>
      </c>
      <c r="F1371" s="3" t="s">
        <v>80</v>
      </c>
      <c r="G1371" s="4" t="s">
        <v>81</v>
      </c>
      <c r="H1371" s="4">
        <v>1</v>
      </c>
      <c r="I1371" s="5">
        <v>0.33895833333333331</v>
      </c>
      <c r="J1371" s="5">
        <v>1.1574074074074073E-3</v>
      </c>
      <c r="K1371" s="5">
        <f t="shared" si="42"/>
        <v>1.1574074074074073E-3</v>
      </c>
      <c r="L1371" s="5">
        <v>9.2164351851851858E-2</v>
      </c>
      <c r="M1371" s="6">
        <f t="shared" si="43"/>
        <v>0.27190466434473815</v>
      </c>
      <c r="N1371" s="5">
        <v>1.4375000000000001E-2</v>
      </c>
      <c r="O1371" s="5">
        <v>4.1643518518518517E-2</v>
      </c>
      <c r="P1371" s="5"/>
      <c r="Q1371" s="5"/>
      <c r="R1371" s="5"/>
      <c r="S1371" s="5">
        <v>2.673611111111111E-2</v>
      </c>
      <c r="T1371" s="5">
        <v>5.185185185185185E-3</v>
      </c>
      <c r="U1371" s="5">
        <v>4.0625000000000001E-3</v>
      </c>
      <c r="V1371" s="5"/>
      <c r="W1371" s="5"/>
    </row>
    <row r="1372" spans="1:23" x14ac:dyDescent="0.25">
      <c r="A1372" s="2">
        <v>46251</v>
      </c>
      <c r="B1372" s="3" t="s">
        <v>180</v>
      </c>
      <c r="C1372" s="3" t="s">
        <v>523</v>
      </c>
      <c r="D1372" s="3" t="s">
        <v>146</v>
      </c>
      <c r="E1372" s="3" t="s">
        <v>79</v>
      </c>
      <c r="F1372" s="3" t="s">
        <v>147</v>
      </c>
      <c r="G1372" s="4" t="s">
        <v>106</v>
      </c>
      <c r="H1372" s="4">
        <v>19</v>
      </c>
      <c r="I1372" s="5">
        <v>0.26447916666666665</v>
      </c>
      <c r="J1372" s="5">
        <v>9.9837962962962962E-2</v>
      </c>
      <c r="K1372" s="5">
        <f t="shared" si="42"/>
        <v>5.2546296296296299E-3</v>
      </c>
      <c r="L1372" s="5">
        <v>3.8449074074074073E-2</v>
      </c>
      <c r="M1372" s="6">
        <f t="shared" si="43"/>
        <v>0.14537656995317491</v>
      </c>
      <c r="N1372" s="5">
        <v>5.6249999999999998E-3</v>
      </c>
      <c r="O1372" s="5">
        <v>1.3935185185185186E-2</v>
      </c>
      <c r="P1372" s="5"/>
      <c r="Q1372" s="5">
        <v>4.7222222222222223E-3</v>
      </c>
      <c r="R1372" s="5"/>
      <c r="S1372" s="5">
        <v>1.3923611111111111E-2</v>
      </c>
      <c r="T1372" s="5">
        <v>1.7361111111111112E-4</v>
      </c>
      <c r="U1372" s="5">
        <v>5.7870370370370373E-5</v>
      </c>
      <c r="V1372" s="5"/>
      <c r="W1372" s="5"/>
    </row>
    <row r="1373" spans="1:23" x14ac:dyDescent="0.25">
      <c r="A1373" s="2">
        <v>46251</v>
      </c>
      <c r="B1373" s="3" t="s">
        <v>615</v>
      </c>
      <c r="C1373" s="3" t="s">
        <v>636</v>
      </c>
      <c r="D1373" s="3" t="s">
        <v>601</v>
      </c>
      <c r="E1373" s="3" t="s">
        <v>31</v>
      </c>
      <c r="F1373" s="3" t="s">
        <v>105</v>
      </c>
      <c r="G1373" s="4" t="s">
        <v>33</v>
      </c>
      <c r="H1373" s="4">
        <v>11</v>
      </c>
      <c r="I1373" s="5">
        <v>0.25343749999999998</v>
      </c>
      <c r="J1373" s="5">
        <v>0.15194444444444444</v>
      </c>
      <c r="K1373" s="5">
        <f t="shared" si="42"/>
        <v>1.3813131313131312E-2</v>
      </c>
      <c r="L1373" s="5">
        <v>0.18644675925925927</v>
      </c>
      <c r="M1373" s="6">
        <f t="shared" si="43"/>
        <v>0.73567155318080113</v>
      </c>
      <c r="N1373" s="5"/>
      <c r="O1373" s="5">
        <v>1.4236111111111111E-2</v>
      </c>
      <c r="P1373" s="5"/>
      <c r="Q1373" s="5"/>
      <c r="R1373" s="5"/>
      <c r="S1373" s="5">
        <v>1.4131944444444445E-2</v>
      </c>
      <c r="T1373" s="5">
        <v>6.3657407407407413E-4</v>
      </c>
      <c r="U1373" s="5">
        <v>0.15711805555555555</v>
      </c>
      <c r="V1373" s="5"/>
      <c r="W1373" s="5">
        <v>3.2407407407407406E-4</v>
      </c>
    </row>
    <row r="1374" spans="1:23" x14ac:dyDescent="0.25">
      <c r="A1374" s="2">
        <v>46251</v>
      </c>
      <c r="B1374" s="3" t="s">
        <v>616</v>
      </c>
      <c r="C1374" s="3" t="s">
        <v>637</v>
      </c>
      <c r="D1374" s="3" t="s">
        <v>601</v>
      </c>
      <c r="E1374" s="3" t="s">
        <v>31</v>
      </c>
      <c r="F1374" s="3" t="s">
        <v>105</v>
      </c>
      <c r="G1374" s="4" t="s">
        <v>33</v>
      </c>
      <c r="H1374" s="4">
        <v>7</v>
      </c>
      <c r="I1374" s="5">
        <v>0.21513888888888888</v>
      </c>
      <c r="J1374" s="5">
        <v>8.4224537037037042E-2</v>
      </c>
      <c r="K1374" s="5">
        <f t="shared" si="42"/>
        <v>1.203207671957672E-2</v>
      </c>
      <c r="L1374" s="5">
        <v>0.17310185185185184</v>
      </c>
      <c r="M1374" s="6">
        <f t="shared" si="43"/>
        <v>0.80460512158381747</v>
      </c>
      <c r="N1374" s="5"/>
      <c r="O1374" s="5">
        <v>1.4375000000000001E-2</v>
      </c>
      <c r="P1374" s="5"/>
      <c r="Q1374" s="5"/>
      <c r="R1374" s="5"/>
      <c r="S1374" s="5">
        <v>1.3912037037037037E-2</v>
      </c>
      <c r="T1374" s="5">
        <v>1.261574074074074E-3</v>
      </c>
      <c r="U1374" s="5">
        <v>0.14355324074074075</v>
      </c>
      <c r="V1374" s="5"/>
      <c r="W1374" s="5"/>
    </row>
    <row r="1375" spans="1:23" x14ac:dyDescent="0.25">
      <c r="A1375" s="2">
        <v>46251</v>
      </c>
      <c r="B1375" s="3" t="s">
        <v>209</v>
      </c>
      <c r="C1375" s="3" t="s">
        <v>567</v>
      </c>
      <c r="D1375" s="3" t="s">
        <v>601</v>
      </c>
      <c r="E1375" s="3" t="s">
        <v>31</v>
      </c>
      <c r="F1375" s="3" t="s">
        <v>105</v>
      </c>
      <c r="G1375" s="4" t="s">
        <v>33</v>
      </c>
      <c r="H1375" s="4">
        <v>6</v>
      </c>
      <c r="I1375" s="5">
        <v>0.24422453703703703</v>
      </c>
      <c r="J1375" s="5">
        <v>8.6296296296296301E-2</v>
      </c>
      <c r="K1375" s="5">
        <f t="shared" si="42"/>
        <v>1.4382716049382717E-2</v>
      </c>
      <c r="L1375" s="5">
        <v>0.1633449074074074</v>
      </c>
      <c r="M1375" s="6">
        <f t="shared" si="43"/>
        <v>0.66883086109663048</v>
      </c>
      <c r="N1375" s="5">
        <v>3.5763888888888889E-3</v>
      </c>
      <c r="O1375" s="5">
        <v>6.8402777777777776E-3</v>
      </c>
      <c r="P1375" s="5"/>
      <c r="Q1375" s="5"/>
      <c r="R1375" s="5"/>
      <c r="S1375" s="5">
        <v>1.3368055555555555E-2</v>
      </c>
      <c r="T1375" s="5">
        <v>1.1805555555555556E-3</v>
      </c>
      <c r="U1375" s="5">
        <v>0.13837962962962963</v>
      </c>
      <c r="V1375" s="5"/>
      <c r="W1375" s="5"/>
    </row>
    <row r="1376" spans="1:23" x14ac:dyDescent="0.25">
      <c r="A1376" s="2">
        <v>46251</v>
      </c>
      <c r="B1376" s="3" t="s">
        <v>60</v>
      </c>
      <c r="C1376" s="3" t="s">
        <v>510</v>
      </c>
      <c r="D1376" s="3" t="s">
        <v>100</v>
      </c>
      <c r="E1376" s="3" t="s">
        <v>31</v>
      </c>
      <c r="F1376" s="3" t="s">
        <v>32</v>
      </c>
      <c r="G1376" s="4" t="s">
        <v>33</v>
      </c>
      <c r="H1376" s="4">
        <v>44</v>
      </c>
      <c r="I1376" s="5">
        <v>0.26405092592592594</v>
      </c>
      <c r="J1376" s="5">
        <v>0.18652777777777776</v>
      </c>
      <c r="K1376" s="5">
        <f t="shared" si="42"/>
        <v>4.2392676767676763E-3</v>
      </c>
      <c r="L1376" s="5">
        <v>3.3240740740740737E-2</v>
      </c>
      <c r="M1376" s="6">
        <f t="shared" si="43"/>
        <v>0.12588761286929076</v>
      </c>
      <c r="N1376" s="5">
        <v>2.7777777777777779E-3</v>
      </c>
      <c r="O1376" s="5">
        <v>1.4166666666666666E-2</v>
      </c>
      <c r="P1376" s="5"/>
      <c r="Q1376" s="5"/>
      <c r="R1376" s="5"/>
      <c r="S1376" s="5">
        <v>1.3761574074074074E-2</v>
      </c>
      <c r="T1376" s="5">
        <v>1.273148148148148E-4</v>
      </c>
      <c r="U1376" s="5">
        <v>2.3032407407407407E-3</v>
      </c>
      <c r="V1376" s="5"/>
      <c r="W1376" s="5"/>
    </row>
    <row r="1377" spans="1:23" x14ac:dyDescent="0.25">
      <c r="A1377" s="2">
        <v>46251</v>
      </c>
      <c r="B1377" s="3" t="s">
        <v>132</v>
      </c>
      <c r="C1377" s="3" t="s">
        <v>512</v>
      </c>
      <c r="D1377" s="3" t="s">
        <v>104</v>
      </c>
      <c r="E1377" s="3" t="s">
        <v>31</v>
      </c>
      <c r="F1377" s="3" t="s">
        <v>105</v>
      </c>
      <c r="G1377" s="4" t="s">
        <v>106</v>
      </c>
      <c r="H1377" s="4">
        <v>13</v>
      </c>
      <c r="I1377" s="5">
        <v>0.26076388888888891</v>
      </c>
      <c r="J1377" s="5">
        <v>0.21641203703703704</v>
      </c>
      <c r="K1377" s="5">
        <f t="shared" si="42"/>
        <v>1.6647079772079774E-2</v>
      </c>
      <c r="L1377" s="5">
        <v>0.14491898148148147</v>
      </c>
      <c r="M1377" s="6">
        <f t="shared" si="43"/>
        <v>0.55574789169995553</v>
      </c>
      <c r="N1377" s="5">
        <v>5.347222222222222E-3</v>
      </c>
      <c r="O1377" s="5">
        <v>1.6250000000000001E-2</v>
      </c>
      <c r="P1377" s="5"/>
      <c r="Q1377" s="5"/>
      <c r="R1377" s="5"/>
      <c r="S1377" s="5">
        <v>1.5439814814814814E-2</v>
      </c>
      <c r="T1377" s="5">
        <v>1.2430555555555556E-2</v>
      </c>
      <c r="U1377" s="5">
        <v>5.4398148148148149E-3</v>
      </c>
      <c r="V1377" s="5"/>
      <c r="W1377" s="5">
        <v>9.0011574074074077E-2</v>
      </c>
    </row>
    <row r="1378" spans="1:23" x14ac:dyDescent="0.25">
      <c r="A1378" s="2">
        <v>46251</v>
      </c>
      <c r="B1378" s="3" t="s">
        <v>134</v>
      </c>
      <c r="C1378" s="3" t="s">
        <v>560</v>
      </c>
      <c r="D1378" s="3" t="s">
        <v>104</v>
      </c>
      <c r="E1378" s="3" t="s">
        <v>31</v>
      </c>
      <c r="F1378" s="3" t="s">
        <v>105</v>
      </c>
      <c r="G1378" s="4" t="s">
        <v>106</v>
      </c>
      <c r="H1378" s="4">
        <v>22</v>
      </c>
      <c r="I1378" s="5">
        <v>0.25700231481481484</v>
      </c>
      <c r="J1378" s="5">
        <v>0.15737268518518518</v>
      </c>
      <c r="K1378" s="5">
        <f t="shared" si="42"/>
        <v>7.1533038720538724E-3</v>
      </c>
      <c r="L1378" s="5">
        <v>0.12718750000000001</v>
      </c>
      <c r="M1378" s="6">
        <f t="shared" si="43"/>
        <v>0.49488853861742849</v>
      </c>
      <c r="N1378" s="5">
        <v>1.150462962962963E-2</v>
      </c>
      <c r="O1378" s="5">
        <v>1.2442129629629629E-2</v>
      </c>
      <c r="P1378" s="5">
        <v>5.9027777777777778E-4</v>
      </c>
      <c r="Q1378" s="5"/>
      <c r="R1378" s="5"/>
      <c r="S1378" s="5">
        <v>1.3148148148148148E-2</v>
      </c>
      <c r="T1378" s="5">
        <v>4.0509259259259258E-4</v>
      </c>
      <c r="U1378" s="5">
        <v>1.6319444444444445E-3</v>
      </c>
      <c r="V1378" s="5"/>
      <c r="W1378" s="5">
        <v>8.7418981481481486E-2</v>
      </c>
    </row>
    <row r="1379" spans="1:23" x14ac:dyDescent="0.25">
      <c r="A1379" s="2">
        <v>46251</v>
      </c>
      <c r="B1379" s="3" t="s">
        <v>211</v>
      </c>
      <c r="C1379" s="3" t="s">
        <v>546</v>
      </c>
      <c r="D1379" s="3" t="s">
        <v>104</v>
      </c>
      <c r="E1379" s="3" t="s">
        <v>31</v>
      </c>
      <c r="F1379" s="3" t="s">
        <v>105</v>
      </c>
      <c r="G1379" s="4" t="s">
        <v>106</v>
      </c>
      <c r="H1379" s="4">
        <v>5</v>
      </c>
      <c r="I1379" s="5">
        <v>0.19862268518518519</v>
      </c>
      <c r="J1379" s="5">
        <v>0.12745370370370371</v>
      </c>
      <c r="K1379" s="5">
        <f t="shared" si="42"/>
        <v>2.5490740740740741E-2</v>
      </c>
      <c r="L1379" s="5">
        <v>9.5914351851851848E-2</v>
      </c>
      <c r="M1379" s="6">
        <f t="shared" si="43"/>
        <v>0.48289726705902913</v>
      </c>
      <c r="N1379" s="5"/>
      <c r="O1379" s="5">
        <v>9.3865740740740732E-3</v>
      </c>
      <c r="P1379" s="5"/>
      <c r="Q1379" s="5"/>
      <c r="R1379" s="5"/>
      <c r="S1379" s="5">
        <v>1.3888888888888888E-2</v>
      </c>
      <c r="T1379" s="5">
        <v>4.0509259259259258E-4</v>
      </c>
      <c r="U1379" s="5">
        <v>6.8287037037037036E-4</v>
      </c>
      <c r="V1379" s="5"/>
      <c r="W1379" s="5">
        <v>7.1550925925925921E-2</v>
      </c>
    </row>
    <row r="1380" spans="1:23" x14ac:dyDescent="0.25">
      <c r="A1380" s="2">
        <v>46251</v>
      </c>
      <c r="B1380" s="3" t="s">
        <v>617</v>
      </c>
      <c r="C1380" s="3" t="s">
        <v>638</v>
      </c>
      <c r="D1380" s="3" t="s">
        <v>601</v>
      </c>
      <c r="E1380" s="3" t="s">
        <v>31</v>
      </c>
      <c r="F1380" s="3" t="s">
        <v>105</v>
      </c>
      <c r="G1380" s="4" t="s">
        <v>33</v>
      </c>
      <c r="H1380" s="4">
        <v>6</v>
      </c>
      <c r="I1380" s="5">
        <v>0.20732638888888888</v>
      </c>
      <c r="J1380" s="5">
        <v>0.10039351851851852</v>
      </c>
      <c r="K1380" s="5">
        <f t="shared" si="42"/>
        <v>1.6732253086419752E-2</v>
      </c>
      <c r="L1380" s="5">
        <v>0.16583333333333333</v>
      </c>
      <c r="M1380" s="6">
        <f t="shared" si="43"/>
        <v>0.79986601909227939</v>
      </c>
      <c r="N1380" s="5">
        <v>1.136574074074074E-2</v>
      </c>
      <c r="O1380" s="5">
        <v>1.5625E-2</v>
      </c>
      <c r="P1380" s="5"/>
      <c r="Q1380" s="5">
        <v>3.3020833333333333E-2</v>
      </c>
      <c r="R1380" s="5"/>
      <c r="S1380" s="5">
        <v>4.0972222222222226E-3</v>
      </c>
      <c r="T1380" s="5">
        <v>9.2245370370370363E-3</v>
      </c>
      <c r="U1380" s="5">
        <v>9.2499999999999999E-2</v>
      </c>
      <c r="V1380" s="5"/>
      <c r="W1380" s="5"/>
    </row>
    <row r="1381" spans="1:23" x14ac:dyDescent="0.25">
      <c r="A1381" s="2">
        <v>46251</v>
      </c>
      <c r="B1381" s="3" t="s">
        <v>136</v>
      </c>
      <c r="C1381" s="3" t="s">
        <v>561</v>
      </c>
      <c r="D1381" s="3" t="s">
        <v>104</v>
      </c>
      <c r="E1381" s="3" t="s">
        <v>31</v>
      </c>
      <c r="F1381" s="3" t="s">
        <v>105</v>
      </c>
      <c r="G1381" s="4" t="s">
        <v>106</v>
      </c>
      <c r="H1381" s="4">
        <v>11</v>
      </c>
      <c r="I1381" s="5">
        <v>0.26689814814814816</v>
      </c>
      <c r="J1381" s="5">
        <v>0.24195601851851853</v>
      </c>
      <c r="K1381" s="5">
        <f t="shared" si="42"/>
        <v>2.1996001683501683E-2</v>
      </c>
      <c r="L1381" s="5">
        <v>0.15583333333333332</v>
      </c>
      <c r="M1381" s="6">
        <f t="shared" si="43"/>
        <v>0.58386816999132696</v>
      </c>
      <c r="N1381" s="5">
        <v>3.449074074074074E-3</v>
      </c>
      <c r="O1381" s="5">
        <v>2.7280092592592592E-2</v>
      </c>
      <c r="P1381" s="5"/>
      <c r="Q1381" s="5"/>
      <c r="R1381" s="5"/>
      <c r="S1381" s="5">
        <v>1.4618055555555556E-2</v>
      </c>
      <c r="T1381" s="5">
        <v>1.9421296296296298E-2</v>
      </c>
      <c r="U1381" s="5">
        <v>1.3078703703703703E-3</v>
      </c>
      <c r="V1381" s="5"/>
      <c r="W1381" s="5">
        <v>8.9756944444444445E-2</v>
      </c>
    </row>
    <row r="1382" spans="1:23" x14ac:dyDescent="0.25">
      <c r="A1382" s="2">
        <v>46251</v>
      </c>
      <c r="B1382" s="3" t="s">
        <v>618</v>
      </c>
      <c r="C1382" s="3" t="s">
        <v>639</v>
      </c>
      <c r="D1382" s="3" t="s">
        <v>601</v>
      </c>
      <c r="E1382" s="3" t="s">
        <v>31</v>
      </c>
      <c r="F1382" s="3" t="s">
        <v>105</v>
      </c>
      <c r="G1382" s="4" t="s">
        <v>33</v>
      </c>
      <c r="H1382" s="4">
        <v>7</v>
      </c>
      <c r="I1382" s="5">
        <v>0.22547453703703704</v>
      </c>
      <c r="J1382" s="5">
        <v>8.5625000000000007E-2</v>
      </c>
      <c r="K1382" s="5">
        <f t="shared" si="42"/>
        <v>1.2232142857142858E-2</v>
      </c>
      <c r="L1382" s="5">
        <v>0.16337962962962962</v>
      </c>
      <c r="M1382" s="6">
        <f t="shared" si="43"/>
        <v>0.72460345978132534</v>
      </c>
      <c r="N1382" s="5">
        <v>5.6249999999999998E-3</v>
      </c>
      <c r="O1382" s="5">
        <v>1.576388888888889E-2</v>
      </c>
      <c r="P1382" s="5"/>
      <c r="Q1382" s="5"/>
      <c r="R1382" s="5"/>
      <c r="S1382" s="5">
        <v>1.3645833333333333E-2</v>
      </c>
      <c r="T1382" s="5">
        <v>5.1967592592592595E-3</v>
      </c>
      <c r="U1382" s="5">
        <v>0.12314814814814815</v>
      </c>
      <c r="V1382" s="5"/>
      <c r="W1382" s="5"/>
    </row>
    <row r="1383" spans="1:23" x14ac:dyDescent="0.25">
      <c r="A1383" s="2">
        <v>46251</v>
      </c>
      <c r="B1383" s="3" t="s">
        <v>501</v>
      </c>
      <c r="C1383" s="3" t="s">
        <v>524</v>
      </c>
      <c r="D1383" s="3" t="s">
        <v>274</v>
      </c>
      <c r="E1383" s="3" t="s">
        <v>79</v>
      </c>
      <c r="F1383" s="3" t="s">
        <v>147</v>
      </c>
      <c r="G1383" s="4" t="s">
        <v>33</v>
      </c>
      <c r="H1383" s="4">
        <v>22</v>
      </c>
      <c r="I1383" s="5">
        <v>0.26465277777777779</v>
      </c>
      <c r="J1383" s="5">
        <v>8.1250000000000003E-2</v>
      </c>
      <c r="K1383" s="5">
        <f t="shared" si="42"/>
        <v>3.6931818181818181E-3</v>
      </c>
      <c r="L1383" s="5">
        <v>4.2777777777777776E-2</v>
      </c>
      <c r="M1383" s="6">
        <f t="shared" si="43"/>
        <v>0.16163736552086064</v>
      </c>
      <c r="N1383" s="5">
        <v>7.3032407407407404E-3</v>
      </c>
      <c r="O1383" s="5">
        <v>1.3900462962962963E-2</v>
      </c>
      <c r="P1383" s="5"/>
      <c r="Q1383" s="5">
        <v>5.6944444444444447E-3</v>
      </c>
      <c r="R1383" s="5"/>
      <c r="S1383" s="5">
        <v>1.5231481481481481E-2</v>
      </c>
      <c r="T1383" s="5">
        <v>6.4814814814814813E-4</v>
      </c>
      <c r="U1383" s="5"/>
      <c r="V1383" s="5"/>
      <c r="W1383" s="5"/>
    </row>
    <row r="1384" spans="1:23" x14ac:dyDescent="0.25">
      <c r="A1384" s="2">
        <v>46251</v>
      </c>
      <c r="B1384" s="3" t="s">
        <v>213</v>
      </c>
      <c r="C1384" s="3" t="s">
        <v>572</v>
      </c>
      <c r="D1384" s="3" t="s">
        <v>601</v>
      </c>
      <c r="E1384" s="3" t="s">
        <v>31</v>
      </c>
      <c r="F1384" s="3" t="s">
        <v>105</v>
      </c>
      <c r="G1384" s="4" t="s">
        <v>33</v>
      </c>
      <c r="H1384" s="4">
        <v>6</v>
      </c>
      <c r="I1384" s="5">
        <v>0.23127314814814814</v>
      </c>
      <c r="J1384" s="5">
        <v>0.12200231481481481</v>
      </c>
      <c r="K1384" s="5">
        <f t="shared" si="42"/>
        <v>2.033371913580247E-2</v>
      </c>
      <c r="L1384" s="5">
        <v>0.18539351851851851</v>
      </c>
      <c r="M1384" s="6">
        <f t="shared" si="43"/>
        <v>0.80162145931338202</v>
      </c>
      <c r="N1384" s="5">
        <v>4.3287037037037035E-3</v>
      </c>
      <c r="O1384" s="5">
        <v>6.8402777777777776E-3</v>
      </c>
      <c r="P1384" s="5"/>
      <c r="Q1384" s="5"/>
      <c r="R1384" s="5"/>
      <c r="S1384" s="5">
        <v>1.3252314814814814E-2</v>
      </c>
      <c r="T1384" s="5">
        <v>9.9305555555555553E-3</v>
      </c>
      <c r="U1384" s="5">
        <v>0.15104166666666666</v>
      </c>
      <c r="V1384" s="5"/>
      <c r="W1384" s="5"/>
    </row>
    <row r="1385" spans="1:23" x14ac:dyDescent="0.25">
      <c r="A1385" s="2">
        <v>46251</v>
      </c>
      <c r="B1385" s="3" t="s">
        <v>668</v>
      </c>
      <c r="C1385" s="3" t="s">
        <v>669</v>
      </c>
      <c r="D1385" s="3" t="s">
        <v>233</v>
      </c>
      <c r="E1385" s="3" t="s">
        <v>31</v>
      </c>
      <c r="F1385" s="3" t="s">
        <v>32</v>
      </c>
      <c r="G1385" s="4" t="s">
        <v>106</v>
      </c>
      <c r="H1385" s="4">
        <v>46</v>
      </c>
      <c r="I1385" s="5">
        <v>0.26314814814814813</v>
      </c>
      <c r="J1385" s="5">
        <v>0.14076388888888888</v>
      </c>
      <c r="K1385" s="5">
        <f t="shared" si="42"/>
        <v>3.060084541062802E-3</v>
      </c>
      <c r="L1385" s="5">
        <v>6.4537037037037032E-2</v>
      </c>
      <c r="M1385" s="6">
        <f t="shared" si="43"/>
        <v>0.24524982406755805</v>
      </c>
      <c r="N1385" s="5">
        <v>9.9305555555555553E-3</v>
      </c>
      <c r="O1385" s="5">
        <v>1.5555555555555555E-2</v>
      </c>
      <c r="P1385" s="5"/>
      <c r="Q1385" s="5">
        <v>6.3078703703703708E-3</v>
      </c>
      <c r="R1385" s="5"/>
      <c r="S1385" s="5">
        <v>1.2442129629629629E-2</v>
      </c>
      <c r="T1385" s="5">
        <v>1.4733796296296297E-2</v>
      </c>
      <c r="U1385" s="5">
        <v>5.3125000000000004E-3</v>
      </c>
      <c r="V1385" s="5"/>
      <c r="W1385" s="5">
        <v>2.5462962962962961E-4</v>
      </c>
    </row>
    <row r="1386" spans="1:23" x14ac:dyDescent="0.25">
      <c r="A1386" s="2">
        <v>46251</v>
      </c>
      <c r="B1386" s="3" t="s">
        <v>305</v>
      </c>
      <c r="C1386" s="3" t="s">
        <v>306</v>
      </c>
      <c r="D1386" s="3" t="s">
        <v>100</v>
      </c>
      <c r="E1386" s="3" t="s">
        <v>31</v>
      </c>
      <c r="F1386" s="3" t="s">
        <v>32</v>
      </c>
      <c r="G1386" s="4" t="s">
        <v>33</v>
      </c>
      <c r="H1386" s="4">
        <v>36</v>
      </c>
      <c r="I1386" s="5">
        <v>0.26178240740740738</v>
      </c>
      <c r="J1386" s="5">
        <v>0.20211805555555556</v>
      </c>
      <c r="K1386" s="5">
        <f t="shared" si="42"/>
        <v>5.614390432098766E-3</v>
      </c>
      <c r="L1386" s="5">
        <v>5.2037037037037034E-2</v>
      </c>
      <c r="M1386" s="6">
        <f t="shared" si="43"/>
        <v>0.19877973295605272</v>
      </c>
      <c r="N1386" s="5">
        <v>1.667824074074074E-2</v>
      </c>
      <c r="O1386" s="5">
        <v>1.8368055555555554E-2</v>
      </c>
      <c r="P1386" s="5"/>
      <c r="Q1386" s="5"/>
      <c r="R1386" s="5"/>
      <c r="S1386" s="5">
        <v>1.6562500000000001E-2</v>
      </c>
      <c r="T1386" s="5">
        <v>1.273148148148148E-4</v>
      </c>
      <c r="U1386" s="5"/>
      <c r="V1386" s="5"/>
      <c r="W1386" s="5">
        <v>3.0092592592592595E-4</v>
      </c>
    </row>
    <row r="1387" spans="1:23" x14ac:dyDescent="0.25">
      <c r="A1387" s="2">
        <v>46251</v>
      </c>
      <c r="B1387" s="3" t="s">
        <v>620</v>
      </c>
      <c r="C1387" s="3" t="s">
        <v>641</v>
      </c>
      <c r="D1387" s="3" t="s">
        <v>601</v>
      </c>
      <c r="E1387" s="3" t="s">
        <v>31</v>
      </c>
      <c r="F1387" s="3" t="s">
        <v>105</v>
      </c>
      <c r="G1387" s="4" t="s">
        <v>33</v>
      </c>
      <c r="H1387" s="4">
        <v>9</v>
      </c>
      <c r="I1387" s="5">
        <v>0.24832175925925926</v>
      </c>
      <c r="J1387" s="5">
        <v>0.12445601851851852</v>
      </c>
      <c r="K1387" s="5">
        <f t="shared" si="42"/>
        <v>1.3828446502057614E-2</v>
      </c>
      <c r="L1387" s="5">
        <v>0.17280092592592591</v>
      </c>
      <c r="M1387" s="6">
        <f t="shared" si="43"/>
        <v>0.69587508739221626</v>
      </c>
      <c r="N1387" s="5">
        <v>1.1261574074074075E-2</v>
      </c>
      <c r="O1387" s="5">
        <v>1.4236111111111111E-2</v>
      </c>
      <c r="P1387" s="5"/>
      <c r="Q1387" s="5"/>
      <c r="R1387" s="5"/>
      <c r="S1387" s="5">
        <v>1.3472222222222222E-2</v>
      </c>
      <c r="T1387" s="5">
        <v>2.3067129629629628E-2</v>
      </c>
      <c r="U1387" s="5">
        <v>0.11076388888888888</v>
      </c>
      <c r="V1387" s="5"/>
      <c r="W1387" s="5"/>
    </row>
    <row r="1388" spans="1:23" x14ac:dyDescent="0.25">
      <c r="A1388" s="2">
        <v>46251</v>
      </c>
      <c r="B1388" s="3" t="s">
        <v>138</v>
      </c>
      <c r="C1388" s="3" t="s">
        <v>556</v>
      </c>
      <c r="D1388" s="3" t="s">
        <v>104</v>
      </c>
      <c r="E1388" s="3" t="s">
        <v>31</v>
      </c>
      <c r="F1388" s="3" t="s">
        <v>105</v>
      </c>
      <c r="G1388" s="4" t="s">
        <v>106</v>
      </c>
      <c r="H1388" s="4">
        <v>22</v>
      </c>
      <c r="I1388" s="5">
        <v>0.2525115740740741</v>
      </c>
      <c r="J1388" s="5">
        <v>0.20429398148148148</v>
      </c>
      <c r="K1388" s="5">
        <f t="shared" si="42"/>
        <v>9.2860900673400679E-3</v>
      </c>
      <c r="L1388" s="5">
        <v>0.12855324074074073</v>
      </c>
      <c r="M1388" s="6">
        <f t="shared" si="43"/>
        <v>0.50909840949718099</v>
      </c>
      <c r="N1388" s="5">
        <v>6.5856481481481478E-3</v>
      </c>
      <c r="O1388" s="5">
        <v>3.2615740740740744E-2</v>
      </c>
      <c r="P1388" s="5"/>
      <c r="Q1388" s="5"/>
      <c r="R1388" s="5"/>
      <c r="S1388" s="5">
        <v>2.3599537037037037E-2</v>
      </c>
      <c r="T1388" s="5">
        <v>3.5069444444444445E-3</v>
      </c>
      <c r="U1388" s="5">
        <v>1.1574074074074073E-3</v>
      </c>
      <c r="V1388" s="5"/>
      <c r="W1388" s="5">
        <v>6.1064814814814815E-2</v>
      </c>
    </row>
    <row r="1389" spans="1:23" x14ac:dyDescent="0.25">
      <c r="A1389" s="2">
        <v>46251</v>
      </c>
      <c r="B1389" s="3" t="s">
        <v>276</v>
      </c>
      <c r="C1389" s="3" t="s">
        <v>532</v>
      </c>
      <c r="D1389" s="3" t="s">
        <v>233</v>
      </c>
      <c r="E1389" s="3" t="s">
        <v>31</v>
      </c>
      <c r="F1389" s="3" t="s">
        <v>32</v>
      </c>
      <c r="G1389" s="4" t="s">
        <v>106</v>
      </c>
      <c r="H1389" s="4">
        <v>44</v>
      </c>
      <c r="I1389" s="5">
        <v>0.30274305555555553</v>
      </c>
      <c r="J1389" s="5">
        <v>0.1295138888888889</v>
      </c>
      <c r="K1389" s="5">
        <f t="shared" si="42"/>
        <v>2.9434974747474751E-3</v>
      </c>
      <c r="L1389" s="5">
        <v>5.8819444444444445E-2</v>
      </c>
      <c r="M1389" s="6">
        <f t="shared" si="43"/>
        <v>0.1942883358183278</v>
      </c>
      <c r="N1389" s="5">
        <v>1.7280092592592593E-2</v>
      </c>
      <c r="O1389" s="5">
        <v>1.0868055555555556E-2</v>
      </c>
      <c r="P1389" s="5"/>
      <c r="Q1389" s="5"/>
      <c r="R1389" s="5"/>
      <c r="S1389" s="5">
        <v>1.3402777777777777E-2</v>
      </c>
      <c r="T1389" s="5">
        <v>1.7164351851851851E-2</v>
      </c>
      <c r="U1389" s="5">
        <v>1.0416666666666667E-4</v>
      </c>
      <c r="V1389" s="5"/>
      <c r="W1389" s="5"/>
    </row>
    <row r="1390" spans="1:23" x14ac:dyDescent="0.25">
      <c r="A1390" s="2">
        <v>46251</v>
      </c>
      <c r="B1390" s="3" t="s">
        <v>278</v>
      </c>
      <c r="C1390" s="3" t="s">
        <v>533</v>
      </c>
      <c r="D1390" s="3" t="s">
        <v>233</v>
      </c>
      <c r="E1390" s="3" t="s">
        <v>31</v>
      </c>
      <c r="F1390" s="3" t="s">
        <v>32</v>
      </c>
      <c r="G1390" s="4" t="s">
        <v>106</v>
      </c>
      <c r="H1390" s="4">
        <v>29</v>
      </c>
      <c r="I1390" s="5">
        <v>0.26603009259259258</v>
      </c>
      <c r="J1390" s="5">
        <v>0.15189814814814814</v>
      </c>
      <c r="K1390" s="5">
        <f t="shared" si="42"/>
        <v>5.2378671775223495E-3</v>
      </c>
      <c r="L1390" s="5">
        <v>4.3287037037037034E-2</v>
      </c>
      <c r="M1390" s="6">
        <f t="shared" si="43"/>
        <v>0.1627148140091364</v>
      </c>
      <c r="N1390" s="5">
        <v>6.2152777777777779E-3</v>
      </c>
      <c r="O1390" s="5">
        <v>1.4097222222222223E-2</v>
      </c>
      <c r="P1390" s="5"/>
      <c r="Q1390" s="5">
        <v>5.7638888888888887E-3</v>
      </c>
      <c r="R1390" s="5"/>
      <c r="S1390" s="5">
        <v>1.4606481481481481E-2</v>
      </c>
      <c r="T1390" s="5">
        <v>2.6041666666666665E-3</v>
      </c>
      <c r="U1390" s="5"/>
      <c r="V1390" s="5"/>
      <c r="W1390" s="5"/>
    </row>
    <row r="1391" spans="1:23" x14ac:dyDescent="0.25">
      <c r="A1391" s="2">
        <v>46251</v>
      </c>
      <c r="B1391" s="3" t="s">
        <v>313</v>
      </c>
      <c r="C1391" s="3" t="s">
        <v>511</v>
      </c>
      <c r="D1391" s="3" t="s">
        <v>78</v>
      </c>
      <c r="E1391" s="3" t="s">
        <v>79</v>
      </c>
      <c r="F1391" s="3" t="s">
        <v>80</v>
      </c>
      <c r="G1391" s="4" t="s">
        <v>81</v>
      </c>
      <c r="H1391" s="4">
        <v>0</v>
      </c>
      <c r="I1391" s="5">
        <v>0.2585648148148148</v>
      </c>
      <c r="J1391" s="5">
        <v>0</v>
      </c>
      <c r="K1391" s="5">
        <f t="shared" si="42"/>
        <v>0</v>
      </c>
      <c r="L1391" s="5">
        <v>4.0821759259259259E-2</v>
      </c>
      <c r="M1391" s="6">
        <f t="shared" si="43"/>
        <v>0.15787824529991049</v>
      </c>
      <c r="N1391" s="5">
        <v>9.780092592592592E-3</v>
      </c>
      <c r="O1391" s="5">
        <v>1.4884259259259259E-2</v>
      </c>
      <c r="P1391" s="5"/>
      <c r="Q1391" s="5"/>
      <c r="R1391" s="5"/>
      <c r="S1391" s="5">
        <v>1.5914351851851853E-2</v>
      </c>
      <c r="T1391" s="5">
        <v>6.9444444444444444E-5</v>
      </c>
      <c r="U1391" s="5">
        <v>1.6203703703703703E-4</v>
      </c>
      <c r="V1391" s="5"/>
      <c r="W1391" s="5"/>
    </row>
    <row r="1392" spans="1:23" x14ac:dyDescent="0.25">
      <c r="A1392" s="2">
        <v>46251</v>
      </c>
      <c r="B1392" s="3" t="s">
        <v>673</v>
      </c>
      <c r="C1392" s="3" t="s">
        <v>674</v>
      </c>
      <c r="D1392" s="3" t="s">
        <v>104</v>
      </c>
      <c r="E1392" s="3" t="s">
        <v>31</v>
      </c>
      <c r="F1392" s="3" t="s">
        <v>105</v>
      </c>
      <c r="G1392" s="4" t="s">
        <v>106</v>
      </c>
      <c r="H1392" s="4">
        <v>15</v>
      </c>
      <c r="I1392" s="5">
        <v>0.26390046296296299</v>
      </c>
      <c r="J1392" s="5">
        <v>0.28099537037037037</v>
      </c>
      <c r="K1392" s="5">
        <f t="shared" si="42"/>
        <v>1.8733024691358024E-2</v>
      </c>
      <c r="L1392" s="5">
        <v>0.12920138888888888</v>
      </c>
      <c r="M1392" s="6">
        <f t="shared" si="43"/>
        <v>0.48958379018464093</v>
      </c>
      <c r="N1392" s="5"/>
      <c r="O1392" s="5">
        <v>1.7488425925925925E-2</v>
      </c>
      <c r="P1392" s="5"/>
      <c r="Q1392" s="5"/>
      <c r="R1392" s="5"/>
      <c r="S1392" s="5">
        <v>1.3819444444444445E-2</v>
      </c>
      <c r="T1392" s="5">
        <v>6.134259259259259E-4</v>
      </c>
      <c r="U1392" s="5">
        <v>8.7962962962962962E-4</v>
      </c>
      <c r="V1392" s="5"/>
      <c r="W1392" s="5">
        <v>9.6400462962962966E-2</v>
      </c>
    </row>
    <row r="1393" spans="1:23" x14ac:dyDescent="0.25">
      <c r="A1393" s="2">
        <v>46251</v>
      </c>
      <c r="B1393" s="3" t="s">
        <v>225</v>
      </c>
      <c r="C1393" s="3" t="s">
        <v>549</v>
      </c>
      <c r="D1393" s="3" t="s">
        <v>601</v>
      </c>
      <c r="E1393" s="3" t="s">
        <v>31</v>
      </c>
      <c r="F1393" s="3" t="s">
        <v>105</v>
      </c>
      <c r="G1393" s="4" t="s">
        <v>33</v>
      </c>
      <c r="H1393" s="4">
        <v>10</v>
      </c>
      <c r="I1393" s="5">
        <v>0.2449537037037037</v>
      </c>
      <c r="J1393" s="5">
        <v>6.3888888888888884E-2</v>
      </c>
      <c r="K1393" s="5">
        <f t="shared" si="42"/>
        <v>6.3888888888888884E-3</v>
      </c>
      <c r="L1393" s="5">
        <v>0.15042824074074074</v>
      </c>
      <c r="M1393" s="6">
        <f t="shared" si="43"/>
        <v>0.61410886410886412</v>
      </c>
      <c r="N1393" s="5">
        <v>4.9074074074074072E-3</v>
      </c>
      <c r="O1393" s="5">
        <v>1.1689814814814814E-2</v>
      </c>
      <c r="P1393" s="5"/>
      <c r="Q1393" s="5"/>
      <c r="R1393" s="5"/>
      <c r="S1393" s="5">
        <v>1.2453703703703703E-2</v>
      </c>
      <c r="T1393" s="5">
        <v>7.5231481481481482E-4</v>
      </c>
      <c r="U1393" s="5">
        <v>0.12059027777777778</v>
      </c>
      <c r="V1393" s="5"/>
      <c r="W1393" s="5"/>
    </row>
    <row r="1394" spans="1:23" x14ac:dyDescent="0.25">
      <c r="A1394" s="2">
        <v>46251</v>
      </c>
      <c r="B1394" s="3" t="s">
        <v>70</v>
      </c>
      <c r="C1394" s="3" t="s">
        <v>71</v>
      </c>
      <c r="D1394" s="3" t="s">
        <v>78</v>
      </c>
      <c r="E1394" s="3" t="s">
        <v>79</v>
      </c>
      <c r="F1394" s="3" t="s">
        <v>80</v>
      </c>
      <c r="G1394" s="4" t="s">
        <v>33</v>
      </c>
      <c r="H1394" s="4">
        <v>1</v>
      </c>
      <c r="I1394" s="5">
        <v>0.34225694444444443</v>
      </c>
      <c r="J1394" s="5">
        <v>6.0069444444444441E-3</v>
      </c>
      <c r="K1394" s="5">
        <f t="shared" si="42"/>
        <v>6.0069444444444441E-3</v>
      </c>
      <c r="L1394" s="5">
        <v>0.10289351851851852</v>
      </c>
      <c r="M1394" s="6">
        <f t="shared" si="43"/>
        <v>0.30063237631463258</v>
      </c>
      <c r="N1394" s="5"/>
      <c r="O1394" s="5">
        <v>4.1203703703703701E-2</v>
      </c>
      <c r="P1394" s="5"/>
      <c r="Q1394" s="5"/>
      <c r="R1394" s="5">
        <v>2.3472222222222221E-2</v>
      </c>
      <c r="S1394" s="5">
        <v>1.0185185185185186E-2</v>
      </c>
      <c r="T1394" s="5">
        <v>1.5046296296296297E-4</v>
      </c>
      <c r="U1394" s="5">
        <v>6.018518518518519E-4</v>
      </c>
      <c r="V1394" s="5"/>
      <c r="W1394" s="5">
        <v>2.7245370370370371E-2</v>
      </c>
    </row>
    <row r="1395" spans="1:23" x14ac:dyDescent="0.25">
      <c r="A1395" s="2">
        <v>46251</v>
      </c>
      <c r="B1395" s="3" t="s">
        <v>280</v>
      </c>
      <c r="C1395" s="3" t="s">
        <v>534</v>
      </c>
      <c r="D1395" s="3" t="s">
        <v>233</v>
      </c>
      <c r="E1395" s="3" t="s">
        <v>31</v>
      </c>
      <c r="F1395" s="3" t="s">
        <v>32</v>
      </c>
      <c r="G1395" s="4" t="s">
        <v>106</v>
      </c>
      <c r="H1395" s="4">
        <v>50</v>
      </c>
      <c r="I1395" s="5">
        <v>0.26401620370370371</v>
      </c>
      <c r="J1395" s="5">
        <v>0.13556712962962963</v>
      </c>
      <c r="K1395" s="5">
        <f t="shared" si="42"/>
        <v>2.7113425925925929E-3</v>
      </c>
      <c r="L1395" s="5">
        <v>3.3530092592592591E-2</v>
      </c>
      <c r="M1395" s="6">
        <f t="shared" si="43"/>
        <v>0.12700013151549691</v>
      </c>
      <c r="N1395" s="5">
        <v>2.5694444444444445E-3</v>
      </c>
      <c r="O1395" s="5">
        <v>1.5231481481481481E-2</v>
      </c>
      <c r="P1395" s="5"/>
      <c r="Q1395" s="5">
        <v>3.4722222222222222E-5</v>
      </c>
      <c r="R1395" s="5"/>
      <c r="S1395" s="5">
        <v>1.5081018518518518E-2</v>
      </c>
      <c r="T1395" s="5">
        <v>2.3148148148148149E-4</v>
      </c>
      <c r="U1395" s="5"/>
      <c r="V1395" s="5"/>
      <c r="W1395" s="5">
        <v>3.8194444444444446E-4</v>
      </c>
    </row>
    <row r="1396" spans="1:23" x14ac:dyDescent="0.25">
      <c r="A1396" s="2">
        <v>46251</v>
      </c>
      <c r="B1396" s="3" t="s">
        <v>299</v>
      </c>
      <c r="C1396" s="3" t="s">
        <v>571</v>
      </c>
      <c r="D1396" s="3" t="s">
        <v>104</v>
      </c>
      <c r="E1396" s="3" t="s">
        <v>31</v>
      </c>
      <c r="F1396" s="3" t="s">
        <v>105</v>
      </c>
      <c r="G1396" s="4" t="s">
        <v>106</v>
      </c>
      <c r="H1396" s="4">
        <v>7</v>
      </c>
      <c r="I1396" s="5">
        <v>0.25495370370370368</v>
      </c>
      <c r="J1396" s="5">
        <v>0.17284722222222224</v>
      </c>
      <c r="K1396" s="5">
        <f t="shared" si="42"/>
        <v>2.4692460317460318E-2</v>
      </c>
      <c r="L1396" s="5">
        <v>0.16641203703703702</v>
      </c>
      <c r="M1396" s="6">
        <f t="shared" si="43"/>
        <v>0.65271472671145814</v>
      </c>
      <c r="N1396" s="5"/>
      <c r="O1396" s="5">
        <v>1.3715277777777778E-2</v>
      </c>
      <c r="P1396" s="5"/>
      <c r="Q1396" s="5"/>
      <c r="R1396" s="5"/>
      <c r="S1396" s="5">
        <v>1.1782407407407408E-2</v>
      </c>
      <c r="T1396" s="5">
        <v>1.5046296296296297E-4</v>
      </c>
      <c r="U1396" s="5">
        <v>1.4583333333333334E-3</v>
      </c>
      <c r="V1396" s="5"/>
      <c r="W1396" s="5">
        <v>0.13930555555555554</v>
      </c>
    </row>
    <row r="1397" spans="1:23" x14ac:dyDescent="0.25">
      <c r="A1397" s="2">
        <v>46251</v>
      </c>
      <c r="B1397" s="3" t="s">
        <v>598</v>
      </c>
      <c r="C1397" s="3" t="s">
        <v>598</v>
      </c>
      <c r="D1397" s="3" t="s">
        <v>284</v>
      </c>
      <c r="E1397" s="3"/>
      <c r="F1397" s="3"/>
      <c r="G1397" s="4"/>
      <c r="H1397" s="4">
        <v>22</v>
      </c>
      <c r="I1397" s="5">
        <v>0</v>
      </c>
      <c r="J1397" s="5">
        <v>2.5462962962962961E-4</v>
      </c>
      <c r="K1397" s="5">
        <f t="shared" si="42"/>
        <v>1.1574074074074073E-5</v>
      </c>
      <c r="L1397" s="5">
        <v>0</v>
      </c>
      <c r="M1397" s="6">
        <f t="shared" si="43"/>
        <v>0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</row>
    <row r="1398" spans="1:23" x14ac:dyDescent="0.25">
      <c r="A1398" s="2">
        <v>46251</v>
      </c>
      <c r="B1398" s="3" t="s">
        <v>227</v>
      </c>
      <c r="C1398" s="3" t="s">
        <v>557</v>
      </c>
      <c r="D1398" s="3" t="s">
        <v>146</v>
      </c>
      <c r="E1398" s="3" t="s">
        <v>79</v>
      </c>
      <c r="F1398" s="3" t="s">
        <v>147</v>
      </c>
      <c r="G1398" s="4" t="s">
        <v>106</v>
      </c>
      <c r="H1398" s="4">
        <v>17</v>
      </c>
      <c r="I1398" s="5">
        <v>0.25421296296296297</v>
      </c>
      <c r="J1398" s="5">
        <v>6.6678240740740746E-2</v>
      </c>
      <c r="K1398" s="5">
        <f t="shared" si="42"/>
        <v>3.9222494553376912E-3</v>
      </c>
      <c r="L1398" s="5">
        <v>4.3437499999999997E-2</v>
      </c>
      <c r="M1398" s="6">
        <f t="shared" si="43"/>
        <v>0.17087051538881803</v>
      </c>
      <c r="N1398" s="5">
        <v>3.7268518518518519E-3</v>
      </c>
      <c r="O1398" s="5">
        <v>1.4074074074074074E-2</v>
      </c>
      <c r="P1398" s="5">
        <v>1.0115740740740741E-2</v>
      </c>
      <c r="Q1398" s="5"/>
      <c r="R1398" s="5">
        <v>1.5740740740740741E-3</v>
      </c>
      <c r="S1398" s="5">
        <v>1.3703703703703704E-2</v>
      </c>
      <c r="T1398" s="5">
        <v>1.8518518518518518E-4</v>
      </c>
      <c r="U1398" s="5">
        <v>5.7870370370370373E-5</v>
      </c>
      <c r="V1398" s="5"/>
      <c r="W1398" s="5"/>
    </row>
    <row r="1399" spans="1:23" x14ac:dyDescent="0.25">
      <c r="A1399" s="2">
        <v>46251</v>
      </c>
      <c r="B1399" s="3" t="s">
        <v>282</v>
      </c>
      <c r="C1399" s="3" t="s">
        <v>535</v>
      </c>
      <c r="D1399" s="3" t="s">
        <v>233</v>
      </c>
      <c r="E1399" s="3" t="s">
        <v>31</v>
      </c>
      <c r="F1399" s="3" t="s">
        <v>32</v>
      </c>
      <c r="G1399" s="4" t="s">
        <v>106</v>
      </c>
      <c r="H1399" s="4">
        <v>50</v>
      </c>
      <c r="I1399" s="5">
        <v>0.26256944444444447</v>
      </c>
      <c r="J1399" s="5">
        <v>0.12358796296296297</v>
      </c>
      <c r="K1399" s="5">
        <f t="shared" si="42"/>
        <v>2.4717592592592595E-3</v>
      </c>
      <c r="L1399" s="5">
        <v>4.2673611111111114E-2</v>
      </c>
      <c r="M1399" s="6">
        <f t="shared" si="43"/>
        <v>0.16252314202591905</v>
      </c>
      <c r="N1399" s="5">
        <v>9.1666666666666667E-3</v>
      </c>
      <c r="O1399" s="5">
        <v>1.5231481481481481E-2</v>
      </c>
      <c r="P1399" s="5"/>
      <c r="Q1399" s="5"/>
      <c r="R1399" s="5"/>
      <c r="S1399" s="5">
        <v>1.545138888888889E-2</v>
      </c>
      <c r="T1399" s="5">
        <v>2.0949074074074073E-3</v>
      </c>
      <c r="U1399" s="5">
        <v>7.291666666666667E-4</v>
      </c>
      <c r="V1399" s="5"/>
      <c r="W1399" s="5"/>
    </row>
    <row r="1400" spans="1:23" x14ac:dyDescent="0.25">
      <c r="A1400" s="2">
        <v>46251</v>
      </c>
      <c r="B1400" s="3" t="s">
        <v>675</v>
      </c>
      <c r="C1400" s="3" t="s">
        <v>676</v>
      </c>
      <c r="D1400" s="3" t="s">
        <v>104</v>
      </c>
      <c r="E1400" s="3" t="s">
        <v>31</v>
      </c>
      <c r="F1400" s="3" t="s">
        <v>105</v>
      </c>
      <c r="G1400" s="4" t="s">
        <v>106</v>
      </c>
      <c r="H1400" s="4">
        <v>9</v>
      </c>
      <c r="I1400" s="5">
        <v>0.2587962962962963</v>
      </c>
      <c r="J1400" s="5">
        <v>0.20040509259259259</v>
      </c>
      <c r="K1400" s="5">
        <f t="shared" si="42"/>
        <v>2.2267232510288067E-2</v>
      </c>
      <c r="L1400" s="5">
        <v>0.14472222222222222</v>
      </c>
      <c r="M1400" s="6">
        <f t="shared" si="43"/>
        <v>0.55921288014311266</v>
      </c>
      <c r="N1400" s="5">
        <v>2.2685185185185187E-3</v>
      </c>
      <c r="O1400" s="5">
        <v>2.8668981481481483E-2</v>
      </c>
      <c r="P1400" s="5"/>
      <c r="Q1400" s="5"/>
      <c r="R1400" s="5"/>
      <c r="S1400" s="5"/>
      <c r="T1400" s="5">
        <v>7.905092592592592E-3</v>
      </c>
      <c r="U1400" s="5">
        <v>1.4814814814814814E-3</v>
      </c>
      <c r="V1400" s="5"/>
      <c r="W1400" s="5">
        <v>0.10438657407407408</v>
      </c>
    </row>
    <row r="1401" spans="1:23" x14ac:dyDescent="0.25">
      <c r="A1401" s="2">
        <v>46251</v>
      </c>
      <c r="B1401" s="3" t="s">
        <v>677</v>
      </c>
      <c r="C1401" s="3" t="s">
        <v>678</v>
      </c>
      <c r="D1401" s="3" t="s">
        <v>274</v>
      </c>
      <c r="E1401" s="3" t="s">
        <v>79</v>
      </c>
      <c r="F1401" s="3" t="s">
        <v>147</v>
      </c>
      <c r="G1401" s="4" t="s">
        <v>33</v>
      </c>
      <c r="H1401" s="4">
        <v>17</v>
      </c>
      <c r="I1401" s="5">
        <v>0.25578703703703703</v>
      </c>
      <c r="J1401" s="5">
        <v>5.7638888888888892E-2</v>
      </c>
      <c r="K1401" s="5">
        <f t="shared" si="42"/>
        <v>3.3905228758169936E-3</v>
      </c>
      <c r="L1401" s="5">
        <v>3.9074074074074074E-2</v>
      </c>
      <c r="M1401" s="6">
        <f t="shared" si="43"/>
        <v>0.15276018099547511</v>
      </c>
      <c r="N1401" s="5">
        <v>6.6319444444444446E-3</v>
      </c>
      <c r="O1401" s="5">
        <v>1.4004629629629629E-2</v>
      </c>
      <c r="P1401" s="5"/>
      <c r="Q1401" s="5">
        <v>2.2800925925925927E-3</v>
      </c>
      <c r="R1401" s="5"/>
      <c r="S1401" s="5">
        <v>1.4155092592592592E-2</v>
      </c>
      <c r="T1401" s="5">
        <v>2.0023148148148148E-3</v>
      </c>
      <c r="U1401" s="5"/>
      <c r="V1401" s="5"/>
      <c r="W1401" s="5"/>
    </row>
    <row r="1402" spans="1:23" x14ac:dyDescent="0.25">
      <c r="A1402" s="2">
        <v>46252</v>
      </c>
      <c r="B1402" s="3" t="s">
        <v>186</v>
      </c>
      <c r="C1402" s="3" t="s">
        <v>562</v>
      </c>
      <c r="D1402" s="3" t="s">
        <v>78</v>
      </c>
      <c r="E1402" s="3" t="s">
        <v>79</v>
      </c>
      <c r="F1402" s="3" t="s">
        <v>80</v>
      </c>
      <c r="G1402" s="4" t="s">
        <v>33</v>
      </c>
      <c r="H1402" s="4">
        <v>0</v>
      </c>
      <c r="I1402" s="5">
        <v>0.21445601851851853</v>
      </c>
      <c r="J1402" s="5">
        <v>0</v>
      </c>
      <c r="K1402" s="5">
        <f t="shared" si="42"/>
        <v>0</v>
      </c>
      <c r="L1402" s="5">
        <v>3.4386574074074076E-2</v>
      </c>
      <c r="M1402" s="6">
        <f t="shared" si="43"/>
        <v>0.16034324572292083</v>
      </c>
      <c r="N1402" s="5">
        <v>4.0625000000000001E-3</v>
      </c>
      <c r="O1402" s="5">
        <v>1.5231481481481481E-2</v>
      </c>
      <c r="P1402" s="5"/>
      <c r="Q1402" s="5"/>
      <c r="R1402" s="5"/>
      <c r="S1402" s="5">
        <v>1.3923611111111111E-2</v>
      </c>
      <c r="T1402" s="5">
        <v>2.199074074074074E-4</v>
      </c>
      <c r="U1402" s="5">
        <v>8.3333333333333339E-4</v>
      </c>
      <c r="V1402" s="5"/>
      <c r="W1402" s="5"/>
    </row>
    <row r="1403" spans="1:23" x14ac:dyDescent="0.25">
      <c r="A1403" s="2">
        <v>46252</v>
      </c>
      <c r="B1403" s="3" t="s">
        <v>643</v>
      </c>
      <c r="C1403" s="3" t="s">
        <v>644</v>
      </c>
      <c r="D1403" s="3" t="s">
        <v>233</v>
      </c>
      <c r="E1403" s="3" t="s">
        <v>31</v>
      </c>
      <c r="F1403" s="3" t="s">
        <v>32</v>
      </c>
      <c r="G1403" s="4" t="s">
        <v>106</v>
      </c>
      <c r="H1403" s="4">
        <v>13</v>
      </c>
      <c r="I1403" s="5">
        <v>0.26618055555555553</v>
      </c>
      <c r="J1403" s="5">
        <v>0.13306712962962963</v>
      </c>
      <c r="K1403" s="5">
        <f t="shared" si="42"/>
        <v>1.0235933048433048E-2</v>
      </c>
      <c r="L1403" s="5">
        <v>3.4548611111111113E-2</v>
      </c>
      <c r="M1403" s="6">
        <f t="shared" si="43"/>
        <v>0.12979389512131492</v>
      </c>
      <c r="N1403" s="5">
        <v>5.4976851851851853E-3</v>
      </c>
      <c r="O1403" s="5">
        <v>2.8182870370370372E-2</v>
      </c>
      <c r="P1403" s="5">
        <v>5.7870370370370373E-5</v>
      </c>
      <c r="Q1403" s="5"/>
      <c r="R1403" s="5"/>
      <c r="S1403" s="5"/>
      <c r="T1403" s="5">
        <v>4.3981481481481481E-4</v>
      </c>
      <c r="U1403" s="5">
        <v>3.5879629629629629E-4</v>
      </c>
      <c r="V1403" s="5"/>
      <c r="W1403" s="5"/>
    </row>
    <row r="1404" spans="1:23" x14ac:dyDescent="0.25">
      <c r="A1404" s="2">
        <v>46252</v>
      </c>
      <c r="B1404" s="3" t="s">
        <v>193</v>
      </c>
      <c r="C1404" s="3" t="s">
        <v>563</v>
      </c>
      <c r="D1404" s="3" t="s">
        <v>274</v>
      </c>
      <c r="E1404" s="3" t="s">
        <v>79</v>
      </c>
      <c r="F1404" s="3" t="s">
        <v>147</v>
      </c>
      <c r="G1404" s="4" t="s">
        <v>33</v>
      </c>
      <c r="H1404" s="4">
        <v>24</v>
      </c>
      <c r="I1404" s="5">
        <v>0.26418981481481479</v>
      </c>
      <c r="J1404" s="5">
        <v>7.3842592592592599E-2</v>
      </c>
      <c r="K1404" s="5">
        <f t="shared" si="42"/>
        <v>3.0767746913580251E-3</v>
      </c>
      <c r="L1404" s="5">
        <v>2.8159722222222221E-2</v>
      </c>
      <c r="M1404" s="6">
        <f t="shared" si="43"/>
        <v>0.10658897748181899</v>
      </c>
      <c r="N1404" s="5"/>
      <c r="O1404" s="5">
        <v>6.9791666666666665E-3</v>
      </c>
      <c r="P1404" s="5"/>
      <c r="Q1404" s="5"/>
      <c r="R1404" s="5">
        <v>7.2106481481481483E-3</v>
      </c>
      <c r="S1404" s="5">
        <v>1.3912037037037037E-2</v>
      </c>
      <c r="T1404" s="5">
        <v>5.7870370370370373E-5</v>
      </c>
      <c r="U1404" s="5"/>
      <c r="V1404" s="5"/>
      <c r="W1404" s="5"/>
    </row>
    <row r="1405" spans="1:23" x14ac:dyDescent="0.25">
      <c r="A1405" s="2">
        <v>46252</v>
      </c>
      <c r="B1405" s="3" t="s">
        <v>231</v>
      </c>
      <c r="C1405" s="3" t="s">
        <v>525</v>
      </c>
      <c r="D1405" s="3" t="s">
        <v>233</v>
      </c>
      <c r="E1405" s="3" t="s">
        <v>31</v>
      </c>
      <c r="F1405" s="3" t="s">
        <v>32</v>
      </c>
      <c r="G1405" s="4" t="s">
        <v>106</v>
      </c>
      <c r="H1405" s="4">
        <v>42</v>
      </c>
      <c r="I1405" s="5">
        <v>0.25714120370370369</v>
      </c>
      <c r="J1405" s="5">
        <v>0.1270486111111111</v>
      </c>
      <c r="K1405" s="5">
        <f t="shared" si="42"/>
        <v>3.0249669312169308E-3</v>
      </c>
      <c r="L1405" s="5">
        <v>3.8055555555555558E-2</v>
      </c>
      <c r="M1405" s="6">
        <f t="shared" si="43"/>
        <v>0.14799477877301168</v>
      </c>
      <c r="N1405" s="5">
        <v>7.4421296296296293E-3</v>
      </c>
      <c r="O1405" s="5">
        <v>1.3622685185185186E-2</v>
      </c>
      <c r="P1405" s="5"/>
      <c r="Q1405" s="5">
        <v>1.3078703703703703E-3</v>
      </c>
      <c r="R1405" s="5"/>
      <c r="S1405" s="5">
        <v>1.369212962962963E-2</v>
      </c>
      <c r="T1405" s="5">
        <v>1.4699074074074074E-3</v>
      </c>
      <c r="U1405" s="5">
        <v>4.9768518518518521E-4</v>
      </c>
      <c r="V1405" s="5"/>
      <c r="W1405" s="5"/>
    </row>
    <row r="1406" spans="1:23" x14ac:dyDescent="0.25">
      <c r="A1406" s="2">
        <v>46252</v>
      </c>
      <c r="B1406" s="3" t="s">
        <v>148</v>
      </c>
      <c r="C1406" s="3" t="s">
        <v>513</v>
      </c>
      <c r="D1406" s="3" t="s">
        <v>104</v>
      </c>
      <c r="E1406" s="3" t="s">
        <v>31</v>
      </c>
      <c r="F1406" s="3" t="s">
        <v>105</v>
      </c>
      <c r="G1406" s="4" t="s">
        <v>106</v>
      </c>
      <c r="H1406" s="4">
        <v>7</v>
      </c>
      <c r="I1406" s="5">
        <v>0.23429398148148148</v>
      </c>
      <c r="J1406" s="5">
        <v>0.18591435185185184</v>
      </c>
      <c r="K1406" s="5">
        <f t="shared" si="42"/>
        <v>2.6559193121693119E-2</v>
      </c>
      <c r="L1406" s="5">
        <v>0.17737268518518517</v>
      </c>
      <c r="M1406" s="6">
        <f t="shared" si="43"/>
        <v>0.75705182038235441</v>
      </c>
      <c r="N1406" s="5"/>
      <c r="O1406" s="5">
        <v>9.5023148148148141E-3</v>
      </c>
      <c r="P1406" s="5"/>
      <c r="Q1406" s="5"/>
      <c r="R1406" s="5"/>
      <c r="S1406" s="5">
        <v>1.4143518518518519E-2</v>
      </c>
      <c r="T1406" s="5">
        <v>1.0162037037037037E-2</v>
      </c>
      <c r="U1406" s="5">
        <v>7.291666666666667E-4</v>
      </c>
      <c r="V1406" s="5"/>
      <c r="W1406" s="5">
        <v>0.14283564814814814</v>
      </c>
    </row>
    <row r="1407" spans="1:23" x14ac:dyDescent="0.25">
      <c r="A1407" s="2">
        <v>46252</v>
      </c>
      <c r="B1407" s="3" t="s">
        <v>82</v>
      </c>
      <c r="C1407" s="3" t="s">
        <v>83</v>
      </c>
      <c r="D1407" s="3" t="s">
        <v>78</v>
      </c>
      <c r="E1407" s="3" t="s">
        <v>79</v>
      </c>
      <c r="F1407" s="3" t="s">
        <v>80</v>
      </c>
      <c r="G1407" s="4" t="s">
        <v>81</v>
      </c>
      <c r="H1407" s="4">
        <v>0</v>
      </c>
      <c r="I1407" s="5">
        <v>6.1388888888888889E-2</v>
      </c>
      <c r="J1407" s="5">
        <v>0</v>
      </c>
      <c r="K1407" s="5">
        <f t="shared" si="42"/>
        <v>0</v>
      </c>
      <c r="L1407" s="5">
        <v>1.8229166666666668E-2</v>
      </c>
      <c r="M1407" s="6">
        <f t="shared" si="43"/>
        <v>0.29694570135746606</v>
      </c>
      <c r="N1407" s="5"/>
      <c r="O1407" s="5"/>
      <c r="P1407" s="5"/>
      <c r="Q1407" s="5"/>
      <c r="R1407" s="5">
        <v>9.2592592592592588E-5</v>
      </c>
      <c r="S1407" s="5"/>
      <c r="T1407" s="5">
        <v>1.8124999999999999E-2</v>
      </c>
      <c r="U1407" s="5"/>
      <c r="V1407" s="5"/>
      <c r="W1407" s="5"/>
    </row>
    <row r="1408" spans="1:23" x14ac:dyDescent="0.25">
      <c r="A1408" s="2">
        <v>46252</v>
      </c>
      <c r="B1408" s="3" t="s">
        <v>234</v>
      </c>
      <c r="C1408" s="3" t="s">
        <v>550</v>
      </c>
      <c r="D1408" s="3" t="s">
        <v>233</v>
      </c>
      <c r="E1408" s="3" t="s">
        <v>31</v>
      </c>
      <c r="F1408" s="3" t="s">
        <v>32</v>
      </c>
      <c r="G1408" s="4" t="s">
        <v>106</v>
      </c>
      <c r="H1408" s="4">
        <v>49</v>
      </c>
      <c r="I1408" s="5">
        <v>0.34736111111111112</v>
      </c>
      <c r="J1408" s="5">
        <v>0.1761574074074074</v>
      </c>
      <c r="K1408" s="5">
        <f t="shared" si="42"/>
        <v>3.5950491307634165E-3</v>
      </c>
      <c r="L1408" s="5">
        <v>6.4664351851851848E-2</v>
      </c>
      <c r="M1408" s="6">
        <f t="shared" si="43"/>
        <v>0.18615886978541915</v>
      </c>
      <c r="N1408" s="5">
        <v>1.0231481481481482E-2</v>
      </c>
      <c r="O1408" s="5">
        <v>1.4502314814814815E-2</v>
      </c>
      <c r="P1408" s="5"/>
      <c r="Q1408" s="5"/>
      <c r="R1408" s="5"/>
      <c r="S1408" s="5">
        <v>1.4594907407407407E-2</v>
      </c>
      <c r="T1408" s="5">
        <v>2.5000000000000001E-2</v>
      </c>
      <c r="U1408" s="5">
        <v>3.2407407407407406E-4</v>
      </c>
      <c r="V1408" s="5"/>
      <c r="W1408" s="5"/>
    </row>
    <row r="1409" spans="1:23" x14ac:dyDescent="0.25">
      <c r="A1409" s="2">
        <v>46252</v>
      </c>
      <c r="B1409" s="3" t="s">
        <v>34</v>
      </c>
      <c r="C1409" s="3" t="s">
        <v>505</v>
      </c>
      <c r="D1409" s="3" t="s">
        <v>233</v>
      </c>
      <c r="E1409" s="3" t="s">
        <v>31</v>
      </c>
      <c r="F1409" s="3" t="s">
        <v>32</v>
      </c>
      <c r="G1409" s="4" t="s">
        <v>106</v>
      </c>
      <c r="H1409" s="4">
        <v>33</v>
      </c>
      <c r="I1409" s="5">
        <v>0.26200231481481484</v>
      </c>
      <c r="J1409" s="5">
        <v>0.11782407407407407</v>
      </c>
      <c r="K1409" s="5">
        <f t="shared" si="42"/>
        <v>3.5704264870931534E-3</v>
      </c>
      <c r="L1409" s="5">
        <v>4.6377314814814816E-2</v>
      </c>
      <c r="M1409" s="6">
        <f t="shared" si="43"/>
        <v>0.17701108804170163</v>
      </c>
      <c r="N1409" s="5">
        <v>6.5740740740740742E-3</v>
      </c>
      <c r="O1409" s="5">
        <v>1.4328703703703703E-2</v>
      </c>
      <c r="P1409" s="5"/>
      <c r="Q1409" s="5"/>
      <c r="R1409" s="5"/>
      <c r="S1409" s="5">
        <v>1.3136574074074075E-2</v>
      </c>
      <c r="T1409" s="5">
        <v>2.0370370370370369E-3</v>
      </c>
      <c r="U1409" s="5">
        <v>9.7453703703703695E-3</v>
      </c>
      <c r="V1409" s="5"/>
      <c r="W1409" s="5"/>
    </row>
    <row r="1410" spans="1:23" x14ac:dyDescent="0.25">
      <c r="A1410" s="2">
        <v>46252</v>
      </c>
      <c r="B1410" s="3" t="s">
        <v>493</v>
      </c>
      <c r="C1410" s="3" t="s">
        <v>569</v>
      </c>
      <c r="D1410" s="3" t="s">
        <v>104</v>
      </c>
      <c r="E1410" s="3" t="s">
        <v>31</v>
      </c>
      <c r="F1410" s="3" t="s">
        <v>105</v>
      </c>
      <c r="G1410" s="4" t="s">
        <v>106</v>
      </c>
      <c r="H1410" s="4">
        <v>16</v>
      </c>
      <c r="I1410" s="5">
        <v>0.25187500000000002</v>
      </c>
      <c r="J1410" s="5">
        <v>0.10840277777777778</v>
      </c>
      <c r="K1410" s="5">
        <f t="shared" ref="K1410:K1473" si="44">IFERROR(J1410/H1410,0)</f>
        <v>6.7751736111111112E-3</v>
      </c>
      <c r="L1410" s="5">
        <v>0.13761574074074073</v>
      </c>
      <c r="M1410" s="6">
        <f t="shared" ref="M1410:M1473" si="45">IFERROR(L1410/I1410,0)</f>
        <v>0.54636522378457852</v>
      </c>
      <c r="N1410" s="5">
        <v>8.6342592592592599E-3</v>
      </c>
      <c r="O1410" s="5">
        <v>2.4502314814814814E-2</v>
      </c>
      <c r="P1410" s="5"/>
      <c r="Q1410" s="5"/>
      <c r="R1410" s="5"/>
      <c r="S1410" s="5">
        <v>1.3252314814814814E-2</v>
      </c>
      <c r="T1410" s="5">
        <v>1.9675925925925926E-4</v>
      </c>
      <c r="U1410" s="5">
        <v>2.199074074074074E-4</v>
      </c>
      <c r="V1410" s="5"/>
      <c r="W1410" s="5">
        <v>9.0798611111111108E-2</v>
      </c>
    </row>
    <row r="1411" spans="1:23" x14ac:dyDescent="0.25">
      <c r="A1411" s="2">
        <v>46252</v>
      </c>
      <c r="B1411" s="3" t="s">
        <v>236</v>
      </c>
      <c r="C1411" s="3" t="s">
        <v>551</v>
      </c>
      <c r="D1411" s="3" t="s">
        <v>233</v>
      </c>
      <c r="E1411" s="3" t="s">
        <v>31</v>
      </c>
      <c r="F1411" s="3" t="s">
        <v>32</v>
      </c>
      <c r="G1411" s="4" t="s">
        <v>106</v>
      </c>
      <c r="H1411" s="4">
        <v>0</v>
      </c>
      <c r="I1411" s="5">
        <v>0.13063657407407409</v>
      </c>
      <c r="J1411" s="5">
        <v>0</v>
      </c>
      <c r="K1411" s="5">
        <f t="shared" si="44"/>
        <v>0</v>
      </c>
      <c r="L1411" s="5">
        <v>0.13063657407407409</v>
      </c>
      <c r="M1411" s="6">
        <f t="shared" si="45"/>
        <v>1</v>
      </c>
      <c r="N1411" s="5"/>
      <c r="O1411" s="5">
        <v>8.7615740740740744E-3</v>
      </c>
      <c r="P1411" s="5"/>
      <c r="Q1411" s="5"/>
      <c r="R1411" s="5"/>
      <c r="S1411" s="5"/>
      <c r="T1411" s="5">
        <v>2.5462962962962961E-4</v>
      </c>
      <c r="U1411" s="5"/>
      <c r="V1411" s="5"/>
      <c r="W1411" s="5">
        <v>0.12162037037037036</v>
      </c>
    </row>
    <row r="1412" spans="1:23" x14ac:dyDescent="0.25">
      <c r="A1412" s="2">
        <v>46252</v>
      </c>
      <c r="B1412" s="3" t="s">
        <v>238</v>
      </c>
      <c r="C1412" s="3" t="s">
        <v>526</v>
      </c>
      <c r="D1412" s="3" t="s">
        <v>233</v>
      </c>
      <c r="E1412" s="3" t="s">
        <v>31</v>
      </c>
      <c r="F1412" s="3" t="s">
        <v>32</v>
      </c>
      <c r="G1412" s="4" t="s">
        <v>106</v>
      </c>
      <c r="H1412" s="4">
        <v>0</v>
      </c>
      <c r="I1412" s="5">
        <v>0.22940972222222222</v>
      </c>
      <c r="J1412" s="5">
        <v>0</v>
      </c>
      <c r="K1412" s="5">
        <f t="shared" si="44"/>
        <v>0</v>
      </c>
      <c r="L1412" s="5">
        <v>0.22939814814814816</v>
      </c>
      <c r="M1412" s="6">
        <f t="shared" si="45"/>
        <v>0.99994954845870543</v>
      </c>
      <c r="N1412" s="5"/>
      <c r="O1412" s="5">
        <v>7.037037037037037E-3</v>
      </c>
      <c r="P1412" s="5"/>
      <c r="Q1412" s="5"/>
      <c r="R1412" s="5"/>
      <c r="S1412" s="5">
        <v>5.2777777777777779E-3</v>
      </c>
      <c r="T1412" s="5">
        <v>4.7453703703703704E-4</v>
      </c>
      <c r="U1412" s="5"/>
      <c r="V1412" s="5"/>
      <c r="W1412" s="5">
        <v>0.21660879629629629</v>
      </c>
    </row>
    <row r="1413" spans="1:23" x14ac:dyDescent="0.25">
      <c r="A1413" s="2">
        <v>46252</v>
      </c>
      <c r="B1413" s="3" t="s">
        <v>608</v>
      </c>
      <c r="C1413" s="3" t="s">
        <v>631</v>
      </c>
      <c r="D1413" s="3" t="s">
        <v>601</v>
      </c>
      <c r="E1413" s="3" t="s">
        <v>31</v>
      </c>
      <c r="F1413" s="3" t="s">
        <v>105</v>
      </c>
      <c r="G1413" s="4" t="s">
        <v>33</v>
      </c>
      <c r="H1413" s="4">
        <v>14</v>
      </c>
      <c r="I1413" s="5">
        <v>0.25006944444444446</v>
      </c>
      <c r="J1413" s="5">
        <v>0.11813657407407407</v>
      </c>
      <c r="K1413" s="5">
        <f t="shared" si="44"/>
        <v>8.4383267195767189E-3</v>
      </c>
      <c r="L1413" s="5">
        <v>9.7361111111111107E-2</v>
      </c>
      <c r="M1413" s="6">
        <f t="shared" si="45"/>
        <v>0.38933629547347953</v>
      </c>
      <c r="N1413" s="5"/>
      <c r="O1413" s="5">
        <v>1.3564814814814814E-2</v>
      </c>
      <c r="P1413" s="5"/>
      <c r="Q1413" s="5">
        <v>1.019675925925926E-2</v>
      </c>
      <c r="R1413" s="5"/>
      <c r="S1413" s="5">
        <v>1.4085648148148147E-2</v>
      </c>
      <c r="T1413" s="5">
        <v>4.0277777777777777E-3</v>
      </c>
      <c r="U1413" s="5">
        <v>5.5486111111111111E-2</v>
      </c>
      <c r="V1413" s="5"/>
      <c r="W1413" s="5"/>
    </row>
    <row r="1414" spans="1:23" x14ac:dyDescent="0.25">
      <c r="A1414" s="2">
        <v>46252</v>
      </c>
      <c r="B1414" s="3" t="s">
        <v>307</v>
      </c>
      <c r="C1414" s="3" t="s">
        <v>308</v>
      </c>
      <c r="D1414" s="3" t="s">
        <v>78</v>
      </c>
      <c r="E1414" s="3" t="s">
        <v>79</v>
      </c>
      <c r="F1414" s="3" t="s">
        <v>80</v>
      </c>
      <c r="G1414" s="4" t="s">
        <v>81</v>
      </c>
      <c r="H1414" s="4">
        <v>0</v>
      </c>
      <c r="I1414" s="5">
        <v>0.31814814814814812</v>
      </c>
      <c r="J1414" s="5">
        <v>0</v>
      </c>
      <c r="K1414" s="5">
        <f t="shared" si="44"/>
        <v>0</v>
      </c>
      <c r="L1414" s="5">
        <v>0.2046412037037037</v>
      </c>
      <c r="M1414" s="6">
        <f t="shared" si="45"/>
        <v>0.64322613504074511</v>
      </c>
      <c r="N1414" s="5"/>
      <c r="O1414" s="5"/>
      <c r="P1414" s="5"/>
      <c r="Q1414" s="5"/>
      <c r="R1414" s="5">
        <v>7.8009259259259256E-3</v>
      </c>
      <c r="S1414" s="5">
        <v>1.2175925925925925E-2</v>
      </c>
      <c r="T1414" s="5"/>
      <c r="U1414" s="5">
        <v>0.18465277777777778</v>
      </c>
      <c r="V1414" s="5"/>
      <c r="W1414" s="5"/>
    </row>
    <row r="1415" spans="1:23" x14ac:dyDescent="0.25">
      <c r="A1415" s="2">
        <v>46252</v>
      </c>
      <c r="B1415" s="3" t="s">
        <v>197</v>
      </c>
      <c r="C1415" s="3" t="s">
        <v>564</v>
      </c>
      <c r="D1415" s="3" t="s">
        <v>601</v>
      </c>
      <c r="E1415" s="3" t="s">
        <v>31</v>
      </c>
      <c r="F1415" s="3" t="s">
        <v>105</v>
      </c>
      <c r="G1415" s="4" t="s">
        <v>33</v>
      </c>
      <c r="H1415" s="4">
        <v>10</v>
      </c>
      <c r="I1415" s="5">
        <v>0.23475694444444445</v>
      </c>
      <c r="J1415" s="5">
        <v>0.11768518518518518</v>
      </c>
      <c r="K1415" s="5">
        <f t="shared" si="44"/>
        <v>1.1768518518518518E-2</v>
      </c>
      <c r="L1415" s="5">
        <v>0.12922453703703704</v>
      </c>
      <c r="M1415" s="6">
        <f t="shared" si="45"/>
        <v>0.55046097717300202</v>
      </c>
      <c r="N1415" s="5">
        <v>3.5995370370370369E-3</v>
      </c>
      <c r="O1415" s="5">
        <v>1.5520833333333333E-2</v>
      </c>
      <c r="P1415" s="5"/>
      <c r="Q1415" s="5">
        <v>8.9004629629629625E-3</v>
      </c>
      <c r="R1415" s="5"/>
      <c r="S1415" s="5">
        <v>1.681712962962963E-2</v>
      </c>
      <c r="T1415" s="5">
        <v>7.1180555555555554E-3</v>
      </c>
      <c r="U1415" s="5">
        <v>7.7268518518518514E-2</v>
      </c>
      <c r="V1415" s="5"/>
      <c r="W1415" s="5"/>
    </row>
    <row r="1416" spans="1:23" x14ac:dyDescent="0.25">
      <c r="A1416" s="2">
        <v>46252</v>
      </c>
      <c r="B1416" s="3" t="s">
        <v>150</v>
      </c>
      <c r="C1416" s="3" t="s">
        <v>514</v>
      </c>
      <c r="D1416" s="3" t="s">
        <v>146</v>
      </c>
      <c r="E1416" s="3" t="s">
        <v>79</v>
      </c>
      <c r="F1416" s="3" t="s">
        <v>147</v>
      </c>
      <c r="G1416" s="4" t="s">
        <v>106</v>
      </c>
      <c r="H1416" s="4">
        <v>35</v>
      </c>
      <c r="I1416" s="5">
        <v>0.26621527777777776</v>
      </c>
      <c r="J1416" s="5">
        <v>4.5787037037037036E-2</v>
      </c>
      <c r="K1416" s="5">
        <f t="shared" si="44"/>
        <v>1.3082010582010581E-3</v>
      </c>
      <c r="L1416" s="5">
        <v>3.650462962962963E-2</v>
      </c>
      <c r="M1416" s="6">
        <f t="shared" si="45"/>
        <v>0.13712447284900658</v>
      </c>
      <c r="N1416" s="5"/>
      <c r="O1416" s="5">
        <v>1.5983796296296298E-2</v>
      </c>
      <c r="P1416" s="5">
        <v>6.6550925925925927E-3</v>
      </c>
      <c r="Q1416" s="5"/>
      <c r="R1416" s="5"/>
      <c r="S1416" s="5">
        <v>1.361111111111111E-2</v>
      </c>
      <c r="T1416" s="5">
        <v>1.1574074074074075E-4</v>
      </c>
      <c r="U1416" s="5">
        <v>1.3888888888888889E-4</v>
      </c>
      <c r="V1416" s="5"/>
      <c r="W1416" s="5"/>
    </row>
    <row r="1417" spans="1:23" x14ac:dyDescent="0.25">
      <c r="A1417" s="2">
        <v>46252</v>
      </c>
      <c r="B1417" s="3" t="s">
        <v>154</v>
      </c>
      <c r="C1417" s="3" t="s">
        <v>515</v>
      </c>
      <c r="D1417" s="3" t="s">
        <v>146</v>
      </c>
      <c r="E1417" s="3" t="s">
        <v>79</v>
      </c>
      <c r="F1417" s="3" t="s">
        <v>147</v>
      </c>
      <c r="G1417" s="4" t="s">
        <v>106</v>
      </c>
      <c r="H1417" s="4">
        <v>27</v>
      </c>
      <c r="I1417" s="5">
        <v>0.25840277777777776</v>
      </c>
      <c r="J1417" s="5">
        <v>6.9942129629629632E-2</v>
      </c>
      <c r="K1417" s="5">
        <f t="shared" si="44"/>
        <v>2.590449245541838E-3</v>
      </c>
      <c r="L1417" s="5">
        <v>2.7650462962962963E-2</v>
      </c>
      <c r="M1417" s="6">
        <f t="shared" si="45"/>
        <v>0.10700528531756698</v>
      </c>
      <c r="N1417" s="5">
        <v>3.2870370370370371E-3</v>
      </c>
      <c r="O1417" s="5">
        <v>8.1481481481481474E-3</v>
      </c>
      <c r="P1417" s="5"/>
      <c r="Q1417" s="5"/>
      <c r="R1417" s="5"/>
      <c r="S1417" s="5">
        <v>1.2199074074074074E-2</v>
      </c>
      <c r="T1417" s="5">
        <v>2.4189814814814816E-3</v>
      </c>
      <c r="U1417" s="5">
        <v>1.4351851851851852E-3</v>
      </c>
      <c r="V1417" s="5"/>
      <c r="W1417" s="5"/>
    </row>
    <row r="1418" spans="1:23" x14ac:dyDescent="0.25">
      <c r="A1418" s="2">
        <v>46252</v>
      </c>
      <c r="B1418" s="3" t="s">
        <v>112</v>
      </c>
      <c r="C1418" s="3" t="s">
        <v>570</v>
      </c>
      <c r="D1418" s="3" t="s">
        <v>104</v>
      </c>
      <c r="E1418" s="3" t="s">
        <v>31</v>
      </c>
      <c r="F1418" s="3" t="s">
        <v>105</v>
      </c>
      <c r="G1418" s="4" t="s">
        <v>106</v>
      </c>
      <c r="H1418" s="4">
        <v>6</v>
      </c>
      <c r="I1418" s="5">
        <v>0.23850694444444445</v>
      </c>
      <c r="J1418" s="5">
        <v>0.1491550925925926</v>
      </c>
      <c r="K1418" s="5">
        <f t="shared" si="44"/>
        <v>2.4859182098765434E-2</v>
      </c>
      <c r="L1418" s="5">
        <v>0.17688657407407407</v>
      </c>
      <c r="M1418" s="6">
        <f t="shared" si="45"/>
        <v>0.74164118988693162</v>
      </c>
      <c r="N1418" s="5">
        <v>1.1018518518518518E-2</v>
      </c>
      <c r="O1418" s="5">
        <v>2.0185185185185184E-2</v>
      </c>
      <c r="P1418" s="5"/>
      <c r="Q1418" s="5"/>
      <c r="R1418" s="5"/>
      <c r="S1418" s="5">
        <v>1.8298611111111113E-2</v>
      </c>
      <c r="T1418" s="5">
        <v>5.4398148148148144E-4</v>
      </c>
      <c r="U1418" s="5">
        <v>3.3564814814814812E-4</v>
      </c>
      <c r="V1418" s="5"/>
      <c r="W1418" s="5">
        <v>0.12650462962962963</v>
      </c>
    </row>
    <row r="1419" spans="1:23" x14ac:dyDescent="0.25">
      <c r="A1419" s="2">
        <v>46252</v>
      </c>
      <c r="B1419" s="3" t="s">
        <v>42</v>
      </c>
      <c r="C1419" s="3" t="s">
        <v>537</v>
      </c>
      <c r="D1419" s="3" t="s">
        <v>104</v>
      </c>
      <c r="E1419" s="3" t="s">
        <v>31</v>
      </c>
      <c r="F1419" s="3" t="s">
        <v>105</v>
      </c>
      <c r="G1419" s="4" t="s">
        <v>106</v>
      </c>
      <c r="H1419" s="4">
        <v>15</v>
      </c>
      <c r="I1419" s="5">
        <v>0.26255787037037037</v>
      </c>
      <c r="J1419" s="5">
        <v>0.10099537037037037</v>
      </c>
      <c r="K1419" s="5">
        <f t="shared" si="44"/>
        <v>6.7330246913580253E-3</v>
      </c>
      <c r="L1419" s="5">
        <v>0.14054398148148148</v>
      </c>
      <c r="M1419" s="6">
        <f t="shared" si="45"/>
        <v>0.53528763500110199</v>
      </c>
      <c r="N1419" s="5">
        <v>1.5358796296296296E-2</v>
      </c>
      <c r="O1419" s="5">
        <v>1.4502314814814815E-2</v>
      </c>
      <c r="P1419" s="5"/>
      <c r="Q1419" s="5"/>
      <c r="R1419" s="5"/>
      <c r="S1419" s="5">
        <v>1.3935185185185186E-2</v>
      </c>
      <c r="T1419" s="5">
        <v>1.0300925925925926E-3</v>
      </c>
      <c r="U1419" s="5">
        <v>2.1759259259259258E-3</v>
      </c>
      <c r="V1419" s="5"/>
      <c r="W1419" s="5">
        <v>9.3495370370370368E-2</v>
      </c>
    </row>
    <row r="1420" spans="1:23" x14ac:dyDescent="0.25">
      <c r="A1420" s="2">
        <v>46252</v>
      </c>
      <c r="B1420" s="3" t="s">
        <v>156</v>
      </c>
      <c r="C1420" s="3" t="s">
        <v>516</v>
      </c>
      <c r="D1420" s="3" t="s">
        <v>146</v>
      </c>
      <c r="E1420" s="3" t="s">
        <v>79</v>
      </c>
      <c r="F1420" s="3" t="s">
        <v>147</v>
      </c>
      <c r="G1420" s="4" t="s">
        <v>106</v>
      </c>
      <c r="H1420" s="4">
        <v>26</v>
      </c>
      <c r="I1420" s="5">
        <v>0.27206018518518521</v>
      </c>
      <c r="J1420" s="5">
        <v>7.4027777777777776E-2</v>
      </c>
      <c r="K1420" s="5">
        <f t="shared" si="44"/>
        <v>2.8472222222222223E-3</v>
      </c>
      <c r="L1420" s="5">
        <v>4.9548611111111113E-2</v>
      </c>
      <c r="M1420" s="6">
        <f t="shared" si="45"/>
        <v>0.18212371309452904</v>
      </c>
      <c r="N1420" s="5">
        <v>4.8148148148148152E-3</v>
      </c>
      <c r="O1420" s="5">
        <v>2.3553240740740739E-2</v>
      </c>
      <c r="P1420" s="5">
        <v>4.7453703703703704E-4</v>
      </c>
      <c r="Q1420" s="5"/>
      <c r="R1420" s="5"/>
      <c r="S1420" s="5">
        <v>1.3831018518518519E-2</v>
      </c>
      <c r="T1420" s="5">
        <v>5.9375000000000001E-3</v>
      </c>
      <c r="U1420" s="5">
        <v>8.9120370370370373E-4</v>
      </c>
      <c r="V1420" s="5"/>
      <c r="W1420" s="5"/>
    </row>
    <row r="1421" spans="1:23" x14ac:dyDescent="0.25">
      <c r="A1421" s="2">
        <v>46252</v>
      </c>
      <c r="B1421" s="3" t="s">
        <v>114</v>
      </c>
      <c r="C1421" s="3" t="s">
        <v>541</v>
      </c>
      <c r="D1421" s="3" t="s">
        <v>104</v>
      </c>
      <c r="E1421" s="3" t="s">
        <v>31</v>
      </c>
      <c r="F1421" s="3" t="s">
        <v>105</v>
      </c>
      <c r="G1421" s="4" t="s">
        <v>106</v>
      </c>
      <c r="H1421" s="4">
        <v>9</v>
      </c>
      <c r="I1421" s="5">
        <v>0.25037037037037035</v>
      </c>
      <c r="J1421" s="5">
        <v>0.15942129629629628</v>
      </c>
      <c r="K1421" s="5">
        <f t="shared" si="44"/>
        <v>1.7713477366255143E-2</v>
      </c>
      <c r="L1421" s="5">
        <v>0.15925925925925927</v>
      </c>
      <c r="M1421" s="6">
        <f t="shared" si="45"/>
        <v>0.63609467455621305</v>
      </c>
      <c r="N1421" s="5">
        <v>7.5462962962962966E-3</v>
      </c>
      <c r="O1421" s="5">
        <v>2.2418981481481481E-2</v>
      </c>
      <c r="P1421" s="5"/>
      <c r="Q1421" s="5"/>
      <c r="R1421" s="5"/>
      <c r="S1421" s="5">
        <v>1.5173611111111112E-2</v>
      </c>
      <c r="T1421" s="5">
        <v>2.6666666666666668E-2</v>
      </c>
      <c r="U1421" s="5"/>
      <c r="V1421" s="5"/>
      <c r="W1421" s="5">
        <v>8.74537037037037E-2</v>
      </c>
    </row>
    <row r="1422" spans="1:23" x14ac:dyDescent="0.25">
      <c r="A1422" s="2">
        <v>46252</v>
      </c>
      <c r="B1422" s="3" t="s">
        <v>44</v>
      </c>
      <c r="C1422" s="3" t="s">
        <v>506</v>
      </c>
      <c r="D1422" s="3" t="s">
        <v>100</v>
      </c>
      <c r="E1422" s="3" t="s">
        <v>31</v>
      </c>
      <c r="F1422" s="3" t="s">
        <v>32</v>
      </c>
      <c r="G1422" s="4" t="s">
        <v>33</v>
      </c>
      <c r="H1422" s="4">
        <v>34</v>
      </c>
      <c r="I1422" s="5">
        <v>0.26118055555555558</v>
      </c>
      <c r="J1422" s="5">
        <v>0.16697916666666668</v>
      </c>
      <c r="K1422" s="5">
        <f t="shared" si="44"/>
        <v>4.911151960784314E-3</v>
      </c>
      <c r="L1422" s="5">
        <v>5.1099537037037034E-2</v>
      </c>
      <c r="M1422" s="6">
        <f t="shared" si="45"/>
        <v>0.19564832048214123</v>
      </c>
      <c r="N1422" s="5"/>
      <c r="O1422" s="5">
        <v>1.4247685185185184E-2</v>
      </c>
      <c r="P1422" s="5"/>
      <c r="Q1422" s="5">
        <v>2.0277777777777777E-2</v>
      </c>
      <c r="R1422" s="5"/>
      <c r="S1422" s="5">
        <v>1.40625E-2</v>
      </c>
      <c r="T1422" s="5">
        <v>3.2407407407407406E-4</v>
      </c>
      <c r="U1422" s="5">
        <v>2.1180555555555558E-3</v>
      </c>
      <c r="V1422" s="5"/>
      <c r="W1422" s="5"/>
    </row>
    <row r="1423" spans="1:23" x14ac:dyDescent="0.25">
      <c r="A1423" s="2">
        <v>46252</v>
      </c>
      <c r="B1423" s="3" t="s">
        <v>609</v>
      </c>
      <c r="C1423" s="3" t="s">
        <v>632</v>
      </c>
      <c r="D1423" s="3" t="s">
        <v>601</v>
      </c>
      <c r="E1423" s="3" t="s">
        <v>31</v>
      </c>
      <c r="F1423" s="3" t="s">
        <v>105</v>
      </c>
      <c r="G1423" s="4" t="s">
        <v>33</v>
      </c>
      <c r="H1423" s="4">
        <v>6</v>
      </c>
      <c r="I1423" s="5">
        <v>0.24482638888888889</v>
      </c>
      <c r="J1423" s="5">
        <v>0.13267361111111112</v>
      </c>
      <c r="K1423" s="5">
        <f t="shared" si="44"/>
        <v>2.2112268518518521E-2</v>
      </c>
      <c r="L1423" s="5">
        <v>0.22296296296296297</v>
      </c>
      <c r="M1423" s="6">
        <f t="shared" si="45"/>
        <v>0.91069824611166272</v>
      </c>
      <c r="N1423" s="5">
        <v>1.5335648148148149E-2</v>
      </c>
      <c r="O1423" s="5">
        <v>1.6909722222222222E-2</v>
      </c>
      <c r="P1423" s="5"/>
      <c r="Q1423" s="5"/>
      <c r="R1423" s="5"/>
      <c r="S1423" s="5">
        <v>1.6585648148148148E-2</v>
      </c>
      <c r="T1423" s="5">
        <v>3.0092592592592595E-4</v>
      </c>
      <c r="U1423" s="5">
        <v>0.17383101851851851</v>
      </c>
      <c r="V1423" s="5"/>
      <c r="W1423" s="5"/>
    </row>
    <row r="1424" spans="1:23" x14ac:dyDescent="0.25">
      <c r="A1424" s="2">
        <v>46252</v>
      </c>
      <c r="B1424" s="3" t="s">
        <v>240</v>
      </c>
      <c r="C1424" s="3" t="s">
        <v>527</v>
      </c>
      <c r="D1424" s="3" t="s">
        <v>233</v>
      </c>
      <c r="E1424" s="3" t="s">
        <v>31</v>
      </c>
      <c r="F1424" s="3" t="s">
        <v>32</v>
      </c>
      <c r="G1424" s="4" t="s">
        <v>106</v>
      </c>
      <c r="H1424" s="4">
        <v>0</v>
      </c>
      <c r="I1424" s="5">
        <v>0.2179861111111111</v>
      </c>
      <c r="J1424" s="5">
        <v>0</v>
      </c>
      <c r="K1424" s="5">
        <f t="shared" si="44"/>
        <v>0</v>
      </c>
      <c r="L1424" s="5">
        <v>0.2179861111111111</v>
      </c>
      <c r="M1424" s="6">
        <f t="shared" si="45"/>
        <v>1</v>
      </c>
      <c r="N1424" s="5">
        <v>1.8587962962962962E-2</v>
      </c>
      <c r="O1424" s="5">
        <v>1.3587962962962963E-2</v>
      </c>
      <c r="P1424" s="5"/>
      <c r="Q1424" s="5"/>
      <c r="R1424" s="5"/>
      <c r="S1424" s="5">
        <v>1.3912037037037037E-2</v>
      </c>
      <c r="T1424" s="5">
        <v>5.5555555555555556E-4</v>
      </c>
      <c r="U1424" s="5"/>
      <c r="V1424" s="5"/>
      <c r="W1424" s="5">
        <v>0.1713425925925926</v>
      </c>
    </row>
    <row r="1425" spans="1:23" x14ac:dyDescent="0.25">
      <c r="A1425" s="2">
        <v>46252</v>
      </c>
      <c r="B1425" s="3" t="s">
        <v>497</v>
      </c>
      <c r="C1425" s="3" t="s">
        <v>498</v>
      </c>
      <c r="D1425" s="3" t="s">
        <v>78</v>
      </c>
      <c r="E1425" s="3" t="s">
        <v>79</v>
      </c>
      <c r="F1425" s="3" t="s">
        <v>80</v>
      </c>
      <c r="G1425" s="4" t="s">
        <v>81</v>
      </c>
      <c r="H1425" s="4">
        <v>0</v>
      </c>
      <c r="I1425" s="5">
        <v>0.35146990740740741</v>
      </c>
      <c r="J1425" s="5">
        <v>0</v>
      </c>
      <c r="K1425" s="5">
        <f t="shared" si="44"/>
        <v>0</v>
      </c>
      <c r="L1425" s="5">
        <v>5.7175925925925929E-2</v>
      </c>
      <c r="M1425" s="6">
        <f t="shared" si="45"/>
        <v>0.16267658971910298</v>
      </c>
      <c r="N1425" s="5">
        <v>4.8495370370370368E-3</v>
      </c>
      <c r="O1425" s="5">
        <v>1.2500000000000001E-2</v>
      </c>
      <c r="P1425" s="5"/>
      <c r="Q1425" s="5"/>
      <c r="R1425" s="5"/>
      <c r="S1425" s="5">
        <v>3.861111111111111E-2</v>
      </c>
      <c r="T1425" s="5">
        <v>1.1458333333333333E-3</v>
      </c>
      <c r="U1425" s="5"/>
      <c r="V1425" s="5"/>
      <c r="W1425" s="5"/>
    </row>
    <row r="1426" spans="1:23" x14ac:dyDescent="0.25">
      <c r="A1426" s="2">
        <v>46252</v>
      </c>
      <c r="B1426" s="3" t="s">
        <v>309</v>
      </c>
      <c r="C1426" s="3" t="s">
        <v>310</v>
      </c>
      <c r="D1426" s="3" t="s">
        <v>78</v>
      </c>
      <c r="E1426" s="3" t="s">
        <v>79</v>
      </c>
      <c r="F1426" s="3" t="s">
        <v>80</v>
      </c>
      <c r="G1426" s="4" t="s">
        <v>81</v>
      </c>
      <c r="H1426" s="4">
        <v>1</v>
      </c>
      <c r="I1426" s="5">
        <v>0.34282407407407406</v>
      </c>
      <c r="J1426" s="5">
        <v>8.8888888888888889E-3</v>
      </c>
      <c r="K1426" s="5">
        <f t="shared" si="44"/>
        <v>8.8888888888888889E-3</v>
      </c>
      <c r="L1426" s="5">
        <v>6.1828703703703705E-2</v>
      </c>
      <c r="M1426" s="6">
        <f t="shared" si="45"/>
        <v>0.18035111411208643</v>
      </c>
      <c r="N1426" s="5">
        <v>8.9120370370370378E-3</v>
      </c>
      <c r="O1426" s="5">
        <v>4.1655092592592591E-2</v>
      </c>
      <c r="P1426" s="5"/>
      <c r="Q1426" s="5"/>
      <c r="R1426" s="5"/>
      <c r="S1426" s="5">
        <v>7.4074074074074077E-3</v>
      </c>
      <c r="T1426" s="5">
        <v>3.8541666666666668E-3</v>
      </c>
      <c r="U1426" s="5"/>
      <c r="V1426" s="5"/>
      <c r="W1426" s="5"/>
    </row>
    <row r="1427" spans="1:23" x14ac:dyDescent="0.25">
      <c r="A1427" s="2">
        <v>46252</v>
      </c>
      <c r="B1427" s="3" t="s">
        <v>160</v>
      </c>
      <c r="C1427" s="3" t="s">
        <v>544</v>
      </c>
      <c r="D1427" s="3" t="s">
        <v>146</v>
      </c>
      <c r="E1427" s="3" t="s">
        <v>79</v>
      </c>
      <c r="F1427" s="3" t="s">
        <v>147</v>
      </c>
      <c r="G1427" s="4" t="s">
        <v>106</v>
      </c>
      <c r="H1427" s="4">
        <v>26</v>
      </c>
      <c r="I1427" s="5">
        <v>0.25717592592592592</v>
      </c>
      <c r="J1427" s="5">
        <v>9.9745370370370373E-2</v>
      </c>
      <c r="K1427" s="5">
        <f t="shared" si="44"/>
        <v>3.8363603988603992E-3</v>
      </c>
      <c r="L1427" s="5">
        <v>5.0219907407407408E-2</v>
      </c>
      <c r="M1427" s="6">
        <f t="shared" si="45"/>
        <v>0.19527452745274529</v>
      </c>
      <c r="N1427" s="5">
        <v>1.255787037037037E-2</v>
      </c>
      <c r="O1427" s="5">
        <v>1.6226851851851853E-2</v>
      </c>
      <c r="P1427" s="5"/>
      <c r="Q1427" s="5">
        <v>5.5092592592592589E-3</v>
      </c>
      <c r="R1427" s="5"/>
      <c r="S1427" s="5">
        <v>1.5682870370370371E-2</v>
      </c>
      <c r="T1427" s="5">
        <v>1.5046296296296297E-4</v>
      </c>
      <c r="U1427" s="5">
        <v>9.2592592592592588E-5</v>
      </c>
      <c r="V1427" s="5"/>
      <c r="W1427" s="5"/>
    </row>
    <row r="1428" spans="1:23" x14ac:dyDescent="0.25">
      <c r="A1428" s="2">
        <v>46252</v>
      </c>
      <c r="B1428" s="3" t="s">
        <v>645</v>
      </c>
      <c r="C1428" s="3" t="s">
        <v>646</v>
      </c>
      <c r="D1428" s="3" t="s">
        <v>100</v>
      </c>
      <c r="E1428" s="3" t="s">
        <v>31</v>
      </c>
      <c r="F1428" s="3" t="s">
        <v>32</v>
      </c>
      <c r="G1428" s="4" t="s">
        <v>33</v>
      </c>
      <c r="H1428" s="4">
        <v>37</v>
      </c>
      <c r="I1428" s="5">
        <v>0.26554398148148151</v>
      </c>
      <c r="J1428" s="5">
        <v>0.20971064814814816</v>
      </c>
      <c r="K1428" s="5">
        <f t="shared" si="44"/>
        <v>5.6678553553553557E-3</v>
      </c>
      <c r="L1428" s="5">
        <v>5.1979166666666667E-2</v>
      </c>
      <c r="M1428" s="6">
        <f t="shared" si="45"/>
        <v>0.19574597916575859</v>
      </c>
      <c r="N1428" s="5">
        <v>2.7546296296296294E-3</v>
      </c>
      <c r="O1428" s="5">
        <v>1.3530092592592592E-2</v>
      </c>
      <c r="P1428" s="5"/>
      <c r="Q1428" s="5">
        <v>1.863425925925926E-2</v>
      </c>
      <c r="R1428" s="5"/>
      <c r="S1428" s="5">
        <v>1.4155092592592592E-2</v>
      </c>
      <c r="T1428" s="5">
        <v>1.6782407407407408E-3</v>
      </c>
      <c r="U1428" s="5">
        <v>1.1574074074074073E-3</v>
      </c>
      <c r="V1428" s="5"/>
      <c r="W1428" s="5"/>
    </row>
    <row r="1429" spans="1:23" x14ac:dyDescent="0.25">
      <c r="A1429" s="2">
        <v>46252</v>
      </c>
      <c r="B1429" s="3" t="s">
        <v>120</v>
      </c>
      <c r="C1429" s="3" t="s">
        <v>558</v>
      </c>
      <c r="D1429" s="3" t="s">
        <v>233</v>
      </c>
      <c r="E1429" s="3" t="s">
        <v>31</v>
      </c>
      <c r="F1429" s="3" t="s">
        <v>32</v>
      </c>
      <c r="G1429" s="4" t="s">
        <v>106</v>
      </c>
      <c r="H1429" s="4">
        <v>35</v>
      </c>
      <c r="I1429" s="5">
        <v>0.26567129629629632</v>
      </c>
      <c r="J1429" s="5">
        <v>9.5439814814814811E-2</v>
      </c>
      <c r="K1429" s="5">
        <f t="shared" si="44"/>
        <v>2.7268518518518518E-3</v>
      </c>
      <c r="L1429" s="5">
        <v>6.368055555555556E-2</v>
      </c>
      <c r="M1429" s="6">
        <f t="shared" si="45"/>
        <v>0.23969678487409601</v>
      </c>
      <c r="N1429" s="5">
        <v>1.2268518518518519E-2</v>
      </c>
      <c r="O1429" s="5">
        <v>1.412037037037037E-2</v>
      </c>
      <c r="P1429" s="5"/>
      <c r="Q1429" s="5"/>
      <c r="R1429" s="5"/>
      <c r="S1429" s="5">
        <v>1.2233796296296296E-2</v>
      </c>
      <c r="T1429" s="5">
        <v>1.0821759259259258E-2</v>
      </c>
      <c r="U1429" s="5">
        <v>1.4212962962962964E-2</v>
      </c>
      <c r="V1429" s="5"/>
      <c r="W1429" s="5"/>
    </row>
    <row r="1430" spans="1:23" x14ac:dyDescent="0.25">
      <c r="A1430" s="2">
        <v>46252</v>
      </c>
      <c r="B1430" s="3" t="s">
        <v>46</v>
      </c>
      <c r="C1430" s="3" t="s">
        <v>507</v>
      </c>
      <c r="D1430" s="3" t="s">
        <v>100</v>
      </c>
      <c r="E1430" s="3" t="s">
        <v>31</v>
      </c>
      <c r="F1430" s="3" t="s">
        <v>32</v>
      </c>
      <c r="G1430" s="4" t="s">
        <v>33</v>
      </c>
      <c r="H1430" s="4">
        <v>40</v>
      </c>
      <c r="I1430" s="5">
        <v>0.25780092592592591</v>
      </c>
      <c r="J1430" s="5">
        <v>0.16945601851851852</v>
      </c>
      <c r="K1430" s="5">
        <f t="shared" si="44"/>
        <v>4.2364004629629626E-3</v>
      </c>
      <c r="L1430" s="5">
        <v>4.0162037037037038E-2</v>
      </c>
      <c r="M1430" s="6">
        <f t="shared" si="45"/>
        <v>0.15578701625213254</v>
      </c>
      <c r="N1430" s="5">
        <v>2.476851851851852E-3</v>
      </c>
      <c r="O1430" s="5">
        <v>1.4502314814814815E-2</v>
      </c>
      <c r="P1430" s="5"/>
      <c r="Q1430" s="5">
        <v>6.2268518518518515E-3</v>
      </c>
      <c r="R1430" s="5"/>
      <c r="S1430" s="5">
        <v>1.3912037037037037E-2</v>
      </c>
      <c r="T1430" s="5">
        <v>5.7870370370370373E-5</v>
      </c>
      <c r="U1430" s="5">
        <v>2.8472222222222223E-3</v>
      </c>
      <c r="V1430" s="5"/>
      <c r="W1430" s="5"/>
    </row>
    <row r="1431" spans="1:23" x14ac:dyDescent="0.25">
      <c r="A1431" s="2">
        <v>46252</v>
      </c>
      <c r="B1431" s="3" t="s">
        <v>287</v>
      </c>
      <c r="C1431" s="3" t="s">
        <v>542</v>
      </c>
      <c r="D1431" s="3" t="s">
        <v>104</v>
      </c>
      <c r="E1431" s="3" t="s">
        <v>31</v>
      </c>
      <c r="F1431" s="3" t="s">
        <v>105</v>
      </c>
      <c r="G1431" s="4" t="s">
        <v>106</v>
      </c>
      <c r="H1431" s="4">
        <v>6</v>
      </c>
      <c r="I1431" s="5">
        <v>0.23337962962962963</v>
      </c>
      <c r="J1431" s="5">
        <v>0.12590277777777778</v>
      </c>
      <c r="K1431" s="5">
        <f t="shared" si="44"/>
        <v>2.0983796296296296E-2</v>
      </c>
      <c r="L1431" s="5">
        <v>0.17163194444444443</v>
      </c>
      <c r="M1431" s="6">
        <f t="shared" si="45"/>
        <v>0.73541955961118821</v>
      </c>
      <c r="N1431" s="5">
        <v>1.9456018518518518E-2</v>
      </c>
      <c r="O1431" s="5">
        <v>1.7175925925925924E-2</v>
      </c>
      <c r="P1431" s="5"/>
      <c r="Q1431" s="5"/>
      <c r="R1431" s="5"/>
      <c r="S1431" s="5">
        <v>1.525462962962963E-2</v>
      </c>
      <c r="T1431" s="5">
        <v>3.2291666666666666E-3</v>
      </c>
      <c r="U1431" s="5"/>
      <c r="V1431" s="5"/>
      <c r="W1431" s="5">
        <v>0.11651620370370371</v>
      </c>
    </row>
    <row r="1432" spans="1:23" x14ac:dyDescent="0.25">
      <c r="A1432" s="2">
        <v>46252</v>
      </c>
      <c r="B1432" s="3" t="s">
        <v>499</v>
      </c>
      <c r="C1432" s="3" t="s">
        <v>517</v>
      </c>
      <c r="D1432" s="3" t="s">
        <v>146</v>
      </c>
      <c r="E1432" s="3" t="s">
        <v>79</v>
      </c>
      <c r="F1432" s="3" t="s">
        <v>147</v>
      </c>
      <c r="G1432" s="4" t="s">
        <v>106</v>
      </c>
      <c r="H1432" s="4">
        <v>11</v>
      </c>
      <c r="I1432" s="5">
        <v>0.25658564814814816</v>
      </c>
      <c r="J1432" s="5">
        <v>7.4907407407407409E-2</v>
      </c>
      <c r="K1432" s="5">
        <f t="shared" si="44"/>
        <v>6.80976430976431E-3</v>
      </c>
      <c r="L1432" s="5">
        <v>6.0057870370370373E-2</v>
      </c>
      <c r="M1432" s="6">
        <f t="shared" si="45"/>
        <v>0.23406558708105912</v>
      </c>
      <c r="N1432" s="5">
        <v>2.2650462962962963E-2</v>
      </c>
      <c r="O1432" s="5">
        <v>1.5277777777777777E-2</v>
      </c>
      <c r="P1432" s="5">
        <v>7.4999999999999997E-3</v>
      </c>
      <c r="Q1432" s="5"/>
      <c r="R1432" s="5"/>
      <c r="S1432" s="5">
        <v>1.4467592592592593E-2</v>
      </c>
      <c r="T1432" s="5">
        <v>1.6203703703703703E-4</v>
      </c>
      <c r="U1432" s="5"/>
      <c r="V1432" s="5"/>
      <c r="W1432" s="5"/>
    </row>
    <row r="1433" spans="1:23" x14ac:dyDescent="0.25">
      <c r="A1433" s="2">
        <v>46252</v>
      </c>
      <c r="B1433" s="3" t="s">
        <v>647</v>
      </c>
      <c r="C1433" s="3" t="s">
        <v>648</v>
      </c>
      <c r="D1433" s="3" t="s">
        <v>233</v>
      </c>
      <c r="E1433" s="3" t="s">
        <v>31</v>
      </c>
      <c r="F1433" s="3" t="s">
        <v>32</v>
      </c>
      <c r="G1433" s="4" t="s">
        <v>106</v>
      </c>
      <c r="H1433" s="4">
        <v>36</v>
      </c>
      <c r="I1433" s="5">
        <v>0.25961805555555556</v>
      </c>
      <c r="J1433" s="5">
        <v>0.10160879629629629</v>
      </c>
      <c r="K1433" s="5">
        <f t="shared" si="44"/>
        <v>2.8224665637860084E-3</v>
      </c>
      <c r="L1433" s="5">
        <v>4.5543981481481484E-2</v>
      </c>
      <c r="M1433" s="6">
        <f t="shared" si="45"/>
        <v>0.17542686460701709</v>
      </c>
      <c r="N1433" s="5">
        <v>6.9444444444444441E-3</v>
      </c>
      <c r="O1433" s="5">
        <v>1.5162037037037036E-2</v>
      </c>
      <c r="P1433" s="5"/>
      <c r="Q1433" s="5">
        <v>8.1018518518518516E-5</v>
      </c>
      <c r="R1433" s="5"/>
      <c r="S1433" s="5">
        <v>1.3495370370370371E-2</v>
      </c>
      <c r="T1433" s="5">
        <v>9.6527777777777775E-3</v>
      </c>
      <c r="U1433" s="5">
        <v>2.0833333333333335E-4</v>
      </c>
      <c r="V1433" s="5"/>
      <c r="W1433" s="5"/>
    </row>
    <row r="1434" spans="1:23" x14ac:dyDescent="0.25">
      <c r="A1434" s="2">
        <v>46252</v>
      </c>
      <c r="B1434" s="3" t="s">
        <v>649</v>
      </c>
      <c r="C1434" s="3" t="s">
        <v>650</v>
      </c>
      <c r="D1434" s="3" t="s">
        <v>104</v>
      </c>
      <c r="E1434" s="3" t="s">
        <v>31</v>
      </c>
      <c r="F1434" s="3" t="s">
        <v>105</v>
      </c>
      <c r="G1434" s="4" t="s">
        <v>106</v>
      </c>
      <c r="H1434" s="4">
        <v>8</v>
      </c>
      <c r="I1434" s="5">
        <v>0.26151620370370371</v>
      </c>
      <c r="J1434" s="5">
        <v>0.15563657407407408</v>
      </c>
      <c r="K1434" s="5">
        <f t="shared" si="44"/>
        <v>1.945457175925926E-2</v>
      </c>
      <c r="L1434" s="5">
        <v>0.13744212962962962</v>
      </c>
      <c r="M1434" s="6">
        <f t="shared" si="45"/>
        <v>0.525558751936269</v>
      </c>
      <c r="N1434" s="5">
        <v>6.1921296296296299E-3</v>
      </c>
      <c r="O1434" s="5">
        <v>1.5717592592592592E-2</v>
      </c>
      <c r="P1434" s="5"/>
      <c r="Q1434" s="5"/>
      <c r="R1434" s="5"/>
      <c r="S1434" s="5">
        <v>1.4652777777777778E-2</v>
      </c>
      <c r="T1434" s="5">
        <v>6.9444444444444447E-4</v>
      </c>
      <c r="U1434" s="5">
        <v>4.2245370370370371E-3</v>
      </c>
      <c r="V1434" s="5"/>
      <c r="W1434" s="5">
        <v>9.5960648148148142E-2</v>
      </c>
    </row>
    <row r="1435" spans="1:23" x14ac:dyDescent="0.25">
      <c r="A1435" s="2">
        <v>46252</v>
      </c>
      <c r="B1435" s="3" t="s">
        <v>246</v>
      </c>
      <c r="C1435" s="3" t="s">
        <v>568</v>
      </c>
      <c r="D1435" s="3" t="s">
        <v>233</v>
      </c>
      <c r="E1435" s="3" t="s">
        <v>31</v>
      </c>
      <c r="F1435" s="3" t="s">
        <v>32</v>
      </c>
      <c r="G1435" s="4" t="s">
        <v>106</v>
      </c>
      <c r="H1435" s="4">
        <v>36</v>
      </c>
      <c r="I1435" s="5">
        <v>0.25984953703703706</v>
      </c>
      <c r="J1435" s="5">
        <v>0.1220949074074074</v>
      </c>
      <c r="K1435" s="5">
        <f t="shared" si="44"/>
        <v>3.3915252057613167E-3</v>
      </c>
      <c r="L1435" s="5">
        <v>4.2986111111111114E-2</v>
      </c>
      <c r="M1435" s="6">
        <f t="shared" si="45"/>
        <v>0.16542692975813994</v>
      </c>
      <c r="N1435" s="5">
        <v>4.5601851851851853E-3</v>
      </c>
      <c r="O1435" s="5">
        <v>1.3715277777777778E-2</v>
      </c>
      <c r="P1435" s="5"/>
      <c r="Q1435" s="5">
        <v>6.7129629629629625E-4</v>
      </c>
      <c r="R1435" s="5"/>
      <c r="S1435" s="5">
        <v>1.3796296296296296E-2</v>
      </c>
      <c r="T1435" s="5">
        <v>1.005787037037037E-2</v>
      </c>
      <c r="U1435" s="5">
        <v>1.8518518518518518E-4</v>
      </c>
      <c r="V1435" s="5"/>
      <c r="W1435" s="5"/>
    </row>
    <row r="1436" spans="1:23" x14ac:dyDescent="0.25">
      <c r="A1436" s="2">
        <v>46252</v>
      </c>
      <c r="B1436" s="3" t="s">
        <v>48</v>
      </c>
      <c r="C1436" s="3" t="s">
        <v>508</v>
      </c>
      <c r="D1436" s="3" t="s">
        <v>100</v>
      </c>
      <c r="E1436" s="3" t="s">
        <v>31</v>
      </c>
      <c r="F1436" s="3" t="s">
        <v>32</v>
      </c>
      <c r="G1436" s="4" t="s">
        <v>33</v>
      </c>
      <c r="H1436" s="4">
        <v>38</v>
      </c>
      <c r="I1436" s="5">
        <v>0.25548611111111114</v>
      </c>
      <c r="J1436" s="5">
        <v>0.14937500000000001</v>
      </c>
      <c r="K1436" s="5">
        <f t="shared" si="44"/>
        <v>3.9309210526315792E-3</v>
      </c>
      <c r="L1436" s="5">
        <v>8.1481481481481488E-2</v>
      </c>
      <c r="M1436" s="6">
        <f t="shared" si="45"/>
        <v>0.31892724472229772</v>
      </c>
      <c r="N1436" s="5">
        <v>4.5138888888888885E-3</v>
      </c>
      <c r="O1436" s="5">
        <v>1.3935185185185186E-2</v>
      </c>
      <c r="P1436" s="5"/>
      <c r="Q1436" s="5"/>
      <c r="R1436" s="5">
        <v>6.2384259259259259E-3</v>
      </c>
      <c r="S1436" s="5">
        <v>1.3854166666666667E-2</v>
      </c>
      <c r="T1436" s="5">
        <v>3.1250000000000001E-4</v>
      </c>
      <c r="U1436" s="5">
        <v>3.1712962962962962E-3</v>
      </c>
      <c r="V1436" s="5"/>
      <c r="W1436" s="5">
        <v>3.9409722222222221E-2</v>
      </c>
    </row>
    <row r="1437" spans="1:23" x14ac:dyDescent="0.25">
      <c r="A1437" s="2">
        <v>46252</v>
      </c>
      <c r="B1437" s="3" t="s">
        <v>50</v>
      </c>
      <c r="C1437" s="3" t="s">
        <v>538</v>
      </c>
      <c r="D1437" s="3" t="s">
        <v>100</v>
      </c>
      <c r="E1437" s="3" t="s">
        <v>31</v>
      </c>
      <c r="F1437" s="3" t="s">
        <v>32</v>
      </c>
      <c r="G1437" s="4" t="s">
        <v>33</v>
      </c>
      <c r="H1437" s="4">
        <v>2</v>
      </c>
      <c r="I1437" s="5">
        <v>0.21839120370370371</v>
      </c>
      <c r="J1437" s="5">
        <v>5.2199074074074075E-3</v>
      </c>
      <c r="K1437" s="5">
        <f t="shared" si="44"/>
        <v>2.6099537037037037E-3</v>
      </c>
      <c r="L1437" s="5">
        <v>0.21285879629629631</v>
      </c>
      <c r="M1437" s="6">
        <f t="shared" si="45"/>
        <v>0.9746674439556946</v>
      </c>
      <c r="N1437" s="5">
        <v>1.4513888888888889E-2</v>
      </c>
      <c r="O1437" s="5">
        <v>8.3796296296296292E-3</v>
      </c>
      <c r="P1437" s="5"/>
      <c r="Q1437" s="5"/>
      <c r="R1437" s="5"/>
      <c r="S1437" s="5">
        <v>2.1840277777777778E-2</v>
      </c>
      <c r="T1437" s="5">
        <v>4.6296296296296298E-4</v>
      </c>
      <c r="U1437" s="5"/>
      <c r="V1437" s="5"/>
      <c r="W1437" s="5">
        <v>0.16766203703703703</v>
      </c>
    </row>
    <row r="1438" spans="1:23" x14ac:dyDescent="0.25">
      <c r="A1438" s="2">
        <v>46252</v>
      </c>
      <c r="B1438" s="3" t="s">
        <v>242</v>
      </c>
      <c r="C1438" s="3" t="s">
        <v>603</v>
      </c>
      <c r="D1438" s="3" t="s">
        <v>233</v>
      </c>
      <c r="E1438" s="3" t="s">
        <v>31</v>
      </c>
      <c r="F1438" s="3" t="s">
        <v>32</v>
      </c>
      <c r="G1438" s="4" t="s">
        <v>106</v>
      </c>
      <c r="H1438" s="4">
        <v>17</v>
      </c>
      <c r="I1438" s="5">
        <v>0.19774305555555555</v>
      </c>
      <c r="J1438" s="5">
        <v>0.14156250000000001</v>
      </c>
      <c r="K1438" s="5">
        <f t="shared" si="44"/>
        <v>8.3272058823529414E-3</v>
      </c>
      <c r="L1438" s="5">
        <v>1.1886574074074074E-2</v>
      </c>
      <c r="M1438" s="6">
        <f t="shared" si="45"/>
        <v>6.0111208662569506E-2</v>
      </c>
      <c r="N1438" s="5"/>
      <c r="O1438" s="5"/>
      <c r="P1438" s="5"/>
      <c r="Q1438" s="5"/>
      <c r="R1438" s="5"/>
      <c r="S1438" s="5">
        <v>1.019675925925926E-2</v>
      </c>
      <c r="T1438" s="5">
        <v>6.8287037037037036E-4</v>
      </c>
      <c r="U1438" s="5">
        <v>5.9027777777777778E-4</v>
      </c>
      <c r="V1438" s="5"/>
      <c r="W1438" s="5">
        <v>4.0509259259259258E-4</v>
      </c>
    </row>
    <row r="1439" spans="1:23" x14ac:dyDescent="0.25">
      <c r="A1439" s="2">
        <v>46252</v>
      </c>
      <c r="B1439" s="3" t="s">
        <v>248</v>
      </c>
      <c r="C1439" s="3" t="s">
        <v>249</v>
      </c>
      <c r="D1439" s="3" t="s">
        <v>78</v>
      </c>
      <c r="E1439" s="3" t="s">
        <v>79</v>
      </c>
      <c r="F1439" s="3" t="s">
        <v>80</v>
      </c>
      <c r="G1439" s="4" t="s">
        <v>81</v>
      </c>
      <c r="H1439" s="4">
        <v>0</v>
      </c>
      <c r="I1439" s="5">
        <v>0.34031250000000002</v>
      </c>
      <c r="J1439" s="5">
        <v>0</v>
      </c>
      <c r="K1439" s="5">
        <f t="shared" si="44"/>
        <v>0</v>
      </c>
      <c r="L1439" s="5">
        <v>9.8032407407407408E-3</v>
      </c>
      <c r="M1439" s="6">
        <f t="shared" si="45"/>
        <v>2.8806584362139915E-2</v>
      </c>
      <c r="N1439" s="5">
        <v>6.9444444444444444E-5</v>
      </c>
      <c r="O1439" s="5"/>
      <c r="P1439" s="5"/>
      <c r="Q1439" s="5"/>
      <c r="R1439" s="5"/>
      <c r="S1439" s="5"/>
      <c r="T1439" s="5">
        <v>2.4305555555555555E-4</v>
      </c>
      <c r="U1439" s="5">
        <v>9.3402777777777772E-3</v>
      </c>
      <c r="V1439" s="5"/>
      <c r="W1439" s="5">
        <v>8.1018518518518516E-5</v>
      </c>
    </row>
    <row r="1440" spans="1:23" x14ac:dyDescent="0.25">
      <c r="A1440" s="2">
        <v>46252</v>
      </c>
      <c r="B1440" s="3" t="s">
        <v>289</v>
      </c>
      <c r="C1440" s="3" t="s">
        <v>559</v>
      </c>
      <c r="D1440" s="3" t="s">
        <v>104</v>
      </c>
      <c r="E1440" s="3" t="s">
        <v>31</v>
      </c>
      <c r="F1440" s="3" t="s">
        <v>105</v>
      </c>
      <c r="G1440" s="4" t="s">
        <v>106</v>
      </c>
      <c r="H1440" s="4">
        <v>19</v>
      </c>
      <c r="I1440" s="5">
        <v>0.33309027777777778</v>
      </c>
      <c r="J1440" s="5">
        <v>0.14825231481481482</v>
      </c>
      <c r="K1440" s="5">
        <f t="shared" si="44"/>
        <v>7.802753411306043E-3</v>
      </c>
      <c r="L1440" s="5">
        <v>0.16501157407407407</v>
      </c>
      <c r="M1440" s="6">
        <f t="shared" si="45"/>
        <v>0.49539594843462248</v>
      </c>
      <c r="N1440" s="5">
        <v>7.743055555555556E-3</v>
      </c>
      <c r="O1440" s="5"/>
      <c r="P1440" s="5">
        <v>1.0300925925925926E-3</v>
      </c>
      <c r="Q1440" s="5"/>
      <c r="R1440" s="5"/>
      <c r="S1440" s="5">
        <v>1.4953703703703703E-2</v>
      </c>
      <c r="T1440" s="5">
        <v>1.8842592592592591E-2</v>
      </c>
      <c r="U1440" s="5">
        <v>8.4953703703703701E-3</v>
      </c>
      <c r="V1440" s="5"/>
      <c r="W1440" s="5">
        <v>0.11393518518518518</v>
      </c>
    </row>
    <row r="1441" spans="1:23" x14ac:dyDescent="0.25">
      <c r="A1441" s="2">
        <v>46252</v>
      </c>
      <c r="B1441" s="3" t="s">
        <v>252</v>
      </c>
      <c r="C1441" s="3" t="s">
        <v>553</v>
      </c>
      <c r="D1441" s="3" t="s">
        <v>78</v>
      </c>
      <c r="E1441" s="3" t="s">
        <v>79</v>
      </c>
      <c r="F1441" s="3" t="s">
        <v>80</v>
      </c>
      <c r="G1441" s="4" t="s">
        <v>81</v>
      </c>
      <c r="H1441" s="4">
        <v>1</v>
      </c>
      <c r="I1441" s="5">
        <v>9.9432870370370366E-2</v>
      </c>
      <c r="J1441" s="5">
        <v>6.627314814814815E-2</v>
      </c>
      <c r="K1441" s="5">
        <f t="shared" si="44"/>
        <v>6.627314814814815E-2</v>
      </c>
      <c r="L1441" s="5">
        <v>2.5057870370370369E-2</v>
      </c>
      <c r="M1441" s="6">
        <f t="shared" si="45"/>
        <v>0.25200791526015598</v>
      </c>
      <c r="N1441" s="5"/>
      <c r="O1441" s="5"/>
      <c r="P1441" s="5"/>
      <c r="Q1441" s="5"/>
      <c r="R1441" s="5"/>
      <c r="S1441" s="5"/>
      <c r="T1441" s="5">
        <v>1.7939814814814815E-3</v>
      </c>
      <c r="U1441" s="5">
        <v>2.3206018518518518E-2</v>
      </c>
      <c r="V1441" s="5"/>
      <c r="W1441" s="5"/>
    </row>
    <row r="1442" spans="1:23" x14ac:dyDescent="0.25">
      <c r="A1442" s="2">
        <v>46252</v>
      </c>
      <c r="B1442" s="3" t="s">
        <v>500</v>
      </c>
      <c r="C1442" s="3" t="s">
        <v>518</v>
      </c>
      <c r="D1442" s="3" t="s">
        <v>274</v>
      </c>
      <c r="E1442" s="3" t="s">
        <v>79</v>
      </c>
      <c r="F1442" s="3" t="s">
        <v>147</v>
      </c>
      <c r="G1442" s="4" t="s">
        <v>33</v>
      </c>
      <c r="H1442" s="4">
        <v>23</v>
      </c>
      <c r="I1442" s="5">
        <v>0.26306712962962964</v>
      </c>
      <c r="J1442" s="5">
        <v>9.7129629629629635E-2</v>
      </c>
      <c r="K1442" s="5">
        <f t="shared" si="44"/>
        <v>4.2230273752012883E-3</v>
      </c>
      <c r="L1442" s="5">
        <v>3.0729166666666665E-2</v>
      </c>
      <c r="M1442" s="6">
        <f t="shared" si="45"/>
        <v>0.11681112235470104</v>
      </c>
      <c r="N1442" s="5">
        <v>2.0717592592592593E-3</v>
      </c>
      <c r="O1442" s="5">
        <v>1.1909722222222223E-2</v>
      </c>
      <c r="P1442" s="5"/>
      <c r="Q1442" s="5">
        <v>1.2152777777777778E-3</v>
      </c>
      <c r="R1442" s="5"/>
      <c r="S1442" s="5">
        <v>1.443287037037037E-2</v>
      </c>
      <c r="T1442" s="5">
        <v>4.6296296296296298E-4</v>
      </c>
      <c r="U1442" s="5">
        <v>6.018518518518519E-4</v>
      </c>
      <c r="V1442" s="5"/>
      <c r="W1442" s="5"/>
    </row>
    <row r="1443" spans="1:23" x14ac:dyDescent="0.25">
      <c r="A1443" s="2">
        <v>46252</v>
      </c>
      <c r="B1443" s="3" t="s">
        <v>653</v>
      </c>
      <c r="C1443" s="3" t="s">
        <v>654</v>
      </c>
      <c r="D1443" s="3" t="s">
        <v>100</v>
      </c>
      <c r="E1443" s="3" t="s">
        <v>31</v>
      </c>
      <c r="F1443" s="3" t="s">
        <v>32</v>
      </c>
      <c r="G1443" s="4" t="s">
        <v>33</v>
      </c>
      <c r="H1443" s="4">
        <v>31</v>
      </c>
      <c r="I1443" s="5">
        <v>0.26398148148148148</v>
      </c>
      <c r="J1443" s="5">
        <v>0.19832175925925927</v>
      </c>
      <c r="K1443" s="5">
        <f t="shared" si="44"/>
        <v>6.3974761051373953E-3</v>
      </c>
      <c r="L1443" s="5">
        <v>4.7812500000000001E-2</v>
      </c>
      <c r="M1443" s="6">
        <f t="shared" si="45"/>
        <v>0.18112065941774816</v>
      </c>
      <c r="N1443" s="5">
        <v>8.7152777777777784E-3</v>
      </c>
      <c r="O1443" s="5">
        <v>1.4849537037037038E-2</v>
      </c>
      <c r="P1443" s="5"/>
      <c r="Q1443" s="5">
        <v>6.9560185185185185E-3</v>
      </c>
      <c r="R1443" s="5"/>
      <c r="S1443" s="5">
        <v>1.425925925925926E-2</v>
      </c>
      <c r="T1443" s="5">
        <v>1.9212962962962964E-3</v>
      </c>
      <c r="U1443" s="5">
        <v>1.0648148148148149E-3</v>
      </c>
      <c r="V1443" s="5"/>
      <c r="W1443" s="5"/>
    </row>
    <row r="1444" spans="1:23" x14ac:dyDescent="0.25">
      <c r="A1444" s="2">
        <v>46252</v>
      </c>
      <c r="B1444" s="3" t="s">
        <v>52</v>
      </c>
      <c r="C1444" s="3" t="s">
        <v>509</v>
      </c>
      <c r="D1444" s="3" t="s">
        <v>100</v>
      </c>
      <c r="E1444" s="3" t="s">
        <v>31</v>
      </c>
      <c r="F1444" s="3" t="s">
        <v>32</v>
      </c>
      <c r="G1444" s="4" t="s">
        <v>33</v>
      </c>
      <c r="H1444" s="4">
        <v>2</v>
      </c>
      <c r="I1444" s="5">
        <v>0.2452199074074074</v>
      </c>
      <c r="J1444" s="5">
        <v>8.2754629629629636E-3</v>
      </c>
      <c r="K1444" s="5">
        <f t="shared" si="44"/>
        <v>4.1377314814814818E-3</v>
      </c>
      <c r="L1444" s="5">
        <v>0.23662037037037037</v>
      </c>
      <c r="M1444" s="6">
        <f t="shared" si="45"/>
        <v>0.96493132581299856</v>
      </c>
      <c r="N1444" s="5"/>
      <c r="O1444" s="5">
        <v>1.4317129629629629E-2</v>
      </c>
      <c r="P1444" s="5"/>
      <c r="Q1444" s="5">
        <v>5.7291666666666663E-3</v>
      </c>
      <c r="R1444" s="5"/>
      <c r="S1444" s="5">
        <v>1.3726851851851851E-2</v>
      </c>
      <c r="T1444" s="5">
        <v>4.2824074074074075E-4</v>
      </c>
      <c r="U1444" s="5"/>
      <c r="V1444" s="5"/>
      <c r="W1444" s="5">
        <v>0.20241898148148149</v>
      </c>
    </row>
    <row r="1445" spans="1:23" x14ac:dyDescent="0.25">
      <c r="A1445" s="2">
        <v>46252</v>
      </c>
      <c r="B1445" s="3" t="s">
        <v>164</v>
      </c>
      <c r="C1445" s="3" t="s">
        <v>519</v>
      </c>
      <c r="D1445" s="3" t="s">
        <v>146</v>
      </c>
      <c r="E1445" s="3" t="s">
        <v>79</v>
      </c>
      <c r="F1445" s="3" t="s">
        <v>147</v>
      </c>
      <c r="G1445" s="4" t="s">
        <v>106</v>
      </c>
      <c r="H1445" s="4">
        <v>31</v>
      </c>
      <c r="I1445" s="5">
        <v>0.3190972222222222</v>
      </c>
      <c r="J1445" s="5">
        <v>0.10355324074074074</v>
      </c>
      <c r="K1445" s="5">
        <f t="shared" si="44"/>
        <v>3.3404271206690559E-3</v>
      </c>
      <c r="L1445" s="5">
        <v>2.7893518518518519E-2</v>
      </c>
      <c r="M1445" s="6">
        <f t="shared" si="45"/>
        <v>8.7413855640188623E-2</v>
      </c>
      <c r="N1445" s="5">
        <v>4.8379629629629632E-3</v>
      </c>
      <c r="O1445" s="5">
        <v>7.8125E-3</v>
      </c>
      <c r="P1445" s="5"/>
      <c r="Q1445" s="5"/>
      <c r="R1445" s="5">
        <v>4.6296296296296294E-5</v>
      </c>
      <c r="S1445" s="5">
        <v>1.3923611111111111E-2</v>
      </c>
      <c r="T1445" s="5">
        <v>1.2731481481481483E-3</v>
      </c>
      <c r="U1445" s="5"/>
      <c r="V1445" s="5"/>
      <c r="W1445" s="5"/>
    </row>
    <row r="1446" spans="1:23" x14ac:dyDescent="0.25">
      <c r="A1446" s="2">
        <v>46252</v>
      </c>
      <c r="B1446" s="3" t="s">
        <v>655</v>
      </c>
      <c r="C1446" s="3" t="s">
        <v>656</v>
      </c>
      <c r="D1446" s="3" t="s">
        <v>100</v>
      </c>
      <c r="E1446" s="3" t="s">
        <v>31</v>
      </c>
      <c r="F1446" s="3" t="s">
        <v>32</v>
      </c>
      <c r="G1446" s="4" t="s">
        <v>33</v>
      </c>
      <c r="H1446" s="4">
        <v>21</v>
      </c>
      <c r="I1446" s="5">
        <v>0.24929398148148149</v>
      </c>
      <c r="J1446" s="5">
        <v>0.15135416666666668</v>
      </c>
      <c r="K1446" s="5">
        <f t="shared" si="44"/>
        <v>7.2073412698412708E-3</v>
      </c>
      <c r="L1446" s="5">
        <v>3.8460648148148147E-2</v>
      </c>
      <c r="M1446" s="6">
        <f t="shared" si="45"/>
        <v>0.15427828589999534</v>
      </c>
      <c r="N1446" s="5">
        <v>2.9745370370370373E-3</v>
      </c>
      <c r="O1446" s="5">
        <v>1.3773148148148149E-2</v>
      </c>
      <c r="P1446" s="5"/>
      <c r="Q1446" s="5">
        <v>6.875E-3</v>
      </c>
      <c r="R1446" s="5"/>
      <c r="S1446" s="5">
        <v>1.4039351851851851E-2</v>
      </c>
      <c r="T1446" s="5">
        <v>6.9444444444444444E-5</v>
      </c>
      <c r="U1446" s="5">
        <v>6.8287037037037036E-4</v>
      </c>
      <c r="V1446" s="5"/>
      <c r="W1446" s="5"/>
    </row>
    <row r="1447" spans="1:23" x14ac:dyDescent="0.25">
      <c r="A1447" s="2">
        <v>46252</v>
      </c>
      <c r="B1447" s="3" t="s">
        <v>657</v>
      </c>
      <c r="C1447" s="3" t="s">
        <v>658</v>
      </c>
      <c r="D1447" s="3" t="s">
        <v>274</v>
      </c>
      <c r="E1447" s="3" t="s">
        <v>79</v>
      </c>
      <c r="F1447" s="3" t="s">
        <v>147</v>
      </c>
      <c r="G1447" s="4" t="s">
        <v>33</v>
      </c>
      <c r="H1447" s="4">
        <v>24</v>
      </c>
      <c r="I1447" s="5">
        <v>0.25637731481481479</v>
      </c>
      <c r="J1447" s="5">
        <v>6.9085648148148146E-2</v>
      </c>
      <c r="K1447" s="5">
        <f t="shared" si="44"/>
        <v>2.8785686728395061E-3</v>
      </c>
      <c r="L1447" s="5">
        <v>2.9270833333333333E-2</v>
      </c>
      <c r="M1447" s="6">
        <f t="shared" si="45"/>
        <v>0.11417091779152183</v>
      </c>
      <c r="N1447" s="5">
        <v>8.564814814814815E-4</v>
      </c>
      <c r="O1447" s="5">
        <v>8.067129629629629E-3</v>
      </c>
      <c r="P1447" s="5"/>
      <c r="Q1447" s="5"/>
      <c r="R1447" s="5"/>
      <c r="S1447" s="5">
        <v>2.0208333333333332E-2</v>
      </c>
      <c r="T1447" s="5">
        <v>6.9444444444444444E-5</v>
      </c>
      <c r="U1447" s="5">
        <v>6.9444444444444444E-5</v>
      </c>
      <c r="V1447" s="5"/>
      <c r="W1447" s="5"/>
    </row>
    <row r="1448" spans="1:23" x14ac:dyDescent="0.25">
      <c r="A1448" s="2">
        <v>46252</v>
      </c>
      <c r="B1448" s="3" t="s">
        <v>166</v>
      </c>
      <c r="C1448" s="3" t="s">
        <v>167</v>
      </c>
      <c r="D1448" s="3" t="s">
        <v>146</v>
      </c>
      <c r="E1448" s="3" t="s">
        <v>79</v>
      </c>
      <c r="F1448" s="3" t="s">
        <v>147</v>
      </c>
      <c r="G1448" s="4" t="s">
        <v>106</v>
      </c>
      <c r="H1448" s="4">
        <v>28</v>
      </c>
      <c r="I1448" s="5">
        <v>0.25939814814814816</v>
      </c>
      <c r="J1448" s="5">
        <v>7.2662037037037039E-2</v>
      </c>
      <c r="K1448" s="5">
        <f t="shared" si="44"/>
        <v>2.5950727513227513E-3</v>
      </c>
      <c r="L1448" s="5">
        <v>3.5543981481481482E-2</v>
      </c>
      <c r="M1448" s="6">
        <f t="shared" si="45"/>
        <v>0.13702480813849724</v>
      </c>
      <c r="N1448" s="5">
        <v>1.0995370370370371E-3</v>
      </c>
      <c r="O1448" s="5">
        <v>1.3506944444444445E-2</v>
      </c>
      <c r="P1448" s="5"/>
      <c r="Q1448" s="5"/>
      <c r="R1448" s="5"/>
      <c r="S1448" s="5">
        <v>1.4039351851851851E-2</v>
      </c>
      <c r="T1448" s="5">
        <v>8.1018518518518516E-5</v>
      </c>
      <c r="U1448" s="5">
        <v>6.6087962962962966E-3</v>
      </c>
      <c r="V1448" s="5"/>
      <c r="W1448" s="5">
        <v>2.0833333333333335E-4</v>
      </c>
    </row>
    <row r="1449" spans="1:23" x14ac:dyDescent="0.25">
      <c r="A1449" s="2">
        <v>46252</v>
      </c>
      <c r="B1449" s="3" t="s">
        <v>659</v>
      </c>
      <c r="C1449" s="3" t="s">
        <v>660</v>
      </c>
      <c r="D1449" s="3" t="s">
        <v>100</v>
      </c>
      <c r="E1449" s="3" t="s">
        <v>31</v>
      </c>
      <c r="F1449" s="3" t="s">
        <v>32</v>
      </c>
      <c r="G1449" s="4" t="s">
        <v>33</v>
      </c>
      <c r="H1449" s="4">
        <v>11</v>
      </c>
      <c r="I1449" s="5">
        <v>0.19811342592592593</v>
      </c>
      <c r="J1449" s="5">
        <v>4.4560185185185182E-2</v>
      </c>
      <c r="K1449" s="5">
        <f t="shared" si="44"/>
        <v>4.0509259259259257E-3</v>
      </c>
      <c r="L1449" s="5">
        <v>0.16569444444444445</v>
      </c>
      <c r="M1449" s="6">
        <f t="shared" si="45"/>
        <v>0.836361511947187</v>
      </c>
      <c r="N1449" s="5">
        <v>1.425925925925926E-2</v>
      </c>
      <c r="O1449" s="5">
        <v>1.4178240740740741E-2</v>
      </c>
      <c r="P1449" s="5"/>
      <c r="Q1449" s="5"/>
      <c r="R1449" s="5"/>
      <c r="S1449" s="5">
        <v>1.3645833333333333E-2</v>
      </c>
      <c r="T1449" s="5">
        <v>5.3240740740740744E-4</v>
      </c>
      <c r="U1449" s="5">
        <v>8.1018518518518516E-4</v>
      </c>
      <c r="V1449" s="5"/>
      <c r="W1449" s="5">
        <v>0.12225694444444445</v>
      </c>
    </row>
    <row r="1450" spans="1:23" x14ac:dyDescent="0.25">
      <c r="A1450" s="2">
        <v>46252</v>
      </c>
      <c r="B1450" s="3" t="s">
        <v>254</v>
      </c>
      <c r="C1450" s="3" t="s">
        <v>528</v>
      </c>
      <c r="D1450" s="3" t="s">
        <v>233</v>
      </c>
      <c r="E1450" s="3" t="s">
        <v>31</v>
      </c>
      <c r="F1450" s="3" t="s">
        <v>32</v>
      </c>
      <c r="G1450" s="4" t="s">
        <v>106</v>
      </c>
      <c r="H1450" s="4">
        <v>22</v>
      </c>
      <c r="I1450" s="5">
        <v>0.26283564814814814</v>
      </c>
      <c r="J1450" s="5">
        <v>0.10141203703703704</v>
      </c>
      <c r="K1450" s="5">
        <f t="shared" si="44"/>
        <v>4.609638047138047E-3</v>
      </c>
      <c r="L1450" s="5">
        <v>6.3738425925925921E-2</v>
      </c>
      <c r="M1450" s="6">
        <f t="shared" si="45"/>
        <v>0.2425029723898014</v>
      </c>
      <c r="N1450" s="5">
        <v>1.9363425925925926E-2</v>
      </c>
      <c r="O1450" s="5">
        <v>1.3796296296296296E-2</v>
      </c>
      <c r="P1450" s="5"/>
      <c r="Q1450" s="5">
        <v>1.1875E-2</v>
      </c>
      <c r="R1450" s="5"/>
      <c r="S1450" s="5">
        <v>1.4178240740740741E-2</v>
      </c>
      <c r="T1450" s="5">
        <v>4.5254629629629629E-3</v>
      </c>
      <c r="U1450" s="5"/>
      <c r="V1450" s="5"/>
      <c r="W1450" s="5"/>
    </row>
    <row r="1451" spans="1:23" x14ac:dyDescent="0.25">
      <c r="A1451" s="2">
        <v>46252</v>
      </c>
      <c r="B1451" s="3" t="s">
        <v>201</v>
      </c>
      <c r="C1451" s="3" t="s">
        <v>545</v>
      </c>
      <c r="D1451" s="3" t="s">
        <v>601</v>
      </c>
      <c r="E1451" s="3" t="s">
        <v>31</v>
      </c>
      <c r="F1451" s="3" t="s">
        <v>600</v>
      </c>
      <c r="G1451" s="4" t="s">
        <v>33</v>
      </c>
      <c r="H1451" s="4">
        <v>25</v>
      </c>
      <c r="I1451" s="5">
        <v>0.24802083333333333</v>
      </c>
      <c r="J1451" s="5">
        <v>9.4664351851851847E-2</v>
      </c>
      <c r="K1451" s="5">
        <f t="shared" si="44"/>
        <v>3.7865740740740737E-3</v>
      </c>
      <c r="L1451" s="5">
        <v>5.8113425925925923E-2</v>
      </c>
      <c r="M1451" s="6">
        <f t="shared" si="45"/>
        <v>0.23430864716039013</v>
      </c>
      <c r="N1451" s="5">
        <v>7.8356481481481489E-3</v>
      </c>
      <c r="O1451" s="5">
        <v>1.8784722222222223E-2</v>
      </c>
      <c r="P1451" s="5">
        <v>4.2824074074074075E-4</v>
      </c>
      <c r="Q1451" s="5"/>
      <c r="R1451" s="5"/>
      <c r="S1451" s="5">
        <v>1.7916666666666668E-2</v>
      </c>
      <c r="T1451" s="5">
        <v>2.2106481481481482E-3</v>
      </c>
      <c r="U1451" s="5">
        <v>1.0925925925925926E-2</v>
      </c>
      <c r="V1451" s="5"/>
      <c r="W1451" s="5"/>
    </row>
    <row r="1452" spans="1:23" x14ac:dyDescent="0.25">
      <c r="A1452" s="2">
        <v>46252</v>
      </c>
      <c r="B1452" s="3" t="s">
        <v>168</v>
      </c>
      <c r="C1452" s="3" t="s">
        <v>520</v>
      </c>
      <c r="D1452" s="3" t="s">
        <v>274</v>
      </c>
      <c r="E1452" s="3" t="s">
        <v>79</v>
      </c>
      <c r="F1452" s="3" t="s">
        <v>147</v>
      </c>
      <c r="G1452" s="4" t="s">
        <v>33</v>
      </c>
      <c r="H1452" s="4">
        <v>20</v>
      </c>
      <c r="I1452" s="5">
        <v>0.26399305555555558</v>
      </c>
      <c r="J1452" s="5">
        <v>7.2881944444444444E-2</v>
      </c>
      <c r="K1452" s="5">
        <f t="shared" si="44"/>
        <v>3.6440972222222222E-3</v>
      </c>
      <c r="L1452" s="5">
        <v>3.6585648148148145E-2</v>
      </c>
      <c r="M1452" s="6">
        <f t="shared" si="45"/>
        <v>0.13858564601692311</v>
      </c>
      <c r="N1452" s="5">
        <v>6.3888888888888893E-3</v>
      </c>
      <c r="O1452" s="5">
        <v>1.4247685185185184E-2</v>
      </c>
      <c r="P1452" s="5"/>
      <c r="Q1452" s="5"/>
      <c r="R1452" s="5"/>
      <c r="S1452" s="5">
        <v>1.556712962962963E-2</v>
      </c>
      <c r="T1452" s="5">
        <v>2.6620370370370372E-4</v>
      </c>
      <c r="U1452" s="5">
        <v>1.1574074074074075E-4</v>
      </c>
      <c r="V1452" s="5"/>
      <c r="W1452" s="5"/>
    </row>
    <row r="1453" spans="1:23" x14ac:dyDescent="0.25">
      <c r="A1453" s="2">
        <v>46252</v>
      </c>
      <c r="B1453" s="3" t="s">
        <v>170</v>
      </c>
      <c r="C1453" s="3" t="s">
        <v>521</v>
      </c>
      <c r="D1453" s="3" t="s">
        <v>146</v>
      </c>
      <c r="E1453" s="3" t="s">
        <v>79</v>
      </c>
      <c r="F1453" s="3" t="s">
        <v>147</v>
      </c>
      <c r="G1453" s="4" t="s">
        <v>106</v>
      </c>
      <c r="H1453" s="4">
        <v>20</v>
      </c>
      <c r="I1453" s="5">
        <v>0.26351851851851854</v>
      </c>
      <c r="J1453" s="5">
        <v>0.10995370370370371</v>
      </c>
      <c r="K1453" s="5">
        <f t="shared" si="44"/>
        <v>5.4976851851851853E-3</v>
      </c>
      <c r="L1453" s="5">
        <v>4.7743055555555552E-2</v>
      </c>
      <c r="M1453" s="6">
        <f t="shared" si="45"/>
        <v>0.1811753338018271</v>
      </c>
      <c r="N1453" s="5">
        <v>5.8912037037037041E-3</v>
      </c>
      <c r="O1453" s="5">
        <v>1.7210648148148149E-2</v>
      </c>
      <c r="P1453" s="5"/>
      <c r="Q1453" s="5">
        <v>9.6064814814814819E-4</v>
      </c>
      <c r="R1453" s="5"/>
      <c r="S1453" s="5">
        <v>2.087962962962963E-2</v>
      </c>
      <c r="T1453" s="5">
        <v>1.7708333333333332E-3</v>
      </c>
      <c r="U1453" s="5">
        <v>9.837962962962962E-4</v>
      </c>
      <c r="V1453" s="5"/>
      <c r="W1453" s="5"/>
    </row>
    <row r="1454" spans="1:23" x14ac:dyDescent="0.25">
      <c r="A1454" s="2">
        <v>46252</v>
      </c>
      <c r="B1454" s="3" t="s">
        <v>92</v>
      </c>
      <c r="C1454" s="3" t="s">
        <v>93</v>
      </c>
      <c r="D1454" s="3" t="s">
        <v>78</v>
      </c>
      <c r="E1454" s="3" t="s">
        <v>79</v>
      </c>
      <c r="F1454" s="3" t="s">
        <v>80</v>
      </c>
      <c r="G1454" s="4" t="s">
        <v>81</v>
      </c>
      <c r="H1454" s="4">
        <v>0</v>
      </c>
      <c r="I1454" s="5">
        <v>0.38309027777777777</v>
      </c>
      <c r="J1454" s="5">
        <v>0</v>
      </c>
      <c r="K1454" s="5">
        <f t="shared" si="44"/>
        <v>0</v>
      </c>
      <c r="L1454" s="5">
        <v>0.1948263888888889</v>
      </c>
      <c r="M1454" s="6">
        <f t="shared" si="45"/>
        <v>0.5085652134505575</v>
      </c>
      <c r="N1454" s="5"/>
      <c r="O1454" s="5">
        <v>4.1886574074074076E-2</v>
      </c>
      <c r="P1454" s="5"/>
      <c r="Q1454" s="5"/>
      <c r="R1454" s="5">
        <v>2.5763888888888888E-2</v>
      </c>
      <c r="S1454" s="5">
        <v>7.3958333333333333E-3</v>
      </c>
      <c r="T1454" s="5">
        <v>7.2106481481481483E-3</v>
      </c>
      <c r="U1454" s="5">
        <v>0.11243055555555556</v>
      </c>
      <c r="V1454" s="5"/>
      <c r="W1454" s="5"/>
    </row>
    <row r="1455" spans="1:23" x14ac:dyDescent="0.25">
      <c r="A1455" s="2">
        <v>46252</v>
      </c>
      <c r="B1455" s="3" t="s">
        <v>94</v>
      </c>
      <c r="C1455" s="3" t="s">
        <v>95</v>
      </c>
      <c r="D1455" s="3" t="s">
        <v>78</v>
      </c>
      <c r="E1455" s="3" t="s">
        <v>79</v>
      </c>
      <c r="F1455" s="3" t="s">
        <v>80</v>
      </c>
      <c r="G1455" s="4" t="s">
        <v>81</v>
      </c>
      <c r="H1455" s="4">
        <v>0</v>
      </c>
      <c r="I1455" s="5">
        <v>0.3342013888888889</v>
      </c>
      <c r="J1455" s="5">
        <v>0</v>
      </c>
      <c r="K1455" s="5">
        <f t="shared" si="44"/>
        <v>0</v>
      </c>
      <c r="L1455" s="5">
        <v>0.11364583333333333</v>
      </c>
      <c r="M1455" s="6">
        <f t="shared" si="45"/>
        <v>0.34005194805194805</v>
      </c>
      <c r="N1455" s="5">
        <v>1.1574074074074073E-5</v>
      </c>
      <c r="O1455" s="5"/>
      <c r="P1455" s="5"/>
      <c r="Q1455" s="5"/>
      <c r="R1455" s="5">
        <v>8.6620370370370375E-2</v>
      </c>
      <c r="S1455" s="5"/>
      <c r="T1455" s="5"/>
      <c r="U1455" s="5">
        <v>2.6932870370370371E-2</v>
      </c>
      <c r="V1455" s="5"/>
      <c r="W1455" s="5"/>
    </row>
    <row r="1456" spans="1:23" x14ac:dyDescent="0.25">
      <c r="A1456" s="2">
        <v>46252</v>
      </c>
      <c r="B1456" s="3" t="s">
        <v>293</v>
      </c>
      <c r="C1456" s="3" t="s">
        <v>543</v>
      </c>
      <c r="D1456" s="3" t="s">
        <v>104</v>
      </c>
      <c r="E1456" s="3" t="s">
        <v>31</v>
      </c>
      <c r="F1456" s="3" t="s">
        <v>600</v>
      </c>
      <c r="G1456" s="4" t="s">
        <v>106</v>
      </c>
      <c r="H1456" s="4">
        <v>33</v>
      </c>
      <c r="I1456" s="5">
        <v>0.2697222222222222</v>
      </c>
      <c r="J1456" s="5">
        <v>0.10811342592592593</v>
      </c>
      <c r="K1456" s="5">
        <f t="shared" si="44"/>
        <v>3.2761644219977556E-3</v>
      </c>
      <c r="L1456" s="5">
        <v>0.10071759259259259</v>
      </c>
      <c r="M1456" s="6">
        <f t="shared" si="45"/>
        <v>0.37341228973566776</v>
      </c>
      <c r="N1456" s="5">
        <v>1.3229166666666667E-2</v>
      </c>
      <c r="O1456" s="5"/>
      <c r="P1456" s="5"/>
      <c r="Q1456" s="5"/>
      <c r="R1456" s="5">
        <v>7.4999999999999997E-3</v>
      </c>
      <c r="S1456" s="5">
        <v>1.3136574074074075E-2</v>
      </c>
      <c r="T1456" s="5">
        <v>9.2592592592592588E-5</v>
      </c>
      <c r="U1456" s="5"/>
      <c r="V1456" s="5"/>
      <c r="W1456" s="5">
        <v>6.6759259259259254E-2</v>
      </c>
    </row>
    <row r="1457" spans="1:23" x14ac:dyDescent="0.25">
      <c r="A1457" s="2">
        <v>46252</v>
      </c>
      <c r="B1457" s="3" t="s">
        <v>606</v>
      </c>
      <c r="C1457" s="3" t="s">
        <v>633</v>
      </c>
      <c r="D1457" s="3" t="s">
        <v>146</v>
      </c>
      <c r="E1457" s="3" t="s">
        <v>79</v>
      </c>
      <c r="F1457" s="3" t="s">
        <v>147</v>
      </c>
      <c r="G1457" s="4" t="s">
        <v>106</v>
      </c>
      <c r="H1457" s="4">
        <v>13</v>
      </c>
      <c r="I1457" s="5">
        <v>0.25868055555555558</v>
      </c>
      <c r="J1457" s="5">
        <v>8.6701388888888883E-2</v>
      </c>
      <c r="K1457" s="5">
        <f t="shared" si="44"/>
        <v>6.6693376068376062E-3</v>
      </c>
      <c r="L1457" s="5">
        <v>8.7499999999999994E-2</v>
      </c>
      <c r="M1457" s="6">
        <f t="shared" si="45"/>
        <v>0.33825503355704695</v>
      </c>
      <c r="N1457" s="5">
        <v>1.6701388888888891E-2</v>
      </c>
      <c r="O1457" s="5">
        <v>1.3993055555555555E-2</v>
      </c>
      <c r="P1457" s="5"/>
      <c r="Q1457" s="5">
        <v>2.1643518518518518E-3</v>
      </c>
      <c r="R1457" s="5"/>
      <c r="S1457" s="5">
        <v>1.5335648148148149E-2</v>
      </c>
      <c r="T1457" s="5">
        <v>1.5393518518518519E-3</v>
      </c>
      <c r="U1457" s="5">
        <v>2.5312500000000002E-2</v>
      </c>
      <c r="V1457" s="5"/>
      <c r="W1457" s="5">
        <v>1.2442129629629629E-2</v>
      </c>
    </row>
    <row r="1458" spans="1:23" x14ac:dyDescent="0.25">
      <c r="A1458" s="2">
        <v>46252</v>
      </c>
      <c r="B1458" s="3" t="s">
        <v>256</v>
      </c>
      <c r="C1458" s="3" t="s">
        <v>529</v>
      </c>
      <c r="D1458" s="3" t="s">
        <v>233</v>
      </c>
      <c r="E1458" s="3" t="s">
        <v>31</v>
      </c>
      <c r="F1458" s="3" t="s">
        <v>32</v>
      </c>
      <c r="G1458" s="4" t="s">
        <v>106</v>
      </c>
      <c r="H1458" s="4">
        <v>18</v>
      </c>
      <c r="I1458" s="5">
        <v>0.24166666666666667</v>
      </c>
      <c r="J1458" s="5">
        <v>0.11570601851851851</v>
      </c>
      <c r="K1458" s="5">
        <f t="shared" si="44"/>
        <v>6.4281121399176952E-3</v>
      </c>
      <c r="L1458" s="5">
        <v>5.212962962962963E-2</v>
      </c>
      <c r="M1458" s="6">
        <f t="shared" si="45"/>
        <v>0.2157088122605364</v>
      </c>
      <c r="N1458" s="5">
        <v>1.6261574074074074E-2</v>
      </c>
      <c r="O1458" s="5">
        <v>1.726851851851852E-2</v>
      </c>
      <c r="P1458" s="5"/>
      <c r="Q1458" s="5"/>
      <c r="R1458" s="5"/>
      <c r="S1458" s="5">
        <v>1.4780092592592593E-2</v>
      </c>
      <c r="T1458" s="5">
        <v>1.736111111111111E-3</v>
      </c>
      <c r="U1458" s="5">
        <v>2.0486111111111113E-3</v>
      </c>
      <c r="V1458" s="5"/>
      <c r="W1458" s="5"/>
    </row>
    <row r="1459" spans="1:23" x14ac:dyDescent="0.25">
      <c r="A1459" s="2">
        <v>46252</v>
      </c>
      <c r="B1459" s="3" t="s">
        <v>612</v>
      </c>
      <c r="C1459" s="3" t="s">
        <v>634</v>
      </c>
      <c r="D1459" s="3" t="s">
        <v>601</v>
      </c>
      <c r="E1459" s="3" t="s">
        <v>31</v>
      </c>
      <c r="F1459" s="3" t="s">
        <v>105</v>
      </c>
      <c r="G1459" s="4" t="s">
        <v>33</v>
      </c>
      <c r="H1459" s="4">
        <v>5</v>
      </c>
      <c r="I1459" s="5">
        <v>0.23636574074074074</v>
      </c>
      <c r="J1459" s="5">
        <v>9.4328703703703706E-2</v>
      </c>
      <c r="K1459" s="5">
        <f t="shared" si="44"/>
        <v>1.8865740740740742E-2</v>
      </c>
      <c r="L1459" s="5">
        <v>0.2170138888888889</v>
      </c>
      <c r="M1459" s="6">
        <f t="shared" si="45"/>
        <v>0.91812750954852618</v>
      </c>
      <c r="N1459" s="5">
        <v>3.3460648148148149E-2</v>
      </c>
      <c r="O1459" s="5">
        <v>1.7141203703703704E-2</v>
      </c>
      <c r="P1459" s="5"/>
      <c r="Q1459" s="5"/>
      <c r="R1459" s="5"/>
      <c r="S1459" s="5">
        <v>1.4166666666666666E-2</v>
      </c>
      <c r="T1459" s="5">
        <v>4.2164351851851849E-2</v>
      </c>
      <c r="U1459" s="5">
        <v>0.11008101851851852</v>
      </c>
      <c r="V1459" s="5"/>
      <c r="W1459" s="5"/>
    </row>
    <row r="1460" spans="1:23" x14ac:dyDescent="0.25">
      <c r="A1460" s="2">
        <v>46252</v>
      </c>
      <c r="B1460" s="3" t="s">
        <v>258</v>
      </c>
      <c r="C1460" s="3" t="s">
        <v>554</v>
      </c>
      <c r="D1460" s="3" t="s">
        <v>233</v>
      </c>
      <c r="E1460" s="3" t="s">
        <v>31</v>
      </c>
      <c r="F1460" s="3" t="s">
        <v>32</v>
      </c>
      <c r="G1460" s="4" t="s">
        <v>106</v>
      </c>
      <c r="H1460" s="4">
        <v>0</v>
      </c>
      <c r="I1460" s="5">
        <v>0.21725694444444443</v>
      </c>
      <c r="J1460" s="5">
        <v>0</v>
      </c>
      <c r="K1460" s="5">
        <f t="shared" si="44"/>
        <v>0</v>
      </c>
      <c r="L1460" s="5">
        <v>0.21725694444444443</v>
      </c>
      <c r="M1460" s="6">
        <f t="shared" si="45"/>
        <v>1</v>
      </c>
      <c r="N1460" s="5"/>
      <c r="O1460" s="5"/>
      <c r="P1460" s="5"/>
      <c r="Q1460" s="5"/>
      <c r="R1460" s="5"/>
      <c r="S1460" s="5">
        <v>1.3310185185185185E-2</v>
      </c>
      <c r="T1460" s="5">
        <v>1.3680555555555555E-2</v>
      </c>
      <c r="U1460" s="5"/>
      <c r="V1460" s="5"/>
      <c r="W1460" s="5">
        <v>0.1902662037037037</v>
      </c>
    </row>
    <row r="1461" spans="1:23" x14ac:dyDescent="0.25">
      <c r="A1461" s="2">
        <v>46252</v>
      </c>
      <c r="B1461" s="3" t="s">
        <v>661</v>
      </c>
      <c r="C1461" s="3" t="s">
        <v>662</v>
      </c>
      <c r="D1461" s="3" t="s">
        <v>100</v>
      </c>
      <c r="E1461" s="3" t="s">
        <v>31</v>
      </c>
      <c r="F1461" s="3" t="s">
        <v>32</v>
      </c>
      <c r="G1461" s="4" t="s">
        <v>33</v>
      </c>
      <c r="H1461" s="4">
        <v>27</v>
      </c>
      <c r="I1461" s="5">
        <v>0.26270833333333332</v>
      </c>
      <c r="J1461" s="5">
        <v>0.14656250000000001</v>
      </c>
      <c r="K1461" s="5">
        <f t="shared" si="44"/>
        <v>5.4282407407407413E-3</v>
      </c>
      <c r="L1461" s="5">
        <v>8.9687500000000003E-2</v>
      </c>
      <c r="M1461" s="6">
        <f t="shared" si="45"/>
        <v>0.34139571768437749</v>
      </c>
      <c r="N1461" s="5">
        <v>4.1319444444444442E-3</v>
      </c>
      <c r="O1461" s="5">
        <v>7.9166666666666673E-3</v>
      </c>
      <c r="P1461" s="5"/>
      <c r="Q1461" s="5">
        <v>3.9664351851851853E-2</v>
      </c>
      <c r="R1461" s="5">
        <v>5.7870370370370373E-5</v>
      </c>
      <c r="S1461" s="5">
        <v>1.4293981481481482E-2</v>
      </c>
      <c r="T1461" s="5">
        <v>7.4074074074074077E-3</v>
      </c>
      <c r="U1461" s="5">
        <v>6.1342592592592594E-3</v>
      </c>
      <c r="V1461" s="5"/>
      <c r="W1461" s="5">
        <v>1.0046296296296296E-2</v>
      </c>
    </row>
    <row r="1462" spans="1:23" x14ac:dyDescent="0.25">
      <c r="A1462" s="2">
        <v>46252</v>
      </c>
      <c r="B1462" s="3" t="s">
        <v>663</v>
      </c>
      <c r="C1462" s="3" t="s">
        <v>664</v>
      </c>
      <c r="D1462" s="3" t="s">
        <v>233</v>
      </c>
      <c r="E1462" s="3" t="s">
        <v>31</v>
      </c>
      <c r="F1462" s="3" t="s">
        <v>32</v>
      </c>
      <c r="G1462" s="4" t="s">
        <v>106</v>
      </c>
      <c r="H1462" s="4">
        <v>25</v>
      </c>
      <c r="I1462" s="5">
        <v>0.25890046296296299</v>
      </c>
      <c r="J1462" s="5">
        <v>0.1419212962962963</v>
      </c>
      <c r="K1462" s="5">
        <f t="shared" si="44"/>
        <v>5.6768518518518522E-3</v>
      </c>
      <c r="L1462" s="5">
        <v>3.5787037037037034E-2</v>
      </c>
      <c r="M1462" s="6">
        <f t="shared" si="45"/>
        <v>0.13822701059501988</v>
      </c>
      <c r="N1462" s="5">
        <v>4.2939814814814811E-3</v>
      </c>
      <c r="O1462" s="5">
        <v>1.3981481481481482E-2</v>
      </c>
      <c r="P1462" s="5"/>
      <c r="Q1462" s="5">
        <v>1.0185185185185184E-3</v>
      </c>
      <c r="R1462" s="5"/>
      <c r="S1462" s="5">
        <v>1.6423611111111111E-2</v>
      </c>
      <c r="T1462" s="5">
        <v>6.9444444444444444E-5</v>
      </c>
      <c r="U1462" s="5"/>
      <c r="V1462" s="5"/>
      <c r="W1462" s="5"/>
    </row>
    <row r="1463" spans="1:23" x14ac:dyDescent="0.25">
      <c r="A1463" s="2">
        <v>46252</v>
      </c>
      <c r="B1463" s="3" t="s">
        <v>665</v>
      </c>
      <c r="C1463" s="3" t="s">
        <v>666</v>
      </c>
      <c r="D1463" s="3" t="s">
        <v>100</v>
      </c>
      <c r="E1463" s="3" t="s">
        <v>31</v>
      </c>
      <c r="F1463" s="3" t="s">
        <v>32</v>
      </c>
      <c r="G1463" s="4" t="s">
        <v>33</v>
      </c>
      <c r="H1463" s="4">
        <v>46</v>
      </c>
      <c r="I1463" s="5">
        <v>0.26019675925925928</v>
      </c>
      <c r="J1463" s="5">
        <v>0.19690972222222222</v>
      </c>
      <c r="K1463" s="5">
        <f t="shared" si="44"/>
        <v>4.2806461352657005E-3</v>
      </c>
      <c r="L1463" s="5">
        <v>3.4490740740740738E-2</v>
      </c>
      <c r="M1463" s="6">
        <f t="shared" si="45"/>
        <v>0.13255638094390818</v>
      </c>
      <c r="N1463" s="5">
        <v>3.8194444444444446E-4</v>
      </c>
      <c r="O1463" s="5">
        <v>1.4166666666666666E-2</v>
      </c>
      <c r="P1463" s="5"/>
      <c r="Q1463" s="5"/>
      <c r="R1463" s="5">
        <v>6.9444444444444444E-5</v>
      </c>
      <c r="S1463" s="5">
        <v>1.1168981481481481E-2</v>
      </c>
      <c r="T1463" s="5">
        <v>6.0185185185185185E-3</v>
      </c>
      <c r="U1463" s="5">
        <v>2.5694444444444445E-3</v>
      </c>
      <c r="V1463" s="5"/>
      <c r="W1463" s="5"/>
    </row>
    <row r="1464" spans="1:23" x14ac:dyDescent="0.25">
      <c r="A1464" s="2">
        <v>46252</v>
      </c>
      <c r="B1464" s="3" t="s">
        <v>264</v>
      </c>
      <c r="C1464" s="3" t="s">
        <v>530</v>
      </c>
      <c r="D1464" s="3" t="s">
        <v>78</v>
      </c>
      <c r="E1464" s="3" t="s">
        <v>79</v>
      </c>
      <c r="F1464" s="3" t="s">
        <v>80</v>
      </c>
      <c r="G1464" s="4" t="s">
        <v>106</v>
      </c>
      <c r="H1464" s="4">
        <v>1</v>
      </c>
      <c r="I1464" s="5">
        <v>0.57762731481481477</v>
      </c>
      <c r="J1464" s="5">
        <v>1.2592592592592593E-2</v>
      </c>
      <c r="K1464" s="5">
        <f t="shared" si="44"/>
        <v>1.2592592592592593E-2</v>
      </c>
      <c r="L1464" s="5">
        <v>4.7430555555555552E-2</v>
      </c>
      <c r="M1464" s="6">
        <f t="shared" si="45"/>
        <v>8.2112729677199597E-2</v>
      </c>
      <c r="N1464" s="5"/>
      <c r="O1464" s="5"/>
      <c r="P1464" s="5"/>
      <c r="Q1464" s="5"/>
      <c r="R1464" s="5">
        <v>8.1018518518518516E-5</v>
      </c>
      <c r="S1464" s="5">
        <v>4.130787037037037E-2</v>
      </c>
      <c r="T1464" s="5">
        <v>1.1574074074074075E-4</v>
      </c>
      <c r="U1464" s="5">
        <v>6.9444444444444447E-4</v>
      </c>
      <c r="V1464" s="5"/>
      <c r="W1464" s="5">
        <v>5.162037037037037E-3</v>
      </c>
    </row>
    <row r="1465" spans="1:23" x14ac:dyDescent="0.25">
      <c r="A1465" s="2">
        <v>46252</v>
      </c>
      <c r="B1465" s="3" t="s">
        <v>128</v>
      </c>
      <c r="C1465" s="3" t="s">
        <v>555</v>
      </c>
      <c r="D1465" s="3" t="s">
        <v>233</v>
      </c>
      <c r="E1465" s="3" t="s">
        <v>31</v>
      </c>
      <c r="F1465" s="3" t="s">
        <v>32</v>
      </c>
      <c r="G1465" s="4" t="s">
        <v>106</v>
      </c>
      <c r="H1465" s="4">
        <v>24</v>
      </c>
      <c r="I1465" s="5">
        <v>0.24863425925925925</v>
      </c>
      <c r="J1465" s="5">
        <v>0.12351851851851851</v>
      </c>
      <c r="K1465" s="5">
        <f t="shared" si="44"/>
        <v>5.1466049382716044E-3</v>
      </c>
      <c r="L1465" s="5">
        <v>4.6053240740740742E-2</v>
      </c>
      <c r="M1465" s="6">
        <f t="shared" si="45"/>
        <v>0.18522483940042828</v>
      </c>
      <c r="N1465" s="5">
        <v>7.2685185185185188E-3</v>
      </c>
      <c r="O1465" s="5">
        <v>1.4074074074074074E-2</v>
      </c>
      <c r="P1465" s="5"/>
      <c r="Q1465" s="5">
        <v>9.0393518518518522E-3</v>
      </c>
      <c r="R1465" s="5"/>
      <c r="S1465" s="5">
        <v>1.3935185185185186E-2</v>
      </c>
      <c r="T1465" s="5">
        <v>1.0995370370370371E-3</v>
      </c>
      <c r="U1465" s="5">
        <v>6.134259259259259E-4</v>
      </c>
      <c r="V1465" s="5"/>
      <c r="W1465" s="5"/>
    </row>
    <row r="1466" spans="1:23" x14ac:dyDescent="0.25">
      <c r="A1466" s="2">
        <v>46252</v>
      </c>
      <c r="B1466" s="3" t="s">
        <v>178</v>
      </c>
      <c r="C1466" s="3" t="s">
        <v>522</v>
      </c>
      <c r="D1466" s="3" t="s">
        <v>146</v>
      </c>
      <c r="E1466" s="3" t="s">
        <v>79</v>
      </c>
      <c r="F1466" s="3" t="s">
        <v>147</v>
      </c>
      <c r="G1466" s="4" t="s">
        <v>106</v>
      </c>
      <c r="H1466" s="4">
        <v>22</v>
      </c>
      <c r="I1466" s="5">
        <v>0.25515046296296295</v>
      </c>
      <c r="J1466" s="5">
        <v>8.3645833333333336E-2</v>
      </c>
      <c r="K1466" s="5">
        <f t="shared" si="44"/>
        <v>3.8020833333333335E-3</v>
      </c>
      <c r="L1466" s="5">
        <v>3.1412037037037037E-2</v>
      </c>
      <c r="M1466" s="6">
        <f t="shared" si="45"/>
        <v>0.12311181673848946</v>
      </c>
      <c r="N1466" s="5"/>
      <c r="O1466" s="5">
        <v>1.4664351851851852E-2</v>
      </c>
      <c r="P1466" s="5"/>
      <c r="Q1466" s="5">
        <v>1.4004629629629629E-3</v>
      </c>
      <c r="R1466" s="5"/>
      <c r="S1466" s="5">
        <v>1.4212962962962964E-2</v>
      </c>
      <c r="T1466" s="5">
        <v>1.273148148148148E-4</v>
      </c>
      <c r="U1466" s="5">
        <v>9.6064814814814819E-4</v>
      </c>
      <c r="V1466" s="5"/>
      <c r="W1466" s="5"/>
    </row>
    <row r="1467" spans="1:23" x14ac:dyDescent="0.25">
      <c r="A1467" s="2">
        <v>46252</v>
      </c>
      <c r="B1467" s="3" t="s">
        <v>266</v>
      </c>
      <c r="C1467" s="3" t="s">
        <v>531</v>
      </c>
      <c r="D1467" s="3" t="s">
        <v>233</v>
      </c>
      <c r="E1467" s="3" t="s">
        <v>31</v>
      </c>
      <c r="F1467" s="3" t="s">
        <v>32</v>
      </c>
      <c r="G1467" s="4" t="s">
        <v>106</v>
      </c>
      <c r="H1467" s="4">
        <v>0</v>
      </c>
      <c r="I1467" s="5">
        <v>0.2167013888888889</v>
      </c>
      <c r="J1467" s="5">
        <v>0</v>
      </c>
      <c r="K1467" s="5">
        <f t="shared" si="44"/>
        <v>0</v>
      </c>
      <c r="L1467" s="5">
        <v>0.2167013888888889</v>
      </c>
      <c r="M1467" s="6">
        <f t="shared" si="45"/>
        <v>1</v>
      </c>
      <c r="N1467" s="5"/>
      <c r="O1467" s="5">
        <v>1.0937499999999999E-2</v>
      </c>
      <c r="P1467" s="5"/>
      <c r="Q1467" s="5"/>
      <c r="R1467" s="5"/>
      <c r="S1467" s="5">
        <v>1.3854166666666667E-2</v>
      </c>
      <c r="T1467" s="5">
        <v>7.5231481481481482E-4</v>
      </c>
      <c r="U1467" s="5"/>
      <c r="V1467" s="5"/>
      <c r="W1467" s="5">
        <v>0.19115740740740741</v>
      </c>
    </row>
    <row r="1468" spans="1:23" x14ac:dyDescent="0.25">
      <c r="A1468" s="2">
        <v>46252</v>
      </c>
      <c r="B1468" s="3" t="s">
        <v>297</v>
      </c>
      <c r="C1468" s="3" t="s">
        <v>667</v>
      </c>
      <c r="D1468" s="3" t="s">
        <v>104</v>
      </c>
      <c r="E1468" s="3" t="s">
        <v>31</v>
      </c>
      <c r="F1468" s="3" t="s">
        <v>105</v>
      </c>
      <c r="G1468" s="4" t="s">
        <v>106</v>
      </c>
      <c r="H1468" s="4">
        <v>15</v>
      </c>
      <c r="I1468" s="5">
        <v>0.24082175925925925</v>
      </c>
      <c r="J1468" s="5">
        <v>0.12340277777777778</v>
      </c>
      <c r="K1468" s="5">
        <f t="shared" si="44"/>
        <v>8.2268518518518515E-3</v>
      </c>
      <c r="L1468" s="5">
        <v>0.16762731481481483</v>
      </c>
      <c r="M1468" s="6">
        <f t="shared" si="45"/>
        <v>0.69606382467438854</v>
      </c>
      <c r="N1468" s="5">
        <v>1.462962962962963E-2</v>
      </c>
      <c r="O1468" s="5">
        <v>1.6168981481481482E-2</v>
      </c>
      <c r="P1468" s="5"/>
      <c r="Q1468" s="5">
        <v>2.3842592592592591E-3</v>
      </c>
      <c r="R1468" s="5"/>
      <c r="S1468" s="5">
        <v>1.7291666666666667E-2</v>
      </c>
      <c r="T1468" s="5">
        <v>4.2824074074074075E-4</v>
      </c>
      <c r="U1468" s="5">
        <v>1.2962962962962963E-3</v>
      </c>
      <c r="V1468" s="5"/>
      <c r="W1468" s="5">
        <v>0.11538194444444444</v>
      </c>
    </row>
    <row r="1469" spans="1:23" x14ac:dyDescent="0.25">
      <c r="A1469" s="2">
        <v>46252</v>
      </c>
      <c r="B1469" s="3" t="s">
        <v>207</v>
      </c>
      <c r="C1469" s="3" t="s">
        <v>566</v>
      </c>
      <c r="D1469" s="3" t="s">
        <v>274</v>
      </c>
      <c r="E1469" s="3" t="s">
        <v>79</v>
      </c>
      <c r="F1469" s="3" t="s">
        <v>147</v>
      </c>
      <c r="G1469" s="4" t="s">
        <v>33</v>
      </c>
      <c r="H1469" s="4">
        <v>25</v>
      </c>
      <c r="I1469" s="5">
        <v>0.26549768518518518</v>
      </c>
      <c r="J1469" s="5">
        <v>9.2546296296296293E-2</v>
      </c>
      <c r="K1469" s="5">
        <f t="shared" si="44"/>
        <v>3.7018518518518516E-3</v>
      </c>
      <c r="L1469" s="5">
        <v>3.2650462962962964E-2</v>
      </c>
      <c r="M1469" s="6">
        <f t="shared" si="45"/>
        <v>0.12297833384192861</v>
      </c>
      <c r="N1469" s="5">
        <v>1.7592592592592592E-3</v>
      </c>
      <c r="O1469" s="5">
        <v>6.9328703703703705E-3</v>
      </c>
      <c r="P1469" s="5"/>
      <c r="Q1469" s="5"/>
      <c r="R1469" s="5">
        <v>7.4189814814814813E-3</v>
      </c>
      <c r="S1469" s="5">
        <v>1.457175925925926E-2</v>
      </c>
      <c r="T1469" s="5">
        <v>1.6203703703703703E-4</v>
      </c>
      <c r="U1469" s="5">
        <v>1.7824074074074075E-3</v>
      </c>
      <c r="V1469" s="5"/>
      <c r="W1469" s="5"/>
    </row>
    <row r="1470" spans="1:23" x14ac:dyDescent="0.25">
      <c r="A1470" s="2">
        <v>46252</v>
      </c>
      <c r="B1470" s="3" t="s">
        <v>614</v>
      </c>
      <c r="C1470" s="3" t="s">
        <v>635</v>
      </c>
      <c r="D1470" s="3" t="s">
        <v>601</v>
      </c>
      <c r="E1470" s="3" t="s">
        <v>31</v>
      </c>
      <c r="F1470" s="3" t="s">
        <v>105</v>
      </c>
      <c r="G1470" s="4" t="s">
        <v>33</v>
      </c>
      <c r="H1470" s="4">
        <v>27</v>
      </c>
      <c r="I1470" s="5">
        <v>0.21116898148148147</v>
      </c>
      <c r="J1470" s="5">
        <v>0.10774305555555555</v>
      </c>
      <c r="K1470" s="5">
        <f t="shared" si="44"/>
        <v>3.9904835390946504E-3</v>
      </c>
      <c r="L1470" s="5">
        <v>9.0162037037037041E-2</v>
      </c>
      <c r="M1470" s="6">
        <f t="shared" si="45"/>
        <v>0.4269662921348315</v>
      </c>
      <c r="N1470" s="5">
        <v>1.2939814814814815E-2</v>
      </c>
      <c r="O1470" s="5">
        <v>9.5949074074074079E-3</v>
      </c>
      <c r="P1470" s="5"/>
      <c r="Q1470" s="5"/>
      <c r="R1470" s="5"/>
      <c r="S1470" s="5">
        <v>1.7881944444444443E-2</v>
      </c>
      <c r="T1470" s="5">
        <v>1.3935185185185186E-2</v>
      </c>
      <c r="U1470" s="5">
        <v>3.5810185185185188E-2</v>
      </c>
      <c r="V1470" s="5"/>
      <c r="W1470" s="5"/>
    </row>
    <row r="1471" spans="1:23" x14ac:dyDescent="0.25">
      <c r="A1471" s="2">
        <v>46252</v>
      </c>
      <c r="B1471" s="3" t="s">
        <v>96</v>
      </c>
      <c r="C1471" s="3" t="s">
        <v>97</v>
      </c>
      <c r="D1471" s="3" t="s">
        <v>78</v>
      </c>
      <c r="E1471" s="3" t="s">
        <v>79</v>
      </c>
      <c r="F1471" s="3" t="s">
        <v>80</v>
      </c>
      <c r="G1471" s="4" t="s">
        <v>81</v>
      </c>
      <c r="H1471" s="4">
        <v>0</v>
      </c>
      <c r="I1471" s="5">
        <v>0.33541666666666664</v>
      </c>
      <c r="J1471" s="5">
        <v>0</v>
      </c>
      <c r="K1471" s="5">
        <f t="shared" si="44"/>
        <v>0</v>
      </c>
      <c r="L1471" s="5">
        <v>8.7881944444444443E-2</v>
      </c>
      <c r="M1471" s="6">
        <f t="shared" si="45"/>
        <v>0.26200828157349898</v>
      </c>
      <c r="N1471" s="5">
        <v>2.4386574074074074E-2</v>
      </c>
      <c r="O1471" s="5">
        <v>4.3472222222222225E-2</v>
      </c>
      <c r="P1471" s="5"/>
      <c r="Q1471" s="5"/>
      <c r="R1471" s="5"/>
      <c r="S1471" s="5">
        <v>1.5300925925925926E-2</v>
      </c>
      <c r="T1471" s="5">
        <v>5.7870370370370373E-5</v>
      </c>
      <c r="U1471" s="5">
        <v>1.3310185185185185E-3</v>
      </c>
      <c r="V1471" s="5"/>
      <c r="W1471" s="5">
        <v>3.2754629629629631E-3</v>
      </c>
    </row>
    <row r="1472" spans="1:23" x14ac:dyDescent="0.25">
      <c r="A1472" s="2">
        <v>46252</v>
      </c>
      <c r="B1472" s="3" t="s">
        <v>180</v>
      </c>
      <c r="C1472" s="3" t="s">
        <v>523</v>
      </c>
      <c r="D1472" s="3" t="s">
        <v>146</v>
      </c>
      <c r="E1472" s="3" t="s">
        <v>79</v>
      </c>
      <c r="F1472" s="3" t="s">
        <v>147</v>
      </c>
      <c r="G1472" s="4" t="s">
        <v>106</v>
      </c>
      <c r="H1472" s="4">
        <v>16</v>
      </c>
      <c r="I1472" s="5">
        <v>0.2565277777777778</v>
      </c>
      <c r="J1472" s="5">
        <v>9.4386574074074067E-2</v>
      </c>
      <c r="K1472" s="5">
        <f t="shared" si="44"/>
        <v>5.8991608796296292E-3</v>
      </c>
      <c r="L1472" s="5">
        <v>3.4594907407407408E-2</v>
      </c>
      <c r="M1472" s="6">
        <f t="shared" si="45"/>
        <v>0.13485832882151236</v>
      </c>
      <c r="N1472" s="5">
        <v>3.9930555555555552E-3</v>
      </c>
      <c r="O1472" s="5">
        <v>1.4965277777777777E-2</v>
      </c>
      <c r="P1472" s="5"/>
      <c r="Q1472" s="5"/>
      <c r="R1472" s="5"/>
      <c r="S1472" s="5">
        <v>1.3946759259259259E-2</v>
      </c>
      <c r="T1472" s="5">
        <v>1.7361111111111112E-4</v>
      </c>
      <c r="U1472" s="5">
        <v>5.3240740740740744E-4</v>
      </c>
      <c r="V1472" s="5"/>
      <c r="W1472" s="5">
        <v>9.7222222222222219E-4</v>
      </c>
    </row>
    <row r="1473" spans="1:23" x14ac:dyDescent="0.25">
      <c r="A1473" s="2">
        <v>46252</v>
      </c>
      <c r="B1473" s="3" t="s">
        <v>615</v>
      </c>
      <c r="C1473" s="3" t="s">
        <v>636</v>
      </c>
      <c r="D1473" s="3" t="s">
        <v>601</v>
      </c>
      <c r="E1473" s="3" t="s">
        <v>31</v>
      </c>
      <c r="F1473" s="3" t="s">
        <v>105</v>
      </c>
      <c r="G1473" s="4" t="s">
        <v>33</v>
      </c>
      <c r="H1473" s="4">
        <v>10</v>
      </c>
      <c r="I1473" s="5">
        <v>0.23695601851851852</v>
      </c>
      <c r="J1473" s="5">
        <v>0.14829861111111112</v>
      </c>
      <c r="K1473" s="5">
        <f t="shared" si="44"/>
        <v>1.4829861111111111E-2</v>
      </c>
      <c r="L1473" s="5">
        <v>0.18756944444444446</v>
      </c>
      <c r="M1473" s="6">
        <f t="shared" si="45"/>
        <v>0.79157915303082116</v>
      </c>
      <c r="N1473" s="5">
        <v>2.2106481481481482E-3</v>
      </c>
      <c r="O1473" s="5">
        <v>1.0393518518518519E-2</v>
      </c>
      <c r="P1473" s="5"/>
      <c r="Q1473" s="5">
        <v>3.1273148148148147E-2</v>
      </c>
      <c r="R1473" s="5"/>
      <c r="S1473" s="5">
        <v>1.3888888888888888E-2</v>
      </c>
      <c r="T1473" s="5">
        <v>2.3495370370370371E-3</v>
      </c>
      <c r="U1473" s="5">
        <v>0.12745370370370371</v>
      </c>
      <c r="V1473" s="5"/>
      <c r="W1473" s="5"/>
    </row>
    <row r="1474" spans="1:23" x14ac:dyDescent="0.25">
      <c r="A1474" s="2">
        <v>46252</v>
      </c>
      <c r="B1474" s="3" t="s">
        <v>616</v>
      </c>
      <c r="C1474" s="3" t="s">
        <v>637</v>
      </c>
      <c r="D1474" s="3" t="s">
        <v>601</v>
      </c>
      <c r="E1474" s="3" t="s">
        <v>31</v>
      </c>
      <c r="F1474" s="3" t="s">
        <v>105</v>
      </c>
      <c r="G1474" s="4" t="s">
        <v>33</v>
      </c>
      <c r="H1474" s="4">
        <v>5</v>
      </c>
      <c r="I1474" s="5">
        <v>0.12408564814814815</v>
      </c>
      <c r="J1474" s="5">
        <v>1.9710648148148147E-2</v>
      </c>
      <c r="K1474" s="5">
        <f t="shared" ref="K1474:K1537" si="46">IFERROR(J1474/H1474,0)</f>
        <v>3.9421296296296296E-3</v>
      </c>
      <c r="L1474" s="5">
        <v>8.7465277777777781E-2</v>
      </c>
      <c r="M1474" s="6">
        <f t="shared" ref="M1474:M1537" si="47">IFERROR(L1474/I1474,0)</f>
        <v>0.70487827628019772</v>
      </c>
      <c r="N1474" s="5">
        <v>3.7731481481481483E-3</v>
      </c>
      <c r="O1474" s="5">
        <v>1.5902777777777776E-2</v>
      </c>
      <c r="P1474" s="5"/>
      <c r="Q1474" s="5">
        <v>8.7615740740740744E-3</v>
      </c>
      <c r="R1474" s="5"/>
      <c r="S1474" s="5">
        <v>1.3946759259259259E-2</v>
      </c>
      <c r="T1474" s="5">
        <v>2.627314814814815E-3</v>
      </c>
      <c r="U1474" s="5">
        <v>4.2407407407407408E-2</v>
      </c>
      <c r="V1474" s="5"/>
      <c r="W1474" s="5">
        <v>4.6296296296296294E-5</v>
      </c>
    </row>
    <row r="1475" spans="1:23" x14ac:dyDescent="0.25">
      <c r="A1475" s="2">
        <v>46252</v>
      </c>
      <c r="B1475" s="3" t="s">
        <v>209</v>
      </c>
      <c r="C1475" s="3" t="s">
        <v>567</v>
      </c>
      <c r="D1475" s="3" t="s">
        <v>601</v>
      </c>
      <c r="E1475" s="3" t="s">
        <v>31</v>
      </c>
      <c r="F1475" s="3" t="s">
        <v>105</v>
      </c>
      <c r="G1475" s="4" t="s">
        <v>33</v>
      </c>
      <c r="H1475" s="4">
        <v>7</v>
      </c>
      <c r="I1475" s="5">
        <v>0.24916666666666668</v>
      </c>
      <c r="J1475" s="5">
        <v>8.790509259259259E-2</v>
      </c>
      <c r="K1475" s="5">
        <f t="shared" si="46"/>
        <v>1.255787037037037E-2</v>
      </c>
      <c r="L1475" s="5">
        <v>0.17927083333333332</v>
      </c>
      <c r="M1475" s="6">
        <f t="shared" si="47"/>
        <v>0.71948160535117045</v>
      </c>
      <c r="N1475" s="5"/>
      <c r="O1475" s="5">
        <v>7.1759259259259259E-3</v>
      </c>
      <c r="P1475" s="5"/>
      <c r="Q1475" s="5">
        <v>7.6388888888888886E-3</v>
      </c>
      <c r="R1475" s="5"/>
      <c r="S1475" s="5">
        <v>7.8703703703703696E-3</v>
      </c>
      <c r="T1475" s="5">
        <v>2.7430555555555554E-3</v>
      </c>
      <c r="U1475" s="5">
        <v>0.15384259259259259</v>
      </c>
      <c r="V1475" s="5"/>
      <c r="W1475" s="5"/>
    </row>
    <row r="1476" spans="1:23" x14ac:dyDescent="0.25">
      <c r="A1476" s="2">
        <v>46252</v>
      </c>
      <c r="B1476" s="3" t="s">
        <v>60</v>
      </c>
      <c r="C1476" s="3" t="s">
        <v>510</v>
      </c>
      <c r="D1476" s="3" t="s">
        <v>100</v>
      </c>
      <c r="E1476" s="3" t="s">
        <v>31</v>
      </c>
      <c r="F1476" s="3" t="s">
        <v>32</v>
      </c>
      <c r="G1476" s="4" t="s">
        <v>33</v>
      </c>
      <c r="H1476" s="4">
        <v>49</v>
      </c>
      <c r="I1476" s="5">
        <v>0.31065972222222221</v>
      </c>
      <c r="J1476" s="5">
        <v>0.22875000000000001</v>
      </c>
      <c r="K1476" s="5">
        <f t="shared" si="46"/>
        <v>4.668367346938776E-3</v>
      </c>
      <c r="L1476" s="5">
        <v>4.0578703703703707E-2</v>
      </c>
      <c r="M1476" s="6">
        <f t="shared" si="47"/>
        <v>0.13062106478894231</v>
      </c>
      <c r="N1476" s="5">
        <v>4.9421296296296297E-3</v>
      </c>
      <c r="O1476" s="5">
        <v>1.3275462962962963E-2</v>
      </c>
      <c r="P1476" s="5"/>
      <c r="Q1476" s="5"/>
      <c r="R1476" s="5">
        <v>4.5717592592592589E-3</v>
      </c>
      <c r="S1476" s="5">
        <v>1.494212962962963E-2</v>
      </c>
      <c r="T1476" s="5">
        <v>1.9675925925925926E-4</v>
      </c>
      <c r="U1476" s="5">
        <v>2.5578703703703705E-3</v>
      </c>
      <c r="V1476" s="5"/>
      <c r="W1476" s="5"/>
    </row>
    <row r="1477" spans="1:23" x14ac:dyDescent="0.25">
      <c r="A1477" s="2">
        <v>46252</v>
      </c>
      <c r="B1477" s="3" t="s">
        <v>132</v>
      </c>
      <c r="C1477" s="3" t="s">
        <v>512</v>
      </c>
      <c r="D1477" s="3" t="s">
        <v>104</v>
      </c>
      <c r="E1477" s="3" t="s">
        <v>31</v>
      </c>
      <c r="F1477" s="3" t="s">
        <v>105</v>
      </c>
      <c r="G1477" s="4" t="s">
        <v>106</v>
      </c>
      <c r="H1477" s="4">
        <v>11</v>
      </c>
      <c r="I1477" s="5">
        <v>0.25962962962962965</v>
      </c>
      <c r="J1477" s="5">
        <v>0.16011574074074075</v>
      </c>
      <c r="K1477" s="5">
        <f t="shared" si="46"/>
        <v>1.4555976430976432E-2</v>
      </c>
      <c r="L1477" s="5">
        <v>0.15005787037037038</v>
      </c>
      <c r="M1477" s="6">
        <f t="shared" si="47"/>
        <v>0.57796897289586302</v>
      </c>
      <c r="N1477" s="5">
        <v>2.3379629629629631E-3</v>
      </c>
      <c r="O1477" s="5">
        <v>1.4305555555555556E-2</v>
      </c>
      <c r="P1477" s="5"/>
      <c r="Q1477" s="5"/>
      <c r="R1477" s="5"/>
      <c r="S1477" s="5">
        <v>1.3819444444444445E-2</v>
      </c>
      <c r="T1477" s="5">
        <v>1.7361111111111112E-4</v>
      </c>
      <c r="U1477" s="5">
        <v>5.7870370370370367E-4</v>
      </c>
      <c r="V1477" s="5"/>
      <c r="W1477" s="5">
        <v>0.1188425925925926</v>
      </c>
    </row>
    <row r="1478" spans="1:23" x14ac:dyDescent="0.25">
      <c r="A1478" s="2">
        <v>46252</v>
      </c>
      <c r="B1478" s="3" t="s">
        <v>134</v>
      </c>
      <c r="C1478" s="3" t="s">
        <v>560</v>
      </c>
      <c r="D1478" s="3" t="s">
        <v>104</v>
      </c>
      <c r="E1478" s="3" t="s">
        <v>31</v>
      </c>
      <c r="F1478" s="3" t="s">
        <v>105</v>
      </c>
      <c r="G1478" s="4" t="s">
        <v>106</v>
      </c>
      <c r="H1478" s="4">
        <v>9</v>
      </c>
      <c r="I1478" s="5">
        <v>0.26287037037037037</v>
      </c>
      <c r="J1478" s="5">
        <v>0.14910879629629631</v>
      </c>
      <c r="K1478" s="5">
        <f t="shared" si="46"/>
        <v>1.6567644032921811E-2</v>
      </c>
      <c r="L1478" s="5">
        <v>0.15902777777777777</v>
      </c>
      <c r="M1478" s="6">
        <f t="shared" si="47"/>
        <v>0.60496653751320884</v>
      </c>
      <c r="N1478" s="5">
        <v>4.9189814814814816E-3</v>
      </c>
      <c r="O1478" s="5">
        <v>1.269675925925926E-2</v>
      </c>
      <c r="P1478" s="5"/>
      <c r="Q1478" s="5">
        <v>6.4467592592592588E-3</v>
      </c>
      <c r="R1478" s="5"/>
      <c r="S1478" s="5">
        <v>1.3819444444444445E-2</v>
      </c>
      <c r="T1478" s="5">
        <v>1.1574074074074073E-3</v>
      </c>
      <c r="U1478" s="5">
        <v>1.3078703703703703E-3</v>
      </c>
      <c r="V1478" s="5"/>
      <c r="W1478" s="5">
        <v>0.11868055555555555</v>
      </c>
    </row>
    <row r="1479" spans="1:23" x14ac:dyDescent="0.25">
      <c r="A1479" s="2">
        <v>46252</v>
      </c>
      <c r="B1479" s="3" t="s">
        <v>211</v>
      </c>
      <c r="C1479" s="3" t="s">
        <v>546</v>
      </c>
      <c r="D1479" s="3" t="s">
        <v>104</v>
      </c>
      <c r="E1479" s="3" t="s">
        <v>31</v>
      </c>
      <c r="F1479" s="3" t="s">
        <v>105</v>
      </c>
      <c r="G1479" s="4" t="s">
        <v>106</v>
      </c>
      <c r="H1479" s="4">
        <v>9</v>
      </c>
      <c r="I1479" s="5">
        <v>0.23879629629629628</v>
      </c>
      <c r="J1479" s="5">
        <v>0.1814236111111111</v>
      </c>
      <c r="K1479" s="5">
        <f t="shared" si="46"/>
        <v>2.0158179012345678E-2</v>
      </c>
      <c r="L1479" s="5">
        <v>0.1373611111111111</v>
      </c>
      <c r="M1479" s="6">
        <f t="shared" si="47"/>
        <v>0.57522295463357886</v>
      </c>
      <c r="N1479" s="5">
        <v>3.9120370370370368E-3</v>
      </c>
      <c r="O1479" s="5">
        <v>1.8587962962962962E-2</v>
      </c>
      <c r="P1479" s="5">
        <v>2.4305555555555556E-3</v>
      </c>
      <c r="Q1479" s="5"/>
      <c r="R1479" s="5"/>
      <c r="S1479" s="5">
        <v>1.2199074074074074E-2</v>
      </c>
      <c r="T1479" s="5">
        <v>1.9444444444444444E-3</v>
      </c>
      <c r="U1479" s="5">
        <v>1.9907407407407408E-3</v>
      </c>
      <c r="V1479" s="5"/>
      <c r="W1479" s="5">
        <v>9.6284722222222216E-2</v>
      </c>
    </row>
    <row r="1480" spans="1:23" x14ac:dyDescent="0.25">
      <c r="A1480" s="2">
        <v>46252</v>
      </c>
      <c r="B1480" s="3" t="s">
        <v>617</v>
      </c>
      <c r="C1480" s="3" t="s">
        <v>638</v>
      </c>
      <c r="D1480" s="3" t="s">
        <v>601</v>
      </c>
      <c r="E1480" s="3" t="s">
        <v>31</v>
      </c>
      <c r="F1480" s="3" t="s">
        <v>105</v>
      </c>
      <c r="G1480" s="4" t="s">
        <v>33</v>
      </c>
      <c r="H1480" s="4">
        <v>9</v>
      </c>
      <c r="I1480" s="5">
        <v>0.23246527777777778</v>
      </c>
      <c r="J1480" s="5">
        <v>9.5659722222222215E-2</v>
      </c>
      <c r="K1480" s="5">
        <f t="shared" si="46"/>
        <v>1.0628858024691358E-2</v>
      </c>
      <c r="L1480" s="5">
        <v>0.16084490740740739</v>
      </c>
      <c r="M1480" s="6">
        <f t="shared" si="47"/>
        <v>0.69190938511326849</v>
      </c>
      <c r="N1480" s="5">
        <v>8.8078703703703704E-3</v>
      </c>
      <c r="O1480" s="5">
        <v>1.2337962962962964E-2</v>
      </c>
      <c r="P1480" s="5"/>
      <c r="Q1480" s="5">
        <v>7.1990740740740739E-3</v>
      </c>
      <c r="R1480" s="5"/>
      <c r="S1480" s="5">
        <v>1.5243055555555555E-2</v>
      </c>
      <c r="T1480" s="5">
        <v>6.7592592592592591E-3</v>
      </c>
      <c r="U1480" s="5">
        <v>0.11049768518518518</v>
      </c>
      <c r="V1480" s="5"/>
      <c r="W1480" s="5"/>
    </row>
    <row r="1481" spans="1:23" x14ac:dyDescent="0.25">
      <c r="A1481" s="2">
        <v>46252</v>
      </c>
      <c r="B1481" s="3" t="s">
        <v>136</v>
      </c>
      <c r="C1481" s="3" t="s">
        <v>561</v>
      </c>
      <c r="D1481" s="3" t="s">
        <v>104</v>
      </c>
      <c r="E1481" s="3" t="s">
        <v>31</v>
      </c>
      <c r="F1481" s="3" t="s">
        <v>105</v>
      </c>
      <c r="G1481" s="4" t="s">
        <v>106</v>
      </c>
      <c r="H1481" s="4">
        <v>7</v>
      </c>
      <c r="I1481" s="5">
        <v>0.2598611111111111</v>
      </c>
      <c r="J1481" s="5">
        <v>0.19372685185185184</v>
      </c>
      <c r="K1481" s="5">
        <f t="shared" si="46"/>
        <v>2.7675264550264551E-2</v>
      </c>
      <c r="L1481" s="5">
        <v>0.18788194444444445</v>
      </c>
      <c r="M1481" s="6">
        <f t="shared" si="47"/>
        <v>0.72300908605024061</v>
      </c>
      <c r="N1481" s="5">
        <v>6.3657407407407404E-3</v>
      </c>
      <c r="O1481" s="5">
        <v>2.2719907407407407E-2</v>
      </c>
      <c r="P1481" s="5"/>
      <c r="Q1481" s="5"/>
      <c r="R1481" s="5"/>
      <c r="S1481" s="5">
        <v>1.6898148148148148E-2</v>
      </c>
      <c r="T1481" s="5">
        <v>1.0532407407407407E-3</v>
      </c>
      <c r="U1481" s="5">
        <v>5.4398148148148144E-4</v>
      </c>
      <c r="V1481" s="5"/>
      <c r="W1481" s="5">
        <v>0.14030092592592591</v>
      </c>
    </row>
    <row r="1482" spans="1:23" x14ac:dyDescent="0.25">
      <c r="A1482" s="2">
        <v>46252</v>
      </c>
      <c r="B1482" s="3" t="s">
        <v>618</v>
      </c>
      <c r="C1482" s="3" t="s">
        <v>639</v>
      </c>
      <c r="D1482" s="3" t="s">
        <v>601</v>
      </c>
      <c r="E1482" s="3" t="s">
        <v>31</v>
      </c>
      <c r="F1482" s="3" t="s">
        <v>105</v>
      </c>
      <c r="G1482" s="4" t="s">
        <v>33</v>
      </c>
      <c r="H1482" s="4">
        <v>6</v>
      </c>
      <c r="I1482" s="5">
        <v>0.23549768518518518</v>
      </c>
      <c r="J1482" s="5">
        <v>0.13030092592592593</v>
      </c>
      <c r="K1482" s="5">
        <f t="shared" si="46"/>
        <v>2.1716820987654321E-2</v>
      </c>
      <c r="L1482" s="5">
        <v>0.17685185185185184</v>
      </c>
      <c r="M1482" s="6">
        <f t="shared" si="47"/>
        <v>0.75097065906521843</v>
      </c>
      <c r="N1482" s="5">
        <v>2.4189814814814816E-3</v>
      </c>
      <c r="O1482" s="5">
        <v>2.3425925925925926E-2</v>
      </c>
      <c r="P1482" s="5"/>
      <c r="Q1482" s="5">
        <v>1.050925925925926E-2</v>
      </c>
      <c r="R1482" s="5"/>
      <c r="S1482" s="5">
        <v>1.4363425925925925E-2</v>
      </c>
      <c r="T1482" s="5">
        <v>1.2037037037037037E-2</v>
      </c>
      <c r="U1482" s="5">
        <v>0.11409722222222222</v>
      </c>
      <c r="V1482" s="5"/>
      <c r="W1482" s="5"/>
    </row>
    <row r="1483" spans="1:23" x14ac:dyDescent="0.25">
      <c r="A1483" s="2">
        <v>46252</v>
      </c>
      <c r="B1483" s="3" t="s">
        <v>501</v>
      </c>
      <c r="C1483" s="3" t="s">
        <v>524</v>
      </c>
      <c r="D1483" s="3" t="s">
        <v>274</v>
      </c>
      <c r="E1483" s="3" t="s">
        <v>79</v>
      </c>
      <c r="F1483" s="3" t="s">
        <v>147</v>
      </c>
      <c r="G1483" s="4" t="s">
        <v>33</v>
      </c>
      <c r="H1483" s="4">
        <v>22</v>
      </c>
      <c r="I1483" s="5">
        <v>0.25600694444444444</v>
      </c>
      <c r="J1483" s="5">
        <v>8.0289351851851848E-2</v>
      </c>
      <c r="K1483" s="5">
        <f t="shared" si="46"/>
        <v>3.6495159932659932E-3</v>
      </c>
      <c r="L1483" s="5">
        <v>3.1805555555555552E-2</v>
      </c>
      <c r="M1483" s="6">
        <f t="shared" si="47"/>
        <v>0.1242370812423708</v>
      </c>
      <c r="N1483" s="5">
        <v>1.8518518518518519E-3</v>
      </c>
      <c r="O1483" s="5">
        <v>7.7546296296296295E-3</v>
      </c>
      <c r="P1483" s="5"/>
      <c r="Q1483" s="5"/>
      <c r="R1483" s="5">
        <v>7.3726851851851852E-3</v>
      </c>
      <c r="S1483" s="5">
        <v>1.4479166666666666E-2</v>
      </c>
      <c r="T1483" s="5">
        <v>1.8518518518518518E-4</v>
      </c>
      <c r="U1483" s="5">
        <v>1.5046296296296297E-4</v>
      </c>
      <c r="V1483" s="5"/>
      <c r="W1483" s="5"/>
    </row>
    <row r="1484" spans="1:23" x14ac:dyDescent="0.25">
      <c r="A1484" s="2">
        <v>46252</v>
      </c>
      <c r="B1484" s="3" t="s">
        <v>213</v>
      </c>
      <c r="C1484" s="3" t="s">
        <v>572</v>
      </c>
      <c r="D1484" s="3" t="s">
        <v>601</v>
      </c>
      <c r="E1484" s="3" t="s">
        <v>31</v>
      </c>
      <c r="F1484" s="3" t="s">
        <v>105</v>
      </c>
      <c r="G1484" s="4" t="s">
        <v>33</v>
      </c>
      <c r="H1484" s="4">
        <v>5</v>
      </c>
      <c r="I1484" s="5">
        <v>0.24024305555555556</v>
      </c>
      <c r="J1484" s="5">
        <v>9.9884259259259256E-2</v>
      </c>
      <c r="K1484" s="5">
        <f t="shared" si="46"/>
        <v>1.997685185185185E-2</v>
      </c>
      <c r="L1484" s="5">
        <v>0.19159722222222222</v>
      </c>
      <c r="M1484" s="6">
        <f t="shared" si="47"/>
        <v>0.7975140916317387</v>
      </c>
      <c r="N1484" s="5">
        <v>9.2013888888888892E-3</v>
      </c>
      <c r="O1484" s="5">
        <v>1.5787037037037037E-2</v>
      </c>
      <c r="P1484" s="5"/>
      <c r="Q1484" s="5"/>
      <c r="R1484" s="5"/>
      <c r="S1484" s="5">
        <v>1.4560185185185185E-2</v>
      </c>
      <c r="T1484" s="5">
        <v>1.1296296296296296E-2</v>
      </c>
      <c r="U1484" s="5">
        <v>0.14075231481481482</v>
      </c>
      <c r="V1484" s="5"/>
      <c r="W1484" s="5"/>
    </row>
    <row r="1485" spans="1:23" x14ac:dyDescent="0.25">
      <c r="A1485" s="2">
        <v>46252</v>
      </c>
      <c r="B1485" s="3" t="s">
        <v>668</v>
      </c>
      <c r="C1485" s="3" t="s">
        <v>669</v>
      </c>
      <c r="D1485" s="3" t="s">
        <v>233</v>
      </c>
      <c r="E1485" s="3" t="s">
        <v>31</v>
      </c>
      <c r="F1485" s="3" t="s">
        <v>32</v>
      </c>
      <c r="G1485" s="4" t="s">
        <v>106</v>
      </c>
      <c r="H1485" s="4">
        <v>44</v>
      </c>
      <c r="I1485" s="5">
        <v>0.2477199074074074</v>
      </c>
      <c r="J1485" s="5">
        <v>0.11648148148148148</v>
      </c>
      <c r="K1485" s="5">
        <f t="shared" si="46"/>
        <v>2.6473063973063973E-3</v>
      </c>
      <c r="L1485" s="5">
        <v>3.8692129629629632E-2</v>
      </c>
      <c r="M1485" s="6">
        <f t="shared" si="47"/>
        <v>0.15619305704807737</v>
      </c>
      <c r="N1485" s="5">
        <v>7.5231481481481477E-3</v>
      </c>
      <c r="O1485" s="5">
        <v>1.4907407407407407E-2</v>
      </c>
      <c r="P1485" s="5"/>
      <c r="Q1485" s="5"/>
      <c r="R1485" s="5"/>
      <c r="S1485" s="5">
        <v>1.3449074074074073E-2</v>
      </c>
      <c r="T1485" s="5">
        <v>1.4814814814814814E-3</v>
      </c>
      <c r="U1485" s="5">
        <v>1.2847222222222223E-3</v>
      </c>
      <c r="V1485" s="5"/>
      <c r="W1485" s="5">
        <v>4.6296296296296294E-5</v>
      </c>
    </row>
    <row r="1486" spans="1:23" x14ac:dyDescent="0.25">
      <c r="A1486" s="2">
        <v>46252</v>
      </c>
      <c r="B1486" s="3" t="s">
        <v>233</v>
      </c>
      <c r="C1486" s="3" t="s">
        <v>745</v>
      </c>
      <c r="D1486" s="3" t="s">
        <v>233</v>
      </c>
      <c r="E1486" s="3" t="s">
        <v>31</v>
      </c>
      <c r="F1486" s="3" t="s">
        <v>32</v>
      </c>
      <c r="G1486" s="4" t="s">
        <v>106</v>
      </c>
      <c r="H1486" s="4">
        <v>0</v>
      </c>
      <c r="I1486" s="5">
        <v>1.6898148148148148E-3</v>
      </c>
      <c r="J1486" s="5">
        <v>0</v>
      </c>
      <c r="K1486" s="5">
        <f t="shared" si="46"/>
        <v>0</v>
      </c>
      <c r="L1486" s="5">
        <v>1.6898148148148148E-3</v>
      </c>
      <c r="M1486" s="6">
        <f t="shared" si="47"/>
        <v>1</v>
      </c>
      <c r="N1486" s="5"/>
      <c r="O1486" s="5"/>
      <c r="P1486" s="5"/>
      <c r="Q1486" s="5"/>
      <c r="R1486" s="5"/>
      <c r="S1486" s="5"/>
      <c r="T1486" s="5">
        <v>8.6805555555555551E-4</v>
      </c>
      <c r="U1486" s="5">
        <v>8.2175925925925927E-4</v>
      </c>
      <c r="V1486" s="5"/>
      <c r="W1486" s="5"/>
    </row>
    <row r="1487" spans="1:23" x14ac:dyDescent="0.25">
      <c r="A1487" s="2">
        <v>46252</v>
      </c>
      <c r="B1487" s="3" t="s">
        <v>744</v>
      </c>
      <c r="C1487" s="3" t="s">
        <v>670</v>
      </c>
      <c r="D1487" s="3" t="s">
        <v>100</v>
      </c>
      <c r="E1487" s="3" t="s">
        <v>31</v>
      </c>
      <c r="F1487" s="3" t="s">
        <v>32</v>
      </c>
      <c r="G1487" s="4" t="s">
        <v>33</v>
      </c>
      <c r="H1487" s="4">
        <v>39</v>
      </c>
      <c r="I1487" s="5">
        <v>0.26023148148148151</v>
      </c>
      <c r="J1487" s="5">
        <v>0.16310185185185186</v>
      </c>
      <c r="K1487" s="5">
        <f t="shared" si="46"/>
        <v>4.1820987654320992E-3</v>
      </c>
      <c r="L1487" s="5">
        <v>7.4293981481481475E-2</v>
      </c>
      <c r="M1487" s="6">
        <f t="shared" si="47"/>
        <v>0.28549190535491897</v>
      </c>
      <c r="N1487" s="5">
        <v>2.0509259259259258E-2</v>
      </c>
      <c r="O1487" s="5">
        <v>1.4965277777777777E-2</v>
      </c>
      <c r="P1487" s="5"/>
      <c r="Q1487" s="5">
        <v>1.4247685185185184E-2</v>
      </c>
      <c r="R1487" s="5"/>
      <c r="S1487" s="5">
        <v>1.4224537037037037E-2</v>
      </c>
      <c r="T1487" s="5">
        <v>6.9444444444444444E-5</v>
      </c>
      <c r="U1487" s="5">
        <v>1.0254629629629629E-2</v>
      </c>
      <c r="V1487" s="5"/>
      <c r="W1487" s="5"/>
    </row>
    <row r="1488" spans="1:23" x14ac:dyDescent="0.25">
      <c r="A1488" s="2">
        <v>46252</v>
      </c>
      <c r="B1488" s="3" t="s">
        <v>219</v>
      </c>
      <c r="C1488" s="3" t="s">
        <v>548</v>
      </c>
      <c r="D1488" s="3" t="s">
        <v>104</v>
      </c>
      <c r="E1488" s="3" t="s">
        <v>31</v>
      </c>
      <c r="F1488" s="3" t="s">
        <v>105</v>
      </c>
      <c r="G1488" s="4" t="s">
        <v>106</v>
      </c>
      <c r="H1488" s="4">
        <v>6</v>
      </c>
      <c r="I1488" s="5">
        <v>0.22593750000000001</v>
      </c>
      <c r="J1488" s="5">
        <v>0.12670138888888888</v>
      </c>
      <c r="K1488" s="5">
        <f t="shared" si="46"/>
        <v>2.1116898148148145E-2</v>
      </c>
      <c r="L1488" s="5">
        <v>0.16271990740740741</v>
      </c>
      <c r="M1488" s="6">
        <f t="shared" si="47"/>
        <v>0.72019876030941032</v>
      </c>
      <c r="N1488" s="5">
        <v>1.0694444444444444E-2</v>
      </c>
      <c r="O1488" s="5">
        <v>7.789351851851852E-3</v>
      </c>
      <c r="P1488" s="5">
        <v>1.7488425925925925E-2</v>
      </c>
      <c r="Q1488" s="5"/>
      <c r="R1488" s="5"/>
      <c r="S1488" s="5">
        <v>1.6157407407407409E-2</v>
      </c>
      <c r="T1488" s="5">
        <v>5.3240740740740744E-4</v>
      </c>
      <c r="U1488" s="5">
        <v>3.9351851851851852E-4</v>
      </c>
      <c r="V1488" s="5"/>
      <c r="W1488" s="5">
        <v>0.10966435185185185</v>
      </c>
    </row>
    <row r="1489" spans="1:23" x14ac:dyDescent="0.25">
      <c r="A1489" s="2">
        <v>46252</v>
      </c>
      <c r="B1489" s="3" t="s">
        <v>305</v>
      </c>
      <c r="C1489" s="3" t="s">
        <v>306</v>
      </c>
      <c r="D1489" s="3" t="s">
        <v>100</v>
      </c>
      <c r="E1489" s="3" t="s">
        <v>31</v>
      </c>
      <c r="F1489" s="3" t="s">
        <v>32</v>
      </c>
      <c r="G1489" s="4" t="s">
        <v>33</v>
      </c>
      <c r="H1489" s="4">
        <v>56</v>
      </c>
      <c r="I1489" s="5">
        <v>0.26025462962962964</v>
      </c>
      <c r="J1489" s="5">
        <v>0.17637731481481481</v>
      </c>
      <c r="K1489" s="5">
        <f t="shared" si="46"/>
        <v>3.1495949074074074E-3</v>
      </c>
      <c r="L1489" s="5">
        <v>6.0925925925925925E-2</v>
      </c>
      <c r="M1489" s="6">
        <f t="shared" si="47"/>
        <v>0.23410121853597793</v>
      </c>
      <c r="N1489" s="5">
        <v>1.3078703703703703E-2</v>
      </c>
      <c r="O1489" s="5">
        <v>1.4143518518518519E-2</v>
      </c>
      <c r="P1489" s="5"/>
      <c r="Q1489" s="5">
        <v>1.2465277777777778E-2</v>
      </c>
      <c r="R1489" s="5"/>
      <c r="S1489" s="5">
        <v>1.4965277777777777E-2</v>
      </c>
      <c r="T1489" s="5">
        <v>3.4722222222222224E-4</v>
      </c>
      <c r="U1489" s="5">
        <v>5.5787037037037038E-3</v>
      </c>
      <c r="V1489" s="5"/>
      <c r="W1489" s="5">
        <v>3.4722222222222224E-4</v>
      </c>
    </row>
    <row r="1490" spans="1:23" x14ac:dyDescent="0.25">
      <c r="A1490" s="2">
        <v>46252</v>
      </c>
      <c r="B1490" s="3" t="s">
        <v>620</v>
      </c>
      <c r="C1490" s="3" t="s">
        <v>641</v>
      </c>
      <c r="D1490" s="3" t="s">
        <v>601</v>
      </c>
      <c r="E1490" s="3" t="s">
        <v>31</v>
      </c>
      <c r="F1490" s="3" t="s">
        <v>105</v>
      </c>
      <c r="G1490" s="4" t="s">
        <v>33</v>
      </c>
      <c r="H1490" s="4">
        <v>10</v>
      </c>
      <c r="I1490" s="5">
        <v>0.23960648148148148</v>
      </c>
      <c r="J1490" s="5">
        <v>8.6087962962962963E-2</v>
      </c>
      <c r="K1490" s="5">
        <f t="shared" si="46"/>
        <v>8.6087962962962967E-3</v>
      </c>
      <c r="L1490" s="5">
        <v>0.16650462962962964</v>
      </c>
      <c r="M1490" s="6">
        <f t="shared" si="47"/>
        <v>0.6949087044729978</v>
      </c>
      <c r="N1490" s="5">
        <v>3.6574074074074074E-3</v>
      </c>
      <c r="O1490" s="5">
        <v>1.1354166666666667E-2</v>
      </c>
      <c r="P1490" s="5"/>
      <c r="Q1490" s="5"/>
      <c r="R1490" s="5"/>
      <c r="S1490" s="5">
        <v>1.3969907407407407E-2</v>
      </c>
      <c r="T1490" s="5">
        <v>2.0752314814814814E-2</v>
      </c>
      <c r="U1490" s="5">
        <v>0.11677083333333334</v>
      </c>
      <c r="V1490" s="5"/>
      <c r="W1490" s="5"/>
    </row>
    <row r="1491" spans="1:23" x14ac:dyDescent="0.25">
      <c r="A1491" s="2">
        <v>46252</v>
      </c>
      <c r="B1491" s="3" t="s">
        <v>138</v>
      </c>
      <c r="C1491" s="3" t="s">
        <v>556</v>
      </c>
      <c r="D1491" s="3" t="s">
        <v>104</v>
      </c>
      <c r="E1491" s="3" t="s">
        <v>31</v>
      </c>
      <c r="F1491" s="3" t="s">
        <v>105</v>
      </c>
      <c r="G1491" s="4" t="s">
        <v>106</v>
      </c>
      <c r="H1491" s="4">
        <v>17</v>
      </c>
      <c r="I1491" s="5">
        <v>0.18796296296296297</v>
      </c>
      <c r="J1491" s="5">
        <v>9.8854166666666674E-2</v>
      </c>
      <c r="K1491" s="5">
        <f t="shared" si="46"/>
        <v>5.8149509803921574E-3</v>
      </c>
      <c r="L1491" s="5">
        <v>8.998842592592593E-2</v>
      </c>
      <c r="M1491" s="6">
        <f t="shared" si="47"/>
        <v>0.47875615763546797</v>
      </c>
      <c r="N1491" s="5">
        <v>2.476851851851852E-3</v>
      </c>
      <c r="O1491" s="5">
        <v>1.5011574074074075E-2</v>
      </c>
      <c r="P1491" s="5"/>
      <c r="Q1491" s="5"/>
      <c r="R1491" s="5"/>
      <c r="S1491" s="5">
        <v>1.3680555555555555E-2</v>
      </c>
      <c r="T1491" s="5">
        <v>9.8842592592592593E-3</v>
      </c>
      <c r="U1491" s="5">
        <v>9.7222222222222219E-4</v>
      </c>
      <c r="V1491" s="5"/>
      <c r="W1491" s="5">
        <v>4.7939814814814817E-2</v>
      </c>
    </row>
    <row r="1492" spans="1:23" x14ac:dyDescent="0.25">
      <c r="A1492" s="2">
        <v>46252</v>
      </c>
      <c r="B1492" s="3" t="s">
        <v>276</v>
      </c>
      <c r="C1492" s="3" t="s">
        <v>532</v>
      </c>
      <c r="D1492" s="3" t="s">
        <v>233</v>
      </c>
      <c r="E1492" s="3" t="s">
        <v>31</v>
      </c>
      <c r="F1492" s="3" t="s">
        <v>32</v>
      </c>
      <c r="G1492" s="4" t="s">
        <v>106</v>
      </c>
      <c r="H1492" s="4">
        <v>35</v>
      </c>
      <c r="I1492" s="5">
        <v>0.26678240740740738</v>
      </c>
      <c r="J1492" s="5">
        <v>0.11486111111111111</v>
      </c>
      <c r="K1492" s="5">
        <f t="shared" si="46"/>
        <v>3.2817460317460315E-3</v>
      </c>
      <c r="L1492" s="5">
        <v>4.7222222222222221E-2</v>
      </c>
      <c r="M1492" s="6">
        <f t="shared" si="47"/>
        <v>0.17700650759219089</v>
      </c>
      <c r="N1492" s="5">
        <v>1.8506944444444444E-2</v>
      </c>
      <c r="O1492" s="5">
        <v>7.1296296296296299E-3</v>
      </c>
      <c r="P1492" s="5"/>
      <c r="Q1492" s="5"/>
      <c r="R1492" s="5"/>
      <c r="S1492" s="5">
        <v>1.4340277777777778E-2</v>
      </c>
      <c r="T1492" s="5">
        <v>7.2453703703703708E-3</v>
      </c>
      <c r="U1492" s="5"/>
      <c r="V1492" s="5"/>
      <c r="W1492" s="5"/>
    </row>
    <row r="1493" spans="1:23" x14ac:dyDescent="0.25">
      <c r="A1493" s="2">
        <v>46252</v>
      </c>
      <c r="B1493" s="3" t="s">
        <v>278</v>
      </c>
      <c r="C1493" s="3" t="s">
        <v>533</v>
      </c>
      <c r="D1493" s="3" t="s">
        <v>233</v>
      </c>
      <c r="E1493" s="3" t="s">
        <v>31</v>
      </c>
      <c r="F1493" s="3" t="s">
        <v>32</v>
      </c>
      <c r="G1493" s="4" t="s">
        <v>106</v>
      </c>
      <c r="H1493" s="4">
        <v>20</v>
      </c>
      <c r="I1493" s="5">
        <v>0.26468750000000002</v>
      </c>
      <c r="J1493" s="5">
        <v>0.14175925925925925</v>
      </c>
      <c r="K1493" s="5">
        <f t="shared" si="46"/>
        <v>7.0879629629629626E-3</v>
      </c>
      <c r="L1493" s="5">
        <v>3.394675925925926E-2</v>
      </c>
      <c r="M1493" s="6">
        <f t="shared" si="47"/>
        <v>0.12825221916131005</v>
      </c>
      <c r="N1493" s="5">
        <v>4.340277777777778E-3</v>
      </c>
      <c r="O1493" s="5">
        <v>1.4444444444444444E-2</v>
      </c>
      <c r="P1493" s="5"/>
      <c r="Q1493" s="5"/>
      <c r="R1493" s="5"/>
      <c r="S1493" s="5">
        <v>1.4606481481481481E-2</v>
      </c>
      <c r="T1493" s="5">
        <v>1.3888888888888889E-4</v>
      </c>
      <c r="U1493" s="5">
        <v>4.1666666666666669E-4</v>
      </c>
      <c r="V1493" s="5"/>
      <c r="W1493" s="5"/>
    </row>
    <row r="1494" spans="1:23" x14ac:dyDescent="0.25">
      <c r="A1494" s="2">
        <v>46252</v>
      </c>
      <c r="B1494" s="3" t="s">
        <v>313</v>
      </c>
      <c r="C1494" s="3" t="s">
        <v>511</v>
      </c>
      <c r="D1494" s="3" t="s">
        <v>78</v>
      </c>
      <c r="E1494" s="3" t="s">
        <v>79</v>
      </c>
      <c r="F1494" s="3" t="s">
        <v>80</v>
      </c>
      <c r="G1494" s="4" t="s">
        <v>81</v>
      </c>
      <c r="H1494" s="4">
        <v>3</v>
      </c>
      <c r="I1494" s="5">
        <v>0.25199074074074074</v>
      </c>
      <c r="J1494" s="5">
        <v>3.9155092592592596E-2</v>
      </c>
      <c r="K1494" s="5">
        <f t="shared" si="46"/>
        <v>1.3051697530864199E-2</v>
      </c>
      <c r="L1494" s="5">
        <v>4.2986111111111114E-2</v>
      </c>
      <c r="M1494" s="6">
        <f t="shared" si="47"/>
        <v>0.17058607385632923</v>
      </c>
      <c r="N1494" s="5">
        <v>8.4143518518518517E-3</v>
      </c>
      <c r="O1494" s="5">
        <v>3.4444444444444444E-2</v>
      </c>
      <c r="P1494" s="5"/>
      <c r="Q1494" s="5"/>
      <c r="R1494" s="5"/>
      <c r="S1494" s="5"/>
      <c r="T1494" s="5">
        <v>8.1018518518518516E-5</v>
      </c>
      <c r="U1494" s="5">
        <v>4.6296296296296294E-5</v>
      </c>
      <c r="V1494" s="5"/>
      <c r="W1494" s="5"/>
    </row>
    <row r="1495" spans="1:23" x14ac:dyDescent="0.25">
      <c r="A1495" s="2">
        <v>46252</v>
      </c>
      <c r="B1495" s="3" t="s">
        <v>673</v>
      </c>
      <c r="C1495" s="3" t="s">
        <v>674</v>
      </c>
      <c r="D1495" s="3" t="s">
        <v>104</v>
      </c>
      <c r="E1495" s="3" t="s">
        <v>31</v>
      </c>
      <c r="F1495" s="3" t="s">
        <v>105</v>
      </c>
      <c r="G1495" s="4" t="s">
        <v>106</v>
      </c>
      <c r="H1495" s="4">
        <v>10</v>
      </c>
      <c r="I1495" s="5">
        <v>0.2479513888888889</v>
      </c>
      <c r="J1495" s="5">
        <v>0.1338425925925926</v>
      </c>
      <c r="K1495" s="5">
        <f t="shared" si="46"/>
        <v>1.3384259259259259E-2</v>
      </c>
      <c r="L1495" s="5">
        <v>0.16212962962962962</v>
      </c>
      <c r="M1495" s="6">
        <f t="shared" si="47"/>
        <v>0.65387667460206311</v>
      </c>
      <c r="N1495" s="5">
        <v>2.5462962962962965E-3</v>
      </c>
      <c r="O1495" s="5">
        <v>1.6030092592592592E-2</v>
      </c>
      <c r="P1495" s="5"/>
      <c r="Q1495" s="5"/>
      <c r="R1495" s="5"/>
      <c r="S1495" s="5">
        <v>1.4710648148148148E-2</v>
      </c>
      <c r="T1495" s="5">
        <v>6.3657407407407413E-4</v>
      </c>
      <c r="U1495" s="5">
        <v>1.5856481481481481E-3</v>
      </c>
      <c r="V1495" s="5"/>
      <c r="W1495" s="5">
        <v>0.12662037037037038</v>
      </c>
    </row>
    <row r="1496" spans="1:23" x14ac:dyDescent="0.25">
      <c r="A1496" s="2">
        <v>46252</v>
      </c>
      <c r="B1496" s="3" t="s">
        <v>225</v>
      </c>
      <c r="C1496" s="3" t="s">
        <v>549</v>
      </c>
      <c r="D1496" s="3" t="s">
        <v>601</v>
      </c>
      <c r="E1496" s="3" t="s">
        <v>31</v>
      </c>
      <c r="F1496" s="3" t="s">
        <v>105</v>
      </c>
      <c r="G1496" s="4" t="s">
        <v>33</v>
      </c>
      <c r="H1496" s="4">
        <v>15</v>
      </c>
      <c r="I1496" s="5">
        <v>0.25597222222222221</v>
      </c>
      <c r="J1496" s="5">
        <v>8.4224537037037042E-2</v>
      </c>
      <c r="K1496" s="5">
        <f t="shared" si="46"/>
        <v>5.6149691358024691E-3</v>
      </c>
      <c r="L1496" s="5">
        <v>0.11072916666666667</v>
      </c>
      <c r="M1496" s="6">
        <f t="shared" si="47"/>
        <v>0.43258274552360287</v>
      </c>
      <c r="N1496" s="5">
        <v>3.1597222222222222E-3</v>
      </c>
      <c r="O1496" s="5">
        <v>7.1064814814814819E-3</v>
      </c>
      <c r="P1496" s="5">
        <v>1.4814814814814814E-3</v>
      </c>
      <c r="Q1496" s="5">
        <v>7.1759259259259259E-3</v>
      </c>
      <c r="R1496" s="5">
        <v>5.7870370370370373E-5</v>
      </c>
      <c r="S1496" s="5">
        <v>1.1481481481481481E-2</v>
      </c>
      <c r="T1496" s="5">
        <v>2.0717592592592593E-3</v>
      </c>
      <c r="U1496" s="5">
        <v>7.8159722222222228E-2</v>
      </c>
      <c r="V1496" s="5"/>
      <c r="W1496" s="5"/>
    </row>
    <row r="1497" spans="1:23" x14ac:dyDescent="0.25">
      <c r="A1497" s="2">
        <v>46252</v>
      </c>
      <c r="B1497" s="3" t="s">
        <v>70</v>
      </c>
      <c r="C1497" s="3" t="s">
        <v>71</v>
      </c>
      <c r="D1497" s="3" t="s">
        <v>78</v>
      </c>
      <c r="E1497" s="3" t="s">
        <v>79</v>
      </c>
      <c r="F1497" s="3" t="s">
        <v>80</v>
      </c>
      <c r="G1497" s="4" t="s">
        <v>33</v>
      </c>
      <c r="H1497" s="4">
        <v>0</v>
      </c>
      <c r="I1497" s="5">
        <v>0.33842592592592591</v>
      </c>
      <c r="J1497" s="5">
        <v>0</v>
      </c>
      <c r="K1497" s="5">
        <f t="shared" si="46"/>
        <v>0</v>
      </c>
      <c r="L1497" s="5">
        <v>8.0868055555555554E-2</v>
      </c>
      <c r="M1497" s="6">
        <f t="shared" si="47"/>
        <v>0.23895348837209304</v>
      </c>
      <c r="N1497" s="5"/>
      <c r="O1497" s="5">
        <v>6.1562499999999999E-2</v>
      </c>
      <c r="P1497" s="5"/>
      <c r="Q1497" s="5"/>
      <c r="R1497" s="5"/>
      <c r="S1497" s="5">
        <v>1.8055555555555554E-2</v>
      </c>
      <c r="T1497" s="5">
        <v>3.5879629629629629E-4</v>
      </c>
      <c r="U1497" s="5">
        <v>8.4490740740740739E-4</v>
      </c>
      <c r="V1497" s="5"/>
      <c r="W1497" s="5"/>
    </row>
    <row r="1498" spans="1:23" x14ac:dyDescent="0.25">
      <c r="A1498" s="2">
        <v>46252</v>
      </c>
      <c r="B1498" s="3" t="s">
        <v>280</v>
      </c>
      <c r="C1498" s="3" t="s">
        <v>534</v>
      </c>
      <c r="D1498" s="3" t="s">
        <v>233</v>
      </c>
      <c r="E1498" s="3" t="s">
        <v>31</v>
      </c>
      <c r="F1498" s="3" t="s">
        <v>32</v>
      </c>
      <c r="G1498" s="4" t="s">
        <v>106</v>
      </c>
      <c r="H1498" s="4">
        <v>41</v>
      </c>
      <c r="I1498" s="5">
        <v>0.26148148148148148</v>
      </c>
      <c r="J1498" s="5">
        <v>0.10310185185185185</v>
      </c>
      <c r="K1498" s="5">
        <f t="shared" si="46"/>
        <v>2.5146793134598012E-3</v>
      </c>
      <c r="L1498" s="5">
        <v>3.784722222222222E-2</v>
      </c>
      <c r="M1498" s="6">
        <f t="shared" si="47"/>
        <v>0.14474150141643058</v>
      </c>
      <c r="N1498" s="5">
        <v>3.9583333333333337E-3</v>
      </c>
      <c r="O1498" s="5">
        <v>1.59375E-2</v>
      </c>
      <c r="P1498" s="5"/>
      <c r="Q1498" s="5"/>
      <c r="R1498" s="5"/>
      <c r="S1498" s="5">
        <v>1.3912037037037037E-2</v>
      </c>
      <c r="T1498" s="5">
        <v>2.8240740740740739E-3</v>
      </c>
      <c r="U1498" s="5">
        <v>5.5555555555555556E-4</v>
      </c>
      <c r="V1498" s="5"/>
      <c r="W1498" s="5">
        <v>6.4814814814814813E-4</v>
      </c>
    </row>
    <row r="1499" spans="1:23" x14ac:dyDescent="0.25">
      <c r="A1499" s="2">
        <v>46252</v>
      </c>
      <c r="B1499" s="3" t="s">
        <v>299</v>
      </c>
      <c r="C1499" s="3" t="s">
        <v>571</v>
      </c>
      <c r="D1499" s="3" t="s">
        <v>104</v>
      </c>
      <c r="E1499" s="3" t="s">
        <v>31</v>
      </c>
      <c r="F1499" s="3" t="s">
        <v>105</v>
      </c>
      <c r="G1499" s="4" t="s">
        <v>106</v>
      </c>
      <c r="H1499" s="4">
        <v>10</v>
      </c>
      <c r="I1499" s="5">
        <v>0.26443287037037039</v>
      </c>
      <c r="J1499" s="5">
        <v>0.21996527777777777</v>
      </c>
      <c r="K1499" s="5">
        <f t="shared" si="46"/>
        <v>2.1996527777777778E-2</v>
      </c>
      <c r="L1499" s="5">
        <v>0.13956018518518518</v>
      </c>
      <c r="M1499" s="6">
        <f t="shared" si="47"/>
        <v>0.52777169869129414</v>
      </c>
      <c r="N1499" s="5">
        <v>3.1134259259259257E-3</v>
      </c>
      <c r="O1499" s="5">
        <v>1.3206018518518518E-2</v>
      </c>
      <c r="P1499" s="5"/>
      <c r="Q1499" s="5"/>
      <c r="R1499" s="5"/>
      <c r="S1499" s="5">
        <v>1.1168981481481481E-2</v>
      </c>
      <c r="T1499" s="5">
        <v>8.1018518518518516E-5</v>
      </c>
      <c r="U1499" s="5">
        <v>6.6782407407407407E-3</v>
      </c>
      <c r="V1499" s="5"/>
      <c r="W1499" s="5">
        <v>0.1053125</v>
      </c>
    </row>
    <row r="1500" spans="1:23" x14ac:dyDescent="0.25">
      <c r="A1500" s="2">
        <v>46252</v>
      </c>
      <c r="B1500" s="3" t="s">
        <v>227</v>
      </c>
      <c r="C1500" s="3" t="s">
        <v>557</v>
      </c>
      <c r="D1500" s="3" t="s">
        <v>146</v>
      </c>
      <c r="E1500" s="3" t="s">
        <v>79</v>
      </c>
      <c r="F1500" s="3" t="s">
        <v>147</v>
      </c>
      <c r="G1500" s="4" t="s">
        <v>106</v>
      </c>
      <c r="H1500" s="4">
        <v>14</v>
      </c>
      <c r="I1500" s="5">
        <v>0.28675925925925927</v>
      </c>
      <c r="J1500" s="5">
        <v>0.12017361111111111</v>
      </c>
      <c r="K1500" s="5">
        <f t="shared" si="46"/>
        <v>8.5838293650793655E-3</v>
      </c>
      <c r="L1500" s="5">
        <v>4.5173611111111109E-2</v>
      </c>
      <c r="M1500" s="6">
        <f t="shared" si="47"/>
        <v>0.15753148207943168</v>
      </c>
      <c r="N1500" s="5">
        <v>7.2222222222222219E-3</v>
      </c>
      <c r="O1500" s="5">
        <v>1.292824074074074E-2</v>
      </c>
      <c r="P1500" s="5">
        <v>1.0486111111111111E-2</v>
      </c>
      <c r="Q1500" s="5"/>
      <c r="R1500" s="5"/>
      <c r="S1500" s="5">
        <v>1.369212962962963E-2</v>
      </c>
      <c r="T1500" s="5">
        <v>1.1574074074074075E-4</v>
      </c>
      <c r="U1500" s="5">
        <v>6.8287037037037036E-4</v>
      </c>
      <c r="V1500" s="5"/>
      <c r="W1500" s="5"/>
    </row>
    <row r="1501" spans="1:23" x14ac:dyDescent="0.25">
      <c r="A1501" s="2">
        <v>46252</v>
      </c>
      <c r="B1501" s="3" t="s">
        <v>282</v>
      </c>
      <c r="C1501" s="3" t="s">
        <v>535</v>
      </c>
      <c r="D1501" s="3" t="s">
        <v>233</v>
      </c>
      <c r="E1501" s="3" t="s">
        <v>31</v>
      </c>
      <c r="F1501" s="3" t="s">
        <v>32</v>
      </c>
      <c r="G1501" s="4" t="s">
        <v>106</v>
      </c>
      <c r="H1501" s="4">
        <v>55</v>
      </c>
      <c r="I1501" s="5">
        <v>0.26019675925925928</v>
      </c>
      <c r="J1501" s="5">
        <v>9.256944444444444E-2</v>
      </c>
      <c r="K1501" s="5">
        <f t="shared" si="46"/>
        <v>1.683080808080808E-3</v>
      </c>
      <c r="L1501" s="5">
        <v>4.597222222222222E-2</v>
      </c>
      <c r="M1501" s="6">
        <f t="shared" si="47"/>
        <v>0.17668253191584002</v>
      </c>
      <c r="N1501" s="5">
        <v>8.2060185185185187E-3</v>
      </c>
      <c r="O1501" s="5">
        <v>1.5532407407407408E-2</v>
      </c>
      <c r="P1501" s="5"/>
      <c r="Q1501" s="5">
        <v>4.0856481481481481E-3</v>
      </c>
      <c r="R1501" s="5"/>
      <c r="S1501" s="5">
        <v>1.369212962962963E-2</v>
      </c>
      <c r="T1501" s="5">
        <v>4.4560185185185189E-3</v>
      </c>
      <c r="U1501" s="5"/>
      <c r="V1501" s="5"/>
      <c r="W1501" s="5"/>
    </row>
    <row r="1502" spans="1:23" x14ac:dyDescent="0.25">
      <c r="A1502" s="2">
        <v>46252</v>
      </c>
      <c r="B1502" s="3" t="s">
        <v>675</v>
      </c>
      <c r="C1502" s="3" t="s">
        <v>676</v>
      </c>
      <c r="D1502" s="3" t="s">
        <v>104</v>
      </c>
      <c r="E1502" s="3" t="s">
        <v>31</v>
      </c>
      <c r="F1502" s="3" t="s">
        <v>105</v>
      </c>
      <c r="G1502" s="4" t="s">
        <v>106</v>
      </c>
      <c r="H1502" s="4">
        <v>12</v>
      </c>
      <c r="I1502" s="5">
        <v>0.25983796296296297</v>
      </c>
      <c r="J1502" s="5">
        <v>0.16908564814814814</v>
      </c>
      <c r="K1502" s="5">
        <f t="shared" si="46"/>
        <v>1.4090470679012345E-2</v>
      </c>
      <c r="L1502" s="5">
        <v>9.8194444444444445E-2</v>
      </c>
      <c r="M1502" s="6">
        <f t="shared" si="47"/>
        <v>0.37790645879732737</v>
      </c>
      <c r="N1502" s="5">
        <v>5.9953703703703705E-3</v>
      </c>
      <c r="O1502" s="5">
        <v>1.5081018518518518E-2</v>
      </c>
      <c r="P1502" s="5"/>
      <c r="Q1502" s="5"/>
      <c r="R1502" s="5"/>
      <c r="S1502" s="5">
        <v>1.4317129629629629E-2</v>
      </c>
      <c r="T1502" s="5">
        <v>1.0416666666666667E-3</v>
      </c>
      <c r="U1502" s="5">
        <v>1.5740740740740741E-3</v>
      </c>
      <c r="V1502" s="5"/>
      <c r="W1502" s="5">
        <v>6.0185185185185182E-2</v>
      </c>
    </row>
    <row r="1503" spans="1:23" x14ac:dyDescent="0.25">
      <c r="A1503" s="2">
        <v>46252</v>
      </c>
      <c r="B1503" s="3" t="s">
        <v>677</v>
      </c>
      <c r="C1503" s="3" t="s">
        <v>678</v>
      </c>
      <c r="D1503" s="3" t="s">
        <v>274</v>
      </c>
      <c r="E1503" s="3" t="s">
        <v>79</v>
      </c>
      <c r="F1503" s="3" t="s">
        <v>147</v>
      </c>
      <c r="G1503" s="4" t="s">
        <v>33</v>
      </c>
      <c r="H1503" s="4">
        <v>25</v>
      </c>
      <c r="I1503" s="5">
        <v>0.26087962962962963</v>
      </c>
      <c r="J1503" s="5">
        <v>8.0810185185185179E-2</v>
      </c>
      <c r="K1503" s="5">
        <f t="shared" si="46"/>
        <v>3.2324074074074074E-3</v>
      </c>
      <c r="L1503" s="5">
        <v>2.8634259259259259E-2</v>
      </c>
      <c r="M1503" s="6">
        <f t="shared" si="47"/>
        <v>0.10976042590949422</v>
      </c>
      <c r="N1503" s="5"/>
      <c r="O1503" s="5">
        <v>1.4328703703703703E-2</v>
      </c>
      <c r="P1503" s="5"/>
      <c r="Q1503" s="5"/>
      <c r="R1503" s="5"/>
      <c r="S1503" s="5">
        <v>1.3969907407407407E-2</v>
      </c>
      <c r="T1503" s="5">
        <v>9.2592592592592588E-5</v>
      </c>
      <c r="U1503" s="5">
        <v>2.3148148148148149E-4</v>
      </c>
      <c r="V1503" s="5"/>
      <c r="W1503" s="5"/>
    </row>
    <row r="1504" spans="1:23" x14ac:dyDescent="0.25">
      <c r="A1504" s="2">
        <v>46253</v>
      </c>
      <c r="B1504" s="3" t="s">
        <v>186</v>
      </c>
      <c r="C1504" s="3" t="s">
        <v>562</v>
      </c>
      <c r="D1504" s="3" t="s">
        <v>78</v>
      </c>
      <c r="E1504" s="3" t="s">
        <v>79</v>
      </c>
      <c r="F1504" s="3" t="s">
        <v>80</v>
      </c>
      <c r="G1504" s="4" t="s">
        <v>33</v>
      </c>
      <c r="H1504" s="4">
        <v>0</v>
      </c>
      <c r="I1504" s="5">
        <v>0.27533564814814815</v>
      </c>
      <c r="J1504" s="5">
        <v>0</v>
      </c>
      <c r="K1504" s="5">
        <f t="shared" si="46"/>
        <v>0</v>
      </c>
      <c r="L1504" s="5">
        <v>4.3124999999999997E-2</v>
      </c>
      <c r="M1504" s="6">
        <f t="shared" si="47"/>
        <v>0.15662701248476185</v>
      </c>
      <c r="N1504" s="5">
        <v>7.7314814814814815E-3</v>
      </c>
      <c r="O1504" s="5">
        <v>1.4270833333333333E-2</v>
      </c>
      <c r="P1504" s="5"/>
      <c r="Q1504" s="5"/>
      <c r="R1504" s="5"/>
      <c r="S1504" s="5">
        <v>1.8368055555555554E-2</v>
      </c>
      <c r="T1504" s="5">
        <v>1.736111111111111E-3</v>
      </c>
      <c r="U1504" s="5">
        <v>9.1435185185185185E-4</v>
      </c>
      <c r="V1504" s="5"/>
      <c r="W1504" s="5"/>
    </row>
    <row r="1505" spans="1:23" x14ac:dyDescent="0.25">
      <c r="A1505" s="2">
        <v>46253</v>
      </c>
      <c r="B1505" s="3" t="s">
        <v>643</v>
      </c>
      <c r="C1505" s="3" t="s">
        <v>644</v>
      </c>
      <c r="D1505" s="3" t="s">
        <v>233</v>
      </c>
      <c r="E1505" s="3" t="s">
        <v>31</v>
      </c>
      <c r="F1505" s="3" t="s">
        <v>32</v>
      </c>
      <c r="G1505" s="4" t="s">
        <v>106</v>
      </c>
      <c r="H1505" s="4">
        <v>19</v>
      </c>
      <c r="I1505" s="5">
        <v>0.25679398148148147</v>
      </c>
      <c r="J1505" s="5">
        <v>0.15188657407407408</v>
      </c>
      <c r="K1505" s="5">
        <f t="shared" si="46"/>
        <v>7.9940302144249509E-3</v>
      </c>
      <c r="L1505" s="5">
        <v>4.1192129629629627E-2</v>
      </c>
      <c r="M1505" s="6">
        <f t="shared" si="47"/>
        <v>0.1604092486591247</v>
      </c>
      <c r="N1505" s="5">
        <v>3.1481481481481482E-3</v>
      </c>
      <c r="O1505" s="5">
        <v>1.5150462962962963E-2</v>
      </c>
      <c r="P1505" s="5"/>
      <c r="Q1505" s="5">
        <v>5.1967592592592595E-3</v>
      </c>
      <c r="R1505" s="5">
        <v>1.3773148148148149E-2</v>
      </c>
      <c r="S1505" s="5"/>
      <c r="T1505" s="5">
        <v>1.8634259259259259E-3</v>
      </c>
      <c r="U1505" s="5">
        <v>2.0370370370370369E-3</v>
      </c>
      <c r="V1505" s="5"/>
      <c r="W1505" s="5"/>
    </row>
    <row r="1506" spans="1:23" x14ac:dyDescent="0.25">
      <c r="A1506" s="2">
        <v>46253</v>
      </c>
      <c r="B1506" s="3" t="s">
        <v>193</v>
      </c>
      <c r="C1506" s="3" t="s">
        <v>563</v>
      </c>
      <c r="D1506" s="3" t="s">
        <v>274</v>
      </c>
      <c r="E1506" s="3" t="s">
        <v>79</v>
      </c>
      <c r="F1506" s="3" t="s">
        <v>147</v>
      </c>
      <c r="G1506" s="4" t="s">
        <v>33</v>
      </c>
      <c r="H1506" s="4">
        <v>21</v>
      </c>
      <c r="I1506" s="5">
        <v>0.26135416666666667</v>
      </c>
      <c r="J1506" s="5">
        <v>6.9108796296296293E-2</v>
      </c>
      <c r="K1506" s="5">
        <f t="shared" si="46"/>
        <v>3.2908950617283948E-3</v>
      </c>
      <c r="L1506" s="5">
        <v>3.7997685185185183E-2</v>
      </c>
      <c r="M1506" s="6">
        <f t="shared" si="47"/>
        <v>0.14538771533590186</v>
      </c>
      <c r="N1506" s="5">
        <v>1.8287037037037037E-3</v>
      </c>
      <c r="O1506" s="5">
        <v>1.7974537037037035E-2</v>
      </c>
      <c r="P1506" s="5"/>
      <c r="Q1506" s="5">
        <v>3.5069444444444445E-3</v>
      </c>
      <c r="R1506" s="5"/>
      <c r="S1506" s="5">
        <v>1.4398148148148148E-2</v>
      </c>
      <c r="T1506" s="5">
        <v>1.5046296296296297E-4</v>
      </c>
      <c r="U1506" s="5">
        <v>1.3888888888888889E-4</v>
      </c>
      <c r="V1506" s="5"/>
      <c r="W1506" s="5"/>
    </row>
    <row r="1507" spans="1:23" x14ac:dyDescent="0.25">
      <c r="A1507" s="2">
        <v>46253</v>
      </c>
      <c r="B1507" s="3" t="s">
        <v>148</v>
      </c>
      <c r="C1507" s="3" t="s">
        <v>513</v>
      </c>
      <c r="D1507" s="3" t="s">
        <v>104</v>
      </c>
      <c r="E1507" s="3" t="s">
        <v>31</v>
      </c>
      <c r="F1507" s="3" t="s">
        <v>105</v>
      </c>
      <c r="G1507" s="4" t="s">
        <v>106</v>
      </c>
      <c r="H1507" s="4">
        <v>12</v>
      </c>
      <c r="I1507" s="5">
        <v>0.24925925925925926</v>
      </c>
      <c r="J1507" s="5">
        <v>0.11123842592592592</v>
      </c>
      <c r="K1507" s="5">
        <f t="shared" si="46"/>
        <v>9.2698688271604934E-3</v>
      </c>
      <c r="L1507" s="5">
        <v>0.10504629629629629</v>
      </c>
      <c r="M1507" s="6">
        <f t="shared" si="47"/>
        <v>0.42143387815750366</v>
      </c>
      <c r="N1507" s="5">
        <v>7.8935185185185185E-3</v>
      </c>
      <c r="O1507" s="5">
        <v>1.4756944444444444E-2</v>
      </c>
      <c r="P1507" s="5"/>
      <c r="Q1507" s="5"/>
      <c r="R1507" s="5"/>
      <c r="S1507" s="5">
        <v>1.4166666666666666E-2</v>
      </c>
      <c r="T1507" s="5">
        <v>6.7013888888888887E-3</v>
      </c>
      <c r="U1507" s="5">
        <v>6.3657407407407413E-4</v>
      </c>
      <c r="V1507" s="5"/>
      <c r="W1507" s="5">
        <v>6.0891203703703704E-2</v>
      </c>
    </row>
    <row r="1508" spans="1:23" x14ac:dyDescent="0.25">
      <c r="A1508" s="2">
        <v>46253</v>
      </c>
      <c r="B1508" s="3" t="s">
        <v>82</v>
      </c>
      <c r="C1508" s="3" t="s">
        <v>83</v>
      </c>
      <c r="D1508" s="3" t="s">
        <v>78</v>
      </c>
      <c r="E1508" s="3" t="s">
        <v>79</v>
      </c>
      <c r="F1508" s="3" t="s">
        <v>80</v>
      </c>
      <c r="G1508" s="4" t="s">
        <v>81</v>
      </c>
      <c r="H1508" s="4">
        <v>0</v>
      </c>
      <c r="I1508" s="5">
        <v>5.5023148148148147E-2</v>
      </c>
      <c r="J1508" s="5">
        <v>0</v>
      </c>
      <c r="K1508" s="5">
        <f t="shared" si="46"/>
        <v>0</v>
      </c>
      <c r="L1508" s="5">
        <v>1.4155092592592592E-2</v>
      </c>
      <c r="M1508" s="6">
        <f t="shared" si="47"/>
        <v>0.25725704669751787</v>
      </c>
      <c r="N1508" s="5"/>
      <c r="O1508" s="5"/>
      <c r="P1508" s="5"/>
      <c r="Q1508" s="5"/>
      <c r="R1508" s="5"/>
      <c r="S1508" s="5"/>
      <c r="T1508" s="5">
        <v>1.4155092592592592E-2</v>
      </c>
      <c r="U1508" s="5"/>
      <c r="V1508" s="5"/>
      <c r="W1508" s="5"/>
    </row>
    <row r="1509" spans="1:23" x14ac:dyDescent="0.25">
      <c r="A1509" s="2">
        <v>46253</v>
      </c>
      <c r="B1509" s="3" t="s">
        <v>234</v>
      </c>
      <c r="C1509" s="3" t="s">
        <v>550</v>
      </c>
      <c r="D1509" s="3" t="s">
        <v>233</v>
      </c>
      <c r="E1509" s="3" t="s">
        <v>31</v>
      </c>
      <c r="F1509" s="3" t="s">
        <v>32</v>
      </c>
      <c r="G1509" s="4" t="s">
        <v>106</v>
      </c>
      <c r="H1509" s="4">
        <v>42</v>
      </c>
      <c r="I1509" s="5">
        <v>0.34537037037037038</v>
      </c>
      <c r="J1509" s="5">
        <v>0.1819675925925926</v>
      </c>
      <c r="K1509" s="5">
        <f t="shared" si="46"/>
        <v>4.3325617283950617E-3</v>
      </c>
      <c r="L1509" s="5">
        <v>8.2361111111111107E-2</v>
      </c>
      <c r="M1509" s="6">
        <f t="shared" si="47"/>
        <v>0.23847184986595171</v>
      </c>
      <c r="N1509" s="5">
        <v>1.4201388888888888E-2</v>
      </c>
      <c r="O1509" s="5">
        <v>2.0335648148148148E-2</v>
      </c>
      <c r="P1509" s="5"/>
      <c r="Q1509" s="5">
        <v>7.858796296296296E-3</v>
      </c>
      <c r="R1509" s="5"/>
      <c r="S1509" s="5">
        <v>1.3923611111111111E-2</v>
      </c>
      <c r="T1509" s="5">
        <v>1.667824074074074E-2</v>
      </c>
      <c r="U1509" s="5">
        <v>1.1574074074074075E-4</v>
      </c>
      <c r="V1509" s="5"/>
      <c r="W1509" s="5">
        <v>9.2476851851851852E-3</v>
      </c>
    </row>
    <row r="1510" spans="1:23" x14ac:dyDescent="0.25">
      <c r="A1510" s="2">
        <v>46253</v>
      </c>
      <c r="B1510" s="3" t="s">
        <v>34</v>
      </c>
      <c r="C1510" s="3" t="s">
        <v>505</v>
      </c>
      <c r="D1510" s="3" t="s">
        <v>233</v>
      </c>
      <c r="E1510" s="3" t="s">
        <v>31</v>
      </c>
      <c r="F1510" s="3" t="s">
        <v>32</v>
      </c>
      <c r="G1510" s="4" t="s">
        <v>106</v>
      </c>
      <c r="H1510" s="4">
        <v>33</v>
      </c>
      <c r="I1510" s="5">
        <v>0.26069444444444445</v>
      </c>
      <c r="J1510" s="5">
        <v>0.1302662037037037</v>
      </c>
      <c r="K1510" s="5">
        <f t="shared" si="46"/>
        <v>3.9474607182940517E-3</v>
      </c>
      <c r="L1510" s="5">
        <v>4.7256944444444442E-2</v>
      </c>
      <c r="M1510" s="6">
        <f t="shared" si="47"/>
        <v>0.18127330847096429</v>
      </c>
      <c r="N1510" s="5">
        <v>6.6666666666666671E-3</v>
      </c>
      <c r="O1510" s="5">
        <v>1.4282407407407407E-2</v>
      </c>
      <c r="P1510" s="5"/>
      <c r="Q1510" s="5">
        <v>5.208333333333333E-3</v>
      </c>
      <c r="R1510" s="5"/>
      <c r="S1510" s="5">
        <v>1.34375E-2</v>
      </c>
      <c r="T1510" s="5">
        <v>5.7870370370370373E-5</v>
      </c>
      <c r="U1510" s="5">
        <v>6.9675925925925929E-3</v>
      </c>
      <c r="V1510" s="5"/>
      <c r="W1510" s="5"/>
    </row>
    <row r="1511" spans="1:23" x14ac:dyDescent="0.25">
      <c r="A1511" s="2">
        <v>46253</v>
      </c>
      <c r="B1511" s="3" t="s">
        <v>236</v>
      </c>
      <c r="C1511" s="3" t="s">
        <v>551</v>
      </c>
      <c r="D1511" s="3" t="s">
        <v>233</v>
      </c>
      <c r="E1511" s="3" t="s">
        <v>31</v>
      </c>
      <c r="F1511" s="3" t="s">
        <v>32</v>
      </c>
      <c r="G1511" s="4" t="s">
        <v>106</v>
      </c>
      <c r="H1511" s="4">
        <v>6</v>
      </c>
      <c r="I1511" s="5">
        <v>0.19988425925925926</v>
      </c>
      <c r="J1511" s="5">
        <v>2.0254629629629629E-2</v>
      </c>
      <c r="K1511" s="5">
        <f t="shared" si="46"/>
        <v>3.3757716049382714E-3</v>
      </c>
      <c r="L1511" s="5">
        <v>0.18265046296296297</v>
      </c>
      <c r="M1511" s="6">
        <f t="shared" si="47"/>
        <v>0.91378112333526351</v>
      </c>
      <c r="N1511" s="5">
        <v>4.4675925925925924E-3</v>
      </c>
      <c r="O1511" s="5"/>
      <c r="P1511" s="5"/>
      <c r="Q1511" s="5"/>
      <c r="R1511" s="5"/>
      <c r="S1511" s="5"/>
      <c r="T1511" s="5">
        <v>1.5057870370370371E-2</v>
      </c>
      <c r="U1511" s="5">
        <v>8.3333333333333339E-4</v>
      </c>
      <c r="V1511" s="5"/>
      <c r="W1511" s="5">
        <v>0.16226851851851851</v>
      </c>
    </row>
    <row r="1512" spans="1:23" x14ac:dyDescent="0.25">
      <c r="A1512" s="2">
        <v>46253</v>
      </c>
      <c r="B1512" s="3" t="s">
        <v>238</v>
      </c>
      <c r="C1512" s="3" t="s">
        <v>526</v>
      </c>
      <c r="D1512" s="3" t="s">
        <v>233</v>
      </c>
      <c r="E1512" s="3" t="s">
        <v>31</v>
      </c>
      <c r="F1512" s="3" t="s">
        <v>32</v>
      </c>
      <c r="G1512" s="4" t="s">
        <v>106</v>
      </c>
      <c r="H1512" s="4">
        <v>0</v>
      </c>
      <c r="I1512" s="5">
        <v>0.25604166666666667</v>
      </c>
      <c r="J1512" s="5">
        <v>0</v>
      </c>
      <c r="K1512" s="5">
        <f t="shared" si="46"/>
        <v>0</v>
      </c>
      <c r="L1512" s="5">
        <v>0.25593749999999998</v>
      </c>
      <c r="M1512" s="6">
        <f t="shared" si="47"/>
        <v>0.9995931651749389</v>
      </c>
      <c r="N1512" s="5"/>
      <c r="O1512" s="5">
        <v>1.4930555555555556E-2</v>
      </c>
      <c r="P1512" s="5"/>
      <c r="Q1512" s="5"/>
      <c r="R1512" s="5"/>
      <c r="S1512" s="5">
        <v>1.0115740740740741E-2</v>
      </c>
      <c r="T1512" s="5">
        <v>4.2824074074074075E-4</v>
      </c>
      <c r="U1512" s="5"/>
      <c r="V1512" s="5"/>
      <c r="W1512" s="5">
        <v>0.23046296296296295</v>
      </c>
    </row>
    <row r="1513" spans="1:23" x14ac:dyDescent="0.25">
      <c r="A1513" s="2">
        <v>46253</v>
      </c>
      <c r="B1513" s="3" t="s">
        <v>608</v>
      </c>
      <c r="C1513" s="3" t="s">
        <v>631</v>
      </c>
      <c r="D1513" s="3" t="s">
        <v>601</v>
      </c>
      <c r="E1513" s="3" t="s">
        <v>31</v>
      </c>
      <c r="F1513" s="3" t="s">
        <v>105</v>
      </c>
      <c r="G1513" s="4" t="s">
        <v>33</v>
      </c>
      <c r="H1513" s="4">
        <v>10</v>
      </c>
      <c r="I1513" s="5">
        <v>0.22412037037037036</v>
      </c>
      <c r="J1513" s="5">
        <v>0.11974537037037038</v>
      </c>
      <c r="K1513" s="5">
        <f t="shared" si="46"/>
        <v>1.1974537037037037E-2</v>
      </c>
      <c r="L1513" s="5">
        <v>0.10903935185185185</v>
      </c>
      <c r="M1513" s="6">
        <f t="shared" si="47"/>
        <v>0.48652137988019006</v>
      </c>
      <c r="N1513" s="5"/>
      <c r="O1513" s="5">
        <v>1.3668981481481482E-2</v>
      </c>
      <c r="P1513" s="5"/>
      <c r="Q1513" s="5"/>
      <c r="R1513" s="5"/>
      <c r="S1513" s="5">
        <v>1.4594907407407407E-2</v>
      </c>
      <c r="T1513" s="5">
        <v>1.1226851851851851E-3</v>
      </c>
      <c r="U1513" s="5">
        <v>7.9652777777777781E-2</v>
      </c>
      <c r="V1513" s="5"/>
      <c r="W1513" s="5"/>
    </row>
    <row r="1514" spans="1:23" x14ac:dyDescent="0.25">
      <c r="A1514" s="2">
        <v>46253</v>
      </c>
      <c r="B1514" s="3" t="s">
        <v>307</v>
      </c>
      <c r="C1514" s="3" t="s">
        <v>308</v>
      </c>
      <c r="D1514" s="3" t="s">
        <v>78</v>
      </c>
      <c r="E1514" s="3" t="s">
        <v>79</v>
      </c>
      <c r="F1514" s="3" t="s">
        <v>80</v>
      </c>
      <c r="G1514" s="4" t="s">
        <v>81</v>
      </c>
      <c r="H1514" s="4">
        <v>0</v>
      </c>
      <c r="I1514" s="5">
        <v>0.34005787037037039</v>
      </c>
      <c r="J1514" s="5">
        <v>0</v>
      </c>
      <c r="K1514" s="5">
        <f t="shared" si="46"/>
        <v>0</v>
      </c>
      <c r="L1514" s="5">
        <v>5.6458333333333333E-2</v>
      </c>
      <c r="M1514" s="6">
        <f t="shared" si="47"/>
        <v>0.16602566284333412</v>
      </c>
      <c r="N1514" s="5"/>
      <c r="O1514" s="5"/>
      <c r="P1514" s="5"/>
      <c r="Q1514" s="5"/>
      <c r="R1514" s="5">
        <v>1.7164351851851851E-2</v>
      </c>
      <c r="S1514" s="5"/>
      <c r="T1514" s="5"/>
      <c r="U1514" s="5">
        <v>8.7962962962962962E-4</v>
      </c>
      <c r="V1514" s="5"/>
      <c r="W1514" s="5"/>
    </row>
    <row r="1515" spans="1:23" x14ac:dyDescent="0.25">
      <c r="A1515" s="2">
        <v>46253</v>
      </c>
      <c r="B1515" s="3" t="s">
        <v>197</v>
      </c>
      <c r="C1515" s="3" t="s">
        <v>564</v>
      </c>
      <c r="D1515" s="3" t="s">
        <v>601</v>
      </c>
      <c r="E1515" s="3" t="s">
        <v>31</v>
      </c>
      <c r="F1515" s="3" t="s">
        <v>105</v>
      </c>
      <c r="G1515" s="4" t="s">
        <v>33</v>
      </c>
      <c r="H1515" s="4">
        <v>5</v>
      </c>
      <c r="I1515" s="5">
        <v>0.23778935185185185</v>
      </c>
      <c r="J1515" s="5">
        <v>8.5682870370370368E-2</v>
      </c>
      <c r="K1515" s="5">
        <f t="shared" si="46"/>
        <v>1.7136574074074075E-2</v>
      </c>
      <c r="L1515" s="5">
        <v>0.16009259259259259</v>
      </c>
      <c r="M1515" s="6">
        <f t="shared" si="47"/>
        <v>0.67325383304940378</v>
      </c>
      <c r="N1515" s="5">
        <v>1.4421296296296297E-2</v>
      </c>
      <c r="O1515" s="5">
        <v>8.2870370370370372E-3</v>
      </c>
      <c r="P1515" s="5"/>
      <c r="Q1515" s="5">
        <v>1.4699074074074074E-3</v>
      </c>
      <c r="R1515" s="5"/>
      <c r="S1515" s="5">
        <v>1.7326388888888888E-2</v>
      </c>
      <c r="T1515" s="5">
        <v>5.3240740740740744E-4</v>
      </c>
      <c r="U1515" s="5">
        <v>0.11805555555555555</v>
      </c>
      <c r="V1515" s="5"/>
      <c r="W1515" s="5"/>
    </row>
    <row r="1516" spans="1:23" x14ac:dyDescent="0.25">
      <c r="A1516" s="2">
        <v>46253</v>
      </c>
      <c r="B1516" s="3" t="s">
        <v>150</v>
      </c>
      <c r="C1516" s="3" t="s">
        <v>514</v>
      </c>
      <c r="D1516" s="3" t="s">
        <v>146</v>
      </c>
      <c r="E1516" s="3" t="s">
        <v>79</v>
      </c>
      <c r="F1516" s="3" t="s">
        <v>147</v>
      </c>
      <c r="G1516" s="4" t="s">
        <v>106</v>
      </c>
      <c r="H1516" s="4">
        <v>26</v>
      </c>
      <c r="I1516" s="5">
        <v>0.26569444444444446</v>
      </c>
      <c r="J1516" s="5">
        <v>5.212962962962963E-2</v>
      </c>
      <c r="K1516" s="5">
        <f t="shared" si="46"/>
        <v>2.0049857549857548E-3</v>
      </c>
      <c r="L1516" s="5">
        <v>2.8252314814814813E-2</v>
      </c>
      <c r="M1516" s="6">
        <f t="shared" si="47"/>
        <v>0.10633385607248648</v>
      </c>
      <c r="N1516" s="5"/>
      <c r="O1516" s="5">
        <v>1.3761574074074074E-2</v>
      </c>
      <c r="P1516" s="5"/>
      <c r="Q1516" s="5"/>
      <c r="R1516" s="5"/>
      <c r="S1516" s="5">
        <v>1.4212962962962964E-2</v>
      </c>
      <c r="T1516" s="5">
        <v>8.1018518518518516E-5</v>
      </c>
      <c r="U1516" s="5">
        <v>1.8518518518518518E-4</v>
      </c>
      <c r="V1516" s="5"/>
      <c r="W1516" s="5"/>
    </row>
    <row r="1517" spans="1:23" x14ac:dyDescent="0.25">
      <c r="A1517" s="2">
        <v>46253</v>
      </c>
      <c r="B1517" s="3" t="s">
        <v>154</v>
      </c>
      <c r="C1517" s="3" t="s">
        <v>515</v>
      </c>
      <c r="D1517" s="3" t="s">
        <v>146</v>
      </c>
      <c r="E1517" s="3" t="s">
        <v>79</v>
      </c>
      <c r="F1517" s="3" t="s">
        <v>147</v>
      </c>
      <c r="G1517" s="4" t="s">
        <v>106</v>
      </c>
      <c r="H1517" s="4">
        <v>20</v>
      </c>
      <c r="I1517" s="5">
        <v>0.26059027777777777</v>
      </c>
      <c r="J1517" s="5">
        <v>7.9722222222222222E-2</v>
      </c>
      <c r="K1517" s="5">
        <f t="shared" si="46"/>
        <v>3.9861111111111113E-3</v>
      </c>
      <c r="L1517" s="5">
        <v>2.9953703703703705E-2</v>
      </c>
      <c r="M1517" s="6">
        <f t="shared" si="47"/>
        <v>0.11494559182767045</v>
      </c>
      <c r="N1517" s="5">
        <v>1.8865740740740742E-3</v>
      </c>
      <c r="O1517" s="5">
        <v>1.1273148148148148E-2</v>
      </c>
      <c r="P1517" s="5"/>
      <c r="Q1517" s="5"/>
      <c r="R1517" s="5"/>
      <c r="S1517" s="5">
        <v>1.4641203703703703E-2</v>
      </c>
      <c r="T1517" s="5">
        <v>5.7870370370370373E-5</v>
      </c>
      <c r="U1517" s="5">
        <v>1.9444444444444444E-3</v>
      </c>
      <c r="V1517" s="5"/>
      <c r="W1517" s="5"/>
    </row>
    <row r="1518" spans="1:23" x14ac:dyDescent="0.25">
      <c r="A1518" s="2">
        <v>46253</v>
      </c>
      <c r="B1518" s="3" t="s">
        <v>112</v>
      </c>
      <c r="C1518" s="3" t="s">
        <v>570</v>
      </c>
      <c r="D1518" s="3" t="s">
        <v>104</v>
      </c>
      <c r="E1518" s="3" t="s">
        <v>31</v>
      </c>
      <c r="F1518" s="3" t="s">
        <v>105</v>
      </c>
      <c r="G1518" s="4" t="s">
        <v>106</v>
      </c>
      <c r="H1518" s="4">
        <v>3</v>
      </c>
      <c r="I1518" s="5">
        <v>0.22173611111111111</v>
      </c>
      <c r="J1518" s="5">
        <v>0.13758101851851851</v>
      </c>
      <c r="K1518" s="5">
        <f t="shared" si="46"/>
        <v>4.5860339506172833E-2</v>
      </c>
      <c r="L1518" s="5">
        <v>0.10945601851851852</v>
      </c>
      <c r="M1518" s="6">
        <f t="shared" si="47"/>
        <v>0.49363190312141147</v>
      </c>
      <c r="N1518" s="5">
        <v>1.8634259259259259E-3</v>
      </c>
      <c r="O1518" s="5">
        <v>1.5868055555555555E-2</v>
      </c>
      <c r="P1518" s="5">
        <v>2.0833333333333333E-3</v>
      </c>
      <c r="Q1518" s="5"/>
      <c r="R1518" s="5"/>
      <c r="S1518" s="5">
        <v>1.4386574074074074E-2</v>
      </c>
      <c r="T1518" s="5">
        <v>5.7870370370370367E-4</v>
      </c>
      <c r="U1518" s="5">
        <v>1.9675925925925926E-4</v>
      </c>
      <c r="V1518" s="5"/>
      <c r="W1518" s="5">
        <v>7.4479166666666666E-2</v>
      </c>
    </row>
    <row r="1519" spans="1:23" x14ac:dyDescent="0.25">
      <c r="A1519" s="2">
        <v>46253</v>
      </c>
      <c r="B1519" s="3" t="s">
        <v>42</v>
      </c>
      <c r="C1519" s="3" t="s">
        <v>537</v>
      </c>
      <c r="D1519" s="3" t="s">
        <v>104</v>
      </c>
      <c r="E1519" s="3" t="s">
        <v>31</v>
      </c>
      <c r="F1519" s="3" t="s">
        <v>105</v>
      </c>
      <c r="G1519" s="4" t="s">
        <v>106</v>
      </c>
      <c r="H1519" s="4">
        <v>16</v>
      </c>
      <c r="I1519" s="5">
        <v>0.25865740740740739</v>
      </c>
      <c r="J1519" s="5">
        <v>9.5393518518518516E-2</v>
      </c>
      <c r="K1519" s="5">
        <f t="shared" si="46"/>
        <v>5.9620949074074073E-3</v>
      </c>
      <c r="L1519" s="5">
        <v>0.12989583333333332</v>
      </c>
      <c r="M1519" s="6">
        <f t="shared" si="47"/>
        <v>0.5021925899409343</v>
      </c>
      <c r="N1519" s="5">
        <v>1.5925925925925927E-2</v>
      </c>
      <c r="O1519" s="5">
        <v>1.4548611111111111E-2</v>
      </c>
      <c r="P1519" s="5"/>
      <c r="Q1519" s="5">
        <v>4.9652777777777777E-3</v>
      </c>
      <c r="R1519" s="5"/>
      <c r="S1519" s="5">
        <v>1.3645833333333333E-2</v>
      </c>
      <c r="T1519" s="5">
        <v>7.407407407407407E-4</v>
      </c>
      <c r="U1519" s="5">
        <v>9.2592592592592596E-4</v>
      </c>
      <c r="V1519" s="5"/>
      <c r="W1519" s="5">
        <v>7.9143518518518516E-2</v>
      </c>
    </row>
    <row r="1520" spans="1:23" x14ac:dyDescent="0.25">
      <c r="A1520" s="2">
        <v>46253</v>
      </c>
      <c r="B1520" s="3" t="s">
        <v>156</v>
      </c>
      <c r="C1520" s="3" t="s">
        <v>516</v>
      </c>
      <c r="D1520" s="3" t="s">
        <v>146</v>
      </c>
      <c r="E1520" s="3" t="s">
        <v>79</v>
      </c>
      <c r="F1520" s="3" t="s">
        <v>147</v>
      </c>
      <c r="G1520" s="4" t="s">
        <v>106</v>
      </c>
      <c r="H1520" s="4">
        <v>19</v>
      </c>
      <c r="I1520" s="5">
        <v>0.263125</v>
      </c>
      <c r="J1520" s="5">
        <v>6.9629629629629625E-2</v>
      </c>
      <c r="K1520" s="5">
        <f t="shared" si="46"/>
        <v>3.6647173489278749E-3</v>
      </c>
      <c r="L1520" s="5">
        <v>3.7766203703703705E-2</v>
      </c>
      <c r="M1520" s="6">
        <f t="shared" si="47"/>
        <v>0.14352951526348201</v>
      </c>
      <c r="N1520" s="5"/>
      <c r="O1520" s="5">
        <v>1.7673611111111112E-2</v>
      </c>
      <c r="P1520" s="5"/>
      <c r="Q1520" s="5">
        <v>4.9305555555555552E-3</v>
      </c>
      <c r="R1520" s="5"/>
      <c r="S1520" s="5">
        <v>1.4224537037037037E-2</v>
      </c>
      <c r="T1520" s="5">
        <v>5.7870370370370373E-5</v>
      </c>
      <c r="U1520" s="5">
        <v>8.3333333333333339E-4</v>
      </c>
      <c r="V1520" s="5"/>
      <c r="W1520" s="5"/>
    </row>
    <row r="1521" spans="1:23" x14ac:dyDescent="0.25">
      <c r="A1521" s="2">
        <v>46253</v>
      </c>
      <c r="B1521" s="3" t="s">
        <v>114</v>
      </c>
      <c r="C1521" s="3" t="s">
        <v>541</v>
      </c>
      <c r="D1521" s="3" t="s">
        <v>104</v>
      </c>
      <c r="E1521" s="3" t="s">
        <v>31</v>
      </c>
      <c r="F1521" s="3" t="s">
        <v>105</v>
      </c>
      <c r="G1521" s="4" t="s">
        <v>106</v>
      </c>
      <c r="H1521" s="4">
        <v>19</v>
      </c>
      <c r="I1521" s="5">
        <v>0.25621527777777775</v>
      </c>
      <c r="J1521" s="5">
        <v>8.5138888888888889E-2</v>
      </c>
      <c r="K1521" s="5">
        <f t="shared" si="46"/>
        <v>4.4809941520467834E-3</v>
      </c>
      <c r="L1521" s="5">
        <v>0.14030092592592591</v>
      </c>
      <c r="M1521" s="6">
        <f t="shared" si="47"/>
        <v>0.54759000767945065</v>
      </c>
      <c r="N1521" s="5">
        <v>6.3888888888888893E-3</v>
      </c>
      <c r="O1521" s="5">
        <v>1.5601851851851851E-2</v>
      </c>
      <c r="P1521" s="5"/>
      <c r="Q1521" s="5">
        <v>8.9699074074074073E-3</v>
      </c>
      <c r="R1521" s="5"/>
      <c r="S1521" s="5">
        <v>1.6898148148148148E-2</v>
      </c>
      <c r="T1521" s="5">
        <v>2.1319444444444443E-2</v>
      </c>
      <c r="U1521" s="5">
        <v>1.0069444444444444E-3</v>
      </c>
      <c r="V1521" s="5"/>
      <c r="W1521" s="5">
        <v>7.0115740740740742E-2</v>
      </c>
    </row>
    <row r="1522" spans="1:23" x14ac:dyDescent="0.25">
      <c r="A1522" s="2">
        <v>46253</v>
      </c>
      <c r="B1522" s="3" t="s">
        <v>44</v>
      </c>
      <c r="C1522" s="3" t="s">
        <v>506</v>
      </c>
      <c r="D1522" s="3" t="s">
        <v>100</v>
      </c>
      <c r="E1522" s="3" t="s">
        <v>31</v>
      </c>
      <c r="F1522" s="3" t="s">
        <v>32</v>
      </c>
      <c r="G1522" s="4" t="s">
        <v>33</v>
      </c>
      <c r="H1522" s="4">
        <v>29</v>
      </c>
      <c r="I1522" s="5">
        <v>0.26055555555555554</v>
      </c>
      <c r="J1522" s="5">
        <v>0.14633101851851851</v>
      </c>
      <c r="K1522" s="5">
        <f t="shared" si="46"/>
        <v>5.0458971902937414E-3</v>
      </c>
      <c r="L1522" s="5">
        <v>3.5624999999999997E-2</v>
      </c>
      <c r="M1522" s="6">
        <f t="shared" si="47"/>
        <v>0.13672707889125799</v>
      </c>
      <c r="N1522" s="5">
        <v>3.9004629629629628E-3</v>
      </c>
      <c r="O1522" s="5">
        <v>1.3969907407407407E-2</v>
      </c>
      <c r="P1522" s="5"/>
      <c r="Q1522" s="5"/>
      <c r="R1522" s="5"/>
      <c r="S1522" s="5">
        <v>1.4583333333333334E-2</v>
      </c>
      <c r="T1522" s="5">
        <v>6.018518518518519E-4</v>
      </c>
      <c r="U1522" s="5">
        <v>2.5115740740740741E-3</v>
      </c>
      <c r="V1522" s="5"/>
      <c r="W1522" s="5"/>
    </row>
    <row r="1523" spans="1:23" x14ac:dyDescent="0.25">
      <c r="A1523" s="2">
        <v>46253</v>
      </c>
      <c r="B1523" s="3" t="s">
        <v>609</v>
      </c>
      <c r="C1523" s="3" t="s">
        <v>632</v>
      </c>
      <c r="D1523" s="3" t="s">
        <v>601</v>
      </c>
      <c r="E1523" s="3" t="s">
        <v>31</v>
      </c>
      <c r="F1523" s="3" t="s">
        <v>105</v>
      </c>
      <c r="G1523" s="4" t="s">
        <v>33</v>
      </c>
      <c r="H1523" s="4">
        <v>5</v>
      </c>
      <c r="I1523" s="5">
        <v>7.2488425925925928E-2</v>
      </c>
      <c r="J1523" s="5">
        <v>0.12490740740740741</v>
      </c>
      <c r="K1523" s="5">
        <f t="shared" si="46"/>
        <v>2.4981481481481483E-2</v>
      </c>
      <c r="L1523" s="5">
        <v>4.2534722222222224E-2</v>
      </c>
      <c r="M1523" s="6">
        <f t="shared" si="47"/>
        <v>0.58677949864282297</v>
      </c>
      <c r="N1523" s="5">
        <v>2.1064814814814813E-3</v>
      </c>
      <c r="O1523" s="5"/>
      <c r="P1523" s="5"/>
      <c r="Q1523" s="5"/>
      <c r="R1523" s="5"/>
      <c r="S1523" s="5"/>
      <c r="T1523" s="5">
        <v>6.9444444444444444E-5</v>
      </c>
      <c r="U1523" s="5">
        <v>4.0358796296296295E-2</v>
      </c>
      <c r="V1523" s="5"/>
      <c r="W1523" s="5"/>
    </row>
    <row r="1524" spans="1:23" x14ac:dyDescent="0.25">
      <c r="A1524" s="2">
        <v>46253</v>
      </c>
      <c r="B1524" s="3" t="s">
        <v>240</v>
      </c>
      <c r="C1524" s="3" t="s">
        <v>527</v>
      </c>
      <c r="D1524" s="3" t="s">
        <v>233</v>
      </c>
      <c r="E1524" s="3" t="s">
        <v>31</v>
      </c>
      <c r="F1524" s="3" t="s">
        <v>32</v>
      </c>
      <c r="G1524" s="4" t="s">
        <v>106</v>
      </c>
      <c r="H1524" s="4">
        <v>5</v>
      </c>
      <c r="I1524" s="5">
        <v>0.23859953703703704</v>
      </c>
      <c r="J1524" s="5">
        <v>3.8854166666666669E-2</v>
      </c>
      <c r="K1524" s="5">
        <f t="shared" si="46"/>
        <v>7.7708333333333336E-3</v>
      </c>
      <c r="L1524" s="5">
        <v>0.19814814814814816</v>
      </c>
      <c r="M1524" s="6">
        <f t="shared" si="47"/>
        <v>0.83046325491147222</v>
      </c>
      <c r="N1524" s="5">
        <v>1.5428240740740741E-2</v>
      </c>
      <c r="O1524" s="5">
        <v>9.7222222222222224E-3</v>
      </c>
      <c r="P1524" s="5"/>
      <c r="Q1524" s="5"/>
      <c r="R1524" s="5"/>
      <c r="S1524" s="5">
        <v>1.3900462962962963E-2</v>
      </c>
      <c r="T1524" s="5">
        <v>2.0023148148148148E-3</v>
      </c>
      <c r="U1524" s="5">
        <v>1.0416666666666667E-4</v>
      </c>
      <c r="V1524" s="5"/>
      <c r="W1524" s="5">
        <v>0.15699074074074074</v>
      </c>
    </row>
    <row r="1525" spans="1:23" x14ac:dyDescent="0.25">
      <c r="A1525" s="2">
        <v>46253</v>
      </c>
      <c r="B1525" s="3" t="s">
        <v>497</v>
      </c>
      <c r="C1525" s="3" t="s">
        <v>498</v>
      </c>
      <c r="D1525" s="3" t="s">
        <v>78</v>
      </c>
      <c r="E1525" s="3" t="s">
        <v>79</v>
      </c>
      <c r="F1525" s="3" t="s">
        <v>80</v>
      </c>
      <c r="G1525" s="4" t="s">
        <v>81</v>
      </c>
      <c r="H1525" s="4">
        <v>0</v>
      </c>
      <c r="I1525" s="5">
        <v>0.34468749999999998</v>
      </c>
      <c r="J1525" s="5">
        <v>0</v>
      </c>
      <c r="K1525" s="5">
        <f t="shared" si="46"/>
        <v>0</v>
      </c>
      <c r="L1525" s="5">
        <v>5.7581018518518517E-2</v>
      </c>
      <c r="M1525" s="6">
        <f t="shared" si="47"/>
        <v>0.16705281891138646</v>
      </c>
      <c r="N1525" s="5"/>
      <c r="O1525" s="5">
        <v>1.3726851851851851E-2</v>
      </c>
      <c r="P1525" s="5"/>
      <c r="Q1525" s="5"/>
      <c r="R1525" s="5"/>
      <c r="S1525" s="5">
        <v>4.2476851851851849E-2</v>
      </c>
      <c r="T1525" s="5">
        <v>1.3194444444444445E-3</v>
      </c>
      <c r="U1525" s="5"/>
      <c r="V1525" s="5"/>
      <c r="W1525" s="5"/>
    </row>
    <row r="1526" spans="1:23" x14ac:dyDescent="0.25">
      <c r="A1526" s="2">
        <v>46253</v>
      </c>
      <c r="B1526" s="3" t="s">
        <v>309</v>
      </c>
      <c r="C1526" s="3" t="s">
        <v>310</v>
      </c>
      <c r="D1526" s="3" t="s">
        <v>78</v>
      </c>
      <c r="E1526" s="3" t="s">
        <v>79</v>
      </c>
      <c r="F1526" s="3" t="s">
        <v>80</v>
      </c>
      <c r="G1526" s="4" t="s">
        <v>81</v>
      </c>
      <c r="H1526" s="4">
        <v>0</v>
      </c>
      <c r="I1526" s="5">
        <v>0.3527777777777778</v>
      </c>
      <c r="J1526" s="5">
        <v>0</v>
      </c>
      <c r="K1526" s="5">
        <f t="shared" si="46"/>
        <v>0</v>
      </c>
      <c r="L1526" s="5">
        <v>6.8842592592592594E-2</v>
      </c>
      <c r="M1526" s="6">
        <f t="shared" si="47"/>
        <v>0.19514435695538057</v>
      </c>
      <c r="N1526" s="5">
        <v>8.1481481481481474E-3</v>
      </c>
      <c r="O1526" s="5">
        <v>5.1655092592592593E-2</v>
      </c>
      <c r="P1526" s="5"/>
      <c r="Q1526" s="5"/>
      <c r="R1526" s="5"/>
      <c r="S1526" s="5">
        <v>6.9097222222222225E-3</v>
      </c>
      <c r="T1526" s="5">
        <v>1.8287037037037037E-3</v>
      </c>
      <c r="U1526" s="5">
        <v>2.7777777777777778E-4</v>
      </c>
      <c r="V1526" s="5"/>
      <c r="W1526" s="5"/>
    </row>
    <row r="1527" spans="1:23" x14ac:dyDescent="0.25">
      <c r="A1527" s="2">
        <v>46253</v>
      </c>
      <c r="B1527" s="3" t="s">
        <v>160</v>
      </c>
      <c r="C1527" s="3" t="s">
        <v>544</v>
      </c>
      <c r="D1527" s="3" t="s">
        <v>146</v>
      </c>
      <c r="E1527" s="3" t="s">
        <v>79</v>
      </c>
      <c r="F1527" s="3" t="s">
        <v>147</v>
      </c>
      <c r="G1527" s="4" t="s">
        <v>106</v>
      </c>
      <c r="H1527" s="4">
        <v>22</v>
      </c>
      <c r="I1527" s="5">
        <v>0.26478009259259261</v>
      </c>
      <c r="J1527" s="5">
        <v>5.3240740740740741E-2</v>
      </c>
      <c r="K1527" s="5">
        <f t="shared" si="46"/>
        <v>2.4200336700336699E-3</v>
      </c>
      <c r="L1527" s="5">
        <v>4.5324074074074072E-2</v>
      </c>
      <c r="M1527" s="6">
        <f t="shared" si="47"/>
        <v>0.17117629059754336</v>
      </c>
      <c r="N1527" s="5">
        <v>1.457175925925926E-2</v>
      </c>
      <c r="O1527" s="5">
        <v>1.5648148148148147E-2</v>
      </c>
      <c r="P1527" s="5"/>
      <c r="Q1527" s="5"/>
      <c r="R1527" s="5"/>
      <c r="S1527" s="5">
        <v>1.4641203703703703E-2</v>
      </c>
      <c r="T1527" s="5">
        <v>8.1018518518518516E-5</v>
      </c>
      <c r="U1527" s="5">
        <v>3.4722222222222224E-4</v>
      </c>
      <c r="V1527" s="5"/>
      <c r="W1527" s="5"/>
    </row>
    <row r="1528" spans="1:23" x14ac:dyDescent="0.25">
      <c r="A1528" s="2">
        <v>46253</v>
      </c>
      <c r="B1528" s="3" t="s">
        <v>645</v>
      </c>
      <c r="C1528" s="3" t="s">
        <v>646</v>
      </c>
      <c r="D1528" s="3" t="s">
        <v>100</v>
      </c>
      <c r="E1528" s="3" t="s">
        <v>31</v>
      </c>
      <c r="F1528" s="3" t="s">
        <v>32</v>
      </c>
      <c r="G1528" s="4" t="s">
        <v>33</v>
      </c>
      <c r="H1528" s="4">
        <v>39</v>
      </c>
      <c r="I1528" s="5">
        <v>0.26685185185185184</v>
      </c>
      <c r="J1528" s="5">
        <v>0.16285879629629629</v>
      </c>
      <c r="K1528" s="5">
        <f t="shared" si="46"/>
        <v>4.1758665716999047E-3</v>
      </c>
      <c r="L1528" s="5">
        <v>3.9166666666666669E-2</v>
      </c>
      <c r="M1528" s="6">
        <f t="shared" si="47"/>
        <v>0.1467730742539903</v>
      </c>
      <c r="N1528" s="5">
        <v>6.4467592592592588E-3</v>
      </c>
      <c r="O1528" s="5">
        <v>1.361111111111111E-2</v>
      </c>
      <c r="P1528" s="5"/>
      <c r="Q1528" s="5">
        <v>5.4398148148148144E-4</v>
      </c>
      <c r="R1528" s="5"/>
      <c r="S1528" s="5">
        <v>1.3981481481481482E-2</v>
      </c>
      <c r="T1528" s="5">
        <v>3.2986111111111111E-3</v>
      </c>
      <c r="U1528" s="5">
        <v>1.1921296296296296E-3</v>
      </c>
      <c r="V1528" s="5"/>
      <c r="W1528" s="5"/>
    </row>
    <row r="1529" spans="1:23" x14ac:dyDescent="0.25">
      <c r="A1529" s="2">
        <v>46253</v>
      </c>
      <c r="B1529" s="3" t="s">
        <v>120</v>
      </c>
      <c r="C1529" s="3" t="s">
        <v>558</v>
      </c>
      <c r="D1529" s="3" t="s">
        <v>233</v>
      </c>
      <c r="E1529" s="3" t="s">
        <v>31</v>
      </c>
      <c r="F1529" s="3" t="s">
        <v>32</v>
      </c>
      <c r="G1529" s="4" t="s">
        <v>106</v>
      </c>
      <c r="H1529" s="4">
        <v>43</v>
      </c>
      <c r="I1529" s="5">
        <v>0.25107638888888889</v>
      </c>
      <c r="J1529" s="5">
        <v>0.10592592592592592</v>
      </c>
      <c r="K1529" s="5">
        <f t="shared" si="46"/>
        <v>2.4633936261843239E-3</v>
      </c>
      <c r="L1529" s="5">
        <v>7.1516203703703707E-2</v>
      </c>
      <c r="M1529" s="6">
        <f t="shared" si="47"/>
        <v>0.28483842714239616</v>
      </c>
      <c r="N1529" s="5">
        <v>1.7824074074074076E-2</v>
      </c>
      <c r="O1529" s="5">
        <v>1.4247685185185184E-2</v>
      </c>
      <c r="P1529" s="5"/>
      <c r="Q1529" s="5">
        <v>5.37037037037037E-3</v>
      </c>
      <c r="R1529" s="5"/>
      <c r="S1529" s="5">
        <v>1.2951388888888889E-2</v>
      </c>
      <c r="T1529" s="5">
        <v>4.4907407407407405E-3</v>
      </c>
      <c r="U1529" s="5">
        <v>3.1597222222222222E-3</v>
      </c>
      <c r="V1529" s="5"/>
      <c r="W1529" s="5">
        <v>1.3472222222222222E-2</v>
      </c>
    </row>
    <row r="1530" spans="1:23" x14ac:dyDescent="0.25">
      <c r="A1530" s="2">
        <v>46253</v>
      </c>
      <c r="B1530" s="3" t="s">
        <v>46</v>
      </c>
      <c r="C1530" s="3" t="s">
        <v>507</v>
      </c>
      <c r="D1530" s="3" t="s">
        <v>100</v>
      </c>
      <c r="E1530" s="3" t="s">
        <v>31</v>
      </c>
      <c r="F1530" s="3" t="s">
        <v>32</v>
      </c>
      <c r="G1530" s="4" t="s">
        <v>33</v>
      </c>
      <c r="H1530" s="4">
        <v>31</v>
      </c>
      <c r="I1530" s="5">
        <v>0.26424768518518521</v>
      </c>
      <c r="J1530" s="5">
        <v>0.14576388888888889</v>
      </c>
      <c r="K1530" s="5">
        <f t="shared" si="46"/>
        <v>4.7020609318996417E-3</v>
      </c>
      <c r="L1530" s="5">
        <v>4.8067129629629626E-2</v>
      </c>
      <c r="M1530" s="6">
        <f t="shared" si="47"/>
        <v>0.18190180018396038</v>
      </c>
      <c r="N1530" s="5">
        <v>5.8680555555555552E-3</v>
      </c>
      <c r="O1530" s="5">
        <v>1.4143518518518519E-2</v>
      </c>
      <c r="P1530" s="5"/>
      <c r="Q1530" s="5">
        <v>1.1678240740740741E-2</v>
      </c>
      <c r="R1530" s="5"/>
      <c r="S1530" s="5">
        <v>1.3923611111111111E-2</v>
      </c>
      <c r="T1530" s="5">
        <v>5.4398148148148144E-4</v>
      </c>
      <c r="U1530" s="5">
        <v>1.8402777777777777E-3</v>
      </c>
      <c r="V1530" s="5"/>
      <c r="W1530" s="5"/>
    </row>
    <row r="1531" spans="1:23" x14ac:dyDescent="0.25">
      <c r="A1531" s="2">
        <v>46253</v>
      </c>
      <c r="B1531" s="3" t="s">
        <v>499</v>
      </c>
      <c r="C1531" s="3" t="s">
        <v>517</v>
      </c>
      <c r="D1531" s="3" t="s">
        <v>146</v>
      </c>
      <c r="E1531" s="3" t="s">
        <v>79</v>
      </c>
      <c r="F1531" s="3" t="s">
        <v>147</v>
      </c>
      <c r="G1531" s="4" t="s">
        <v>106</v>
      </c>
      <c r="H1531" s="4">
        <v>2</v>
      </c>
      <c r="I1531" s="5">
        <v>6.3692129629629626E-2</v>
      </c>
      <c r="J1531" s="5">
        <v>1.4918981481481481E-2</v>
      </c>
      <c r="K1531" s="5">
        <f t="shared" si="46"/>
        <v>7.4594907407407405E-3</v>
      </c>
      <c r="L1531" s="5">
        <v>1.3391203703703704E-2</v>
      </c>
      <c r="M1531" s="6">
        <f t="shared" si="47"/>
        <v>0.21024895511539163</v>
      </c>
      <c r="N1531" s="5">
        <v>2.0949074074074073E-3</v>
      </c>
      <c r="O1531" s="5">
        <v>1.1168981481481481E-2</v>
      </c>
      <c r="P1531" s="5"/>
      <c r="Q1531" s="5"/>
      <c r="R1531" s="5"/>
      <c r="S1531" s="5"/>
      <c r="T1531" s="5">
        <v>1.273148148148148E-4</v>
      </c>
      <c r="U1531" s="5"/>
      <c r="V1531" s="5"/>
      <c r="W1531" s="5"/>
    </row>
    <row r="1532" spans="1:23" x14ac:dyDescent="0.25">
      <c r="A1532" s="2">
        <v>46253</v>
      </c>
      <c r="B1532" s="3" t="s">
        <v>647</v>
      </c>
      <c r="C1532" s="3" t="s">
        <v>648</v>
      </c>
      <c r="D1532" s="3" t="s">
        <v>233</v>
      </c>
      <c r="E1532" s="3" t="s">
        <v>31</v>
      </c>
      <c r="F1532" s="3" t="s">
        <v>32</v>
      </c>
      <c r="G1532" s="4" t="s">
        <v>106</v>
      </c>
      <c r="H1532" s="4">
        <v>32</v>
      </c>
      <c r="I1532" s="5">
        <v>0.26407407407407407</v>
      </c>
      <c r="J1532" s="5">
        <v>0.11604166666666667</v>
      </c>
      <c r="K1532" s="5">
        <f t="shared" si="46"/>
        <v>3.6263020833333334E-3</v>
      </c>
      <c r="L1532" s="5">
        <v>5.6608796296296296E-2</v>
      </c>
      <c r="M1532" s="6">
        <f t="shared" si="47"/>
        <v>0.21436711079943899</v>
      </c>
      <c r="N1532" s="5">
        <v>1.3888888888888888E-2</v>
      </c>
      <c r="O1532" s="5">
        <v>1.5555555555555555E-2</v>
      </c>
      <c r="P1532" s="5"/>
      <c r="Q1532" s="5">
        <v>5.324074074074074E-3</v>
      </c>
      <c r="R1532" s="5"/>
      <c r="S1532" s="5">
        <v>1.2997685185185185E-2</v>
      </c>
      <c r="T1532" s="5">
        <v>8.5763888888888886E-3</v>
      </c>
      <c r="U1532" s="5">
        <v>2.5462962962962961E-4</v>
      </c>
      <c r="V1532" s="5"/>
      <c r="W1532" s="5"/>
    </row>
    <row r="1533" spans="1:23" x14ac:dyDescent="0.25">
      <c r="A1533" s="2">
        <v>46253</v>
      </c>
      <c r="B1533" s="3" t="s">
        <v>649</v>
      </c>
      <c r="C1533" s="3" t="s">
        <v>650</v>
      </c>
      <c r="D1533" s="3" t="s">
        <v>104</v>
      </c>
      <c r="E1533" s="3" t="s">
        <v>31</v>
      </c>
      <c r="F1533" s="3" t="s">
        <v>105</v>
      </c>
      <c r="G1533" s="4" t="s">
        <v>106</v>
      </c>
      <c r="H1533" s="4">
        <v>10</v>
      </c>
      <c r="I1533" s="5">
        <v>0.25773148148148151</v>
      </c>
      <c r="J1533" s="5">
        <v>6.7349537037037041E-2</v>
      </c>
      <c r="K1533" s="5">
        <f t="shared" si="46"/>
        <v>6.7349537037037039E-3</v>
      </c>
      <c r="L1533" s="5">
        <v>0.13054398148148147</v>
      </c>
      <c r="M1533" s="6">
        <f t="shared" si="47"/>
        <v>0.50651158613256686</v>
      </c>
      <c r="N1533" s="5">
        <v>5.3009259259259259E-3</v>
      </c>
      <c r="O1533" s="5">
        <v>1.3877314814814815E-2</v>
      </c>
      <c r="P1533" s="5"/>
      <c r="Q1533" s="5">
        <v>5.7986111111111112E-3</v>
      </c>
      <c r="R1533" s="5"/>
      <c r="S1533" s="5">
        <v>1.357638888888889E-2</v>
      </c>
      <c r="T1533" s="5">
        <v>2.3032407407407407E-3</v>
      </c>
      <c r="U1533" s="5">
        <v>2.5196759259259259E-2</v>
      </c>
      <c r="V1533" s="5"/>
      <c r="W1533" s="5">
        <v>6.4490740740740737E-2</v>
      </c>
    </row>
    <row r="1534" spans="1:23" x14ac:dyDescent="0.25">
      <c r="A1534" s="2">
        <v>46253</v>
      </c>
      <c r="B1534" s="3" t="s">
        <v>651</v>
      </c>
      <c r="C1534" s="3" t="s">
        <v>652</v>
      </c>
      <c r="D1534" s="3" t="s">
        <v>100</v>
      </c>
      <c r="E1534" s="3" t="s">
        <v>31</v>
      </c>
      <c r="F1534" s="3" t="s">
        <v>32</v>
      </c>
      <c r="G1534" s="4" t="s">
        <v>33</v>
      </c>
      <c r="H1534" s="4">
        <v>17</v>
      </c>
      <c r="I1534" s="5">
        <v>0.26481481481481484</v>
      </c>
      <c r="J1534" s="5">
        <v>0.14930555555555555</v>
      </c>
      <c r="K1534" s="5">
        <f t="shared" si="46"/>
        <v>8.7826797385620915E-3</v>
      </c>
      <c r="L1534" s="5">
        <v>6.9803240740740735E-2</v>
      </c>
      <c r="M1534" s="6">
        <f t="shared" si="47"/>
        <v>0.2635926573426573</v>
      </c>
      <c r="N1534" s="5">
        <v>5.2777777777777779E-3</v>
      </c>
      <c r="O1534" s="5">
        <v>1.3900462962962963E-2</v>
      </c>
      <c r="P1534" s="5"/>
      <c r="Q1534" s="5">
        <v>3.7152777777777778E-2</v>
      </c>
      <c r="R1534" s="5"/>
      <c r="S1534" s="5">
        <v>1.3391203703703704E-2</v>
      </c>
      <c r="T1534" s="5">
        <v>8.1018518518518516E-5</v>
      </c>
      <c r="U1534" s="5"/>
      <c r="V1534" s="5"/>
      <c r="W1534" s="5"/>
    </row>
    <row r="1535" spans="1:23" x14ac:dyDescent="0.25">
      <c r="A1535" s="2">
        <v>46253</v>
      </c>
      <c r="B1535" s="3" t="s">
        <v>246</v>
      </c>
      <c r="C1535" s="3" t="s">
        <v>568</v>
      </c>
      <c r="D1535" s="3" t="s">
        <v>233</v>
      </c>
      <c r="E1535" s="3" t="s">
        <v>31</v>
      </c>
      <c r="F1535" s="3" t="s">
        <v>32</v>
      </c>
      <c r="G1535" s="4" t="s">
        <v>106</v>
      </c>
      <c r="H1535" s="4">
        <v>50</v>
      </c>
      <c r="I1535" s="5">
        <v>0.35240740740740739</v>
      </c>
      <c r="J1535" s="5">
        <v>0.15627314814814816</v>
      </c>
      <c r="K1535" s="5">
        <f t="shared" si="46"/>
        <v>3.1254629629629631E-3</v>
      </c>
      <c r="L1535" s="5">
        <v>7.5798611111111108E-2</v>
      </c>
      <c r="M1535" s="6">
        <f t="shared" si="47"/>
        <v>0.21508801891749868</v>
      </c>
      <c r="N1535" s="5">
        <v>7.5231481481481477E-3</v>
      </c>
      <c r="O1535" s="5">
        <v>2.0370370370370372E-2</v>
      </c>
      <c r="P1535" s="5">
        <v>3.2754629629629631E-3</v>
      </c>
      <c r="Q1535" s="5">
        <v>1.1793981481481482E-2</v>
      </c>
      <c r="R1535" s="5"/>
      <c r="S1535" s="5">
        <v>1.3680555555555555E-2</v>
      </c>
      <c r="T1535" s="5">
        <v>9.1898148148148156E-3</v>
      </c>
      <c r="U1535" s="5">
        <v>3.3564814814814812E-4</v>
      </c>
      <c r="V1535" s="5"/>
      <c r="W1535" s="5">
        <v>9.618055555555555E-3</v>
      </c>
    </row>
    <row r="1536" spans="1:23" x14ac:dyDescent="0.25">
      <c r="A1536" s="2">
        <v>46253</v>
      </c>
      <c r="B1536" s="3" t="s">
        <v>48</v>
      </c>
      <c r="C1536" s="3" t="s">
        <v>508</v>
      </c>
      <c r="D1536" s="3" t="s">
        <v>100</v>
      </c>
      <c r="E1536" s="3" t="s">
        <v>31</v>
      </c>
      <c r="F1536" s="3" t="s">
        <v>32</v>
      </c>
      <c r="G1536" s="4" t="s">
        <v>33</v>
      </c>
      <c r="H1536" s="4">
        <v>31</v>
      </c>
      <c r="I1536" s="5">
        <v>0.26287037037037037</v>
      </c>
      <c r="J1536" s="5">
        <v>0.10167824074074074</v>
      </c>
      <c r="K1536" s="5">
        <f t="shared" si="46"/>
        <v>3.2799432497013139E-3</v>
      </c>
      <c r="L1536" s="5">
        <v>4.4884259259259263E-2</v>
      </c>
      <c r="M1536" s="6">
        <f t="shared" si="47"/>
        <v>0.17074674181049668</v>
      </c>
      <c r="N1536" s="5">
        <v>4.0740740740740737E-3</v>
      </c>
      <c r="O1536" s="5">
        <v>1.4108796296296296E-2</v>
      </c>
      <c r="P1536" s="5"/>
      <c r="Q1536" s="5">
        <v>3.3101851851851851E-3</v>
      </c>
      <c r="R1536" s="5"/>
      <c r="S1536" s="5">
        <v>1.3912037037037037E-2</v>
      </c>
      <c r="T1536" s="5">
        <v>4.9768518518518521E-4</v>
      </c>
      <c r="U1536" s="5">
        <v>1.2152777777777778E-3</v>
      </c>
      <c r="V1536" s="5"/>
      <c r="W1536" s="5">
        <v>7.6736111111111111E-3</v>
      </c>
    </row>
    <row r="1537" spans="1:23" x14ac:dyDescent="0.25">
      <c r="A1537" s="2">
        <v>46253</v>
      </c>
      <c r="B1537" s="3" t="s">
        <v>50</v>
      </c>
      <c r="C1537" s="3" t="s">
        <v>538</v>
      </c>
      <c r="D1537" s="3" t="s">
        <v>100</v>
      </c>
      <c r="E1537" s="3" t="s">
        <v>31</v>
      </c>
      <c r="F1537" s="3" t="s">
        <v>32</v>
      </c>
      <c r="G1537" s="4" t="s">
        <v>33</v>
      </c>
      <c r="H1537" s="4">
        <v>0</v>
      </c>
      <c r="I1537" s="5">
        <v>0.24535879629629628</v>
      </c>
      <c r="J1537" s="5">
        <v>0</v>
      </c>
      <c r="K1537" s="5">
        <f t="shared" si="46"/>
        <v>0</v>
      </c>
      <c r="L1537" s="5">
        <v>0.24535879629629628</v>
      </c>
      <c r="M1537" s="6">
        <f t="shared" si="47"/>
        <v>1</v>
      </c>
      <c r="N1537" s="5">
        <v>8.7962962962962968E-3</v>
      </c>
      <c r="O1537" s="5">
        <v>1.5196759259259259E-2</v>
      </c>
      <c r="P1537" s="5"/>
      <c r="Q1537" s="5"/>
      <c r="R1537" s="5"/>
      <c r="S1537" s="5">
        <v>1.3263888888888889E-2</v>
      </c>
      <c r="T1537" s="5">
        <v>4.6412037037037038E-3</v>
      </c>
      <c r="U1537" s="5"/>
      <c r="V1537" s="5"/>
      <c r="W1537" s="5">
        <v>0.20346064814814815</v>
      </c>
    </row>
    <row r="1538" spans="1:23" x14ac:dyDescent="0.25">
      <c r="A1538" s="2">
        <v>46253</v>
      </c>
      <c r="B1538" s="3" t="s">
        <v>242</v>
      </c>
      <c r="C1538" s="3" t="s">
        <v>603</v>
      </c>
      <c r="D1538" s="3" t="s">
        <v>233</v>
      </c>
      <c r="E1538" s="3" t="s">
        <v>31</v>
      </c>
      <c r="F1538" s="3" t="s">
        <v>32</v>
      </c>
      <c r="G1538" s="4" t="s">
        <v>106</v>
      </c>
      <c r="H1538" s="4">
        <v>27</v>
      </c>
      <c r="I1538" s="5">
        <v>0.26204861111111111</v>
      </c>
      <c r="J1538" s="5">
        <v>0.17060185185185187</v>
      </c>
      <c r="K1538" s="5">
        <f t="shared" ref="K1538:K1601" si="48">IFERROR(J1538/H1538,0)</f>
        <v>6.3185871056241428E-3</v>
      </c>
      <c r="L1538" s="5">
        <v>4.1666666666666664E-2</v>
      </c>
      <c r="M1538" s="6">
        <f t="shared" ref="M1538:M1601" si="49">IFERROR(L1538/I1538,0)</f>
        <v>0.15900357758049555</v>
      </c>
      <c r="N1538" s="5"/>
      <c r="O1538" s="5">
        <v>1.2094907407407407E-2</v>
      </c>
      <c r="P1538" s="5"/>
      <c r="Q1538" s="5">
        <v>1.6006944444444445E-2</v>
      </c>
      <c r="R1538" s="5"/>
      <c r="S1538" s="5">
        <v>1.170138888888889E-2</v>
      </c>
      <c r="T1538" s="5">
        <v>5.7870370370370373E-5</v>
      </c>
      <c r="U1538" s="5">
        <v>1.724537037037037E-3</v>
      </c>
      <c r="V1538" s="5"/>
      <c r="W1538" s="5">
        <v>2.3148148148148147E-5</v>
      </c>
    </row>
    <row r="1539" spans="1:23" x14ac:dyDescent="0.25">
      <c r="A1539" s="2">
        <v>46253</v>
      </c>
      <c r="B1539" s="3" t="s">
        <v>248</v>
      </c>
      <c r="C1539" s="3" t="s">
        <v>249</v>
      </c>
      <c r="D1539" s="3" t="s">
        <v>78</v>
      </c>
      <c r="E1539" s="3" t="s">
        <v>79</v>
      </c>
      <c r="F1539" s="3" t="s">
        <v>80</v>
      </c>
      <c r="G1539" s="4" t="s">
        <v>81</v>
      </c>
      <c r="H1539" s="4">
        <v>0</v>
      </c>
      <c r="I1539" s="5">
        <v>0.34129629629629632</v>
      </c>
      <c r="J1539" s="5">
        <v>0</v>
      </c>
      <c r="K1539" s="5">
        <f t="shared" si="48"/>
        <v>0</v>
      </c>
      <c r="L1539" s="5">
        <v>8.2523148148148148E-3</v>
      </c>
      <c r="M1539" s="6">
        <f t="shared" si="49"/>
        <v>2.4179327183939229E-2</v>
      </c>
      <c r="N1539" s="5"/>
      <c r="O1539" s="5"/>
      <c r="P1539" s="5"/>
      <c r="Q1539" s="5"/>
      <c r="R1539" s="5"/>
      <c r="S1539" s="5"/>
      <c r="T1539" s="5">
        <v>9.2592592592592588E-5</v>
      </c>
      <c r="U1539" s="5">
        <v>8.0902777777777778E-3</v>
      </c>
      <c r="V1539" s="5"/>
      <c r="W1539" s="5"/>
    </row>
    <row r="1540" spans="1:23" x14ac:dyDescent="0.25">
      <c r="A1540" s="2">
        <v>46253</v>
      </c>
      <c r="B1540" s="3" t="s">
        <v>289</v>
      </c>
      <c r="C1540" s="3" t="s">
        <v>559</v>
      </c>
      <c r="D1540" s="3" t="s">
        <v>104</v>
      </c>
      <c r="E1540" s="3" t="s">
        <v>31</v>
      </c>
      <c r="F1540" s="3" t="s">
        <v>105</v>
      </c>
      <c r="G1540" s="4" t="s">
        <v>106</v>
      </c>
      <c r="H1540" s="4">
        <v>11</v>
      </c>
      <c r="I1540" s="5">
        <v>0.32288194444444446</v>
      </c>
      <c r="J1540" s="5">
        <v>8.8472222222222216E-2</v>
      </c>
      <c r="K1540" s="5">
        <f t="shared" si="48"/>
        <v>8.0429292929292927E-3</v>
      </c>
      <c r="L1540" s="5">
        <v>0.21273148148148149</v>
      </c>
      <c r="M1540" s="6">
        <f t="shared" si="49"/>
        <v>0.65885220633042985</v>
      </c>
      <c r="N1540" s="5">
        <v>6.2384259259259259E-3</v>
      </c>
      <c r="O1540" s="5">
        <v>1.9872685185185184E-2</v>
      </c>
      <c r="P1540" s="5"/>
      <c r="Q1540" s="5"/>
      <c r="R1540" s="5"/>
      <c r="S1540" s="5">
        <v>1.5682870370370371E-2</v>
      </c>
      <c r="T1540" s="5">
        <v>1.6006944444444445E-2</v>
      </c>
      <c r="U1540" s="5">
        <v>9.0624999999999994E-3</v>
      </c>
      <c r="V1540" s="5"/>
      <c r="W1540" s="5">
        <v>0.14585648148148148</v>
      </c>
    </row>
    <row r="1541" spans="1:23" x14ac:dyDescent="0.25">
      <c r="A1541" s="2">
        <v>46253</v>
      </c>
      <c r="B1541" s="3" t="s">
        <v>252</v>
      </c>
      <c r="C1541" s="3" t="s">
        <v>553</v>
      </c>
      <c r="D1541" s="3" t="s">
        <v>78</v>
      </c>
      <c r="E1541" s="3" t="s">
        <v>79</v>
      </c>
      <c r="F1541" s="3" t="s">
        <v>80</v>
      </c>
      <c r="G1541" s="4" t="s">
        <v>81</v>
      </c>
      <c r="H1541" s="4">
        <v>0</v>
      </c>
      <c r="I1541" s="5">
        <v>0.40313657407407405</v>
      </c>
      <c r="J1541" s="5">
        <v>0</v>
      </c>
      <c r="K1541" s="5">
        <f t="shared" si="48"/>
        <v>0</v>
      </c>
      <c r="L1541" s="5">
        <v>9.3749999999999997E-4</v>
      </c>
      <c r="M1541" s="6">
        <f t="shared" si="49"/>
        <v>2.3255146277741095E-3</v>
      </c>
      <c r="N1541" s="5"/>
      <c r="O1541" s="5"/>
      <c r="P1541" s="5"/>
      <c r="Q1541" s="5"/>
      <c r="R1541" s="5"/>
      <c r="S1541" s="5"/>
      <c r="T1541" s="5">
        <v>1.6203703703703703E-4</v>
      </c>
      <c r="U1541" s="5">
        <v>7.291666666666667E-4</v>
      </c>
      <c r="V1541" s="5"/>
      <c r="W1541" s="5"/>
    </row>
    <row r="1542" spans="1:23" x14ac:dyDescent="0.25">
      <c r="A1542" s="2">
        <v>46253</v>
      </c>
      <c r="B1542" s="3" t="s">
        <v>500</v>
      </c>
      <c r="C1542" s="3" t="s">
        <v>518</v>
      </c>
      <c r="D1542" s="3" t="s">
        <v>274</v>
      </c>
      <c r="E1542" s="3" t="s">
        <v>79</v>
      </c>
      <c r="F1542" s="3" t="s">
        <v>147</v>
      </c>
      <c r="G1542" s="4" t="s">
        <v>33</v>
      </c>
      <c r="H1542" s="4">
        <v>20</v>
      </c>
      <c r="I1542" s="5">
        <v>0.26373842592592595</v>
      </c>
      <c r="J1542" s="5">
        <v>7.0787037037037037E-2</v>
      </c>
      <c r="K1542" s="5">
        <f t="shared" si="48"/>
        <v>3.5393518518518517E-3</v>
      </c>
      <c r="L1542" s="5">
        <v>3.3402777777777781E-2</v>
      </c>
      <c r="M1542" s="6">
        <f t="shared" si="49"/>
        <v>0.12665116074955018</v>
      </c>
      <c r="N1542" s="5"/>
      <c r="O1542" s="5">
        <v>1.3553240740740741E-2</v>
      </c>
      <c r="P1542" s="5"/>
      <c r="Q1542" s="5">
        <v>6.053240740740741E-3</v>
      </c>
      <c r="R1542" s="5"/>
      <c r="S1542" s="5">
        <v>1.3668981481481482E-2</v>
      </c>
      <c r="T1542" s="5">
        <v>1.273148148148148E-4</v>
      </c>
      <c r="U1542" s="5"/>
      <c r="V1542" s="5"/>
      <c r="W1542" s="5"/>
    </row>
    <row r="1543" spans="1:23" x14ac:dyDescent="0.25">
      <c r="A1543" s="2">
        <v>46253</v>
      </c>
      <c r="B1543" s="3" t="s">
        <v>683</v>
      </c>
      <c r="C1543" s="3" t="s">
        <v>684</v>
      </c>
      <c r="D1543" s="3" t="s">
        <v>233</v>
      </c>
      <c r="E1543" s="3" t="s">
        <v>31</v>
      </c>
      <c r="F1543" s="3" t="s">
        <v>32</v>
      </c>
      <c r="G1543" s="4" t="s">
        <v>106</v>
      </c>
      <c r="H1543" s="4">
        <v>31</v>
      </c>
      <c r="I1543" s="5">
        <v>0.2582638888888889</v>
      </c>
      <c r="J1543" s="5">
        <v>0.12128472222222222</v>
      </c>
      <c r="K1543" s="5">
        <f t="shared" si="48"/>
        <v>3.9124103942652332E-3</v>
      </c>
      <c r="L1543" s="5">
        <v>6.0520833333333336E-2</v>
      </c>
      <c r="M1543" s="6">
        <f t="shared" si="49"/>
        <v>0.23433718741597204</v>
      </c>
      <c r="N1543" s="5">
        <v>5.9722222222222225E-3</v>
      </c>
      <c r="O1543" s="5">
        <v>1.800925925925926E-2</v>
      </c>
      <c r="P1543" s="5"/>
      <c r="Q1543" s="5">
        <v>5.5092592592592589E-3</v>
      </c>
      <c r="R1543" s="5"/>
      <c r="S1543" s="5">
        <v>1.4293981481481482E-2</v>
      </c>
      <c r="T1543" s="5">
        <v>4.2592592592592595E-3</v>
      </c>
      <c r="U1543" s="5">
        <v>1.2476851851851852E-2</v>
      </c>
      <c r="V1543" s="5"/>
      <c r="W1543" s="5"/>
    </row>
    <row r="1544" spans="1:23" x14ac:dyDescent="0.25">
      <c r="A1544" s="2">
        <v>46253</v>
      </c>
      <c r="B1544" s="3" t="s">
        <v>653</v>
      </c>
      <c r="C1544" s="3" t="s">
        <v>654</v>
      </c>
      <c r="D1544" s="3" t="s">
        <v>100</v>
      </c>
      <c r="E1544" s="3" t="s">
        <v>31</v>
      </c>
      <c r="F1544" s="3" t="s">
        <v>32</v>
      </c>
      <c r="G1544" s="4" t="s">
        <v>33</v>
      </c>
      <c r="H1544" s="4">
        <v>31</v>
      </c>
      <c r="I1544" s="5">
        <v>0.25197916666666664</v>
      </c>
      <c r="J1544" s="5">
        <v>0.16087962962962962</v>
      </c>
      <c r="K1544" s="5">
        <f t="shared" si="48"/>
        <v>5.1896654719235363E-3</v>
      </c>
      <c r="L1544" s="5">
        <v>3.5578703703703703E-2</v>
      </c>
      <c r="M1544" s="6">
        <f t="shared" si="49"/>
        <v>0.14119700519039088</v>
      </c>
      <c r="N1544" s="5">
        <v>6.7361111111111111E-3</v>
      </c>
      <c r="O1544" s="5">
        <v>1.361111111111111E-2</v>
      </c>
      <c r="P1544" s="5"/>
      <c r="Q1544" s="5"/>
      <c r="R1544" s="5"/>
      <c r="S1544" s="5">
        <v>1.4143518518518519E-2</v>
      </c>
      <c r="T1544" s="5">
        <v>5.7870370370370373E-5</v>
      </c>
      <c r="U1544" s="5">
        <v>9.837962962962962E-4</v>
      </c>
      <c r="V1544" s="5"/>
      <c r="W1544" s="5"/>
    </row>
    <row r="1545" spans="1:23" x14ac:dyDescent="0.25">
      <c r="A1545" s="2">
        <v>46253</v>
      </c>
      <c r="B1545" s="3" t="s">
        <v>52</v>
      </c>
      <c r="C1545" s="3" t="s">
        <v>509</v>
      </c>
      <c r="D1545" s="3" t="s">
        <v>100</v>
      </c>
      <c r="E1545" s="3" t="s">
        <v>31</v>
      </c>
      <c r="F1545" s="3" t="s">
        <v>32</v>
      </c>
      <c r="G1545" s="4" t="s">
        <v>33</v>
      </c>
      <c r="H1545" s="4">
        <v>0</v>
      </c>
      <c r="I1545" s="5">
        <v>0.20814814814814814</v>
      </c>
      <c r="J1545" s="5">
        <v>0</v>
      </c>
      <c r="K1545" s="5">
        <f t="shared" si="48"/>
        <v>0</v>
      </c>
      <c r="L1545" s="5">
        <v>0.20814814814814814</v>
      </c>
      <c r="M1545" s="6">
        <f t="shared" si="49"/>
        <v>1</v>
      </c>
      <c r="N1545" s="5"/>
      <c r="O1545" s="5">
        <v>1.3958333333333333E-2</v>
      </c>
      <c r="P1545" s="5"/>
      <c r="Q1545" s="5"/>
      <c r="R1545" s="5"/>
      <c r="S1545" s="5">
        <v>1.425925925925926E-2</v>
      </c>
      <c r="T1545" s="5">
        <v>3.8194444444444446E-4</v>
      </c>
      <c r="U1545" s="5"/>
      <c r="V1545" s="5"/>
      <c r="W1545" s="5">
        <v>0.17954861111111112</v>
      </c>
    </row>
    <row r="1546" spans="1:23" x14ac:dyDescent="0.25">
      <c r="A1546" s="2">
        <v>46253</v>
      </c>
      <c r="B1546" s="3" t="s">
        <v>164</v>
      </c>
      <c r="C1546" s="3" t="s">
        <v>519</v>
      </c>
      <c r="D1546" s="3" t="s">
        <v>146</v>
      </c>
      <c r="E1546" s="3" t="s">
        <v>79</v>
      </c>
      <c r="F1546" s="3" t="s">
        <v>147</v>
      </c>
      <c r="G1546" s="4" t="s">
        <v>106</v>
      </c>
      <c r="H1546" s="4">
        <v>23</v>
      </c>
      <c r="I1546" s="5">
        <v>0.30957175925925928</v>
      </c>
      <c r="J1546" s="5">
        <v>0.10685185185185185</v>
      </c>
      <c r="K1546" s="5">
        <f t="shared" si="48"/>
        <v>4.6457326892109501E-3</v>
      </c>
      <c r="L1546" s="5">
        <v>3.425925925925926E-2</v>
      </c>
      <c r="M1546" s="6">
        <f t="shared" si="49"/>
        <v>0.11066661681683927</v>
      </c>
      <c r="N1546" s="5">
        <v>2.662037037037037E-3</v>
      </c>
      <c r="O1546" s="5">
        <v>1.650462962962963E-2</v>
      </c>
      <c r="P1546" s="5"/>
      <c r="Q1546" s="5"/>
      <c r="R1546" s="5"/>
      <c r="S1546" s="5">
        <v>1.4375000000000001E-2</v>
      </c>
      <c r="T1546" s="5">
        <v>5.4398148148148144E-4</v>
      </c>
      <c r="U1546" s="5">
        <v>1.6203703703703703E-4</v>
      </c>
      <c r="V1546" s="5"/>
      <c r="W1546" s="5"/>
    </row>
    <row r="1547" spans="1:23" x14ac:dyDescent="0.25">
      <c r="A1547" s="2">
        <v>46253</v>
      </c>
      <c r="B1547" s="3" t="s">
        <v>655</v>
      </c>
      <c r="C1547" s="3" t="s">
        <v>656</v>
      </c>
      <c r="D1547" s="3" t="s">
        <v>100</v>
      </c>
      <c r="E1547" s="3" t="s">
        <v>31</v>
      </c>
      <c r="F1547" s="3" t="s">
        <v>32</v>
      </c>
      <c r="G1547" s="4" t="s">
        <v>33</v>
      </c>
      <c r="H1547" s="4">
        <v>25</v>
      </c>
      <c r="I1547" s="5">
        <v>0.26300925925925928</v>
      </c>
      <c r="J1547" s="5">
        <v>0.1506712962962963</v>
      </c>
      <c r="K1547" s="5">
        <f t="shared" si="48"/>
        <v>6.0268518518518518E-3</v>
      </c>
      <c r="L1547" s="5">
        <v>3.9583333333333331E-2</v>
      </c>
      <c r="M1547" s="6">
        <f t="shared" si="49"/>
        <v>0.15050167224080266</v>
      </c>
      <c r="N1547" s="5">
        <v>8.2175925925925923E-3</v>
      </c>
      <c r="O1547" s="5">
        <v>1.4293981481481482E-2</v>
      </c>
      <c r="P1547" s="5"/>
      <c r="Q1547" s="5"/>
      <c r="R1547" s="5"/>
      <c r="S1547" s="5">
        <v>1.4467592592592593E-2</v>
      </c>
      <c r="T1547" s="5">
        <v>8.1018518518518516E-5</v>
      </c>
      <c r="U1547" s="5">
        <v>2.5115740740740741E-3</v>
      </c>
      <c r="V1547" s="5"/>
      <c r="W1547" s="5"/>
    </row>
    <row r="1548" spans="1:23" x14ac:dyDescent="0.25">
      <c r="A1548" s="2">
        <v>46253</v>
      </c>
      <c r="B1548" s="3" t="s">
        <v>657</v>
      </c>
      <c r="C1548" s="3" t="s">
        <v>658</v>
      </c>
      <c r="D1548" s="3" t="s">
        <v>274</v>
      </c>
      <c r="E1548" s="3" t="s">
        <v>79</v>
      </c>
      <c r="F1548" s="3" t="s">
        <v>147</v>
      </c>
      <c r="G1548" s="4" t="s">
        <v>33</v>
      </c>
      <c r="H1548" s="4">
        <v>18</v>
      </c>
      <c r="I1548" s="5">
        <v>0.26421296296296298</v>
      </c>
      <c r="J1548" s="5">
        <v>6.1076388888888888E-2</v>
      </c>
      <c r="K1548" s="5">
        <f t="shared" si="48"/>
        <v>3.3931327160493826E-3</v>
      </c>
      <c r="L1548" s="5">
        <v>4.3888888888888887E-2</v>
      </c>
      <c r="M1548" s="6">
        <f t="shared" si="49"/>
        <v>0.16611179253548272</v>
      </c>
      <c r="N1548" s="5">
        <v>4.9074074074074072E-3</v>
      </c>
      <c r="O1548" s="5">
        <v>1.5775462962962963E-2</v>
      </c>
      <c r="P1548" s="5"/>
      <c r="Q1548" s="5">
        <v>4.363425925925926E-3</v>
      </c>
      <c r="R1548" s="5">
        <v>3.0439814814814813E-3</v>
      </c>
      <c r="S1548" s="5">
        <v>1.5543981481481482E-2</v>
      </c>
      <c r="T1548" s="5">
        <v>1.5046296296296297E-4</v>
      </c>
      <c r="U1548" s="5">
        <v>9.2592592592592588E-5</v>
      </c>
      <c r="V1548" s="5"/>
      <c r="W1548" s="5"/>
    </row>
    <row r="1549" spans="1:23" x14ac:dyDescent="0.25">
      <c r="A1549" s="2">
        <v>46253</v>
      </c>
      <c r="B1549" s="3" t="s">
        <v>166</v>
      </c>
      <c r="C1549" s="3" t="s">
        <v>167</v>
      </c>
      <c r="D1549" s="3" t="s">
        <v>146</v>
      </c>
      <c r="E1549" s="3" t="s">
        <v>79</v>
      </c>
      <c r="F1549" s="3" t="s">
        <v>147</v>
      </c>
      <c r="G1549" s="4" t="s">
        <v>106</v>
      </c>
      <c r="H1549" s="4">
        <v>16</v>
      </c>
      <c r="I1549" s="5">
        <v>0.25318287037037035</v>
      </c>
      <c r="J1549" s="5">
        <v>5.5497685185185185E-2</v>
      </c>
      <c r="K1549" s="5">
        <f t="shared" si="48"/>
        <v>3.468605324074074E-3</v>
      </c>
      <c r="L1549" s="5">
        <v>3.5092592592592592E-2</v>
      </c>
      <c r="M1549" s="6">
        <f t="shared" si="49"/>
        <v>0.1386057142857143</v>
      </c>
      <c r="N1549" s="5">
        <v>8.2175925925925923E-3</v>
      </c>
      <c r="O1549" s="5">
        <v>1.2523148148148148E-2</v>
      </c>
      <c r="P1549" s="5"/>
      <c r="Q1549" s="5"/>
      <c r="R1549" s="5"/>
      <c r="S1549" s="5">
        <v>1.3900462962962963E-2</v>
      </c>
      <c r="T1549" s="5">
        <v>1.3888888888888889E-4</v>
      </c>
      <c r="U1549" s="5">
        <v>3.1250000000000001E-4</v>
      </c>
      <c r="V1549" s="5"/>
      <c r="W1549" s="5"/>
    </row>
    <row r="1550" spans="1:23" x14ac:dyDescent="0.25">
      <c r="A1550" s="2">
        <v>46253</v>
      </c>
      <c r="B1550" s="3" t="s">
        <v>659</v>
      </c>
      <c r="C1550" s="3" t="s">
        <v>660</v>
      </c>
      <c r="D1550" s="3" t="s">
        <v>100</v>
      </c>
      <c r="E1550" s="3" t="s">
        <v>31</v>
      </c>
      <c r="F1550" s="3" t="s">
        <v>32</v>
      </c>
      <c r="G1550" s="4" t="s">
        <v>33</v>
      </c>
      <c r="H1550" s="4">
        <v>0</v>
      </c>
      <c r="I1550" s="5">
        <v>0.18765046296296295</v>
      </c>
      <c r="J1550" s="5">
        <v>0</v>
      </c>
      <c r="K1550" s="5">
        <f t="shared" si="48"/>
        <v>0</v>
      </c>
      <c r="L1550" s="5">
        <v>0.17710648148148148</v>
      </c>
      <c r="M1550" s="6">
        <f t="shared" si="49"/>
        <v>0.94381052242028007</v>
      </c>
      <c r="N1550" s="5">
        <v>1.0092592592592592E-2</v>
      </c>
      <c r="O1550" s="5">
        <v>1.2893518518518518E-2</v>
      </c>
      <c r="P1550" s="5"/>
      <c r="Q1550" s="5"/>
      <c r="R1550" s="5">
        <v>8.1018518518518516E-5</v>
      </c>
      <c r="S1550" s="5">
        <v>1.4386574074074074E-2</v>
      </c>
      <c r="T1550" s="5">
        <v>3.8194444444444446E-4</v>
      </c>
      <c r="U1550" s="5"/>
      <c r="V1550" s="5"/>
      <c r="W1550" s="5">
        <v>0.13927083333333334</v>
      </c>
    </row>
    <row r="1551" spans="1:23" x14ac:dyDescent="0.25">
      <c r="A1551" s="2">
        <v>46253</v>
      </c>
      <c r="B1551" s="3" t="s">
        <v>254</v>
      </c>
      <c r="C1551" s="3" t="s">
        <v>528</v>
      </c>
      <c r="D1551" s="3" t="s">
        <v>233</v>
      </c>
      <c r="E1551" s="3" t="s">
        <v>31</v>
      </c>
      <c r="F1551" s="3" t="s">
        <v>32</v>
      </c>
      <c r="G1551" s="4" t="s">
        <v>106</v>
      </c>
      <c r="H1551" s="4">
        <v>18</v>
      </c>
      <c r="I1551" s="5">
        <v>0.26600694444444445</v>
      </c>
      <c r="J1551" s="5">
        <v>0.10266203703703704</v>
      </c>
      <c r="K1551" s="5">
        <f t="shared" si="48"/>
        <v>5.7034465020576134E-3</v>
      </c>
      <c r="L1551" s="5">
        <v>8.5277777777777772E-2</v>
      </c>
      <c r="M1551" s="6">
        <f t="shared" si="49"/>
        <v>0.3205847800548231</v>
      </c>
      <c r="N1551" s="5">
        <v>1.5497685185185186E-2</v>
      </c>
      <c r="O1551" s="5">
        <v>2.0150462962962964E-2</v>
      </c>
      <c r="P1551" s="5"/>
      <c r="Q1551" s="5">
        <v>2.5578703703703704E-2</v>
      </c>
      <c r="R1551" s="5"/>
      <c r="S1551" s="5">
        <v>1.3599537037037037E-2</v>
      </c>
      <c r="T1551" s="5">
        <v>1.0324074074074074E-2</v>
      </c>
      <c r="U1551" s="5">
        <v>1.273148148148148E-4</v>
      </c>
      <c r="V1551" s="5"/>
      <c r="W1551" s="5"/>
    </row>
    <row r="1552" spans="1:23" x14ac:dyDescent="0.25">
      <c r="A1552" s="2">
        <v>46253</v>
      </c>
      <c r="B1552" s="3" t="s">
        <v>201</v>
      </c>
      <c r="C1552" s="3" t="s">
        <v>545</v>
      </c>
      <c r="D1552" s="3" t="s">
        <v>601</v>
      </c>
      <c r="E1552" s="3" t="s">
        <v>31</v>
      </c>
      <c r="F1552" s="3" t="s">
        <v>600</v>
      </c>
      <c r="G1552" s="4" t="s">
        <v>33</v>
      </c>
      <c r="H1552" s="4">
        <v>25</v>
      </c>
      <c r="I1552" s="5">
        <v>0.25343749999999998</v>
      </c>
      <c r="J1552" s="5">
        <v>9.0613425925925931E-2</v>
      </c>
      <c r="K1552" s="5">
        <f t="shared" si="48"/>
        <v>3.6245370370370372E-3</v>
      </c>
      <c r="L1552" s="5">
        <v>5.0381944444444444E-2</v>
      </c>
      <c r="M1552" s="6">
        <f t="shared" si="49"/>
        <v>0.19879435539114948</v>
      </c>
      <c r="N1552" s="5">
        <v>6.5277777777777782E-3</v>
      </c>
      <c r="O1552" s="5">
        <v>1.9467592592592592E-2</v>
      </c>
      <c r="P1552" s="5">
        <v>7.9861111111111116E-4</v>
      </c>
      <c r="Q1552" s="5"/>
      <c r="R1552" s="5"/>
      <c r="S1552" s="5">
        <v>1.5752314814814816E-2</v>
      </c>
      <c r="T1552" s="5">
        <v>1.7708333333333332E-3</v>
      </c>
      <c r="U1552" s="5">
        <v>6.0648148148148145E-3</v>
      </c>
      <c r="V1552" s="5"/>
      <c r="W1552" s="5"/>
    </row>
    <row r="1553" spans="1:23" x14ac:dyDescent="0.25">
      <c r="A1553" s="2">
        <v>46253</v>
      </c>
      <c r="B1553" s="3" t="s">
        <v>168</v>
      </c>
      <c r="C1553" s="3" t="s">
        <v>520</v>
      </c>
      <c r="D1553" s="3" t="s">
        <v>274</v>
      </c>
      <c r="E1553" s="3" t="s">
        <v>79</v>
      </c>
      <c r="F1553" s="3" t="s">
        <v>147</v>
      </c>
      <c r="G1553" s="4" t="s">
        <v>33</v>
      </c>
      <c r="H1553" s="4">
        <v>15</v>
      </c>
      <c r="I1553" s="5">
        <v>0.25293981481481481</v>
      </c>
      <c r="J1553" s="5">
        <v>3.8622685185185184E-2</v>
      </c>
      <c r="K1553" s="5">
        <f t="shared" si="48"/>
        <v>2.5748456790123456E-3</v>
      </c>
      <c r="L1553" s="5">
        <v>5.3495370370370374E-2</v>
      </c>
      <c r="M1553" s="6">
        <f t="shared" si="49"/>
        <v>0.21149446325615451</v>
      </c>
      <c r="N1553" s="5">
        <v>9.432870370370371E-3</v>
      </c>
      <c r="O1553" s="5">
        <v>1.5023148148148148E-2</v>
      </c>
      <c r="P1553" s="5"/>
      <c r="Q1553" s="5">
        <v>1.0891203703703703E-2</v>
      </c>
      <c r="R1553" s="5"/>
      <c r="S1553" s="5">
        <v>1.8090277777777778E-2</v>
      </c>
      <c r="T1553" s="5">
        <v>5.7870370370370373E-5</v>
      </c>
      <c r="U1553" s="5"/>
      <c r="V1553" s="5"/>
      <c r="W1553" s="5"/>
    </row>
    <row r="1554" spans="1:23" x14ac:dyDescent="0.25">
      <c r="A1554" s="2">
        <v>46253</v>
      </c>
      <c r="B1554" s="3" t="s">
        <v>170</v>
      </c>
      <c r="C1554" s="3" t="s">
        <v>521</v>
      </c>
      <c r="D1554" s="3" t="s">
        <v>146</v>
      </c>
      <c r="E1554" s="3" t="s">
        <v>79</v>
      </c>
      <c r="F1554" s="3" t="s">
        <v>147</v>
      </c>
      <c r="G1554" s="4" t="s">
        <v>106</v>
      </c>
      <c r="H1554" s="4">
        <v>14</v>
      </c>
      <c r="I1554" s="5">
        <v>0.22743055555555555</v>
      </c>
      <c r="J1554" s="5">
        <v>5.167824074074074E-2</v>
      </c>
      <c r="K1554" s="5">
        <f t="shared" si="48"/>
        <v>3.6913029100529098E-3</v>
      </c>
      <c r="L1554" s="5">
        <v>3.8993055555555559E-2</v>
      </c>
      <c r="M1554" s="6">
        <f t="shared" si="49"/>
        <v>0.17145038167938934</v>
      </c>
      <c r="N1554" s="5">
        <v>5.3009259259259259E-3</v>
      </c>
      <c r="O1554" s="5">
        <v>1.7592592592592594E-2</v>
      </c>
      <c r="P1554" s="5"/>
      <c r="Q1554" s="5">
        <v>1.1226851851851851E-3</v>
      </c>
      <c r="R1554" s="5"/>
      <c r="S1554" s="5">
        <v>1.4398148148148148E-2</v>
      </c>
      <c r="T1554" s="5">
        <v>1.273148148148148E-4</v>
      </c>
      <c r="U1554" s="5">
        <v>4.3981481481481481E-4</v>
      </c>
      <c r="V1554" s="5"/>
      <c r="W1554" s="5"/>
    </row>
    <row r="1555" spans="1:23" x14ac:dyDescent="0.25">
      <c r="A1555" s="2">
        <v>46253</v>
      </c>
      <c r="B1555" s="3" t="s">
        <v>92</v>
      </c>
      <c r="C1555" s="3" t="s">
        <v>93</v>
      </c>
      <c r="D1555" s="3" t="s">
        <v>78</v>
      </c>
      <c r="E1555" s="3" t="s">
        <v>79</v>
      </c>
      <c r="F1555" s="3" t="s">
        <v>80</v>
      </c>
      <c r="G1555" s="4" t="s">
        <v>81</v>
      </c>
      <c r="H1555" s="4">
        <v>0</v>
      </c>
      <c r="I1555" s="5">
        <v>0.29024305555555557</v>
      </c>
      <c r="J1555" s="5">
        <v>0</v>
      </c>
      <c r="K1555" s="5">
        <f t="shared" si="48"/>
        <v>0</v>
      </c>
      <c r="L1555" s="5">
        <v>0.10526620370370371</v>
      </c>
      <c r="M1555" s="6">
        <f t="shared" si="49"/>
        <v>0.36268293655540934</v>
      </c>
      <c r="N1555" s="5"/>
      <c r="O1555" s="5">
        <v>7.3668981481481488E-2</v>
      </c>
      <c r="P1555" s="5"/>
      <c r="Q1555" s="5"/>
      <c r="R1555" s="5"/>
      <c r="S1555" s="5">
        <v>6.851851851851852E-3</v>
      </c>
      <c r="T1555" s="5">
        <v>2.3958333333333335E-2</v>
      </c>
      <c r="U1555" s="5">
        <v>7.1759259259259259E-4</v>
      </c>
      <c r="V1555" s="5"/>
      <c r="W1555" s="5"/>
    </row>
    <row r="1556" spans="1:23" x14ac:dyDescent="0.25">
      <c r="A1556" s="2">
        <v>46253</v>
      </c>
      <c r="B1556" s="3" t="s">
        <v>94</v>
      </c>
      <c r="C1556" s="3" t="s">
        <v>95</v>
      </c>
      <c r="D1556" s="3" t="s">
        <v>78</v>
      </c>
      <c r="E1556" s="3" t="s">
        <v>79</v>
      </c>
      <c r="F1556" s="3" t="s">
        <v>80</v>
      </c>
      <c r="G1556" s="4" t="s">
        <v>81</v>
      </c>
      <c r="H1556" s="4">
        <v>0</v>
      </c>
      <c r="I1556" s="5">
        <v>0.42016203703703703</v>
      </c>
      <c r="J1556" s="5">
        <v>0</v>
      </c>
      <c r="K1556" s="5">
        <f t="shared" si="48"/>
        <v>0</v>
      </c>
      <c r="L1556" s="5">
        <v>8.7430555555555553E-2</v>
      </c>
      <c r="M1556" s="6">
        <f t="shared" si="49"/>
        <v>0.2080877086661892</v>
      </c>
      <c r="N1556" s="5"/>
      <c r="O1556" s="5"/>
      <c r="P1556" s="5"/>
      <c r="Q1556" s="5"/>
      <c r="R1556" s="5">
        <v>8.7048611111111104E-2</v>
      </c>
      <c r="S1556" s="5"/>
      <c r="T1556" s="5"/>
      <c r="U1556" s="5">
        <v>3.7037037037037035E-4</v>
      </c>
      <c r="V1556" s="5"/>
      <c r="W1556" s="5"/>
    </row>
    <row r="1557" spans="1:23" x14ac:dyDescent="0.25">
      <c r="A1557" s="2">
        <v>46253</v>
      </c>
      <c r="B1557" s="3" t="s">
        <v>293</v>
      </c>
      <c r="C1557" s="3" t="s">
        <v>543</v>
      </c>
      <c r="D1557" s="3" t="s">
        <v>104</v>
      </c>
      <c r="E1557" s="3" t="s">
        <v>31</v>
      </c>
      <c r="F1557" s="3" t="s">
        <v>600</v>
      </c>
      <c r="G1557" s="4" t="s">
        <v>106</v>
      </c>
      <c r="H1557" s="4">
        <v>45</v>
      </c>
      <c r="I1557" s="5">
        <v>0.24478009259259259</v>
      </c>
      <c r="J1557" s="5">
        <v>7.7430555555555558E-2</v>
      </c>
      <c r="K1557" s="5">
        <f t="shared" si="48"/>
        <v>1.7206790123456791E-3</v>
      </c>
      <c r="L1557" s="5">
        <v>0.10929398148148148</v>
      </c>
      <c r="M1557" s="6">
        <f t="shared" si="49"/>
        <v>0.44649865241855408</v>
      </c>
      <c r="N1557" s="5">
        <v>5.2893518518518515E-3</v>
      </c>
      <c r="O1557" s="5">
        <v>1.4930555555555556E-2</v>
      </c>
      <c r="P1557" s="5"/>
      <c r="Q1557" s="5"/>
      <c r="R1557" s="5"/>
      <c r="S1557" s="5">
        <v>1.6157407407407409E-2</v>
      </c>
      <c r="T1557" s="5">
        <v>4.1203703703703706E-3</v>
      </c>
      <c r="U1557" s="5">
        <v>4.6296296296296298E-4</v>
      </c>
      <c r="V1557" s="5"/>
      <c r="W1557" s="5">
        <v>6.8298611111111115E-2</v>
      </c>
    </row>
    <row r="1558" spans="1:23" x14ac:dyDescent="0.25">
      <c r="A1558" s="2">
        <v>46253</v>
      </c>
      <c r="B1558" s="3" t="s">
        <v>606</v>
      </c>
      <c r="C1558" s="3" t="s">
        <v>633</v>
      </c>
      <c r="D1558" s="3" t="s">
        <v>146</v>
      </c>
      <c r="E1558" s="3" t="s">
        <v>79</v>
      </c>
      <c r="F1558" s="3" t="s">
        <v>147</v>
      </c>
      <c r="G1558" s="4" t="s">
        <v>106</v>
      </c>
      <c r="H1558" s="4">
        <v>8</v>
      </c>
      <c r="I1558" s="5">
        <v>0.26327546296296295</v>
      </c>
      <c r="J1558" s="5">
        <v>6.7280092592592586E-2</v>
      </c>
      <c r="K1558" s="5">
        <f t="shared" si="48"/>
        <v>8.4100115740740732E-3</v>
      </c>
      <c r="L1558" s="5">
        <v>6.7476851851851857E-2</v>
      </c>
      <c r="M1558" s="6">
        <f t="shared" si="49"/>
        <v>0.25629753374071312</v>
      </c>
      <c r="N1558" s="5">
        <v>1.4317129629629629E-2</v>
      </c>
      <c r="O1558" s="5">
        <v>1.412037037037037E-2</v>
      </c>
      <c r="P1558" s="5"/>
      <c r="Q1558" s="5"/>
      <c r="R1558" s="5"/>
      <c r="S1558" s="5">
        <v>1.4027777777777778E-2</v>
      </c>
      <c r="T1558" s="5">
        <v>1.9328703703703704E-3</v>
      </c>
      <c r="U1558" s="5">
        <v>2.1585648148148149E-2</v>
      </c>
      <c r="V1558" s="5"/>
      <c r="W1558" s="5">
        <v>1.4699074074074074E-3</v>
      </c>
    </row>
    <row r="1559" spans="1:23" x14ac:dyDescent="0.25">
      <c r="A1559" s="2">
        <v>46253</v>
      </c>
      <c r="B1559" s="3" t="s">
        <v>256</v>
      </c>
      <c r="C1559" s="3" t="s">
        <v>529</v>
      </c>
      <c r="D1559" s="3" t="s">
        <v>233</v>
      </c>
      <c r="E1559" s="3" t="s">
        <v>31</v>
      </c>
      <c r="F1559" s="3" t="s">
        <v>32</v>
      </c>
      <c r="G1559" s="4" t="s">
        <v>106</v>
      </c>
      <c r="H1559" s="4">
        <v>23</v>
      </c>
      <c r="I1559" s="5">
        <v>0.25230324074074073</v>
      </c>
      <c r="J1559" s="5">
        <v>0.14369212962962963</v>
      </c>
      <c r="K1559" s="5">
        <f t="shared" si="48"/>
        <v>6.2474838969404185E-3</v>
      </c>
      <c r="L1559" s="5">
        <v>3.847222222222222E-2</v>
      </c>
      <c r="M1559" s="6">
        <f t="shared" si="49"/>
        <v>0.15248405890178449</v>
      </c>
      <c r="N1559" s="5"/>
      <c r="O1559" s="5">
        <v>1.4456018518518519E-2</v>
      </c>
      <c r="P1559" s="5"/>
      <c r="Q1559" s="5"/>
      <c r="R1559" s="5"/>
      <c r="S1559" s="5">
        <v>1.8715277777777779E-2</v>
      </c>
      <c r="T1559" s="5">
        <v>2.7777777777777778E-4</v>
      </c>
      <c r="U1559" s="5">
        <v>4.9884259259259257E-3</v>
      </c>
      <c r="V1559" s="5"/>
      <c r="W1559" s="5"/>
    </row>
    <row r="1560" spans="1:23" x14ac:dyDescent="0.25">
      <c r="A1560" s="2">
        <v>46253</v>
      </c>
      <c r="B1560" s="3" t="s">
        <v>612</v>
      </c>
      <c r="C1560" s="3" t="s">
        <v>634</v>
      </c>
      <c r="D1560" s="3" t="s">
        <v>601</v>
      </c>
      <c r="E1560" s="3" t="s">
        <v>31</v>
      </c>
      <c r="F1560" s="3" t="s">
        <v>105</v>
      </c>
      <c r="G1560" s="4" t="s">
        <v>33</v>
      </c>
      <c r="H1560" s="4">
        <v>1</v>
      </c>
      <c r="I1560" s="5">
        <v>2.1296296296296296E-2</v>
      </c>
      <c r="J1560" s="5">
        <v>2.792824074074074E-2</v>
      </c>
      <c r="K1560" s="5">
        <f t="shared" si="48"/>
        <v>2.792824074074074E-2</v>
      </c>
      <c r="L1560" s="5">
        <v>1.3020833333333334E-2</v>
      </c>
      <c r="M1560" s="6">
        <f t="shared" si="49"/>
        <v>0.61141304347826086</v>
      </c>
      <c r="N1560" s="5"/>
      <c r="O1560" s="5"/>
      <c r="P1560" s="5"/>
      <c r="Q1560" s="5"/>
      <c r="R1560" s="5"/>
      <c r="S1560" s="5"/>
      <c r="T1560" s="5">
        <v>1.6550925925925926E-3</v>
      </c>
      <c r="U1560" s="5">
        <v>1.136574074074074E-2</v>
      </c>
      <c r="V1560" s="5"/>
      <c r="W1560" s="5"/>
    </row>
    <row r="1561" spans="1:23" x14ac:dyDescent="0.25">
      <c r="A1561" s="2">
        <v>46253</v>
      </c>
      <c r="B1561" s="3" t="s">
        <v>661</v>
      </c>
      <c r="C1561" s="3" t="s">
        <v>662</v>
      </c>
      <c r="D1561" s="3" t="s">
        <v>100</v>
      </c>
      <c r="E1561" s="3" t="s">
        <v>31</v>
      </c>
      <c r="F1561" s="3" t="s">
        <v>32</v>
      </c>
      <c r="G1561" s="4" t="s">
        <v>33</v>
      </c>
      <c r="H1561" s="4">
        <v>20</v>
      </c>
      <c r="I1561" s="5">
        <v>0.26015046296296296</v>
      </c>
      <c r="J1561" s="5">
        <v>0.15082175925925925</v>
      </c>
      <c r="K1561" s="5">
        <f t="shared" si="48"/>
        <v>7.541087962962963E-3</v>
      </c>
      <c r="L1561" s="5">
        <v>4.8414351851851854E-2</v>
      </c>
      <c r="M1561" s="6">
        <f t="shared" si="49"/>
        <v>0.18610134804466791</v>
      </c>
      <c r="N1561" s="5">
        <v>1.0659722222222221E-2</v>
      </c>
      <c r="O1561" s="5">
        <v>1.3425925925925926E-2</v>
      </c>
      <c r="P1561" s="5"/>
      <c r="Q1561" s="5"/>
      <c r="R1561" s="5"/>
      <c r="S1561" s="5">
        <v>1.4537037037037038E-2</v>
      </c>
      <c r="T1561" s="5">
        <v>6.1574074074074074E-3</v>
      </c>
      <c r="U1561" s="5">
        <v>3.5879629629629629E-3</v>
      </c>
      <c r="V1561" s="5"/>
      <c r="W1561" s="5"/>
    </row>
    <row r="1562" spans="1:23" x14ac:dyDescent="0.25">
      <c r="A1562" s="2">
        <v>46253</v>
      </c>
      <c r="B1562" s="3" t="s">
        <v>665</v>
      </c>
      <c r="C1562" s="3" t="s">
        <v>666</v>
      </c>
      <c r="D1562" s="3" t="s">
        <v>100</v>
      </c>
      <c r="E1562" s="3" t="s">
        <v>31</v>
      </c>
      <c r="F1562" s="3" t="s">
        <v>32</v>
      </c>
      <c r="G1562" s="4" t="s">
        <v>33</v>
      </c>
      <c r="H1562" s="4">
        <v>38</v>
      </c>
      <c r="I1562" s="5">
        <v>0.26243055555555556</v>
      </c>
      <c r="J1562" s="5">
        <v>0.13447916666666668</v>
      </c>
      <c r="K1562" s="5">
        <f t="shared" si="48"/>
        <v>3.5389254385964916E-3</v>
      </c>
      <c r="L1562" s="5">
        <v>3.1550925925925927E-2</v>
      </c>
      <c r="M1562" s="6">
        <f t="shared" si="49"/>
        <v>0.12022580929699216</v>
      </c>
      <c r="N1562" s="5"/>
      <c r="O1562" s="5">
        <v>1.380787037037037E-2</v>
      </c>
      <c r="P1562" s="5"/>
      <c r="Q1562" s="5"/>
      <c r="R1562" s="5"/>
      <c r="S1562" s="5">
        <v>1.3912037037037037E-2</v>
      </c>
      <c r="T1562" s="5">
        <v>2.8935185185185184E-4</v>
      </c>
      <c r="U1562" s="5">
        <v>3.414351851851852E-3</v>
      </c>
      <c r="V1562" s="5"/>
      <c r="W1562" s="5"/>
    </row>
    <row r="1563" spans="1:23" x14ac:dyDescent="0.25">
      <c r="A1563" s="2">
        <v>46253</v>
      </c>
      <c r="B1563" s="3" t="s">
        <v>264</v>
      </c>
      <c r="C1563" s="3" t="s">
        <v>530</v>
      </c>
      <c r="D1563" s="3" t="s">
        <v>78</v>
      </c>
      <c r="E1563" s="3" t="s">
        <v>79</v>
      </c>
      <c r="F1563" s="3" t="s">
        <v>80</v>
      </c>
      <c r="G1563" s="4" t="s">
        <v>106</v>
      </c>
      <c r="H1563" s="4">
        <v>1</v>
      </c>
      <c r="I1563" s="5">
        <v>0.9994791666666667</v>
      </c>
      <c r="J1563" s="5">
        <v>7.1180555555555554E-3</v>
      </c>
      <c r="K1563" s="5">
        <f t="shared" si="48"/>
        <v>7.1180555555555554E-3</v>
      </c>
      <c r="L1563" s="5">
        <v>0.42890046296296297</v>
      </c>
      <c r="M1563" s="6">
        <f t="shared" si="49"/>
        <v>0.42912396502808176</v>
      </c>
      <c r="N1563" s="5"/>
      <c r="O1563" s="5">
        <v>9.3287037037037036E-3</v>
      </c>
      <c r="P1563" s="5"/>
      <c r="Q1563" s="5"/>
      <c r="R1563" s="5">
        <v>6.9444444444444444E-5</v>
      </c>
      <c r="S1563" s="5"/>
      <c r="T1563" s="5">
        <v>1.0208333333333333E-2</v>
      </c>
      <c r="U1563" s="5">
        <v>5.6712962962962967E-4</v>
      </c>
      <c r="V1563" s="5"/>
      <c r="W1563" s="5"/>
    </row>
    <row r="1564" spans="1:23" x14ac:dyDescent="0.25">
      <c r="A1564" s="2">
        <v>46253</v>
      </c>
      <c r="B1564" s="3" t="s">
        <v>128</v>
      </c>
      <c r="C1564" s="3" t="s">
        <v>555</v>
      </c>
      <c r="D1564" s="3" t="s">
        <v>233</v>
      </c>
      <c r="E1564" s="3" t="s">
        <v>31</v>
      </c>
      <c r="F1564" s="3" t="s">
        <v>32</v>
      </c>
      <c r="G1564" s="4" t="s">
        <v>106</v>
      </c>
      <c r="H1564" s="4">
        <v>34</v>
      </c>
      <c r="I1564" s="5">
        <v>0.23962962962962964</v>
      </c>
      <c r="J1564" s="5">
        <v>0.10659722222222222</v>
      </c>
      <c r="K1564" s="5">
        <f t="shared" si="48"/>
        <v>3.1352124183006533E-3</v>
      </c>
      <c r="L1564" s="5">
        <v>6.8368055555555557E-2</v>
      </c>
      <c r="M1564" s="6">
        <f t="shared" si="49"/>
        <v>0.28530718701700153</v>
      </c>
      <c r="N1564" s="5">
        <v>1.2916666666666667E-2</v>
      </c>
      <c r="O1564" s="5">
        <v>1.5578703703703704E-2</v>
      </c>
      <c r="P1564" s="5"/>
      <c r="Q1564" s="5">
        <v>1.5613425925925926E-2</v>
      </c>
      <c r="R1564" s="5"/>
      <c r="S1564" s="5">
        <v>1.7094907407407406E-2</v>
      </c>
      <c r="T1564" s="5">
        <v>6.1574074074074074E-3</v>
      </c>
      <c r="U1564" s="5">
        <v>9.4907407407407408E-4</v>
      </c>
      <c r="V1564" s="5"/>
      <c r="W1564" s="5"/>
    </row>
    <row r="1565" spans="1:23" x14ac:dyDescent="0.25">
      <c r="A1565" s="2">
        <v>46253</v>
      </c>
      <c r="B1565" s="3" t="s">
        <v>178</v>
      </c>
      <c r="C1565" s="3" t="s">
        <v>522</v>
      </c>
      <c r="D1565" s="3" t="s">
        <v>146</v>
      </c>
      <c r="E1565" s="3" t="s">
        <v>79</v>
      </c>
      <c r="F1565" s="3" t="s">
        <v>147</v>
      </c>
      <c r="G1565" s="4" t="s">
        <v>106</v>
      </c>
      <c r="H1565" s="4">
        <v>18</v>
      </c>
      <c r="I1565" s="5">
        <v>0.26614583333333336</v>
      </c>
      <c r="J1565" s="5">
        <v>0.10400462962962963</v>
      </c>
      <c r="K1565" s="5">
        <f t="shared" si="48"/>
        <v>5.778034979423868E-3</v>
      </c>
      <c r="L1565" s="5">
        <v>3.2025462962962964E-2</v>
      </c>
      <c r="M1565" s="6">
        <f t="shared" si="49"/>
        <v>0.12033050663187649</v>
      </c>
      <c r="N1565" s="5">
        <v>4.6759259259259263E-3</v>
      </c>
      <c r="O1565" s="5">
        <v>1.050925925925926E-2</v>
      </c>
      <c r="P1565" s="5"/>
      <c r="Q1565" s="5"/>
      <c r="R1565" s="5">
        <v>1.3888888888888889E-4</v>
      </c>
      <c r="S1565" s="5">
        <v>1.6099537037037037E-2</v>
      </c>
      <c r="T1565" s="5">
        <v>6.9444444444444444E-5</v>
      </c>
      <c r="U1565" s="5">
        <v>5.0925925925925921E-4</v>
      </c>
      <c r="V1565" s="5"/>
      <c r="W1565" s="5"/>
    </row>
    <row r="1566" spans="1:23" x14ac:dyDescent="0.25">
      <c r="A1566" s="2">
        <v>46253</v>
      </c>
      <c r="B1566" s="3" t="s">
        <v>266</v>
      </c>
      <c r="C1566" s="3" t="s">
        <v>531</v>
      </c>
      <c r="D1566" s="3" t="s">
        <v>233</v>
      </c>
      <c r="E1566" s="3" t="s">
        <v>31</v>
      </c>
      <c r="F1566" s="3" t="s">
        <v>32</v>
      </c>
      <c r="G1566" s="4" t="s">
        <v>106</v>
      </c>
      <c r="H1566" s="4">
        <v>2</v>
      </c>
      <c r="I1566" s="5">
        <v>0.21628472222222223</v>
      </c>
      <c r="J1566" s="5">
        <v>7.6504629629629631E-3</v>
      </c>
      <c r="K1566" s="5">
        <f t="shared" si="48"/>
        <v>3.8252314814814815E-3</v>
      </c>
      <c r="L1566" s="5">
        <v>0.20795138888888889</v>
      </c>
      <c r="M1566" s="6">
        <f t="shared" si="49"/>
        <v>0.96147054101781992</v>
      </c>
      <c r="N1566" s="5"/>
      <c r="O1566" s="5">
        <v>1.2418981481481482E-2</v>
      </c>
      <c r="P1566" s="5"/>
      <c r="Q1566" s="5"/>
      <c r="R1566" s="5"/>
      <c r="S1566" s="5">
        <v>1.1145833333333334E-2</v>
      </c>
      <c r="T1566" s="5">
        <v>3.7037037037037035E-4</v>
      </c>
      <c r="U1566" s="5">
        <v>6.9444444444444444E-5</v>
      </c>
      <c r="V1566" s="5"/>
      <c r="W1566" s="5">
        <v>0.18394675925925927</v>
      </c>
    </row>
    <row r="1567" spans="1:23" x14ac:dyDescent="0.25">
      <c r="A1567" s="2">
        <v>46253</v>
      </c>
      <c r="B1567" s="3" t="s">
        <v>297</v>
      </c>
      <c r="C1567" s="3" t="s">
        <v>667</v>
      </c>
      <c r="D1567" s="3" t="s">
        <v>104</v>
      </c>
      <c r="E1567" s="3" t="s">
        <v>31</v>
      </c>
      <c r="F1567" s="3" t="s">
        <v>105</v>
      </c>
      <c r="G1567" s="4" t="s">
        <v>106</v>
      </c>
      <c r="H1567" s="4">
        <v>4</v>
      </c>
      <c r="I1567" s="5">
        <v>0.21861111111111112</v>
      </c>
      <c r="J1567" s="5">
        <v>7.4062500000000003E-2</v>
      </c>
      <c r="K1567" s="5">
        <f t="shared" si="48"/>
        <v>1.8515625000000001E-2</v>
      </c>
      <c r="L1567" s="5">
        <v>0.18164351851851851</v>
      </c>
      <c r="M1567" s="6">
        <f t="shared" si="49"/>
        <v>0.83089792460821676</v>
      </c>
      <c r="N1567" s="5">
        <v>2.642361111111111E-2</v>
      </c>
      <c r="O1567" s="5">
        <v>7.3842592592592597E-3</v>
      </c>
      <c r="P1567" s="5"/>
      <c r="Q1567" s="5"/>
      <c r="R1567" s="5"/>
      <c r="S1567" s="5">
        <v>1.4085648148148147E-2</v>
      </c>
      <c r="T1567" s="5">
        <v>8.6805555555555551E-4</v>
      </c>
      <c r="U1567" s="5"/>
      <c r="V1567" s="5"/>
      <c r="W1567" s="5">
        <v>0.13288194444444446</v>
      </c>
    </row>
    <row r="1568" spans="1:23" x14ac:dyDescent="0.25">
      <c r="A1568" s="2">
        <v>46253</v>
      </c>
      <c r="B1568" s="3" t="s">
        <v>207</v>
      </c>
      <c r="C1568" s="3" t="s">
        <v>566</v>
      </c>
      <c r="D1568" s="3" t="s">
        <v>274</v>
      </c>
      <c r="E1568" s="3" t="s">
        <v>79</v>
      </c>
      <c r="F1568" s="3" t="s">
        <v>147</v>
      </c>
      <c r="G1568" s="4" t="s">
        <v>33</v>
      </c>
      <c r="H1568" s="4">
        <v>22</v>
      </c>
      <c r="I1568" s="5">
        <v>0.26204861111111111</v>
      </c>
      <c r="J1568" s="5">
        <v>5.6099537037037038E-2</v>
      </c>
      <c r="K1568" s="5">
        <f t="shared" si="48"/>
        <v>2.5499789562289563E-3</v>
      </c>
      <c r="L1568" s="5">
        <v>3.5300925925925923E-2</v>
      </c>
      <c r="M1568" s="6">
        <f t="shared" si="49"/>
        <v>0.13471136433903094</v>
      </c>
      <c r="N1568" s="5">
        <v>3.4027777777777776E-3</v>
      </c>
      <c r="O1568" s="5">
        <v>6.875E-3</v>
      </c>
      <c r="P1568" s="5"/>
      <c r="Q1568" s="5">
        <v>1.4004629629629629E-3</v>
      </c>
      <c r="R1568" s="5">
        <v>8.4259259259259253E-3</v>
      </c>
      <c r="S1568" s="5">
        <v>1.3657407407407408E-2</v>
      </c>
      <c r="T1568" s="5">
        <v>6.9444444444444444E-5</v>
      </c>
      <c r="U1568" s="5">
        <v>1.4236111111111112E-3</v>
      </c>
      <c r="V1568" s="5"/>
      <c r="W1568" s="5"/>
    </row>
    <row r="1569" spans="1:23" x14ac:dyDescent="0.25">
      <c r="A1569" s="2">
        <v>46253</v>
      </c>
      <c r="B1569" s="3" t="s">
        <v>96</v>
      </c>
      <c r="C1569" s="3" t="s">
        <v>97</v>
      </c>
      <c r="D1569" s="3" t="s">
        <v>78</v>
      </c>
      <c r="E1569" s="3" t="s">
        <v>79</v>
      </c>
      <c r="F1569" s="3" t="s">
        <v>80</v>
      </c>
      <c r="G1569" s="4" t="s">
        <v>81</v>
      </c>
      <c r="H1569" s="4">
        <v>1</v>
      </c>
      <c r="I1569" s="5">
        <v>0.34288194444444442</v>
      </c>
      <c r="J1569" s="5">
        <v>1.9155092592592592E-2</v>
      </c>
      <c r="K1569" s="5">
        <f t="shared" si="48"/>
        <v>1.9155092592592592E-2</v>
      </c>
      <c r="L1569" s="5">
        <v>0.14186342592592593</v>
      </c>
      <c r="M1569" s="6">
        <f t="shared" si="49"/>
        <v>0.41373839662447265</v>
      </c>
      <c r="N1569" s="5">
        <v>6.8194444444444446E-2</v>
      </c>
      <c r="O1569" s="5"/>
      <c r="P1569" s="5"/>
      <c r="Q1569" s="5"/>
      <c r="R1569" s="5"/>
      <c r="S1569" s="5">
        <v>1.0162037037037037E-2</v>
      </c>
      <c r="T1569" s="5">
        <v>5.7870370370370373E-5</v>
      </c>
      <c r="U1569" s="5">
        <v>2.4398148148148148E-2</v>
      </c>
      <c r="V1569" s="5"/>
      <c r="W1569" s="5">
        <v>3.8993055555555559E-2</v>
      </c>
    </row>
    <row r="1570" spans="1:23" x14ac:dyDescent="0.25">
      <c r="A1570" s="2">
        <v>46253</v>
      </c>
      <c r="B1570" s="3" t="s">
        <v>180</v>
      </c>
      <c r="C1570" s="3" t="s">
        <v>523</v>
      </c>
      <c r="D1570" s="3" t="s">
        <v>146</v>
      </c>
      <c r="E1570" s="3" t="s">
        <v>79</v>
      </c>
      <c r="F1570" s="3" t="s">
        <v>147</v>
      </c>
      <c r="G1570" s="4" t="s">
        <v>106</v>
      </c>
      <c r="H1570" s="4">
        <v>17</v>
      </c>
      <c r="I1570" s="5">
        <v>0.26244212962962965</v>
      </c>
      <c r="J1570" s="5">
        <v>5.2986111111111109E-2</v>
      </c>
      <c r="K1570" s="5">
        <f t="shared" si="48"/>
        <v>3.1168300653594771E-3</v>
      </c>
      <c r="L1570" s="5">
        <v>4.0034722222222222E-2</v>
      </c>
      <c r="M1570" s="6">
        <f t="shared" si="49"/>
        <v>0.1525468577728776</v>
      </c>
      <c r="N1570" s="5">
        <v>7.1180555555555554E-3</v>
      </c>
      <c r="O1570" s="5">
        <v>1.5590277777777778E-2</v>
      </c>
      <c r="P1570" s="5"/>
      <c r="Q1570" s="5">
        <v>3.6342592592592594E-3</v>
      </c>
      <c r="R1570" s="5"/>
      <c r="S1570" s="5">
        <v>1.3125E-2</v>
      </c>
      <c r="T1570" s="5">
        <v>3.3564814814814812E-4</v>
      </c>
      <c r="U1570" s="5">
        <v>1.9675925925925926E-4</v>
      </c>
      <c r="V1570" s="5"/>
      <c r="W1570" s="5"/>
    </row>
    <row r="1571" spans="1:23" x14ac:dyDescent="0.25">
      <c r="A1571" s="2">
        <v>46253</v>
      </c>
      <c r="B1571" s="3" t="s">
        <v>616</v>
      </c>
      <c r="C1571" s="3" t="s">
        <v>637</v>
      </c>
      <c r="D1571" s="3" t="s">
        <v>601</v>
      </c>
      <c r="E1571" s="3" t="s">
        <v>31</v>
      </c>
      <c r="F1571" s="3" t="s">
        <v>105</v>
      </c>
      <c r="G1571" s="4" t="s">
        <v>33</v>
      </c>
      <c r="H1571" s="4">
        <v>9</v>
      </c>
      <c r="I1571" s="5">
        <v>0.18019675925925926</v>
      </c>
      <c r="J1571" s="5">
        <v>7.1296296296296302E-2</v>
      </c>
      <c r="K1571" s="5">
        <f t="shared" si="48"/>
        <v>7.9218106995884788E-3</v>
      </c>
      <c r="L1571" s="5">
        <v>0.10601851851851851</v>
      </c>
      <c r="M1571" s="6">
        <f t="shared" si="49"/>
        <v>0.58834864153124788</v>
      </c>
      <c r="N1571" s="5">
        <v>4.31712962962963E-3</v>
      </c>
      <c r="O1571" s="5">
        <v>1.4861111111111111E-2</v>
      </c>
      <c r="P1571" s="5"/>
      <c r="Q1571" s="5"/>
      <c r="R1571" s="5"/>
      <c r="S1571" s="5">
        <v>1.4166666666666666E-2</v>
      </c>
      <c r="T1571" s="5">
        <v>2.2800925925925927E-3</v>
      </c>
      <c r="U1571" s="5">
        <v>7.0358796296296294E-2</v>
      </c>
      <c r="V1571" s="5"/>
      <c r="W1571" s="5">
        <v>2.3148148148148147E-5</v>
      </c>
    </row>
    <row r="1572" spans="1:23" x14ac:dyDescent="0.25">
      <c r="A1572" s="2">
        <v>46253</v>
      </c>
      <c r="B1572" s="3" t="s">
        <v>209</v>
      </c>
      <c r="C1572" s="3" t="s">
        <v>567</v>
      </c>
      <c r="D1572" s="3" t="s">
        <v>601</v>
      </c>
      <c r="E1572" s="3" t="s">
        <v>31</v>
      </c>
      <c r="F1572" s="3" t="s">
        <v>105</v>
      </c>
      <c r="G1572" s="4" t="s">
        <v>33</v>
      </c>
      <c r="H1572" s="4">
        <v>12</v>
      </c>
      <c r="I1572" s="5">
        <v>0.24523148148148149</v>
      </c>
      <c r="J1572" s="5">
        <v>0.1330787037037037</v>
      </c>
      <c r="K1572" s="5">
        <f t="shared" si="48"/>
        <v>1.1089891975308642E-2</v>
      </c>
      <c r="L1572" s="5">
        <v>0.1401388888888889</v>
      </c>
      <c r="M1572" s="6">
        <f t="shared" si="49"/>
        <v>0.57145554087219186</v>
      </c>
      <c r="N1572" s="5">
        <v>4.1898148148148146E-3</v>
      </c>
      <c r="O1572" s="5">
        <v>1.3877314814814815E-2</v>
      </c>
      <c r="P1572" s="5"/>
      <c r="Q1572" s="5"/>
      <c r="R1572" s="5"/>
      <c r="S1572" s="5">
        <v>1.3391203703703704E-2</v>
      </c>
      <c r="T1572" s="5">
        <v>1.5324074074074073E-2</v>
      </c>
      <c r="U1572" s="5">
        <v>9.3356481481481485E-2</v>
      </c>
      <c r="V1572" s="5"/>
      <c r="W1572" s="5"/>
    </row>
    <row r="1573" spans="1:23" x14ac:dyDescent="0.25">
      <c r="A1573" s="2">
        <v>46253</v>
      </c>
      <c r="B1573" s="3" t="s">
        <v>60</v>
      </c>
      <c r="C1573" s="3" t="s">
        <v>510</v>
      </c>
      <c r="D1573" s="3" t="s">
        <v>100</v>
      </c>
      <c r="E1573" s="3" t="s">
        <v>31</v>
      </c>
      <c r="F1573" s="3" t="s">
        <v>32</v>
      </c>
      <c r="G1573" s="4" t="s">
        <v>33</v>
      </c>
      <c r="H1573" s="4">
        <v>48</v>
      </c>
      <c r="I1573" s="5">
        <v>0.33231481481481484</v>
      </c>
      <c r="J1573" s="5">
        <v>0.17064814814814816</v>
      </c>
      <c r="K1573" s="5">
        <f t="shared" si="48"/>
        <v>3.55516975308642E-3</v>
      </c>
      <c r="L1573" s="5">
        <v>3.4861111111111114E-2</v>
      </c>
      <c r="M1573" s="6">
        <f t="shared" si="49"/>
        <v>0.10490387294511005</v>
      </c>
      <c r="N1573" s="5">
        <v>3.0092592592592593E-3</v>
      </c>
      <c r="O1573" s="5">
        <v>1.4178240740740741E-2</v>
      </c>
      <c r="P1573" s="5"/>
      <c r="Q1573" s="5"/>
      <c r="R1573" s="5">
        <v>1.9675925925925926E-4</v>
      </c>
      <c r="S1573" s="5">
        <v>1.4525462962962962E-2</v>
      </c>
      <c r="T1573" s="5">
        <v>2.8935185185185184E-4</v>
      </c>
      <c r="U1573" s="5">
        <v>2.5810185185185185E-3</v>
      </c>
      <c r="V1573" s="5"/>
      <c r="W1573" s="5"/>
    </row>
    <row r="1574" spans="1:23" x14ac:dyDescent="0.25">
      <c r="A1574" s="2">
        <v>46253</v>
      </c>
      <c r="B1574" s="3" t="s">
        <v>132</v>
      </c>
      <c r="C1574" s="3" t="s">
        <v>512</v>
      </c>
      <c r="D1574" s="3" t="s">
        <v>104</v>
      </c>
      <c r="E1574" s="3" t="s">
        <v>31</v>
      </c>
      <c r="F1574" s="3" t="s">
        <v>105</v>
      </c>
      <c r="G1574" s="4" t="s">
        <v>106</v>
      </c>
      <c r="H1574" s="4">
        <v>12</v>
      </c>
      <c r="I1574" s="5">
        <v>0.2542476851851852</v>
      </c>
      <c r="J1574" s="5">
        <v>9.4375000000000001E-2</v>
      </c>
      <c r="K1574" s="5">
        <f t="shared" si="48"/>
        <v>7.8645833333333328E-3</v>
      </c>
      <c r="L1574" s="5">
        <v>0.11395833333333333</v>
      </c>
      <c r="M1574" s="6">
        <f t="shared" si="49"/>
        <v>0.4482177812172804</v>
      </c>
      <c r="N1574" s="5">
        <v>1.8240740740740741E-2</v>
      </c>
      <c r="O1574" s="5">
        <v>1.5833333333333335E-2</v>
      </c>
      <c r="P1574" s="5"/>
      <c r="Q1574" s="5">
        <v>4.5486111111111109E-3</v>
      </c>
      <c r="R1574" s="5"/>
      <c r="S1574" s="5">
        <v>1.3993055555555555E-2</v>
      </c>
      <c r="T1574" s="5">
        <v>7.7546296296296293E-4</v>
      </c>
      <c r="U1574" s="5">
        <v>1.5162037037037036E-3</v>
      </c>
      <c r="V1574" s="5"/>
      <c r="W1574" s="5">
        <v>5.9016203703703703E-2</v>
      </c>
    </row>
    <row r="1575" spans="1:23" x14ac:dyDescent="0.25">
      <c r="A1575" s="2">
        <v>46253</v>
      </c>
      <c r="B1575" s="3" t="s">
        <v>134</v>
      </c>
      <c r="C1575" s="3" t="s">
        <v>560</v>
      </c>
      <c r="D1575" s="3" t="s">
        <v>104</v>
      </c>
      <c r="E1575" s="3" t="s">
        <v>31</v>
      </c>
      <c r="F1575" s="3" t="s">
        <v>105</v>
      </c>
      <c r="G1575" s="4" t="s">
        <v>106</v>
      </c>
      <c r="H1575" s="4">
        <v>7</v>
      </c>
      <c r="I1575" s="5">
        <v>0.15552083333333333</v>
      </c>
      <c r="J1575" s="5">
        <v>3.8541666666666669E-2</v>
      </c>
      <c r="K1575" s="5">
        <f t="shared" si="48"/>
        <v>5.5059523809523813E-3</v>
      </c>
      <c r="L1575" s="5">
        <v>5.4120370370370367E-2</v>
      </c>
      <c r="M1575" s="6">
        <f t="shared" si="49"/>
        <v>0.34799434397558976</v>
      </c>
      <c r="N1575" s="5"/>
      <c r="O1575" s="5">
        <v>5.9259259259259256E-3</v>
      </c>
      <c r="P1575" s="5"/>
      <c r="Q1575" s="5">
        <v>9.7453703703703695E-3</v>
      </c>
      <c r="R1575" s="5"/>
      <c r="S1575" s="5">
        <v>1.3541666666666667E-2</v>
      </c>
      <c r="T1575" s="5">
        <v>4.8032407407407407E-3</v>
      </c>
      <c r="U1575" s="5">
        <v>5.7870370370370367E-4</v>
      </c>
      <c r="V1575" s="5"/>
      <c r="W1575" s="5">
        <v>1.9525462962962963E-2</v>
      </c>
    </row>
    <row r="1576" spans="1:23" x14ac:dyDescent="0.25">
      <c r="A1576" s="2">
        <v>46253</v>
      </c>
      <c r="B1576" s="3" t="s">
        <v>211</v>
      </c>
      <c r="C1576" s="3" t="s">
        <v>546</v>
      </c>
      <c r="D1576" s="3" t="s">
        <v>104</v>
      </c>
      <c r="E1576" s="3" t="s">
        <v>31</v>
      </c>
      <c r="F1576" s="3" t="s">
        <v>105</v>
      </c>
      <c r="G1576" s="4" t="s">
        <v>106</v>
      </c>
      <c r="H1576" s="4">
        <v>3</v>
      </c>
      <c r="I1576" s="5">
        <v>0.18202546296296296</v>
      </c>
      <c r="J1576" s="5">
        <v>9.0011574074074077E-2</v>
      </c>
      <c r="K1576" s="5">
        <f t="shared" si="48"/>
        <v>3.0003858024691358E-2</v>
      </c>
      <c r="L1576" s="5">
        <v>0.12922453703703704</v>
      </c>
      <c r="M1576" s="6">
        <f t="shared" si="49"/>
        <v>0.70992560564634077</v>
      </c>
      <c r="N1576" s="5">
        <v>7.3611111111111108E-3</v>
      </c>
      <c r="O1576" s="5">
        <v>2.1805555555555557E-2</v>
      </c>
      <c r="P1576" s="5"/>
      <c r="Q1576" s="5"/>
      <c r="R1576" s="5"/>
      <c r="S1576" s="5">
        <v>1.4999999999999999E-2</v>
      </c>
      <c r="T1576" s="5">
        <v>3.3564814814814812E-4</v>
      </c>
      <c r="U1576" s="5">
        <v>3.9351851851851852E-4</v>
      </c>
      <c r="V1576" s="5"/>
      <c r="W1576" s="5">
        <v>8.4328703703703697E-2</v>
      </c>
    </row>
    <row r="1577" spans="1:23" x14ac:dyDescent="0.25">
      <c r="A1577" s="2">
        <v>46253</v>
      </c>
      <c r="B1577" s="3" t="s">
        <v>617</v>
      </c>
      <c r="C1577" s="3" t="s">
        <v>638</v>
      </c>
      <c r="D1577" s="3" t="s">
        <v>601</v>
      </c>
      <c r="E1577" s="3" t="s">
        <v>31</v>
      </c>
      <c r="F1577" s="3" t="s">
        <v>105</v>
      </c>
      <c r="G1577" s="4" t="s">
        <v>33</v>
      </c>
      <c r="H1577" s="4">
        <v>13</v>
      </c>
      <c r="I1577" s="5">
        <v>0.22498842592592594</v>
      </c>
      <c r="J1577" s="5">
        <v>9.7881944444444438E-2</v>
      </c>
      <c r="K1577" s="5">
        <f t="shared" si="48"/>
        <v>7.5293803418803413E-3</v>
      </c>
      <c r="L1577" s="5">
        <v>0.11540509259259259</v>
      </c>
      <c r="M1577" s="6">
        <f t="shared" si="49"/>
        <v>0.51293790832861763</v>
      </c>
      <c r="N1577" s="5">
        <v>1.5023148148148148E-2</v>
      </c>
      <c r="O1577" s="5">
        <v>1.5914351851851853E-2</v>
      </c>
      <c r="P1577" s="5"/>
      <c r="Q1577" s="5">
        <v>1.8287037037037037E-3</v>
      </c>
      <c r="R1577" s="5"/>
      <c r="S1577" s="5">
        <v>1.4583333333333334E-2</v>
      </c>
      <c r="T1577" s="5">
        <v>4.1550925925925922E-3</v>
      </c>
      <c r="U1577" s="5">
        <v>6.3900462962962964E-2</v>
      </c>
      <c r="V1577" s="5"/>
      <c r="W1577" s="5"/>
    </row>
    <row r="1578" spans="1:23" x14ac:dyDescent="0.25">
      <c r="A1578" s="2">
        <v>46253</v>
      </c>
      <c r="B1578" s="3" t="s">
        <v>136</v>
      </c>
      <c r="C1578" s="3" t="s">
        <v>561</v>
      </c>
      <c r="D1578" s="3" t="s">
        <v>104</v>
      </c>
      <c r="E1578" s="3" t="s">
        <v>31</v>
      </c>
      <c r="F1578" s="3" t="s">
        <v>105</v>
      </c>
      <c r="G1578" s="4" t="s">
        <v>106</v>
      </c>
      <c r="H1578" s="4">
        <v>11</v>
      </c>
      <c r="I1578" s="5">
        <v>0.25858796296296294</v>
      </c>
      <c r="J1578" s="5">
        <v>7.18287037037037E-2</v>
      </c>
      <c r="K1578" s="5">
        <f t="shared" si="48"/>
        <v>6.5298821548821547E-3</v>
      </c>
      <c r="L1578" s="5">
        <v>0.18502314814814816</v>
      </c>
      <c r="M1578" s="6">
        <f t="shared" si="49"/>
        <v>0.71551338286635047</v>
      </c>
      <c r="N1578" s="5">
        <v>3.1666666666666669E-2</v>
      </c>
      <c r="O1578" s="5">
        <v>1.6157407407407409E-2</v>
      </c>
      <c r="P1578" s="5"/>
      <c r="Q1578" s="5"/>
      <c r="R1578" s="5"/>
      <c r="S1578" s="5">
        <v>1.4965277777777777E-2</v>
      </c>
      <c r="T1578" s="5">
        <v>1.25E-3</v>
      </c>
      <c r="U1578" s="5">
        <v>1.3078703703703703E-3</v>
      </c>
      <c r="V1578" s="5"/>
      <c r="W1578" s="5">
        <v>0.11966435185185186</v>
      </c>
    </row>
    <row r="1579" spans="1:23" x14ac:dyDescent="0.25">
      <c r="A1579" s="2">
        <v>46253</v>
      </c>
      <c r="B1579" s="3" t="s">
        <v>618</v>
      </c>
      <c r="C1579" s="3" t="s">
        <v>639</v>
      </c>
      <c r="D1579" s="3" t="s">
        <v>601</v>
      </c>
      <c r="E1579" s="3" t="s">
        <v>31</v>
      </c>
      <c r="F1579" s="3" t="s">
        <v>105</v>
      </c>
      <c r="G1579" s="4" t="s">
        <v>33</v>
      </c>
      <c r="H1579" s="4">
        <v>14</v>
      </c>
      <c r="I1579" s="5">
        <v>0.23927083333333332</v>
      </c>
      <c r="J1579" s="5">
        <v>0.11814814814814815</v>
      </c>
      <c r="K1579" s="5">
        <f t="shared" si="48"/>
        <v>8.4391534391534389E-3</v>
      </c>
      <c r="L1579" s="5">
        <v>9.2175925925925925E-2</v>
      </c>
      <c r="M1579" s="6">
        <f t="shared" si="49"/>
        <v>0.38523678227639918</v>
      </c>
      <c r="N1579" s="5">
        <v>7.8125E-3</v>
      </c>
      <c r="O1579" s="5">
        <v>1.5543981481481482E-2</v>
      </c>
      <c r="P1579" s="5"/>
      <c r="Q1579" s="5"/>
      <c r="R1579" s="5"/>
      <c r="S1579" s="5">
        <v>1.4409722222222223E-2</v>
      </c>
      <c r="T1579" s="5">
        <v>2.1296296296296298E-3</v>
      </c>
      <c r="U1579" s="5">
        <v>5.2280092592592593E-2</v>
      </c>
      <c r="V1579" s="5"/>
      <c r="W1579" s="5"/>
    </row>
    <row r="1580" spans="1:23" x14ac:dyDescent="0.25">
      <c r="A1580" s="2">
        <v>46253</v>
      </c>
      <c r="B1580" s="3" t="s">
        <v>501</v>
      </c>
      <c r="C1580" s="3" t="s">
        <v>524</v>
      </c>
      <c r="D1580" s="3" t="s">
        <v>274</v>
      </c>
      <c r="E1580" s="3" t="s">
        <v>79</v>
      </c>
      <c r="F1580" s="3" t="s">
        <v>147</v>
      </c>
      <c r="G1580" s="4" t="s">
        <v>33</v>
      </c>
      <c r="H1580" s="4">
        <v>17</v>
      </c>
      <c r="I1580" s="5">
        <v>0.26416666666666666</v>
      </c>
      <c r="J1580" s="5">
        <v>7.0532407407407405E-2</v>
      </c>
      <c r="K1580" s="5">
        <f t="shared" si="48"/>
        <v>4.1489651416122004E-3</v>
      </c>
      <c r="L1580" s="5">
        <v>3.6377314814814814E-2</v>
      </c>
      <c r="M1580" s="6">
        <f t="shared" si="49"/>
        <v>0.13770592358920433</v>
      </c>
      <c r="N1580" s="5">
        <v>5.0810185185185186E-3</v>
      </c>
      <c r="O1580" s="5">
        <v>1.6030092592592592E-2</v>
      </c>
      <c r="P1580" s="5"/>
      <c r="Q1580" s="5">
        <v>1.0300925925925926E-3</v>
      </c>
      <c r="R1580" s="5"/>
      <c r="S1580" s="5">
        <v>1.4097222222222223E-2</v>
      </c>
      <c r="T1580" s="5">
        <v>6.9444444444444444E-5</v>
      </c>
      <c r="U1580" s="5">
        <v>5.7870370370370373E-5</v>
      </c>
      <c r="V1580" s="5"/>
      <c r="W1580" s="5"/>
    </row>
    <row r="1581" spans="1:23" x14ac:dyDescent="0.25">
      <c r="A1581" s="2">
        <v>46253</v>
      </c>
      <c r="B1581" s="3" t="s">
        <v>213</v>
      </c>
      <c r="C1581" s="3" t="s">
        <v>572</v>
      </c>
      <c r="D1581" s="3" t="s">
        <v>601</v>
      </c>
      <c r="E1581" s="3" t="s">
        <v>31</v>
      </c>
      <c r="F1581" s="3" t="s">
        <v>105</v>
      </c>
      <c r="G1581" s="4" t="s">
        <v>33</v>
      </c>
      <c r="H1581" s="4">
        <v>6</v>
      </c>
      <c r="I1581" s="5">
        <v>0.23623842592592592</v>
      </c>
      <c r="J1581" s="5">
        <v>0.16121527777777778</v>
      </c>
      <c r="K1581" s="5">
        <f t="shared" si="48"/>
        <v>2.6869212962962963E-2</v>
      </c>
      <c r="L1581" s="5">
        <v>0.17280092592592591</v>
      </c>
      <c r="M1581" s="6">
        <f t="shared" si="49"/>
        <v>0.7314683259026995</v>
      </c>
      <c r="N1581" s="5">
        <v>1.6180555555555556E-2</v>
      </c>
      <c r="O1581" s="5">
        <v>1.5243055555555555E-2</v>
      </c>
      <c r="P1581" s="5"/>
      <c r="Q1581" s="5"/>
      <c r="R1581" s="5"/>
      <c r="S1581" s="5"/>
      <c r="T1581" s="5">
        <v>9.6064814814814815E-3</v>
      </c>
      <c r="U1581" s="5">
        <v>0.13177083333333334</v>
      </c>
      <c r="V1581" s="5"/>
      <c r="W1581" s="5"/>
    </row>
    <row r="1582" spans="1:23" x14ac:dyDescent="0.25">
      <c r="A1582" s="2">
        <v>46253</v>
      </c>
      <c r="B1582" s="3" t="s">
        <v>668</v>
      </c>
      <c r="C1582" s="3" t="s">
        <v>669</v>
      </c>
      <c r="D1582" s="3" t="s">
        <v>233</v>
      </c>
      <c r="E1582" s="3" t="s">
        <v>31</v>
      </c>
      <c r="F1582" s="3" t="s">
        <v>32</v>
      </c>
      <c r="G1582" s="4" t="s">
        <v>106</v>
      </c>
      <c r="H1582" s="4">
        <v>39</v>
      </c>
      <c r="I1582" s="5">
        <v>0.25267361111111108</v>
      </c>
      <c r="J1582" s="5">
        <v>0.13195601851851851</v>
      </c>
      <c r="K1582" s="5">
        <f t="shared" si="48"/>
        <v>3.3834876543209877E-3</v>
      </c>
      <c r="L1582" s="5">
        <v>5.9930555555555556E-2</v>
      </c>
      <c r="M1582" s="6">
        <f t="shared" si="49"/>
        <v>0.23718565342861073</v>
      </c>
      <c r="N1582" s="5">
        <v>3.9004629629629628E-3</v>
      </c>
      <c r="O1582" s="5">
        <v>1.6284722222222221E-2</v>
      </c>
      <c r="P1582" s="5"/>
      <c r="Q1582" s="5"/>
      <c r="R1582" s="5"/>
      <c r="S1582" s="5">
        <v>1.4143518518518519E-2</v>
      </c>
      <c r="T1582" s="5">
        <v>1.238425925925926E-2</v>
      </c>
      <c r="U1582" s="5">
        <v>1.2986111111111111E-2</v>
      </c>
      <c r="V1582" s="5"/>
      <c r="W1582" s="5">
        <v>2.0833333333333335E-4</v>
      </c>
    </row>
    <row r="1583" spans="1:23" x14ac:dyDescent="0.25">
      <c r="A1583" s="2">
        <v>46253</v>
      </c>
      <c r="B1583" s="3" t="s">
        <v>744</v>
      </c>
      <c r="C1583" s="3" t="s">
        <v>670</v>
      </c>
      <c r="D1583" s="3" t="s">
        <v>100</v>
      </c>
      <c r="E1583" s="3" t="s">
        <v>31</v>
      </c>
      <c r="F1583" s="3" t="s">
        <v>32</v>
      </c>
      <c r="G1583" s="4" t="s">
        <v>33</v>
      </c>
      <c r="H1583" s="4">
        <v>28</v>
      </c>
      <c r="I1583" s="5">
        <v>0.25528935185185186</v>
      </c>
      <c r="J1583" s="5">
        <v>0.10797453703703704</v>
      </c>
      <c r="K1583" s="5">
        <f t="shared" si="48"/>
        <v>3.8562334656084656E-3</v>
      </c>
      <c r="L1583" s="5">
        <v>5.9027777777777776E-2</v>
      </c>
      <c r="M1583" s="6">
        <f t="shared" si="49"/>
        <v>0.23121911411343335</v>
      </c>
      <c r="N1583" s="5">
        <v>2.732638888888889E-2</v>
      </c>
      <c r="O1583" s="5">
        <v>1.4317129629629629E-2</v>
      </c>
      <c r="P1583" s="5"/>
      <c r="Q1583" s="5"/>
      <c r="R1583" s="5"/>
      <c r="S1583" s="5">
        <v>1.3935185185185186E-2</v>
      </c>
      <c r="T1583" s="5">
        <v>1.7361111111111112E-4</v>
      </c>
      <c r="U1583" s="5">
        <v>3.2060185185185186E-3</v>
      </c>
      <c r="V1583" s="5"/>
      <c r="W1583" s="5"/>
    </row>
    <row r="1584" spans="1:23" x14ac:dyDescent="0.25">
      <c r="A1584" s="2">
        <v>46253</v>
      </c>
      <c r="B1584" s="3" t="s">
        <v>219</v>
      </c>
      <c r="C1584" s="3" t="s">
        <v>548</v>
      </c>
      <c r="D1584" s="3" t="s">
        <v>104</v>
      </c>
      <c r="E1584" s="3" t="s">
        <v>31</v>
      </c>
      <c r="F1584" s="3" t="s">
        <v>105</v>
      </c>
      <c r="G1584" s="4" t="s">
        <v>106</v>
      </c>
      <c r="H1584" s="4">
        <v>4</v>
      </c>
      <c r="I1584" s="5">
        <v>0.22462962962962962</v>
      </c>
      <c r="J1584" s="5">
        <v>5.2962962962962962E-2</v>
      </c>
      <c r="K1584" s="5">
        <f t="shared" si="48"/>
        <v>1.324074074074074E-2</v>
      </c>
      <c r="L1584" s="5">
        <v>0.19626157407407407</v>
      </c>
      <c r="M1584" s="6">
        <f t="shared" si="49"/>
        <v>0.87371187139323991</v>
      </c>
      <c r="N1584" s="5"/>
      <c r="O1584" s="5">
        <v>2.0405092592592593E-2</v>
      </c>
      <c r="P1584" s="5">
        <v>1.6099537037037037E-2</v>
      </c>
      <c r="Q1584" s="5"/>
      <c r="R1584" s="5"/>
      <c r="S1584" s="5">
        <v>1.3958333333333333E-2</v>
      </c>
      <c r="T1584" s="5">
        <v>1.1168981481481481E-2</v>
      </c>
      <c r="U1584" s="5">
        <v>1.2962962962962963E-2</v>
      </c>
      <c r="V1584" s="5"/>
      <c r="W1584" s="5">
        <v>0.12166666666666667</v>
      </c>
    </row>
    <row r="1585" spans="1:23" x14ac:dyDescent="0.25">
      <c r="A1585" s="2">
        <v>46253</v>
      </c>
      <c r="B1585" s="3" t="s">
        <v>305</v>
      </c>
      <c r="C1585" s="3" t="s">
        <v>306</v>
      </c>
      <c r="D1585" s="3" t="s">
        <v>100</v>
      </c>
      <c r="E1585" s="3" t="s">
        <v>31</v>
      </c>
      <c r="F1585" s="3" t="s">
        <v>32</v>
      </c>
      <c r="G1585" s="4" t="s">
        <v>33</v>
      </c>
      <c r="H1585" s="4">
        <v>45</v>
      </c>
      <c r="I1585" s="5">
        <v>0.26153935185185184</v>
      </c>
      <c r="J1585" s="5">
        <v>0.1097337962962963</v>
      </c>
      <c r="K1585" s="5">
        <f t="shared" si="48"/>
        <v>2.4385288065843624E-3</v>
      </c>
      <c r="L1585" s="5">
        <v>4.3969907407407409E-2</v>
      </c>
      <c r="M1585" s="6">
        <f t="shared" si="49"/>
        <v>0.1681196619020224</v>
      </c>
      <c r="N1585" s="5">
        <v>1.3287037037037036E-2</v>
      </c>
      <c r="O1585" s="5">
        <v>1.4965277777777777E-2</v>
      </c>
      <c r="P1585" s="5"/>
      <c r="Q1585" s="5"/>
      <c r="R1585" s="5"/>
      <c r="S1585" s="5">
        <v>1.5208333333333334E-2</v>
      </c>
      <c r="T1585" s="5">
        <v>2.0833333333333335E-4</v>
      </c>
      <c r="U1585" s="5"/>
      <c r="V1585" s="5"/>
      <c r="W1585" s="5">
        <v>3.0092592592592595E-4</v>
      </c>
    </row>
    <row r="1586" spans="1:23" x14ac:dyDescent="0.25">
      <c r="A1586" s="2">
        <v>46253</v>
      </c>
      <c r="B1586" s="3" t="s">
        <v>620</v>
      </c>
      <c r="C1586" s="3" t="s">
        <v>641</v>
      </c>
      <c r="D1586" s="3" t="s">
        <v>601</v>
      </c>
      <c r="E1586" s="3" t="s">
        <v>31</v>
      </c>
      <c r="F1586" s="3" t="s">
        <v>105</v>
      </c>
      <c r="G1586" s="4" t="s">
        <v>33</v>
      </c>
      <c r="H1586" s="4">
        <v>7</v>
      </c>
      <c r="I1586" s="5">
        <v>0.24355324074074075</v>
      </c>
      <c r="J1586" s="5">
        <v>0.1723611111111111</v>
      </c>
      <c r="K1586" s="5">
        <f t="shared" si="48"/>
        <v>2.4623015873015873E-2</v>
      </c>
      <c r="L1586" s="5">
        <v>0.18274305555555556</v>
      </c>
      <c r="M1586" s="6">
        <f t="shared" si="49"/>
        <v>0.75032077175307699</v>
      </c>
      <c r="N1586" s="5">
        <v>1.0902777777777779E-2</v>
      </c>
      <c r="O1586" s="5">
        <v>1.4421296296296297E-2</v>
      </c>
      <c r="P1586" s="5"/>
      <c r="Q1586" s="5"/>
      <c r="R1586" s="5"/>
      <c r="S1586" s="5">
        <v>1.0752314814814815E-2</v>
      </c>
      <c r="T1586" s="5">
        <v>1.0034722222222223E-2</v>
      </c>
      <c r="U1586" s="5">
        <v>0.13663194444444443</v>
      </c>
      <c r="V1586" s="5"/>
      <c r="W1586" s="5"/>
    </row>
    <row r="1587" spans="1:23" x14ac:dyDescent="0.25">
      <c r="A1587" s="2">
        <v>46253</v>
      </c>
      <c r="B1587" s="3" t="s">
        <v>138</v>
      </c>
      <c r="C1587" s="3" t="s">
        <v>556</v>
      </c>
      <c r="D1587" s="3" t="s">
        <v>104</v>
      </c>
      <c r="E1587" s="3" t="s">
        <v>31</v>
      </c>
      <c r="F1587" s="3" t="s">
        <v>105</v>
      </c>
      <c r="G1587" s="4" t="s">
        <v>106</v>
      </c>
      <c r="H1587" s="4">
        <v>15</v>
      </c>
      <c r="I1587" s="5">
        <v>0.24621527777777777</v>
      </c>
      <c r="J1587" s="5">
        <v>0.11665509259259259</v>
      </c>
      <c r="K1587" s="5">
        <f t="shared" si="48"/>
        <v>7.7770061728395061E-3</v>
      </c>
      <c r="L1587" s="5">
        <v>0.10739583333333333</v>
      </c>
      <c r="M1587" s="6">
        <f t="shared" si="49"/>
        <v>0.43618671555492877</v>
      </c>
      <c r="N1587" s="5">
        <v>1.2465277777777778E-2</v>
      </c>
      <c r="O1587" s="5">
        <v>1.6921296296296295E-2</v>
      </c>
      <c r="P1587" s="5"/>
      <c r="Q1587" s="5">
        <v>4.8842592592592592E-3</v>
      </c>
      <c r="R1587" s="5"/>
      <c r="S1587" s="5">
        <v>1.5497685185185186E-2</v>
      </c>
      <c r="T1587" s="5">
        <v>4.3518518518518515E-3</v>
      </c>
      <c r="U1587" s="5">
        <v>2.638888888888889E-3</v>
      </c>
      <c r="V1587" s="5"/>
      <c r="W1587" s="5">
        <v>5.0578703703703702E-2</v>
      </c>
    </row>
    <row r="1588" spans="1:23" x14ac:dyDescent="0.25">
      <c r="A1588" s="2">
        <v>46253</v>
      </c>
      <c r="B1588" s="3" t="s">
        <v>276</v>
      </c>
      <c r="C1588" s="3" t="s">
        <v>532</v>
      </c>
      <c r="D1588" s="3" t="s">
        <v>233</v>
      </c>
      <c r="E1588" s="3" t="s">
        <v>31</v>
      </c>
      <c r="F1588" s="3" t="s">
        <v>32</v>
      </c>
      <c r="G1588" s="4" t="s">
        <v>106</v>
      </c>
      <c r="H1588" s="4">
        <v>50</v>
      </c>
      <c r="I1588" s="5">
        <v>0.30656250000000002</v>
      </c>
      <c r="J1588" s="5">
        <v>0.14245370370370369</v>
      </c>
      <c r="K1588" s="5">
        <f t="shared" si="48"/>
        <v>2.8490740740740737E-3</v>
      </c>
      <c r="L1588" s="5">
        <v>6.9814814814814816E-2</v>
      </c>
      <c r="M1588" s="6">
        <f t="shared" si="49"/>
        <v>0.22773436025219918</v>
      </c>
      <c r="N1588" s="5">
        <v>1.894675925925926E-2</v>
      </c>
      <c r="O1588" s="5">
        <v>9.3518518518518525E-3</v>
      </c>
      <c r="P1588" s="5"/>
      <c r="Q1588" s="5">
        <v>5.4513888888888893E-3</v>
      </c>
      <c r="R1588" s="5"/>
      <c r="S1588" s="5">
        <v>1.4097222222222223E-2</v>
      </c>
      <c r="T1588" s="5">
        <v>1.7858796296296296E-2</v>
      </c>
      <c r="U1588" s="5">
        <v>4.0740740740740737E-3</v>
      </c>
      <c r="V1588" s="5"/>
      <c r="W1588" s="5"/>
    </row>
    <row r="1589" spans="1:23" x14ac:dyDescent="0.25">
      <c r="A1589" s="2">
        <v>46253</v>
      </c>
      <c r="B1589" s="3" t="s">
        <v>278</v>
      </c>
      <c r="C1589" s="3" t="s">
        <v>533</v>
      </c>
      <c r="D1589" s="3" t="s">
        <v>233</v>
      </c>
      <c r="E1589" s="3" t="s">
        <v>31</v>
      </c>
      <c r="F1589" s="3" t="s">
        <v>32</v>
      </c>
      <c r="G1589" s="4" t="s">
        <v>106</v>
      </c>
      <c r="H1589" s="4">
        <v>25</v>
      </c>
      <c r="I1589" s="5">
        <v>0.26606481481481481</v>
      </c>
      <c r="J1589" s="5">
        <v>0.14674768518518519</v>
      </c>
      <c r="K1589" s="5">
        <f t="shared" si="48"/>
        <v>5.8699074074074079E-3</v>
      </c>
      <c r="L1589" s="5">
        <v>4.2638888888888886E-2</v>
      </c>
      <c r="M1589" s="6">
        <f t="shared" si="49"/>
        <v>0.16025752566556464</v>
      </c>
      <c r="N1589" s="5">
        <v>5.3009259259259259E-3</v>
      </c>
      <c r="O1589" s="5">
        <v>1.4328703703703703E-2</v>
      </c>
      <c r="P1589" s="5"/>
      <c r="Q1589" s="5">
        <v>7.2106481481481483E-3</v>
      </c>
      <c r="R1589" s="5"/>
      <c r="S1589" s="5">
        <v>1.3900462962962963E-2</v>
      </c>
      <c r="T1589" s="5">
        <v>1.3541666666666667E-3</v>
      </c>
      <c r="U1589" s="5">
        <v>5.2083333333333333E-4</v>
      </c>
      <c r="V1589" s="5"/>
      <c r="W1589" s="5"/>
    </row>
    <row r="1590" spans="1:23" x14ac:dyDescent="0.25">
      <c r="A1590" s="2">
        <v>46253</v>
      </c>
      <c r="B1590" s="3" t="s">
        <v>313</v>
      </c>
      <c r="C1590" s="3" t="s">
        <v>511</v>
      </c>
      <c r="D1590" s="3" t="s">
        <v>78</v>
      </c>
      <c r="E1590" s="3" t="s">
        <v>79</v>
      </c>
      <c r="F1590" s="3" t="s">
        <v>80</v>
      </c>
      <c r="G1590" s="4" t="s">
        <v>81</v>
      </c>
      <c r="H1590" s="4">
        <v>1</v>
      </c>
      <c r="I1590" s="5">
        <v>0.2505324074074074</v>
      </c>
      <c r="J1590" s="5">
        <v>1.5740740740740741E-3</v>
      </c>
      <c r="K1590" s="5">
        <f t="shared" si="48"/>
        <v>1.5740740740740741E-3</v>
      </c>
      <c r="L1590" s="5">
        <v>4.6493055555555558E-2</v>
      </c>
      <c r="M1590" s="6">
        <f t="shared" si="49"/>
        <v>0.18557701191906129</v>
      </c>
      <c r="N1590" s="5">
        <v>2.2025462962962962E-2</v>
      </c>
      <c r="O1590" s="5">
        <v>2.435185185185185E-2</v>
      </c>
      <c r="P1590" s="5"/>
      <c r="Q1590" s="5"/>
      <c r="R1590" s="5"/>
      <c r="S1590" s="5"/>
      <c r="T1590" s="5">
        <v>1.1574074074074075E-4</v>
      </c>
      <c r="U1590" s="5"/>
      <c r="V1590" s="5"/>
      <c r="W1590" s="5"/>
    </row>
    <row r="1591" spans="1:23" x14ac:dyDescent="0.25">
      <c r="A1591" s="2">
        <v>46253</v>
      </c>
      <c r="B1591" s="3" t="s">
        <v>673</v>
      </c>
      <c r="C1591" s="3" t="s">
        <v>674</v>
      </c>
      <c r="D1591" s="3" t="s">
        <v>104</v>
      </c>
      <c r="E1591" s="3" t="s">
        <v>31</v>
      </c>
      <c r="F1591" s="3" t="s">
        <v>105</v>
      </c>
      <c r="G1591" s="4" t="s">
        <v>106</v>
      </c>
      <c r="H1591" s="4">
        <v>12</v>
      </c>
      <c r="I1591" s="5">
        <v>0.25526620370370373</v>
      </c>
      <c r="J1591" s="5">
        <v>9.8472222222222225E-2</v>
      </c>
      <c r="K1591" s="5">
        <f t="shared" si="48"/>
        <v>8.2060185185185187E-3</v>
      </c>
      <c r="L1591" s="5">
        <v>0.12863425925925925</v>
      </c>
      <c r="M1591" s="6">
        <f t="shared" si="49"/>
        <v>0.50392201314894569</v>
      </c>
      <c r="N1591" s="5"/>
      <c r="O1591" s="5">
        <v>1.4270833333333333E-2</v>
      </c>
      <c r="P1591" s="5"/>
      <c r="Q1591" s="5">
        <v>5.4629629629629629E-3</v>
      </c>
      <c r="R1591" s="5"/>
      <c r="S1591" s="5">
        <v>1.357638888888889E-2</v>
      </c>
      <c r="T1591" s="5">
        <v>1.2962962962962963E-3</v>
      </c>
      <c r="U1591" s="5">
        <v>6.134259259259259E-4</v>
      </c>
      <c r="V1591" s="5"/>
      <c r="W1591" s="5">
        <v>9.3414351851851846E-2</v>
      </c>
    </row>
    <row r="1592" spans="1:23" x14ac:dyDescent="0.25">
      <c r="A1592" s="2">
        <v>46253</v>
      </c>
      <c r="B1592" s="3" t="s">
        <v>225</v>
      </c>
      <c r="C1592" s="3" t="s">
        <v>549</v>
      </c>
      <c r="D1592" s="3" t="s">
        <v>601</v>
      </c>
      <c r="E1592" s="3" t="s">
        <v>31</v>
      </c>
      <c r="F1592" s="3" t="s">
        <v>105</v>
      </c>
      <c r="G1592" s="4" t="s">
        <v>33</v>
      </c>
      <c r="H1592" s="4">
        <v>7</v>
      </c>
      <c r="I1592" s="5">
        <v>0.23064814814814816</v>
      </c>
      <c r="J1592" s="5">
        <v>0.17462962962962963</v>
      </c>
      <c r="K1592" s="5">
        <f t="shared" si="48"/>
        <v>2.4947089947089947E-2</v>
      </c>
      <c r="L1592" s="5">
        <v>0.15004629629629629</v>
      </c>
      <c r="M1592" s="6">
        <f t="shared" si="49"/>
        <v>0.65054195102368517</v>
      </c>
      <c r="N1592" s="5"/>
      <c r="O1592" s="5">
        <v>7.8009259259259256E-3</v>
      </c>
      <c r="P1592" s="5"/>
      <c r="Q1592" s="5"/>
      <c r="R1592" s="5"/>
      <c r="S1592" s="5">
        <v>1.3263888888888889E-2</v>
      </c>
      <c r="T1592" s="5">
        <v>1.5162037037037036E-3</v>
      </c>
      <c r="U1592" s="5">
        <v>0.12745370370370371</v>
      </c>
      <c r="V1592" s="5"/>
      <c r="W1592" s="5"/>
    </row>
    <row r="1593" spans="1:23" x14ac:dyDescent="0.25">
      <c r="A1593" s="2">
        <v>46253</v>
      </c>
      <c r="B1593" s="3" t="s">
        <v>70</v>
      </c>
      <c r="C1593" s="3" t="s">
        <v>71</v>
      </c>
      <c r="D1593" s="3" t="s">
        <v>78</v>
      </c>
      <c r="E1593" s="3" t="s">
        <v>79</v>
      </c>
      <c r="F1593" s="3" t="s">
        <v>80</v>
      </c>
      <c r="G1593" s="4" t="s">
        <v>33</v>
      </c>
      <c r="H1593" s="4">
        <v>1</v>
      </c>
      <c r="I1593" s="5">
        <v>0.34310185185185182</v>
      </c>
      <c r="J1593" s="5">
        <v>4.6481481481481485E-2</v>
      </c>
      <c r="K1593" s="5">
        <f t="shared" si="48"/>
        <v>4.6481481481481485E-2</v>
      </c>
      <c r="L1593" s="5">
        <v>0.11596064814814815</v>
      </c>
      <c r="M1593" s="6">
        <f t="shared" si="49"/>
        <v>0.3379773309944677</v>
      </c>
      <c r="N1593" s="5">
        <v>1.6203703703703703E-3</v>
      </c>
      <c r="O1593" s="5">
        <v>4.5462962962962962E-2</v>
      </c>
      <c r="P1593" s="5"/>
      <c r="Q1593" s="5">
        <v>4.0219907407407406E-2</v>
      </c>
      <c r="R1593" s="5"/>
      <c r="S1593" s="5">
        <v>1.0092592592592592E-2</v>
      </c>
      <c r="T1593" s="5">
        <v>1.7939814814814815E-2</v>
      </c>
      <c r="U1593" s="5">
        <v>6.018518518518519E-4</v>
      </c>
      <c r="V1593" s="5"/>
      <c r="W1593" s="5"/>
    </row>
    <row r="1594" spans="1:23" x14ac:dyDescent="0.25">
      <c r="A1594" s="2">
        <v>46253</v>
      </c>
      <c r="B1594" s="3" t="s">
        <v>280</v>
      </c>
      <c r="C1594" s="3" t="s">
        <v>534</v>
      </c>
      <c r="D1594" s="3" t="s">
        <v>233</v>
      </c>
      <c r="E1594" s="3" t="s">
        <v>31</v>
      </c>
      <c r="F1594" s="3" t="s">
        <v>32</v>
      </c>
      <c r="G1594" s="4" t="s">
        <v>106</v>
      </c>
      <c r="H1594" s="4">
        <v>5</v>
      </c>
      <c r="I1594" s="5">
        <v>0.1019212962962963</v>
      </c>
      <c r="J1594" s="5">
        <v>2.599537037037037E-2</v>
      </c>
      <c r="K1594" s="5">
        <f t="shared" si="48"/>
        <v>5.1990740740740738E-3</v>
      </c>
      <c r="L1594" s="5">
        <v>4.207175925925926E-2</v>
      </c>
      <c r="M1594" s="6">
        <f t="shared" si="49"/>
        <v>0.4127867363161481</v>
      </c>
      <c r="N1594" s="5">
        <v>1.9907407407407408E-3</v>
      </c>
      <c r="O1594" s="5">
        <v>1.3055555555555556E-2</v>
      </c>
      <c r="P1594" s="5"/>
      <c r="Q1594" s="5">
        <v>2.1678240740740741E-2</v>
      </c>
      <c r="R1594" s="5"/>
      <c r="S1594" s="5"/>
      <c r="T1594" s="5">
        <v>3.3564814814814812E-4</v>
      </c>
      <c r="U1594" s="5"/>
      <c r="V1594" s="5"/>
      <c r="W1594" s="5">
        <v>5.0115740740740737E-3</v>
      </c>
    </row>
    <row r="1595" spans="1:23" x14ac:dyDescent="0.25">
      <c r="A1595" s="2">
        <v>46253</v>
      </c>
      <c r="B1595" s="3" t="s">
        <v>299</v>
      </c>
      <c r="C1595" s="3" t="s">
        <v>571</v>
      </c>
      <c r="D1595" s="3" t="s">
        <v>104</v>
      </c>
      <c r="E1595" s="3" t="s">
        <v>31</v>
      </c>
      <c r="F1595" s="3" t="s">
        <v>105</v>
      </c>
      <c r="G1595" s="4" t="s">
        <v>106</v>
      </c>
      <c r="H1595" s="4">
        <v>6</v>
      </c>
      <c r="I1595" s="5">
        <v>0.25849537037037035</v>
      </c>
      <c r="J1595" s="5">
        <v>9.2835648148148153E-2</v>
      </c>
      <c r="K1595" s="5">
        <f t="shared" si="48"/>
        <v>1.5472608024691359E-2</v>
      </c>
      <c r="L1595" s="5">
        <v>0.15738425925925925</v>
      </c>
      <c r="M1595" s="6">
        <f t="shared" si="49"/>
        <v>0.60884749708963914</v>
      </c>
      <c r="N1595" s="5">
        <v>3.1597222222222222E-3</v>
      </c>
      <c r="O1595" s="5">
        <v>1.3831018518518519E-2</v>
      </c>
      <c r="P1595" s="5"/>
      <c r="Q1595" s="5"/>
      <c r="R1595" s="5"/>
      <c r="S1595" s="5">
        <v>1.3368055555555555E-2</v>
      </c>
      <c r="T1595" s="5">
        <v>1.1689814814814816E-3</v>
      </c>
      <c r="U1595" s="5">
        <v>4.5023148148148149E-3</v>
      </c>
      <c r="V1595" s="5"/>
      <c r="W1595" s="5">
        <v>0.12135416666666667</v>
      </c>
    </row>
    <row r="1596" spans="1:23" x14ac:dyDescent="0.25">
      <c r="A1596" s="2">
        <v>46253</v>
      </c>
      <c r="B1596" s="3" t="s">
        <v>598</v>
      </c>
      <c r="C1596" s="3" t="s">
        <v>598</v>
      </c>
      <c r="D1596" s="3" t="s">
        <v>284</v>
      </c>
      <c r="E1596" s="3"/>
      <c r="F1596" s="3"/>
      <c r="G1596" s="4"/>
      <c r="H1596" s="4">
        <v>1</v>
      </c>
      <c r="I1596" s="5">
        <v>0</v>
      </c>
      <c r="J1596" s="5">
        <v>1.1574074074074073E-5</v>
      </c>
      <c r="K1596" s="5">
        <f t="shared" si="48"/>
        <v>1.1574074074074073E-5</v>
      </c>
      <c r="L1596" s="5">
        <v>0</v>
      </c>
      <c r="M1596" s="6">
        <f t="shared" si="49"/>
        <v>0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25">
      <c r="A1597" s="2">
        <v>46253</v>
      </c>
      <c r="B1597" s="3" t="s">
        <v>227</v>
      </c>
      <c r="C1597" s="3" t="s">
        <v>557</v>
      </c>
      <c r="D1597" s="3" t="s">
        <v>146</v>
      </c>
      <c r="E1597" s="3" t="s">
        <v>79</v>
      </c>
      <c r="F1597" s="3" t="s">
        <v>147</v>
      </c>
      <c r="G1597" s="4" t="s">
        <v>106</v>
      </c>
      <c r="H1597" s="4">
        <v>13</v>
      </c>
      <c r="I1597" s="5">
        <v>0.26535879629629627</v>
      </c>
      <c r="J1597" s="5">
        <v>7.2511574074074076E-2</v>
      </c>
      <c r="K1597" s="5">
        <f t="shared" si="48"/>
        <v>5.5778133903133902E-3</v>
      </c>
      <c r="L1597" s="5">
        <v>4.4340277777777777E-2</v>
      </c>
      <c r="M1597" s="6">
        <f t="shared" si="49"/>
        <v>0.16709556418196886</v>
      </c>
      <c r="N1597" s="5">
        <v>6.2615740740740739E-3</v>
      </c>
      <c r="O1597" s="5">
        <v>1.4050925925925927E-2</v>
      </c>
      <c r="P1597" s="5">
        <v>9.2939814814814812E-3</v>
      </c>
      <c r="Q1597" s="5"/>
      <c r="R1597" s="5"/>
      <c r="S1597" s="5">
        <v>1.4143518518518519E-2</v>
      </c>
      <c r="T1597" s="5">
        <v>1.5046296296296297E-4</v>
      </c>
      <c r="U1597" s="5">
        <v>4.1666666666666669E-4</v>
      </c>
      <c r="V1597" s="5"/>
      <c r="W1597" s="5"/>
    </row>
    <row r="1598" spans="1:23" x14ac:dyDescent="0.25">
      <c r="A1598" s="2">
        <v>46253</v>
      </c>
      <c r="B1598" s="3" t="s">
        <v>282</v>
      </c>
      <c r="C1598" s="3" t="s">
        <v>535</v>
      </c>
      <c r="D1598" s="3" t="s">
        <v>233</v>
      </c>
      <c r="E1598" s="3" t="s">
        <v>31</v>
      </c>
      <c r="F1598" s="3" t="s">
        <v>32</v>
      </c>
      <c r="G1598" s="4" t="s">
        <v>106</v>
      </c>
      <c r="H1598" s="4">
        <v>43</v>
      </c>
      <c r="I1598" s="5">
        <v>0.26181712962962961</v>
      </c>
      <c r="J1598" s="5">
        <v>0.13877314814814815</v>
      </c>
      <c r="K1598" s="5">
        <f t="shared" si="48"/>
        <v>3.2272825150732125E-3</v>
      </c>
      <c r="L1598" s="5">
        <v>4.7129629629629632E-2</v>
      </c>
      <c r="M1598" s="6">
        <f t="shared" si="49"/>
        <v>0.18000972547632732</v>
      </c>
      <c r="N1598" s="5">
        <v>4.1550925925925922E-3</v>
      </c>
      <c r="O1598" s="5">
        <v>1.8206018518518517E-2</v>
      </c>
      <c r="P1598" s="5"/>
      <c r="Q1598" s="5">
        <v>6.3310185185185188E-3</v>
      </c>
      <c r="R1598" s="5"/>
      <c r="S1598" s="5">
        <v>1.800925925925926E-2</v>
      </c>
      <c r="T1598" s="5">
        <v>4.2824074074074075E-4</v>
      </c>
      <c r="U1598" s="5"/>
      <c r="V1598" s="5"/>
      <c r="W1598" s="5"/>
    </row>
    <row r="1599" spans="1:23" x14ac:dyDescent="0.25">
      <c r="A1599" s="2">
        <v>46253</v>
      </c>
      <c r="B1599" s="3" t="s">
        <v>675</v>
      </c>
      <c r="C1599" s="3" t="s">
        <v>676</v>
      </c>
      <c r="D1599" s="3" t="s">
        <v>104</v>
      </c>
      <c r="E1599" s="3" t="s">
        <v>31</v>
      </c>
      <c r="F1599" s="3" t="s">
        <v>105</v>
      </c>
      <c r="G1599" s="4" t="s">
        <v>106</v>
      </c>
      <c r="H1599" s="4">
        <v>13</v>
      </c>
      <c r="I1599" s="5">
        <v>0.25984953703703706</v>
      </c>
      <c r="J1599" s="5">
        <v>0.14560185185185184</v>
      </c>
      <c r="K1599" s="5">
        <f t="shared" si="48"/>
        <v>1.1200142450142449E-2</v>
      </c>
      <c r="L1599" s="5">
        <v>7.9942129629629627E-2</v>
      </c>
      <c r="M1599" s="6">
        <f t="shared" si="49"/>
        <v>0.30764776624649232</v>
      </c>
      <c r="N1599" s="5"/>
      <c r="O1599" s="5">
        <v>1.4375000000000001E-2</v>
      </c>
      <c r="P1599" s="5"/>
      <c r="Q1599" s="5">
        <v>5.3935185185185188E-3</v>
      </c>
      <c r="R1599" s="5"/>
      <c r="S1599" s="5">
        <v>1.4444444444444444E-2</v>
      </c>
      <c r="T1599" s="5">
        <v>1.0243055555555556E-2</v>
      </c>
      <c r="U1599" s="5">
        <v>1.4351851851851852E-3</v>
      </c>
      <c r="V1599" s="5"/>
      <c r="W1599" s="5">
        <v>3.4050925925925929E-2</v>
      </c>
    </row>
    <row r="1600" spans="1:23" x14ac:dyDescent="0.25">
      <c r="A1600" s="2">
        <v>46253</v>
      </c>
      <c r="B1600" s="3" t="s">
        <v>677</v>
      </c>
      <c r="C1600" s="3" t="s">
        <v>678</v>
      </c>
      <c r="D1600" s="3" t="s">
        <v>274</v>
      </c>
      <c r="E1600" s="3" t="s">
        <v>79</v>
      </c>
      <c r="F1600" s="3" t="s">
        <v>147</v>
      </c>
      <c r="G1600" s="4" t="s">
        <v>33</v>
      </c>
      <c r="H1600" s="4">
        <v>22</v>
      </c>
      <c r="I1600" s="5">
        <v>0.26034722222222223</v>
      </c>
      <c r="J1600" s="5">
        <v>4.8483796296296296E-2</v>
      </c>
      <c r="K1600" s="5">
        <f t="shared" si="48"/>
        <v>2.2038089225589227E-3</v>
      </c>
      <c r="L1600" s="5">
        <v>3.6701388888888888E-2</v>
      </c>
      <c r="M1600" s="6">
        <f t="shared" si="49"/>
        <v>0.1409709255801547</v>
      </c>
      <c r="N1600" s="5">
        <v>3.9004629629629628E-3</v>
      </c>
      <c r="O1600" s="5">
        <v>1.5046296296296295E-2</v>
      </c>
      <c r="P1600" s="5"/>
      <c r="Q1600" s="5">
        <v>3.472222222222222E-3</v>
      </c>
      <c r="R1600" s="5"/>
      <c r="S1600" s="5">
        <v>1.4155092592592592E-2</v>
      </c>
      <c r="T1600" s="5">
        <v>6.9444444444444444E-5</v>
      </c>
      <c r="U1600" s="5">
        <v>5.7870370370370373E-5</v>
      </c>
      <c r="V1600" s="5"/>
      <c r="W1600" s="5"/>
    </row>
  </sheetData>
  <mergeCells count="26">
    <mergeCell ref="M16:O16"/>
    <mergeCell ref="P16:R16"/>
    <mergeCell ref="S16:V16"/>
    <mergeCell ref="A17:C17"/>
    <mergeCell ref="D17:F17"/>
    <mergeCell ref="G17:I17"/>
    <mergeCell ref="J17:L17"/>
    <mergeCell ref="M17:O17"/>
    <mergeCell ref="P17:R17"/>
    <mergeCell ref="S17:V17"/>
    <mergeCell ref="P18:V18"/>
    <mergeCell ref="A19:V19"/>
    <mergeCell ref="A1:V2"/>
    <mergeCell ref="A4:V4"/>
    <mergeCell ref="A14:V14"/>
    <mergeCell ref="A15:C15"/>
    <mergeCell ref="D15:F15"/>
    <mergeCell ref="G15:I15"/>
    <mergeCell ref="J15:L15"/>
    <mergeCell ref="M15:O15"/>
    <mergeCell ref="P15:R15"/>
    <mergeCell ref="S15:V15"/>
    <mergeCell ref="A16:C16"/>
    <mergeCell ref="D16:F16"/>
    <mergeCell ref="G16:I16"/>
    <mergeCell ref="J16:L16"/>
  </mergeCells>
  <conditionalFormatting sqref="O21:O1335">
    <cfRule type="cellIs" dxfId="13" priority="1" operator="greaterThan">
      <formula>0.0152777777777777</formula>
    </cfRule>
    <cfRule type="cellIs" dxfId="12" priority="2" operator="between">
      <formula>0.0138888888888888</formula>
      <formula>0.0152777777777777</formula>
    </cfRule>
    <cfRule type="cellIs" dxfId="11" priority="3" operator="lessThanOrEqual">
      <formula>0.0138888888888888</formula>
    </cfRule>
  </conditionalFormatting>
  <conditionalFormatting sqref="S21:S1335">
    <cfRule type="cellIs" dxfId="10" priority="4" operator="greaterThan">
      <formula>0.0152777777777777</formula>
    </cfRule>
    <cfRule type="cellIs" dxfId="9" priority="5" operator="between">
      <formula>0.0138888888888888</formula>
      <formula>0.0152777777777777</formula>
    </cfRule>
    <cfRule type="cellIs" dxfId="8" priority="6" operator="lessThanOrEqual">
      <formula>0.0138888888888888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11"/>
  <sheetViews>
    <sheetView showGridLines="0" workbookViewId="0">
      <pane ySplit="20" topLeftCell="A21" activePane="bottomLeft" state="frozen"/>
      <selection pane="bottomLeft" activeCell="K17" sqref="K17"/>
    </sheetView>
  </sheetViews>
  <sheetFormatPr defaultRowHeight="15" x14ac:dyDescent="0.25"/>
  <cols>
    <col min="1" max="1" width="11" customWidth="1"/>
    <col min="2" max="2" width="16" customWidth="1"/>
    <col min="3" max="4" width="18" customWidth="1"/>
    <col min="5" max="10" width="14" customWidth="1"/>
    <col min="11" max="11" width="34" customWidth="1"/>
    <col min="12" max="12" width="30" customWidth="1"/>
  </cols>
  <sheetData>
    <row r="1" spans="1:12" ht="26.1" customHeight="1" x14ac:dyDescent="0.25">
      <c r="A1" s="74" t="s">
        <v>628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1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4" spans="1:12" ht="18" customHeight="1" x14ac:dyDescent="0.25">
      <c r="A4" s="75" t="s">
        <v>623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2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</row>
    <row r="6" spans="1:12" x14ac:dyDescent="0.25">
      <c r="A6" s="90"/>
      <c r="B6" s="90"/>
      <c r="C6" s="90"/>
      <c r="D6" s="90"/>
      <c r="E6" s="90"/>
      <c r="F6" s="90"/>
      <c r="G6" s="90"/>
      <c r="H6" s="90"/>
      <c r="I6" s="90"/>
      <c r="J6" s="90"/>
    </row>
    <row r="7" spans="1:12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</row>
    <row r="8" spans="1:12" x14ac:dyDescent="0.25">
      <c r="A8" s="90"/>
      <c r="B8" s="90"/>
      <c r="C8" s="90"/>
      <c r="D8" s="90"/>
      <c r="E8" s="90"/>
      <c r="F8" s="90"/>
      <c r="G8" s="90"/>
      <c r="H8" s="90"/>
      <c r="I8" s="90"/>
      <c r="J8" s="90"/>
    </row>
    <row r="9" spans="1:12" x14ac:dyDescent="0.25">
      <c r="A9" s="90"/>
      <c r="B9" s="90"/>
      <c r="C9" s="90"/>
      <c r="D9" s="90"/>
      <c r="E9" s="90"/>
      <c r="F9" s="90"/>
      <c r="G9" s="90"/>
      <c r="H9" s="90"/>
      <c r="I9" s="90"/>
      <c r="J9" s="90"/>
    </row>
    <row r="10" spans="1:12" x14ac:dyDescent="0.25">
      <c r="A10" s="90"/>
      <c r="B10" s="90"/>
      <c r="C10" s="90"/>
      <c r="D10" s="90"/>
      <c r="E10" s="90"/>
      <c r="F10" s="90"/>
      <c r="G10" s="90"/>
      <c r="H10" s="90"/>
      <c r="I10" s="90"/>
      <c r="J10" s="90"/>
    </row>
    <row r="11" spans="1:12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0"/>
    </row>
    <row r="12" spans="1:12" x14ac:dyDescent="0.25">
      <c r="A12" s="90"/>
      <c r="B12" s="90"/>
      <c r="C12" s="90"/>
      <c r="D12" s="90"/>
      <c r="E12" s="90"/>
      <c r="F12" s="90"/>
      <c r="G12" s="90"/>
      <c r="H12" s="90"/>
      <c r="I12" s="90"/>
      <c r="J12" s="90"/>
    </row>
    <row r="14" spans="1:12" ht="18" customHeight="1" x14ac:dyDescent="0.25">
      <c r="A14" s="73" t="s">
        <v>624</v>
      </c>
      <c r="B14" s="73"/>
      <c r="C14" s="73"/>
      <c r="D14" s="73"/>
      <c r="E14" s="73"/>
      <c r="F14" s="73"/>
      <c r="G14" s="73"/>
      <c r="H14" s="73"/>
      <c r="I14" s="73"/>
      <c r="J14" s="73"/>
    </row>
    <row r="15" spans="1:12" ht="20.100000000000001" customHeight="1" x14ac:dyDescent="0.25">
      <c r="A15" s="76" t="s">
        <v>3</v>
      </c>
      <c r="B15" s="76"/>
      <c r="C15" s="77" t="s">
        <v>4</v>
      </c>
      <c r="D15" s="77"/>
      <c r="E15" s="78" t="s">
        <v>487</v>
      </c>
      <c r="F15" s="78"/>
      <c r="G15" s="81" t="s">
        <v>488</v>
      </c>
      <c r="H15" s="81"/>
      <c r="I15" s="82" t="s">
        <v>489</v>
      </c>
      <c r="J15" s="82"/>
    </row>
    <row r="16" spans="1:12" ht="33.950000000000003" customHeight="1" x14ac:dyDescent="0.25">
      <c r="A16" s="83">
        <f>SUBTOTAL(109,tblAnaliseFila[Chamadas])</f>
        <v>23493</v>
      </c>
      <c r="B16" s="83"/>
      <c r="C16" s="84">
        <f>IFERROR(SUBTOTAL(109,tblAnaliseFila[Tempo Falado])/SUBTOTAL(109,tblAnaliseFila[Chamadas]),0)</f>
        <v>6.1196691173572744E-3</v>
      </c>
      <c r="D16" s="84"/>
      <c r="E16" s="85">
        <f>SUBTOTAL(109,tblAnaliseFila[Tempo Falado])</f>
        <v>143.76938657407445</v>
      </c>
      <c r="F16" s="85"/>
      <c r="G16" s="88">
        <f>SUBTOTAL(109,tblAnaliseFila[Pausa])</f>
        <v>142.40292824074083</v>
      </c>
      <c r="H16" s="88"/>
      <c r="I16" s="89">
        <f>IFERROR(SUBTOTAL(109,tblAnaliseFila[Pausa])/SUBTOTAL(109,tblAnaliseFila[Tempo Logado]),0)</f>
        <v>0.34990571814663013</v>
      </c>
      <c r="J16" s="91"/>
    </row>
    <row r="17" spans="1:12" x14ac:dyDescent="0.25">
      <c r="A17" s="90"/>
      <c r="B17" s="90"/>
      <c r="C17" s="90"/>
      <c r="D17" s="90"/>
      <c r="E17" s="90"/>
      <c r="F17" s="90"/>
      <c r="G17" s="90"/>
      <c r="H17" s="90"/>
      <c r="I17" s="90"/>
      <c r="J17" s="90"/>
    </row>
    <row r="18" spans="1:12" ht="33" customHeight="1" x14ac:dyDescent="0.25">
      <c r="E18" s="71" t="s">
        <v>629</v>
      </c>
      <c r="F18" s="72"/>
      <c r="G18" s="72"/>
      <c r="H18" s="72"/>
      <c r="I18" s="72"/>
      <c r="J18" s="72"/>
    </row>
    <row r="19" spans="1:12" ht="18" customHeight="1" x14ac:dyDescent="0.25">
      <c r="A19" s="75" t="s">
        <v>625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x14ac:dyDescent="0.25">
      <c r="A20" s="25" t="s">
        <v>8</v>
      </c>
      <c r="B20" s="25" t="s">
        <v>627</v>
      </c>
      <c r="C20" s="25" t="s">
        <v>588</v>
      </c>
      <c r="D20" s="25" t="s">
        <v>626</v>
      </c>
      <c r="E20" s="25" t="s">
        <v>3</v>
      </c>
      <c r="F20" s="25" t="s">
        <v>16</v>
      </c>
      <c r="G20" s="25" t="s">
        <v>17</v>
      </c>
      <c r="H20" s="25" t="s">
        <v>15</v>
      </c>
      <c r="I20" s="25" t="s">
        <v>630</v>
      </c>
      <c r="J20" s="25" t="s">
        <v>489</v>
      </c>
      <c r="K20" s="25" t="s">
        <v>322</v>
      </c>
      <c r="L20" s="25" t="s">
        <v>11</v>
      </c>
    </row>
    <row r="21" spans="1:12" x14ac:dyDescent="0.25">
      <c r="A21" s="32">
        <v>46235</v>
      </c>
      <c r="B21" s="33" t="s">
        <v>147</v>
      </c>
      <c r="C21" s="33" t="s">
        <v>563</v>
      </c>
      <c r="D21" s="33" t="s">
        <v>147</v>
      </c>
      <c r="E21">
        <v>4</v>
      </c>
      <c r="F21" s="34">
        <v>7.1875000000000003E-3</v>
      </c>
      <c r="G21" s="34">
        <v>1.7968750000000001E-3</v>
      </c>
      <c r="H21" s="34">
        <v>6.9134241245136188E-2</v>
      </c>
      <c r="I21" s="34">
        <v>8.5982760484219628E-3</v>
      </c>
      <c r="J21" s="35">
        <v>0.12437072995325422</v>
      </c>
      <c r="K21" s="33" t="s">
        <v>193</v>
      </c>
      <c r="L21" s="33" t="s">
        <v>274</v>
      </c>
    </row>
    <row r="22" spans="1:12" x14ac:dyDescent="0.25">
      <c r="A22" s="32">
        <v>46235</v>
      </c>
      <c r="B22" s="33" t="s">
        <v>147</v>
      </c>
      <c r="C22" s="33" t="s">
        <v>514</v>
      </c>
      <c r="D22" s="33" t="s">
        <v>147</v>
      </c>
      <c r="E22">
        <v>12</v>
      </c>
      <c r="F22" s="34">
        <v>2.0162037037037037E-2</v>
      </c>
      <c r="G22" s="34">
        <v>1.6801697530864196E-3</v>
      </c>
      <c r="H22" s="34">
        <v>0.18281046994415048</v>
      </c>
      <c r="I22" s="34">
        <v>3.2059239050558491E-2</v>
      </c>
      <c r="J22" s="35">
        <v>0.17536872510831983</v>
      </c>
      <c r="K22" s="33" t="s">
        <v>150</v>
      </c>
      <c r="L22" s="33" t="s">
        <v>146</v>
      </c>
    </row>
    <row r="23" spans="1:12" x14ac:dyDescent="0.25">
      <c r="A23" s="32">
        <v>46235</v>
      </c>
      <c r="B23" s="33" t="s">
        <v>147</v>
      </c>
      <c r="C23" s="33" t="s">
        <v>515</v>
      </c>
      <c r="D23" s="33" t="s">
        <v>147</v>
      </c>
      <c r="E23">
        <v>13</v>
      </c>
      <c r="F23" s="34">
        <v>1.9143518518518518E-2</v>
      </c>
      <c r="G23" s="34">
        <v>1.4725783475783476E-3</v>
      </c>
      <c r="H23" s="34">
        <v>0.15857575880593786</v>
      </c>
      <c r="I23" s="34">
        <v>3.5279469275632955E-2</v>
      </c>
      <c r="J23" s="35">
        <v>0.22247706422018346</v>
      </c>
      <c r="K23" s="33" t="s">
        <v>154</v>
      </c>
      <c r="L23" s="33" t="s">
        <v>146</v>
      </c>
    </row>
    <row r="24" spans="1:12" x14ac:dyDescent="0.25">
      <c r="A24" s="32">
        <v>46235</v>
      </c>
      <c r="B24" s="33" t="s">
        <v>147</v>
      </c>
      <c r="C24" s="33" t="s">
        <v>544</v>
      </c>
      <c r="D24" s="33" t="s">
        <v>147</v>
      </c>
      <c r="E24">
        <v>10</v>
      </c>
      <c r="F24" s="34">
        <v>6.7361111111111111E-3</v>
      </c>
      <c r="G24" s="34">
        <v>6.7361111111111116E-4</v>
      </c>
      <c r="H24" s="34">
        <v>0.1790823709013673</v>
      </c>
      <c r="I24" s="34">
        <v>4.1277794371432364E-2</v>
      </c>
      <c r="J24" s="35">
        <v>0.23049613517886033</v>
      </c>
      <c r="K24" s="33" t="s">
        <v>160</v>
      </c>
      <c r="L24" s="33" t="s">
        <v>146</v>
      </c>
    </row>
    <row r="25" spans="1:12" x14ac:dyDescent="0.25">
      <c r="A25" s="32">
        <v>46235</v>
      </c>
      <c r="B25" s="33" t="s">
        <v>147</v>
      </c>
      <c r="C25" s="33" t="s">
        <v>517</v>
      </c>
      <c r="D25" s="33" t="s">
        <v>147</v>
      </c>
      <c r="E25">
        <v>8</v>
      </c>
      <c r="F25" s="34">
        <v>5.1747685185185188E-2</v>
      </c>
      <c r="G25" s="34">
        <v>6.4684606481481485E-3</v>
      </c>
      <c r="H25" s="34">
        <v>0.26218442990596386</v>
      </c>
      <c r="I25" s="34">
        <v>6.8850929019219659E-2</v>
      </c>
      <c r="J25" s="35">
        <v>0.26260494966811732</v>
      </c>
      <c r="K25" s="33" t="s">
        <v>499</v>
      </c>
      <c r="L25" s="33" t="s">
        <v>146</v>
      </c>
    </row>
    <row r="26" spans="1:12" x14ac:dyDescent="0.25">
      <c r="A26" s="32">
        <v>46235</v>
      </c>
      <c r="B26" s="33" t="s">
        <v>147</v>
      </c>
      <c r="C26" s="33" t="s">
        <v>518</v>
      </c>
      <c r="D26" s="33" t="s">
        <v>147</v>
      </c>
      <c r="E26">
        <v>10</v>
      </c>
      <c r="F26" s="34">
        <v>2.6018518518518517E-2</v>
      </c>
      <c r="G26" s="34">
        <v>2.6018518518518522E-3</v>
      </c>
      <c r="H26" s="34">
        <v>0.18695305634644449</v>
      </c>
      <c r="I26" s="34">
        <v>2.1524335946196117E-2</v>
      </c>
      <c r="J26" s="35">
        <v>0.11513230308633823</v>
      </c>
      <c r="K26" s="33" t="s">
        <v>500</v>
      </c>
      <c r="L26" s="33" t="s">
        <v>274</v>
      </c>
    </row>
    <row r="27" spans="1:12" x14ac:dyDescent="0.25">
      <c r="A27" s="32">
        <v>46235</v>
      </c>
      <c r="B27" s="33" t="s">
        <v>147</v>
      </c>
      <c r="C27" s="33" t="s">
        <v>519</v>
      </c>
      <c r="D27" s="33" t="s">
        <v>147</v>
      </c>
      <c r="E27">
        <v>9</v>
      </c>
      <c r="F27" s="34">
        <v>1.2905092592592593E-2</v>
      </c>
      <c r="G27" s="34">
        <v>1.4338991769547325E-3</v>
      </c>
      <c r="H27" s="34">
        <v>9.5488491142535034E-2</v>
      </c>
      <c r="I27" s="34">
        <v>1.7159426873440797E-2</v>
      </c>
      <c r="J27" s="35">
        <v>0.17970151866602477</v>
      </c>
      <c r="K27" s="33" t="s">
        <v>164</v>
      </c>
      <c r="L27" s="33" t="s">
        <v>146</v>
      </c>
    </row>
    <row r="28" spans="1:12" x14ac:dyDescent="0.25">
      <c r="A28" s="32">
        <v>46235</v>
      </c>
      <c r="B28" s="33" t="s">
        <v>147</v>
      </c>
      <c r="C28" s="33" t="s">
        <v>167</v>
      </c>
      <c r="D28" s="33" t="s">
        <v>147</v>
      </c>
      <c r="E28">
        <v>9</v>
      </c>
      <c r="F28" s="34">
        <v>2.0081018518518519E-2</v>
      </c>
      <c r="G28" s="34">
        <v>2.2312242798353909E-3</v>
      </c>
      <c r="H28" s="34">
        <v>0.14380725532295582</v>
      </c>
      <c r="I28" s="34">
        <v>2.5811061161805929E-2</v>
      </c>
      <c r="J28" s="35">
        <v>0.17948372009354199</v>
      </c>
      <c r="K28" s="33" t="s">
        <v>166</v>
      </c>
      <c r="L28" s="33" t="s">
        <v>146</v>
      </c>
    </row>
    <row r="29" spans="1:12" x14ac:dyDescent="0.25">
      <c r="A29" s="32">
        <v>46235</v>
      </c>
      <c r="B29" s="33" t="s">
        <v>147</v>
      </c>
      <c r="C29" s="33" t="s">
        <v>658</v>
      </c>
      <c r="D29" s="33" t="s">
        <v>147</v>
      </c>
      <c r="E29">
        <v>7</v>
      </c>
      <c r="F29" s="34">
        <v>2.0231481481481482E-2</v>
      </c>
      <c r="G29" s="34">
        <v>2.8902116402116404E-3</v>
      </c>
      <c r="H29" s="34">
        <v>0.14837095487270838</v>
      </c>
      <c r="I29" s="34">
        <v>2.0495017813404584E-2</v>
      </c>
      <c r="J29" s="35">
        <v>0.13813362481213282</v>
      </c>
      <c r="K29" s="33" t="s">
        <v>657</v>
      </c>
      <c r="L29" s="33" t="s">
        <v>274</v>
      </c>
    </row>
    <row r="30" spans="1:12" x14ac:dyDescent="0.25">
      <c r="A30" s="32">
        <v>46235</v>
      </c>
      <c r="B30" s="33" t="s">
        <v>147</v>
      </c>
      <c r="C30" s="33" t="s">
        <v>520</v>
      </c>
      <c r="D30" s="33" t="s">
        <v>147</v>
      </c>
      <c r="E30">
        <v>7</v>
      </c>
      <c r="F30" s="34">
        <v>1.2326388888888888E-2</v>
      </c>
      <c r="G30" s="34">
        <v>1.7609126984126984E-3</v>
      </c>
      <c r="H30" s="34">
        <v>0.13074074074074074</v>
      </c>
      <c r="I30" s="34">
        <v>2.0416666666666666E-2</v>
      </c>
      <c r="J30" s="35">
        <v>0.15616147308781869</v>
      </c>
      <c r="K30" s="33" t="s">
        <v>168</v>
      </c>
      <c r="L30" s="33" t="s">
        <v>274</v>
      </c>
    </row>
    <row r="31" spans="1:12" x14ac:dyDescent="0.25">
      <c r="A31" s="32">
        <v>46235</v>
      </c>
      <c r="B31" s="33" t="s">
        <v>147</v>
      </c>
      <c r="C31" s="33" t="s">
        <v>521</v>
      </c>
      <c r="D31" s="33" t="s">
        <v>147</v>
      </c>
      <c r="E31">
        <v>5</v>
      </c>
      <c r="F31" s="34">
        <v>2.5428240740740741E-2</v>
      </c>
      <c r="G31" s="34">
        <v>5.0856481481481482E-3</v>
      </c>
      <c r="H31" s="34">
        <v>0.16946513196267135</v>
      </c>
      <c r="I31" s="34">
        <v>3.8065352508019838E-2</v>
      </c>
      <c r="J31" s="35">
        <v>0.2246205580296283</v>
      </c>
      <c r="K31" s="33" t="s">
        <v>170</v>
      </c>
      <c r="L31" s="33" t="s">
        <v>146</v>
      </c>
    </row>
    <row r="32" spans="1:12" x14ac:dyDescent="0.25">
      <c r="A32" s="32">
        <v>46235</v>
      </c>
      <c r="B32" s="33" t="s">
        <v>147</v>
      </c>
      <c r="C32" s="33" t="s">
        <v>633</v>
      </c>
      <c r="D32" s="33" t="s">
        <v>147</v>
      </c>
      <c r="E32">
        <v>8</v>
      </c>
      <c r="F32" s="34">
        <v>1.3703703703703704E-2</v>
      </c>
      <c r="G32" s="34">
        <v>1.712962962962963E-3</v>
      </c>
      <c r="H32" s="34">
        <v>0.15025576987796024</v>
      </c>
      <c r="I32" s="34">
        <v>3.1870450077049792E-2</v>
      </c>
      <c r="J32" s="35">
        <v>0.2121079949404632</v>
      </c>
      <c r="K32" s="33" t="s">
        <v>606</v>
      </c>
      <c r="L32" s="33" t="s">
        <v>146</v>
      </c>
    </row>
    <row r="33" spans="1:12" x14ac:dyDescent="0.25">
      <c r="A33" s="32">
        <v>46235</v>
      </c>
      <c r="B33" s="33" t="s">
        <v>147</v>
      </c>
      <c r="C33" s="33" t="s">
        <v>522</v>
      </c>
      <c r="D33" s="33" t="s">
        <v>147</v>
      </c>
      <c r="E33">
        <v>5</v>
      </c>
      <c r="F33" s="34">
        <v>2.0763888888888887E-2</v>
      </c>
      <c r="G33" s="34">
        <v>4.1527777777777778E-3</v>
      </c>
      <c r="H33" s="34">
        <v>0.12906689319365425</v>
      </c>
      <c r="I33" s="34">
        <v>2.6035025136217221E-2</v>
      </c>
      <c r="J33" s="35">
        <v>0.2017172993941507</v>
      </c>
      <c r="K33" s="33" t="s">
        <v>178</v>
      </c>
      <c r="L33" s="33" t="s">
        <v>146</v>
      </c>
    </row>
    <row r="34" spans="1:12" x14ac:dyDescent="0.25">
      <c r="A34" s="32">
        <v>46235</v>
      </c>
      <c r="B34" s="33" t="s">
        <v>147</v>
      </c>
      <c r="C34" s="33" t="s">
        <v>523</v>
      </c>
      <c r="D34" s="33" t="s">
        <v>147</v>
      </c>
      <c r="E34">
        <v>4</v>
      </c>
      <c r="F34" s="34">
        <v>4.0289351851851854E-2</v>
      </c>
      <c r="G34" s="34">
        <v>1.0072337962962963E-2</v>
      </c>
      <c r="H34" s="34">
        <v>0.19401690859833426</v>
      </c>
      <c r="I34" s="34">
        <v>4.5179669261467596E-2</v>
      </c>
      <c r="J34" s="35">
        <v>0.23286459715220664</v>
      </c>
      <c r="K34" s="33" t="s">
        <v>180</v>
      </c>
      <c r="L34" s="33" t="s">
        <v>146</v>
      </c>
    </row>
    <row r="35" spans="1:12" x14ac:dyDescent="0.25">
      <c r="A35" s="32">
        <v>46235</v>
      </c>
      <c r="B35" s="33" t="s">
        <v>147</v>
      </c>
      <c r="C35" s="33" t="s">
        <v>566</v>
      </c>
      <c r="D35" s="33" t="s">
        <v>147</v>
      </c>
      <c r="E35">
        <v>4</v>
      </c>
      <c r="F35" s="34">
        <v>1.087962962962963E-2</v>
      </c>
      <c r="G35" s="34">
        <v>2.7199074074074074E-3</v>
      </c>
      <c r="H35" s="34">
        <v>0.15042946284794112</v>
      </c>
      <c r="I35" s="34">
        <v>2.1718714055670576E-2</v>
      </c>
      <c r="J35" s="35">
        <v>0.14437806028480302</v>
      </c>
      <c r="K35" s="33" t="s">
        <v>207</v>
      </c>
      <c r="L35" s="33" t="s">
        <v>274</v>
      </c>
    </row>
    <row r="36" spans="1:12" x14ac:dyDescent="0.25">
      <c r="A36" s="32">
        <v>46235</v>
      </c>
      <c r="B36" s="33" t="s">
        <v>147</v>
      </c>
      <c r="C36" s="33" t="s">
        <v>524</v>
      </c>
      <c r="D36" s="33" t="s">
        <v>147</v>
      </c>
      <c r="E36">
        <v>7</v>
      </c>
      <c r="F36" s="34">
        <v>2.7511574074074074E-2</v>
      </c>
      <c r="G36" s="34">
        <v>3.9302248677248672E-3</v>
      </c>
      <c r="H36" s="34">
        <v>0.21736034348351785</v>
      </c>
      <c r="I36" s="34">
        <v>2.4448429744177168E-2</v>
      </c>
      <c r="J36" s="35">
        <v>0.11247879605062852</v>
      </c>
      <c r="K36" s="33" t="s">
        <v>501</v>
      </c>
      <c r="L36" s="33" t="s">
        <v>274</v>
      </c>
    </row>
    <row r="37" spans="1:12" x14ac:dyDescent="0.25">
      <c r="A37" s="32">
        <v>46235</v>
      </c>
      <c r="B37" s="33" t="s">
        <v>147</v>
      </c>
      <c r="C37" s="33" t="s">
        <v>557</v>
      </c>
      <c r="D37" s="33" t="s">
        <v>147</v>
      </c>
      <c r="E37">
        <v>3</v>
      </c>
      <c r="F37" s="34">
        <v>9.8032407407407408E-3</v>
      </c>
      <c r="G37" s="34">
        <v>3.2677469135802468E-3</v>
      </c>
      <c r="H37" s="34">
        <v>0.1121268436768553</v>
      </c>
      <c r="I37" s="34">
        <v>2.6621811751342421E-2</v>
      </c>
      <c r="J37" s="35">
        <v>0.23742585520435525</v>
      </c>
      <c r="K37" s="33" t="s">
        <v>227</v>
      </c>
      <c r="L37" s="33" t="s">
        <v>146</v>
      </c>
    </row>
    <row r="38" spans="1:12" x14ac:dyDescent="0.25">
      <c r="A38" s="32">
        <v>46235</v>
      </c>
      <c r="B38" s="33" t="s">
        <v>147</v>
      </c>
      <c r="C38" s="33" t="s">
        <v>678</v>
      </c>
      <c r="D38" s="33" t="s">
        <v>147</v>
      </c>
      <c r="E38">
        <v>9</v>
      </c>
      <c r="F38" s="34">
        <v>2.613425925925926E-2</v>
      </c>
      <c r="G38" s="34">
        <v>2.9038065843621399E-3</v>
      </c>
      <c r="H38" s="34">
        <v>0.17204990014257573</v>
      </c>
      <c r="I38" s="34">
        <v>1.914566803800568E-2</v>
      </c>
      <c r="J38" s="35">
        <v>0.11127973932062669</v>
      </c>
      <c r="K38" s="33" t="s">
        <v>677</v>
      </c>
      <c r="L38" s="33" t="s">
        <v>274</v>
      </c>
    </row>
    <row r="39" spans="1:12" x14ac:dyDescent="0.25">
      <c r="A39" s="32">
        <v>46235</v>
      </c>
      <c r="B39" s="33" t="s">
        <v>147</v>
      </c>
      <c r="C39" s="33" t="s">
        <v>680</v>
      </c>
      <c r="D39" s="33" t="s">
        <v>147</v>
      </c>
      <c r="E39">
        <v>4</v>
      </c>
      <c r="F39" s="34">
        <v>7.8472222222222224E-3</v>
      </c>
      <c r="G39" s="34">
        <v>1.9618055555555556E-3</v>
      </c>
      <c r="H39" s="34">
        <v>0.11810626549470364</v>
      </c>
      <c r="I39" s="34">
        <v>1.6437251145668998E-2</v>
      </c>
      <c r="J39" s="35">
        <v>0.13917340521114105</v>
      </c>
      <c r="K39" s="33" t="s">
        <v>679</v>
      </c>
      <c r="L39" s="33" t="s">
        <v>274</v>
      </c>
    </row>
    <row r="40" spans="1:12" x14ac:dyDescent="0.25">
      <c r="A40" s="32">
        <v>46235</v>
      </c>
      <c r="B40" s="33" t="s">
        <v>105</v>
      </c>
      <c r="C40" s="33" t="s">
        <v>631</v>
      </c>
      <c r="D40" s="33" t="s">
        <v>105</v>
      </c>
      <c r="E40">
        <v>8</v>
      </c>
      <c r="F40" s="34">
        <v>5.7731481481481481E-2</v>
      </c>
      <c r="G40" s="34">
        <v>7.2164351851851851E-3</v>
      </c>
      <c r="H40" s="34">
        <v>0.25012731481481482</v>
      </c>
      <c r="I40" s="34">
        <v>0.12460648148148148</v>
      </c>
      <c r="J40" s="35">
        <v>0.49817222710656611</v>
      </c>
      <c r="K40" s="33" t="s">
        <v>608</v>
      </c>
      <c r="L40" s="33" t="s">
        <v>601</v>
      </c>
    </row>
    <row r="41" spans="1:12" x14ac:dyDescent="0.25">
      <c r="A41" s="32">
        <v>46235</v>
      </c>
      <c r="B41" s="33" t="s">
        <v>105</v>
      </c>
      <c r="C41" s="33" t="s">
        <v>564</v>
      </c>
      <c r="D41" s="33" t="s">
        <v>105</v>
      </c>
      <c r="E41">
        <v>7</v>
      </c>
      <c r="F41" s="34">
        <v>3.5069444444444445E-2</v>
      </c>
      <c r="G41" s="34">
        <v>5.0099206349206345E-3</v>
      </c>
      <c r="H41" s="34">
        <v>0.24979166666666666</v>
      </c>
      <c r="I41" s="34">
        <v>0.11475694444444444</v>
      </c>
      <c r="J41" s="35">
        <v>0.45941061996107868</v>
      </c>
      <c r="K41" s="33" t="s">
        <v>197</v>
      </c>
      <c r="L41" s="33" t="s">
        <v>601</v>
      </c>
    </row>
    <row r="42" spans="1:12" x14ac:dyDescent="0.25">
      <c r="A42" s="32">
        <v>46235</v>
      </c>
      <c r="B42" s="33" t="s">
        <v>105</v>
      </c>
      <c r="C42" s="33" t="s">
        <v>570</v>
      </c>
      <c r="D42" s="33" t="s">
        <v>105</v>
      </c>
      <c r="E42">
        <v>7</v>
      </c>
      <c r="F42" s="34">
        <v>0.12538194444444445</v>
      </c>
      <c r="G42" s="34">
        <v>1.7911706349206351E-2</v>
      </c>
      <c r="H42" s="34">
        <v>0.23166666666666666</v>
      </c>
      <c r="I42" s="34">
        <v>0.10849537037037037</v>
      </c>
      <c r="J42" s="35">
        <v>0.46832533972821744</v>
      </c>
      <c r="K42" s="33" t="s">
        <v>112</v>
      </c>
      <c r="L42" s="33" t="s">
        <v>104</v>
      </c>
    </row>
    <row r="43" spans="1:12" x14ac:dyDescent="0.25">
      <c r="A43" s="32">
        <v>46235</v>
      </c>
      <c r="B43" s="33" t="s">
        <v>105</v>
      </c>
      <c r="C43" s="33" t="s">
        <v>537</v>
      </c>
      <c r="D43" s="33" t="s">
        <v>105</v>
      </c>
      <c r="E43">
        <v>19</v>
      </c>
      <c r="F43" s="34">
        <v>0.19207175925925926</v>
      </c>
      <c r="G43" s="34">
        <v>1.0109039961013646E-2</v>
      </c>
      <c r="H43" s="34">
        <v>0.25931712962962961</v>
      </c>
      <c r="I43" s="34">
        <v>6.9826388888888882E-2</v>
      </c>
      <c r="J43" s="35">
        <v>0.2692702521758536</v>
      </c>
      <c r="K43" s="33" t="s">
        <v>42</v>
      </c>
      <c r="L43" s="33" t="s">
        <v>104</v>
      </c>
    </row>
    <row r="44" spans="1:12" x14ac:dyDescent="0.25">
      <c r="A44" s="32">
        <v>46235</v>
      </c>
      <c r="B44" s="33" t="s">
        <v>105</v>
      </c>
      <c r="C44" s="33" t="s">
        <v>541</v>
      </c>
      <c r="D44" s="33" t="s">
        <v>105</v>
      </c>
      <c r="E44">
        <v>16</v>
      </c>
      <c r="F44" s="34">
        <v>0.13174768518518518</v>
      </c>
      <c r="G44" s="34">
        <v>8.2342303240740735E-3</v>
      </c>
      <c r="H44" s="34">
        <v>0.27681712962962962</v>
      </c>
      <c r="I44" s="34">
        <v>0.12961805555555556</v>
      </c>
      <c r="J44" s="35">
        <v>0.46824434502655016</v>
      </c>
      <c r="K44" s="33" t="s">
        <v>114</v>
      </c>
      <c r="L44" s="33" t="s">
        <v>104</v>
      </c>
    </row>
    <row r="45" spans="1:12" x14ac:dyDescent="0.25">
      <c r="A45" s="32">
        <v>46235</v>
      </c>
      <c r="B45" s="33" t="s">
        <v>105</v>
      </c>
      <c r="C45" s="33" t="s">
        <v>542</v>
      </c>
      <c r="D45" s="33" t="s">
        <v>105</v>
      </c>
      <c r="E45">
        <v>10</v>
      </c>
      <c r="F45" s="34">
        <v>9.8680555555555549E-2</v>
      </c>
      <c r="G45" s="34">
        <v>9.8680555555555553E-3</v>
      </c>
      <c r="H45" s="34">
        <v>0.24667824074074074</v>
      </c>
      <c r="I45" s="34">
        <v>0.11300925925925925</v>
      </c>
      <c r="J45" s="35">
        <v>0.45812414958006853</v>
      </c>
      <c r="K45" s="33" t="s">
        <v>287</v>
      </c>
      <c r="L45" s="33" t="s">
        <v>104</v>
      </c>
    </row>
    <row r="46" spans="1:12" x14ac:dyDescent="0.25">
      <c r="A46" s="32">
        <v>46235</v>
      </c>
      <c r="B46" s="33" t="s">
        <v>105</v>
      </c>
      <c r="C46" s="33" t="s">
        <v>650</v>
      </c>
      <c r="D46" s="33" t="s">
        <v>105</v>
      </c>
      <c r="E46">
        <v>7</v>
      </c>
      <c r="F46" s="34">
        <v>0.16091435185185185</v>
      </c>
      <c r="G46" s="34">
        <v>2.298776455026455E-2</v>
      </c>
      <c r="H46" s="34">
        <v>0.26298611111111109</v>
      </c>
      <c r="I46" s="34">
        <v>0.10422453703703703</v>
      </c>
      <c r="J46" s="35">
        <v>0.39631194437109407</v>
      </c>
      <c r="K46" s="33" t="s">
        <v>649</v>
      </c>
      <c r="L46" s="33" t="s">
        <v>104</v>
      </c>
    </row>
    <row r="47" spans="1:12" x14ac:dyDescent="0.25">
      <c r="A47" s="32">
        <v>46235</v>
      </c>
      <c r="B47" s="33" t="s">
        <v>105</v>
      </c>
      <c r="C47" s="33" t="s">
        <v>559</v>
      </c>
      <c r="D47" s="33" t="s">
        <v>105</v>
      </c>
      <c r="E47">
        <v>16</v>
      </c>
      <c r="F47" s="34">
        <v>0.18454861111111112</v>
      </c>
      <c r="G47" s="34">
        <v>1.1534288194444445E-2</v>
      </c>
      <c r="H47" s="34">
        <v>0.2585648148148148</v>
      </c>
      <c r="I47" s="34">
        <v>8.0497685185185186E-2</v>
      </c>
      <c r="J47" s="35">
        <v>0.31132497761862132</v>
      </c>
      <c r="K47" s="33" t="s">
        <v>289</v>
      </c>
      <c r="L47" s="33" t="s">
        <v>104</v>
      </c>
    </row>
    <row r="48" spans="1:12" x14ac:dyDescent="0.25">
      <c r="A48" s="32">
        <v>46235</v>
      </c>
      <c r="B48" s="33" t="s">
        <v>105</v>
      </c>
      <c r="C48" s="33" t="s">
        <v>634</v>
      </c>
      <c r="D48" s="33" t="s">
        <v>105</v>
      </c>
      <c r="E48">
        <v>2</v>
      </c>
      <c r="F48" s="34">
        <v>0.12479166666666666</v>
      </c>
      <c r="G48" s="34">
        <v>6.2395833333333331E-2</v>
      </c>
      <c r="H48" s="34">
        <v>0.17953703703703705</v>
      </c>
      <c r="I48" s="34">
        <v>0.13241898148148148</v>
      </c>
      <c r="J48" s="35">
        <v>0.73755801959773082</v>
      </c>
      <c r="K48" s="33" t="s">
        <v>612</v>
      </c>
      <c r="L48" s="33" t="s">
        <v>601</v>
      </c>
    </row>
    <row r="49" spans="1:12" x14ac:dyDescent="0.25">
      <c r="A49" s="32">
        <v>46235</v>
      </c>
      <c r="B49" s="33" t="s">
        <v>105</v>
      </c>
      <c r="C49" s="33" t="s">
        <v>565</v>
      </c>
      <c r="D49" s="33" t="s">
        <v>105</v>
      </c>
      <c r="E49">
        <v>6</v>
      </c>
      <c r="F49" s="34">
        <v>5.3113425925925925E-2</v>
      </c>
      <c r="G49" s="34">
        <v>8.8522376543209887E-3</v>
      </c>
      <c r="H49" s="34">
        <v>0.19097222222222221</v>
      </c>
      <c r="I49" s="34">
        <v>8.9317129629629635E-2</v>
      </c>
      <c r="J49" s="35">
        <v>0.46769696969696972</v>
      </c>
      <c r="K49" s="33" t="s">
        <v>203</v>
      </c>
      <c r="L49" s="33" t="s">
        <v>601</v>
      </c>
    </row>
    <row r="50" spans="1:12" x14ac:dyDescent="0.25">
      <c r="A50" s="32">
        <v>46235</v>
      </c>
      <c r="B50" s="33" t="s">
        <v>105</v>
      </c>
      <c r="C50" s="33" t="s">
        <v>667</v>
      </c>
      <c r="D50" s="33" t="s">
        <v>105</v>
      </c>
      <c r="E50">
        <v>20</v>
      </c>
      <c r="F50" s="34">
        <v>0.19547453703703704</v>
      </c>
      <c r="G50" s="34">
        <v>9.7737268518518529E-3</v>
      </c>
      <c r="H50" s="34">
        <v>0.25236111111111109</v>
      </c>
      <c r="I50" s="34">
        <v>8.1956018518518525E-2</v>
      </c>
      <c r="J50" s="35">
        <v>0.32475692533480094</v>
      </c>
      <c r="K50" s="33" t="s">
        <v>297</v>
      </c>
      <c r="L50" s="33" t="s">
        <v>104</v>
      </c>
    </row>
    <row r="51" spans="1:12" x14ac:dyDescent="0.25">
      <c r="A51" s="32">
        <v>46235</v>
      </c>
      <c r="B51" s="33" t="s">
        <v>105</v>
      </c>
      <c r="C51" s="33" t="s">
        <v>635</v>
      </c>
      <c r="D51" s="33" t="s">
        <v>105</v>
      </c>
      <c r="E51">
        <v>5</v>
      </c>
      <c r="F51" s="34">
        <v>4.6458333333333331E-2</v>
      </c>
      <c r="G51" s="34">
        <v>9.2916666666666668E-3</v>
      </c>
      <c r="H51" s="34">
        <v>0.23787037037037037</v>
      </c>
      <c r="I51" s="34">
        <v>0.1363425925925926</v>
      </c>
      <c r="J51" s="35">
        <v>0.57318022576878158</v>
      </c>
      <c r="K51" s="33" t="s">
        <v>614</v>
      </c>
      <c r="L51" s="33" t="s">
        <v>601</v>
      </c>
    </row>
    <row r="52" spans="1:12" x14ac:dyDescent="0.25">
      <c r="A52" s="32">
        <v>46235</v>
      </c>
      <c r="B52" s="33" t="s">
        <v>105</v>
      </c>
      <c r="C52" s="33" t="s">
        <v>636</v>
      </c>
      <c r="D52" s="33" t="s">
        <v>105</v>
      </c>
      <c r="E52">
        <v>6</v>
      </c>
      <c r="F52" s="34">
        <v>5.8935185185185188E-2</v>
      </c>
      <c r="G52" s="34">
        <v>9.8225308641975307E-3</v>
      </c>
      <c r="H52" s="34">
        <v>0.24677083333333333</v>
      </c>
      <c r="I52" s="34">
        <v>0.13737268518518519</v>
      </c>
      <c r="J52" s="35">
        <v>0.55668120632240514</v>
      </c>
      <c r="K52" s="33" t="s">
        <v>615</v>
      </c>
      <c r="L52" s="33" t="s">
        <v>601</v>
      </c>
    </row>
    <row r="53" spans="1:12" x14ac:dyDescent="0.25">
      <c r="A53" s="32">
        <v>46235</v>
      </c>
      <c r="B53" s="33" t="s">
        <v>105</v>
      </c>
      <c r="C53" s="33" t="s">
        <v>637</v>
      </c>
      <c r="D53" s="33" t="s">
        <v>105</v>
      </c>
      <c r="E53">
        <v>4</v>
      </c>
      <c r="F53" s="34">
        <v>4.5868055555555558E-2</v>
      </c>
      <c r="G53" s="34">
        <v>1.1467013888888889E-2</v>
      </c>
      <c r="H53" s="34">
        <v>0.19175925925925927</v>
      </c>
      <c r="I53" s="34">
        <v>9.1030092592592593E-2</v>
      </c>
      <c r="J53" s="35">
        <v>0.47471028488652822</v>
      </c>
      <c r="K53" s="33" t="s">
        <v>616</v>
      </c>
      <c r="L53" s="33" t="s">
        <v>601</v>
      </c>
    </row>
    <row r="54" spans="1:12" x14ac:dyDescent="0.25">
      <c r="A54" s="32">
        <v>46235</v>
      </c>
      <c r="B54" s="33" t="s">
        <v>105</v>
      </c>
      <c r="C54" s="33" t="s">
        <v>567</v>
      </c>
      <c r="D54" s="33" t="s">
        <v>105</v>
      </c>
      <c r="E54">
        <v>7</v>
      </c>
      <c r="F54" s="34">
        <v>9.9398148148148152E-2</v>
      </c>
      <c r="G54" s="34">
        <v>1.419973544973545E-2</v>
      </c>
      <c r="H54" s="34">
        <v>0.25184027777777779</v>
      </c>
      <c r="I54" s="34">
        <v>0.11092592592592593</v>
      </c>
      <c r="J54" s="35">
        <v>0.44046141826370699</v>
      </c>
      <c r="K54" s="33" t="s">
        <v>209</v>
      </c>
      <c r="L54" s="33" t="s">
        <v>601</v>
      </c>
    </row>
    <row r="55" spans="1:12" x14ac:dyDescent="0.25">
      <c r="A55" s="32">
        <v>46235</v>
      </c>
      <c r="B55" s="33" t="s">
        <v>105</v>
      </c>
      <c r="C55" s="33" t="s">
        <v>512</v>
      </c>
      <c r="D55" s="33" t="s">
        <v>105</v>
      </c>
      <c r="E55">
        <v>14</v>
      </c>
      <c r="F55" s="34">
        <v>0.22620370370370371</v>
      </c>
      <c r="G55" s="34">
        <v>1.6157407407407409E-2</v>
      </c>
      <c r="H55" s="34">
        <v>0.2590972222222222</v>
      </c>
      <c r="I55" s="34">
        <v>5.8321759259259261E-2</v>
      </c>
      <c r="J55" s="35">
        <v>0.22509604216921289</v>
      </c>
      <c r="K55" s="33" t="s">
        <v>132</v>
      </c>
      <c r="L55" s="33" t="s">
        <v>104</v>
      </c>
    </row>
    <row r="56" spans="1:12" x14ac:dyDescent="0.25">
      <c r="A56" s="32">
        <v>46235</v>
      </c>
      <c r="B56" s="33" t="s">
        <v>105</v>
      </c>
      <c r="C56" s="33" t="s">
        <v>560</v>
      </c>
      <c r="D56" s="33" t="s">
        <v>105</v>
      </c>
      <c r="E56">
        <v>16</v>
      </c>
      <c r="F56" s="34">
        <v>0.21751157407407407</v>
      </c>
      <c r="G56" s="34">
        <v>1.3594473379629629E-2</v>
      </c>
      <c r="H56" s="34">
        <v>0.26656249999999998</v>
      </c>
      <c r="I56" s="34">
        <v>5.752314814814815E-2</v>
      </c>
      <c r="J56" s="35">
        <v>0.21579610090747253</v>
      </c>
      <c r="K56" s="33" t="s">
        <v>134</v>
      </c>
      <c r="L56" s="33" t="s">
        <v>104</v>
      </c>
    </row>
    <row r="57" spans="1:12" x14ac:dyDescent="0.25">
      <c r="A57" s="32">
        <v>46235</v>
      </c>
      <c r="B57" s="33" t="s">
        <v>105</v>
      </c>
      <c r="C57" s="33" t="s">
        <v>546</v>
      </c>
      <c r="D57" s="33" t="s">
        <v>105</v>
      </c>
      <c r="E57">
        <v>11</v>
      </c>
      <c r="F57" s="34">
        <v>0.14582175925925925</v>
      </c>
      <c r="G57" s="34">
        <v>1.3256523569023567E-2</v>
      </c>
      <c r="H57" s="34">
        <v>0.26543981481481482</v>
      </c>
      <c r="I57" s="34">
        <v>6.4004629629629634E-2</v>
      </c>
      <c r="J57" s="35">
        <v>0.24112671143280717</v>
      </c>
      <c r="K57" s="33" t="s">
        <v>211</v>
      </c>
      <c r="L57" s="33" t="s">
        <v>104</v>
      </c>
    </row>
    <row r="58" spans="1:12" x14ac:dyDescent="0.25">
      <c r="A58" s="32">
        <v>46235</v>
      </c>
      <c r="B58" s="33" t="s">
        <v>105</v>
      </c>
      <c r="C58" s="33" t="s">
        <v>638</v>
      </c>
      <c r="D58" s="33" t="s">
        <v>105</v>
      </c>
      <c r="E58">
        <v>6</v>
      </c>
      <c r="F58" s="34">
        <v>6.5439814814814812E-2</v>
      </c>
      <c r="G58" s="34">
        <v>1.0906635802469136E-2</v>
      </c>
      <c r="H58" s="34">
        <v>0.25104166666666666</v>
      </c>
      <c r="I58" s="34">
        <v>0.11375</v>
      </c>
      <c r="J58" s="35">
        <v>0.45311203319502075</v>
      </c>
      <c r="K58" s="33" t="s">
        <v>617</v>
      </c>
      <c r="L58" s="33" t="s">
        <v>601</v>
      </c>
    </row>
    <row r="59" spans="1:12" x14ac:dyDescent="0.25">
      <c r="A59" s="32">
        <v>46235</v>
      </c>
      <c r="B59" s="33" t="s">
        <v>105</v>
      </c>
      <c r="C59" s="33" t="s">
        <v>561</v>
      </c>
      <c r="D59" s="33" t="s">
        <v>105</v>
      </c>
      <c r="E59">
        <v>17</v>
      </c>
      <c r="F59" s="34">
        <v>0.18898148148148147</v>
      </c>
      <c r="G59" s="34">
        <v>1.1116557734204793E-2</v>
      </c>
      <c r="H59" s="34">
        <v>0.26525462962962965</v>
      </c>
      <c r="I59" s="34">
        <v>7.2152777777777774E-2</v>
      </c>
      <c r="J59" s="35">
        <v>0.27201326468278209</v>
      </c>
      <c r="K59" s="33" t="s">
        <v>136</v>
      </c>
      <c r="L59" s="33" t="s">
        <v>104</v>
      </c>
    </row>
    <row r="60" spans="1:12" x14ac:dyDescent="0.25">
      <c r="A60" s="32">
        <v>46235</v>
      </c>
      <c r="B60" s="33" t="s">
        <v>105</v>
      </c>
      <c r="C60" s="33" t="s">
        <v>639</v>
      </c>
      <c r="D60" s="33" t="s">
        <v>105</v>
      </c>
      <c r="E60">
        <v>2</v>
      </c>
      <c r="F60" s="34">
        <v>2.9062500000000002E-2</v>
      </c>
      <c r="G60" s="34">
        <v>1.4531250000000001E-2</v>
      </c>
      <c r="H60" s="34">
        <v>0.20699074074074075</v>
      </c>
      <c r="I60" s="34">
        <v>0.15819444444444444</v>
      </c>
      <c r="J60" s="35">
        <v>0.76425855513307983</v>
      </c>
      <c r="K60" s="33" t="s">
        <v>618</v>
      </c>
      <c r="L60" s="33" t="s">
        <v>601</v>
      </c>
    </row>
    <row r="61" spans="1:12" x14ac:dyDescent="0.25">
      <c r="A61" s="32">
        <v>46235</v>
      </c>
      <c r="B61" s="33" t="s">
        <v>105</v>
      </c>
      <c r="C61" s="33" t="s">
        <v>572</v>
      </c>
      <c r="D61" s="33" t="s">
        <v>105</v>
      </c>
      <c r="E61">
        <v>6</v>
      </c>
      <c r="F61" s="34">
        <v>3.2048611111111111E-2</v>
      </c>
      <c r="G61" s="34">
        <v>5.3414351851851852E-3</v>
      </c>
      <c r="H61" s="34">
        <v>0.22033564814814816</v>
      </c>
      <c r="I61" s="34">
        <v>0.12670138888888888</v>
      </c>
      <c r="J61" s="35">
        <v>0.57503808373168042</v>
      </c>
      <c r="K61" s="33" t="s">
        <v>213</v>
      </c>
      <c r="L61" s="33" t="s">
        <v>601</v>
      </c>
    </row>
    <row r="62" spans="1:12" x14ac:dyDescent="0.25">
      <c r="A62" s="32">
        <v>46235</v>
      </c>
      <c r="B62" s="33" t="s">
        <v>105</v>
      </c>
      <c r="C62" s="33" t="s">
        <v>547</v>
      </c>
      <c r="D62" s="33" t="s">
        <v>105</v>
      </c>
      <c r="E62">
        <v>5</v>
      </c>
      <c r="F62" s="34">
        <v>4.2060185185185187E-2</v>
      </c>
      <c r="G62" s="34">
        <v>8.4120370370370373E-3</v>
      </c>
      <c r="H62" s="34">
        <v>0.24432870370370371</v>
      </c>
      <c r="I62" s="34">
        <v>0.15995370370370371</v>
      </c>
      <c r="J62" s="35">
        <v>0.65466603505447651</v>
      </c>
      <c r="K62" s="33" t="s">
        <v>215</v>
      </c>
      <c r="L62" s="33" t="s">
        <v>601</v>
      </c>
    </row>
    <row r="63" spans="1:12" x14ac:dyDescent="0.25">
      <c r="A63" s="32">
        <v>46235</v>
      </c>
      <c r="B63" s="33" t="s">
        <v>105</v>
      </c>
      <c r="C63" s="33" t="s">
        <v>640</v>
      </c>
      <c r="D63" s="33" t="s">
        <v>105</v>
      </c>
      <c r="E63">
        <v>10</v>
      </c>
      <c r="F63" s="34">
        <v>7.3506944444444444E-2</v>
      </c>
      <c r="G63" s="34">
        <v>7.3506944444444444E-3</v>
      </c>
      <c r="H63" s="34">
        <v>0.24996527777777777</v>
      </c>
      <c r="I63" s="34">
        <v>0.13408564814814813</v>
      </c>
      <c r="J63" s="35">
        <v>0.5364170949668936</v>
      </c>
      <c r="K63" s="33" t="s">
        <v>619</v>
      </c>
      <c r="L63" s="33" t="s">
        <v>601</v>
      </c>
    </row>
    <row r="64" spans="1:12" x14ac:dyDescent="0.25">
      <c r="A64" s="32">
        <v>46235</v>
      </c>
      <c r="B64" s="33" t="s">
        <v>105</v>
      </c>
      <c r="C64" s="33" t="s">
        <v>548</v>
      </c>
      <c r="D64" s="33" t="s">
        <v>105</v>
      </c>
      <c r="E64">
        <v>12</v>
      </c>
      <c r="F64" s="34">
        <v>0.14978009259259259</v>
      </c>
      <c r="G64" s="34">
        <v>1.248167438271605E-2</v>
      </c>
      <c r="H64" s="34">
        <v>0.25545138888888891</v>
      </c>
      <c r="I64" s="34">
        <v>8.2430555555555562E-2</v>
      </c>
      <c r="J64" s="35">
        <v>0.32268587739567761</v>
      </c>
      <c r="K64" s="33" t="s">
        <v>219</v>
      </c>
      <c r="L64" s="33" t="s">
        <v>104</v>
      </c>
    </row>
    <row r="65" spans="1:12" x14ac:dyDescent="0.25">
      <c r="A65" s="32">
        <v>46235</v>
      </c>
      <c r="B65" s="33" t="s">
        <v>105</v>
      </c>
      <c r="C65" s="33" t="s">
        <v>641</v>
      </c>
      <c r="D65" s="33" t="s">
        <v>105</v>
      </c>
      <c r="E65">
        <v>9</v>
      </c>
      <c r="F65" s="34">
        <v>8.7523148148148142E-2</v>
      </c>
      <c r="G65" s="34">
        <v>9.7247942386831272E-3</v>
      </c>
      <c r="H65" s="34">
        <v>0.23866898148148147</v>
      </c>
      <c r="I65" s="34">
        <v>0.10145833333333333</v>
      </c>
      <c r="J65" s="35">
        <v>0.42510062557586925</v>
      </c>
      <c r="K65" s="33" t="s">
        <v>620</v>
      </c>
      <c r="L65" s="33" t="s">
        <v>601</v>
      </c>
    </row>
    <row r="66" spans="1:12" x14ac:dyDescent="0.25">
      <c r="A66" s="32">
        <v>46235</v>
      </c>
      <c r="B66" s="33" t="s">
        <v>105</v>
      </c>
      <c r="C66" s="33" t="s">
        <v>556</v>
      </c>
      <c r="D66" s="33" t="s">
        <v>105</v>
      </c>
      <c r="E66">
        <v>12</v>
      </c>
      <c r="F66" s="34">
        <v>0.16250000000000001</v>
      </c>
      <c r="G66" s="34">
        <v>1.3541666666666667E-2</v>
      </c>
      <c r="H66" s="34">
        <v>0.25172453703703701</v>
      </c>
      <c r="I66" s="34">
        <v>8.44212962962963E-2</v>
      </c>
      <c r="J66" s="35">
        <v>0.33537174122948182</v>
      </c>
      <c r="K66" s="33" t="s">
        <v>138</v>
      </c>
      <c r="L66" s="33" t="s">
        <v>104</v>
      </c>
    </row>
    <row r="67" spans="1:12" x14ac:dyDescent="0.25">
      <c r="A67" s="32">
        <v>46235</v>
      </c>
      <c r="B67" s="33" t="s">
        <v>105</v>
      </c>
      <c r="C67" s="33" t="s">
        <v>672</v>
      </c>
      <c r="D67" s="33" t="s">
        <v>105</v>
      </c>
      <c r="E67">
        <v>11</v>
      </c>
      <c r="F67" s="34">
        <v>5.5243055555555552E-2</v>
      </c>
      <c r="G67" s="34">
        <v>5.0220959595959598E-3</v>
      </c>
      <c r="H67" s="34">
        <v>0.26732638888888888</v>
      </c>
      <c r="I67" s="34">
        <v>0.12956018518518519</v>
      </c>
      <c r="J67" s="35">
        <v>0.48465168636619477</v>
      </c>
      <c r="K67" s="33" t="s">
        <v>671</v>
      </c>
      <c r="L67" s="33" t="s">
        <v>601</v>
      </c>
    </row>
    <row r="68" spans="1:12" x14ac:dyDescent="0.25">
      <c r="A68" s="32">
        <v>46235</v>
      </c>
      <c r="B68" s="33" t="s">
        <v>105</v>
      </c>
      <c r="C68" s="33" t="s">
        <v>674</v>
      </c>
      <c r="D68" s="33" t="s">
        <v>105</v>
      </c>
      <c r="E68">
        <v>13</v>
      </c>
      <c r="F68" s="34">
        <v>0.13223379629629631</v>
      </c>
      <c r="G68" s="34">
        <v>1.0171830484330483E-2</v>
      </c>
      <c r="H68" s="34">
        <v>0.26082175925925927</v>
      </c>
      <c r="I68" s="34">
        <v>0.12265046296296296</v>
      </c>
      <c r="J68" s="35">
        <v>0.47024628355890835</v>
      </c>
      <c r="K68" s="33" t="s">
        <v>673</v>
      </c>
      <c r="L68" s="33" t="s">
        <v>104</v>
      </c>
    </row>
    <row r="69" spans="1:12" x14ac:dyDescent="0.25">
      <c r="A69" s="32">
        <v>46235</v>
      </c>
      <c r="B69" s="33" t="s">
        <v>105</v>
      </c>
      <c r="C69" s="33" t="s">
        <v>549</v>
      </c>
      <c r="D69" s="33" t="s">
        <v>105</v>
      </c>
      <c r="E69">
        <v>9</v>
      </c>
      <c r="F69" s="34">
        <v>0.16128472222222223</v>
      </c>
      <c r="G69" s="34">
        <v>1.7920524691358023E-2</v>
      </c>
      <c r="H69" s="34">
        <v>0.25510416666666669</v>
      </c>
      <c r="I69" s="34">
        <v>4.2268518518518518E-2</v>
      </c>
      <c r="J69" s="35">
        <v>0.165691211832494</v>
      </c>
      <c r="K69" s="33" t="s">
        <v>225</v>
      </c>
      <c r="L69" s="33" t="s">
        <v>601</v>
      </c>
    </row>
    <row r="70" spans="1:12" x14ac:dyDescent="0.25">
      <c r="A70" s="32">
        <v>46235</v>
      </c>
      <c r="B70" s="33" t="s">
        <v>105</v>
      </c>
      <c r="C70" s="33" t="s">
        <v>571</v>
      </c>
      <c r="D70" s="33" t="s">
        <v>105</v>
      </c>
      <c r="E70">
        <v>15</v>
      </c>
      <c r="F70" s="34">
        <v>0.18912037037037038</v>
      </c>
      <c r="G70" s="34">
        <v>1.2608024691358024E-2</v>
      </c>
      <c r="H70" s="34">
        <v>0.26815972222222223</v>
      </c>
      <c r="I70" s="34">
        <v>4.5868055555555558E-2</v>
      </c>
      <c r="J70" s="35">
        <v>0.17104752039362942</v>
      </c>
      <c r="K70" s="33" t="s">
        <v>299</v>
      </c>
      <c r="L70" s="33" t="s">
        <v>104</v>
      </c>
    </row>
    <row r="71" spans="1:12" x14ac:dyDescent="0.25">
      <c r="A71" s="32">
        <v>46235</v>
      </c>
      <c r="B71" s="33" t="s">
        <v>105</v>
      </c>
      <c r="C71" s="33" t="s">
        <v>676</v>
      </c>
      <c r="D71" s="33" t="s">
        <v>105</v>
      </c>
      <c r="E71">
        <v>10</v>
      </c>
      <c r="F71" s="34">
        <v>0.21887731481481482</v>
      </c>
      <c r="G71" s="34">
        <v>2.188773148148148E-2</v>
      </c>
      <c r="H71" s="34">
        <v>0.27881944444444445</v>
      </c>
      <c r="I71" s="34">
        <v>5.1412037037037034E-2</v>
      </c>
      <c r="J71" s="35">
        <v>0.18439186384391865</v>
      </c>
      <c r="K71" s="33" t="s">
        <v>675</v>
      </c>
      <c r="L71" s="33" t="s">
        <v>104</v>
      </c>
    </row>
    <row r="72" spans="1:12" x14ac:dyDescent="0.25">
      <c r="A72" s="32">
        <v>46235</v>
      </c>
      <c r="B72" s="33" t="s">
        <v>32</v>
      </c>
      <c r="C72" s="33" t="s">
        <v>644</v>
      </c>
      <c r="D72" s="33" t="s">
        <v>32</v>
      </c>
      <c r="E72">
        <v>12</v>
      </c>
      <c r="F72" s="34">
        <v>0.11768518518518518</v>
      </c>
      <c r="G72" s="34">
        <v>9.8070987654320999E-3</v>
      </c>
      <c r="H72" s="34">
        <v>0.25457175925925923</v>
      </c>
      <c r="I72" s="34">
        <v>3.9803240740740743E-2</v>
      </c>
      <c r="J72" s="35">
        <v>0.15635371675380769</v>
      </c>
      <c r="K72" s="33" t="s">
        <v>643</v>
      </c>
      <c r="L72" s="33" t="s">
        <v>233</v>
      </c>
    </row>
    <row r="73" spans="1:12" x14ac:dyDescent="0.25">
      <c r="A73" s="32">
        <v>46235</v>
      </c>
      <c r="B73" s="33" t="s">
        <v>32</v>
      </c>
      <c r="C73" s="33" t="s">
        <v>563</v>
      </c>
      <c r="D73" s="33" t="s">
        <v>147</v>
      </c>
      <c r="E73">
        <v>4</v>
      </c>
      <c r="F73" s="34">
        <v>1.9583333333333335E-2</v>
      </c>
      <c r="G73" s="34">
        <v>4.8958333333333336E-3</v>
      </c>
      <c r="H73" s="34">
        <v>0.1883657587548638</v>
      </c>
      <c r="I73" s="34">
        <v>2.3427186914540998E-2</v>
      </c>
      <c r="J73" s="35">
        <v>0.12437072995325422</v>
      </c>
      <c r="K73" s="33" t="s">
        <v>193</v>
      </c>
      <c r="L73" s="33" t="s">
        <v>274</v>
      </c>
    </row>
    <row r="74" spans="1:12" x14ac:dyDescent="0.25">
      <c r="A74" s="32">
        <v>46235</v>
      </c>
      <c r="B74" s="33" t="s">
        <v>32</v>
      </c>
      <c r="C74" s="33" t="s">
        <v>525</v>
      </c>
      <c r="D74" s="33" t="s">
        <v>32</v>
      </c>
      <c r="E74">
        <v>23</v>
      </c>
      <c r="F74" s="34">
        <v>8.9826388888888886E-2</v>
      </c>
      <c r="G74" s="34">
        <v>3.9054951690821252E-3</v>
      </c>
      <c r="H74" s="34">
        <v>0.25962962962962965</v>
      </c>
      <c r="I74" s="34">
        <v>5.7037037037037039E-2</v>
      </c>
      <c r="J74" s="35">
        <v>0.21968616262482168</v>
      </c>
      <c r="K74" s="33" t="s">
        <v>231</v>
      </c>
      <c r="L74" s="33" t="s">
        <v>233</v>
      </c>
    </row>
    <row r="75" spans="1:12" x14ac:dyDescent="0.25">
      <c r="A75" s="32">
        <v>46235</v>
      </c>
      <c r="B75" s="33" t="s">
        <v>32</v>
      </c>
      <c r="C75" s="33" t="s">
        <v>550</v>
      </c>
      <c r="D75" s="33" t="s">
        <v>32</v>
      </c>
      <c r="E75">
        <v>23</v>
      </c>
      <c r="F75" s="34">
        <v>5.9143518518518519E-2</v>
      </c>
      <c r="G75" s="34">
        <v>2.5714573268921094E-3</v>
      </c>
      <c r="H75" s="34">
        <v>0.27071759259259259</v>
      </c>
      <c r="I75" s="34">
        <v>4.3402777777777776E-2</v>
      </c>
      <c r="J75" s="35">
        <v>0.16032492518170158</v>
      </c>
      <c r="K75" s="33" t="s">
        <v>234</v>
      </c>
      <c r="L75" s="33" t="s">
        <v>233</v>
      </c>
    </row>
    <row r="76" spans="1:12" x14ac:dyDescent="0.25">
      <c r="A76" s="32">
        <v>46235</v>
      </c>
      <c r="B76" s="33" t="s">
        <v>32</v>
      </c>
      <c r="C76" s="33" t="s">
        <v>505</v>
      </c>
      <c r="D76" s="33" t="s">
        <v>32</v>
      </c>
      <c r="E76">
        <v>24</v>
      </c>
      <c r="F76" s="34">
        <v>7.8842592592592589E-2</v>
      </c>
      <c r="G76" s="34">
        <v>3.2851080246913576E-3</v>
      </c>
      <c r="H76" s="34">
        <v>0.25571759259259258</v>
      </c>
      <c r="I76" s="34">
        <v>3.9421296296296295E-2</v>
      </c>
      <c r="J76" s="35">
        <v>0.1541595003168281</v>
      </c>
      <c r="K76" s="33" t="s">
        <v>34</v>
      </c>
      <c r="L76" s="33" t="s">
        <v>233</v>
      </c>
    </row>
    <row r="77" spans="1:12" x14ac:dyDescent="0.25">
      <c r="A77" s="32">
        <v>46235</v>
      </c>
      <c r="B77" s="33" t="s">
        <v>32</v>
      </c>
      <c r="C77" s="33" t="s">
        <v>551</v>
      </c>
      <c r="D77" s="33" t="s">
        <v>32</v>
      </c>
      <c r="E77">
        <v>3</v>
      </c>
      <c r="F77" s="34">
        <v>1.3587962962962963E-2</v>
      </c>
      <c r="G77" s="34">
        <v>4.529320987654321E-3</v>
      </c>
      <c r="H77" s="34">
        <v>0.14228009259259258</v>
      </c>
      <c r="I77" s="34">
        <v>0.10108796296296296</v>
      </c>
      <c r="J77" s="35">
        <v>0.71048564223541855</v>
      </c>
      <c r="K77" s="33" t="s">
        <v>236</v>
      </c>
      <c r="L77" s="33" t="s">
        <v>233</v>
      </c>
    </row>
    <row r="78" spans="1:12" x14ac:dyDescent="0.25">
      <c r="A78" s="32">
        <v>46235</v>
      </c>
      <c r="B78" s="33" t="s">
        <v>32</v>
      </c>
      <c r="C78" s="33" t="s">
        <v>526</v>
      </c>
      <c r="D78" s="33" t="s">
        <v>32</v>
      </c>
      <c r="E78">
        <v>3</v>
      </c>
      <c r="F78" s="34">
        <v>7.7546296296296295E-3</v>
      </c>
      <c r="G78" s="34">
        <v>2.5848765432098767E-3</v>
      </c>
      <c r="H78" s="34">
        <v>0.22598379629629631</v>
      </c>
      <c r="I78" s="34">
        <v>0.20126157407407408</v>
      </c>
      <c r="J78" s="35">
        <v>0.8906017925736236</v>
      </c>
      <c r="K78" s="33" t="s">
        <v>238</v>
      </c>
      <c r="L78" s="33" t="s">
        <v>233</v>
      </c>
    </row>
    <row r="79" spans="1:12" x14ac:dyDescent="0.25">
      <c r="A79" s="32">
        <v>46235</v>
      </c>
      <c r="B79" s="33" t="s">
        <v>32</v>
      </c>
      <c r="C79" s="33" t="s">
        <v>514</v>
      </c>
      <c r="D79" s="33" t="s">
        <v>147</v>
      </c>
      <c r="E79">
        <v>7</v>
      </c>
      <c r="F79" s="34">
        <v>9.0046296296296298E-3</v>
      </c>
      <c r="G79" s="34">
        <v>1.2863756613756612E-3</v>
      </c>
      <c r="H79" s="34">
        <v>8.1645548574368024E-2</v>
      </c>
      <c r="I79" s="34">
        <v>1.4318075764256319E-2</v>
      </c>
      <c r="J79" s="35">
        <v>0.17536872510831983</v>
      </c>
      <c r="K79" s="33" t="s">
        <v>150</v>
      </c>
      <c r="L79" s="33" t="s">
        <v>146</v>
      </c>
    </row>
    <row r="80" spans="1:12" x14ac:dyDescent="0.25">
      <c r="A80" s="32">
        <v>46235</v>
      </c>
      <c r="B80" s="33" t="s">
        <v>32</v>
      </c>
      <c r="C80" s="33" t="s">
        <v>515</v>
      </c>
      <c r="D80" s="33" t="s">
        <v>147</v>
      </c>
      <c r="E80">
        <v>6</v>
      </c>
      <c r="F80" s="34">
        <v>1.2534722222222221E-2</v>
      </c>
      <c r="G80" s="34">
        <v>2.0891203703703705E-3</v>
      </c>
      <c r="H80" s="34">
        <v>0.10383164860146957</v>
      </c>
      <c r="I80" s="34">
        <v>2.310016035399667E-2</v>
      </c>
      <c r="J80" s="35">
        <v>0.22247706422018351</v>
      </c>
      <c r="K80" s="33" t="s">
        <v>154</v>
      </c>
      <c r="L80" s="33" t="s">
        <v>146</v>
      </c>
    </row>
    <row r="81" spans="1:12" x14ac:dyDescent="0.25">
      <c r="A81" s="32">
        <v>46235</v>
      </c>
      <c r="B81" s="33" t="s">
        <v>32</v>
      </c>
      <c r="C81" s="33" t="s">
        <v>506</v>
      </c>
      <c r="D81" s="33" t="s">
        <v>32</v>
      </c>
      <c r="E81">
        <v>17</v>
      </c>
      <c r="F81" s="34">
        <v>0.10821759259259259</v>
      </c>
      <c r="G81" s="34">
        <v>6.3657407407407404E-3</v>
      </c>
      <c r="H81" s="34">
        <v>0.24781249999999999</v>
      </c>
      <c r="I81" s="34">
        <v>2.9930555555555554E-2</v>
      </c>
      <c r="J81" s="35">
        <v>0.1207790388118257</v>
      </c>
      <c r="K81" s="33" t="s">
        <v>44</v>
      </c>
      <c r="L81" s="33" t="s">
        <v>100</v>
      </c>
    </row>
    <row r="82" spans="1:12" x14ac:dyDescent="0.25">
      <c r="A82" s="32">
        <v>46235</v>
      </c>
      <c r="B82" s="33" t="s">
        <v>32</v>
      </c>
      <c r="C82" s="33" t="s">
        <v>527</v>
      </c>
      <c r="D82" s="33" t="s">
        <v>32</v>
      </c>
      <c r="E82">
        <v>2</v>
      </c>
      <c r="F82" s="34">
        <v>9.8842592592592593E-3</v>
      </c>
      <c r="G82" s="34">
        <v>4.9421296296296297E-3</v>
      </c>
      <c r="H82" s="34">
        <v>0.21841435185185185</v>
      </c>
      <c r="I82" s="34">
        <v>0.19186342592592592</v>
      </c>
      <c r="J82" s="35">
        <v>0.87843781463621429</v>
      </c>
      <c r="K82" s="33" t="s">
        <v>240</v>
      </c>
      <c r="L82" s="33" t="s">
        <v>233</v>
      </c>
    </row>
    <row r="83" spans="1:12" x14ac:dyDescent="0.25">
      <c r="A83" s="32">
        <v>46235</v>
      </c>
      <c r="B83" s="33" t="s">
        <v>32</v>
      </c>
      <c r="C83" s="33" t="s">
        <v>646</v>
      </c>
      <c r="D83" s="33" t="s">
        <v>32</v>
      </c>
      <c r="E83">
        <v>14</v>
      </c>
      <c r="F83" s="34">
        <v>5.8483796296296298E-2</v>
      </c>
      <c r="G83" s="34">
        <v>4.177414021164021E-3</v>
      </c>
      <c r="H83" s="34">
        <v>0.23895833333333333</v>
      </c>
      <c r="I83" s="34">
        <v>2.8680555555555556E-2</v>
      </c>
      <c r="J83" s="35">
        <v>0.12002324905550713</v>
      </c>
      <c r="K83" s="33" t="s">
        <v>645</v>
      </c>
      <c r="L83" s="33" t="s">
        <v>100</v>
      </c>
    </row>
    <row r="84" spans="1:12" x14ac:dyDescent="0.25">
      <c r="A84" s="32">
        <v>46235</v>
      </c>
      <c r="B84" s="33" t="s">
        <v>32</v>
      </c>
      <c r="C84" s="33" t="s">
        <v>544</v>
      </c>
      <c r="D84" s="33" t="s">
        <v>147</v>
      </c>
      <c r="E84">
        <v>3</v>
      </c>
      <c r="F84" s="34">
        <v>2.9513888888888888E-3</v>
      </c>
      <c r="G84" s="34">
        <v>9.837962962962962E-4</v>
      </c>
      <c r="H84" s="34">
        <v>7.8463925394928982E-2</v>
      </c>
      <c r="I84" s="34">
        <v>1.808563155449356E-2</v>
      </c>
      <c r="J84" s="35">
        <v>0.23049613517886031</v>
      </c>
      <c r="K84" s="33" t="s">
        <v>160</v>
      </c>
      <c r="L84" s="33" t="s">
        <v>146</v>
      </c>
    </row>
    <row r="85" spans="1:12" x14ac:dyDescent="0.25">
      <c r="A85" s="32">
        <v>46235</v>
      </c>
      <c r="B85" s="33" t="s">
        <v>32</v>
      </c>
      <c r="C85" s="33" t="s">
        <v>558</v>
      </c>
      <c r="D85" s="33" t="s">
        <v>32</v>
      </c>
      <c r="E85">
        <v>19</v>
      </c>
      <c r="F85" s="34">
        <v>7.4618055555555562E-2</v>
      </c>
      <c r="G85" s="34">
        <v>3.9272660818713452E-3</v>
      </c>
      <c r="H85" s="34">
        <v>0.26371527777777776</v>
      </c>
      <c r="I85" s="34">
        <v>5.8541666666666665E-2</v>
      </c>
      <c r="J85" s="35">
        <v>0.22198815009874917</v>
      </c>
      <c r="K85" s="33" t="s">
        <v>120</v>
      </c>
      <c r="L85" s="33" t="s">
        <v>233</v>
      </c>
    </row>
    <row r="86" spans="1:12" x14ac:dyDescent="0.25">
      <c r="A86" s="32">
        <v>46235</v>
      </c>
      <c r="B86" s="33" t="s">
        <v>32</v>
      </c>
      <c r="C86" s="33" t="s">
        <v>507</v>
      </c>
      <c r="D86" s="33" t="s">
        <v>32</v>
      </c>
      <c r="E86">
        <v>17</v>
      </c>
      <c r="F86" s="34">
        <v>9.4918981481481479E-2</v>
      </c>
      <c r="G86" s="34">
        <v>5.5834694989106756E-3</v>
      </c>
      <c r="H86" s="34">
        <v>0.25762731481481482</v>
      </c>
      <c r="I86" s="34">
        <v>3.2650462962962964E-2</v>
      </c>
      <c r="J86" s="35">
        <v>0.12673525315602677</v>
      </c>
      <c r="K86" s="33" t="s">
        <v>46</v>
      </c>
      <c r="L86" s="33" t="s">
        <v>100</v>
      </c>
    </row>
    <row r="87" spans="1:12" x14ac:dyDescent="0.25">
      <c r="A87" s="32">
        <v>46235</v>
      </c>
      <c r="B87" s="33" t="s">
        <v>32</v>
      </c>
      <c r="C87" s="33" t="s">
        <v>517</v>
      </c>
      <c r="D87" s="33" t="s">
        <v>147</v>
      </c>
      <c r="E87">
        <v>1</v>
      </c>
      <c r="F87" s="34">
        <v>2.199074074074074E-4</v>
      </c>
      <c r="G87" s="34">
        <v>2.199074074074074E-4</v>
      </c>
      <c r="H87" s="34">
        <v>1.1141812051472407E-3</v>
      </c>
      <c r="I87" s="34">
        <v>2.925894992988534E-4</v>
      </c>
      <c r="J87" s="35">
        <v>0.26260494966811726</v>
      </c>
      <c r="K87" s="33" t="s">
        <v>499</v>
      </c>
      <c r="L87" s="33" t="s">
        <v>146</v>
      </c>
    </row>
    <row r="88" spans="1:12" x14ac:dyDescent="0.25">
      <c r="A88" s="32">
        <v>46235</v>
      </c>
      <c r="B88" s="33" t="s">
        <v>32</v>
      </c>
      <c r="C88" s="33" t="s">
        <v>648</v>
      </c>
      <c r="D88" s="33" t="s">
        <v>32</v>
      </c>
      <c r="E88">
        <v>29</v>
      </c>
      <c r="F88" s="34">
        <v>9.7453703703703709E-2</v>
      </c>
      <c r="G88" s="34">
        <v>3.3604725415070243E-3</v>
      </c>
      <c r="H88" s="34">
        <v>0.26295138888888892</v>
      </c>
      <c r="I88" s="34">
        <v>2.6875E-2</v>
      </c>
      <c r="J88" s="35">
        <v>0.10220520269378054</v>
      </c>
      <c r="K88" s="33" t="s">
        <v>647</v>
      </c>
      <c r="L88" s="33" t="s">
        <v>233</v>
      </c>
    </row>
    <row r="89" spans="1:12" x14ac:dyDescent="0.25">
      <c r="A89" s="32">
        <v>46235</v>
      </c>
      <c r="B89" s="33" t="s">
        <v>32</v>
      </c>
      <c r="C89" s="33" t="s">
        <v>652</v>
      </c>
      <c r="D89" s="33" t="s">
        <v>32</v>
      </c>
      <c r="E89">
        <v>12</v>
      </c>
      <c r="F89" s="34">
        <v>0.11121527777777777</v>
      </c>
      <c r="G89" s="34">
        <v>9.2679398148148157E-3</v>
      </c>
      <c r="H89" s="34">
        <v>0.24902777777777776</v>
      </c>
      <c r="I89" s="34">
        <v>3.9004629629629632E-2</v>
      </c>
      <c r="J89" s="35">
        <v>0.15662762595277932</v>
      </c>
      <c r="K89" s="33" t="s">
        <v>651</v>
      </c>
      <c r="L89" s="33" t="s">
        <v>100</v>
      </c>
    </row>
    <row r="90" spans="1:12" x14ac:dyDescent="0.25">
      <c r="A90" s="32">
        <v>46235</v>
      </c>
      <c r="B90" s="33" t="s">
        <v>32</v>
      </c>
      <c r="C90" s="33" t="s">
        <v>568</v>
      </c>
      <c r="D90" s="33" t="s">
        <v>32</v>
      </c>
      <c r="E90">
        <v>19</v>
      </c>
      <c r="F90" s="34">
        <v>6.2511574074074081E-2</v>
      </c>
      <c r="G90" s="34">
        <v>3.2900828460038986E-3</v>
      </c>
      <c r="H90" s="34">
        <v>0.26370370370370372</v>
      </c>
      <c r="I90" s="34">
        <v>6.3715277777777773E-2</v>
      </c>
      <c r="J90" s="35">
        <v>0.24161692415730338</v>
      </c>
      <c r="K90" s="33" t="s">
        <v>246</v>
      </c>
      <c r="L90" s="33" t="s">
        <v>233</v>
      </c>
    </row>
    <row r="91" spans="1:12" x14ac:dyDescent="0.25">
      <c r="A91" s="32">
        <v>46235</v>
      </c>
      <c r="B91" s="33" t="s">
        <v>32</v>
      </c>
      <c r="C91" s="33" t="s">
        <v>603</v>
      </c>
      <c r="D91" s="33" t="s">
        <v>32</v>
      </c>
      <c r="E91">
        <v>24</v>
      </c>
      <c r="F91" s="34">
        <v>9.7673611111111114E-2</v>
      </c>
      <c r="G91" s="34">
        <v>4.0697337962962961E-3</v>
      </c>
      <c r="H91" s="34">
        <v>0.26293981481481482</v>
      </c>
      <c r="I91" s="34">
        <v>1.8518518518518519E-3</v>
      </c>
      <c r="J91" s="35">
        <v>7.0428734923848931E-3</v>
      </c>
      <c r="K91" s="33" t="s">
        <v>242</v>
      </c>
      <c r="L91" s="33" t="s">
        <v>233</v>
      </c>
    </row>
    <row r="92" spans="1:12" x14ac:dyDescent="0.25">
      <c r="A92" s="32">
        <v>46235</v>
      </c>
      <c r="B92" s="33" t="s">
        <v>32</v>
      </c>
      <c r="C92" s="33" t="s">
        <v>518</v>
      </c>
      <c r="D92" s="33" t="s">
        <v>147</v>
      </c>
      <c r="E92">
        <v>2</v>
      </c>
      <c r="F92" s="34">
        <v>1.0567129629629629E-2</v>
      </c>
      <c r="G92" s="34">
        <v>5.2835648148148147E-3</v>
      </c>
      <c r="H92" s="34">
        <v>7.5928888097999928E-2</v>
      </c>
      <c r="I92" s="34">
        <v>8.7418677575075866E-3</v>
      </c>
      <c r="J92" s="35">
        <v>0.11513230308633822</v>
      </c>
      <c r="K92" s="33" t="s">
        <v>500</v>
      </c>
      <c r="L92" s="33" t="s">
        <v>274</v>
      </c>
    </row>
    <row r="93" spans="1:12" x14ac:dyDescent="0.25">
      <c r="A93" s="32">
        <v>46235</v>
      </c>
      <c r="B93" s="33" t="s">
        <v>32</v>
      </c>
      <c r="C93" s="33" t="s">
        <v>654</v>
      </c>
      <c r="D93" s="33" t="s">
        <v>32</v>
      </c>
      <c r="E93">
        <v>11</v>
      </c>
      <c r="F93" s="34">
        <v>0.18156249999999999</v>
      </c>
      <c r="G93" s="34">
        <v>1.6505681818181819E-2</v>
      </c>
      <c r="H93" s="34">
        <v>0.25890046296296299</v>
      </c>
      <c r="I93" s="34">
        <v>3.6145833333333335E-2</v>
      </c>
      <c r="J93" s="35">
        <v>0.13961285707899326</v>
      </c>
      <c r="K93" s="33" t="s">
        <v>653</v>
      </c>
      <c r="L93" s="33" t="s">
        <v>100</v>
      </c>
    </row>
    <row r="94" spans="1:12" x14ac:dyDescent="0.25">
      <c r="A94" s="32">
        <v>46235</v>
      </c>
      <c r="B94" s="33" t="s">
        <v>32</v>
      </c>
      <c r="C94" s="33" t="s">
        <v>519</v>
      </c>
      <c r="D94" s="33" t="s">
        <v>147</v>
      </c>
      <c r="E94">
        <v>5</v>
      </c>
      <c r="F94" s="34">
        <v>2.2835648148148147E-2</v>
      </c>
      <c r="G94" s="34">
        <v>4.5671296296296302E-3</v>
      </c>
      <c r="H94" s="34">
        <v>0.1689675273759835</v>
      </c>
      <c r="I94" s="34">
        <v>3.0363721274707354E-2</v>
      </c>
      <c r="J94" s="35">
        <v>0.17970151866602477</v>
      </c>
      <c r="K94" s="33" t="s">
        <v>164</v>
      </c>
      <c r="L94" s="33" t="s">
        <v>146</v>
      </c>
    </row>
    <row r="95" spans="1:12" x14ac:dyDescent="0.25">
      <c r="A95" s="32">
        <v>46235</v>
      </c>
      <c r="B95" s="33" t="s">
        <v>32</v>
      </c>
      <c r="C95" s="33" t="s">
        <v>656</v>
      </c>
      <c r="D95" s="33" t="s">
        <v>32</v>
      </c>
      <c r="E95">
        <v>16</v>
      </c>
      <c r="F95" s="34">
        <v>7.6817129629629624E-2</v>
      </c>
      <c r="G95" s="34">
        <v>4.8010706018518515E-3</v>
      </c>
      <c r="H95" s="34">
        <v>0.25579861111111113</v>
      </c>
      <c r="I95" s="34">
        <v>3.8124999999999999E-2</v>
      </c>
      <c r="J95" s="35">
        <v>0.14904302972716166</v>
      </c>
      <c r="K95" s="33" t="s">
        <v>655</v>
      </c>
      <c r="L95" s="33" t="s">
        <v>100</v>
      </c>
    </row>
    <row r="96" spans="1:12" x14ac:dyDescent="0.25">
      <c r="A96" s="32">
        <v>46235</v>
      </c>
      <c r="B96" s="33" t="s">
        <v>32</v>
      </c>
      <c r="C96" s="33" t="s">
        <v>167</v>
      </c>
      <c r="D96" s="33" t="s">
        <v>147</v>
      </c>
      <c r="E96">
        <v>8</v>
      </c>
      <c r="F96" s="34">
        <v>1.5856481481481482E-2</v>
      </c>
      <c r="G96" s="34">
        <v>1.9820601851851852E-3</v>
      </c>
      <c r="H96" s="34">
        <v>0.11355385578815531</v>
      </c>
      <c r="I96" s="34">
        <v>2.0381068467823702E-2</v>
      </c>
      <c r="J96" s="35">
        <v>0.17948372009354199</v>
      </c>
      <c r="K96" s="33" t="s">
        <v>166</v>
      </c>
      <c r="L96" s="33" t="s">
        <v>146</v>
      </c>
    </row>
    <row r="97" spans="1:12" x14ac:dyDescent="0.25">
      <c r="A97" s="32">
        <v>46235</v>
      </c>
      <c r="B97" s="33" t="s">
        <v>32</v>
      </c>
      <c r="C97" s="33" t="s">
        <v>658</v>
      </c>
      <c r="D97" s="33" t="s">
        <v>147</v>
      </c>
      <c r="E97">
        <v>5</v>
      </c>
      <c r="F97" s="34">
        <v>1.4421296296296297E-2</v>
      </c>
      <c r="G97" s="34">
        <v>2.8842592592592592E-3</v>
      </c>
      <c r="H97" s="34">
        <v>0.10576098957173605</v>
      </c>
      <c r="I97" s="34">
        <v>1.4609148853262078E-2</v>
      </c>
      <c r="J97" s="35">
        <v>0.13813362481213282</v>
      </c>
      <c r="K97" s="33" t="s">
        <v>657</v>
      </c>
      <c r="L97" s="33" t="s">
        <v>274</v>
      </c>
    </row>
    <row r="98" spans="1:12" x14ac:dyDescent="0.25">
      <c r="A98" s="32">
        <v>46235</v>
      </c>
      <c r="B98" s="33" t="s">
        <v>32</v>
      </c>
      <c r="C98" s="33" t="s">
        <v>660</v>
      </c>
      <c r="D98" s="33" t="s">
        <v>32</v>
      </c>
      <c r="E98">
        <v>21</v>
      </c>
      <c r="F98" s="34">
        <v>9.0300925925925923E-2</v>
      </c>
      <c r="G98" s="34">
        <v>4.3000440917107582E-3</v>
      </c>
      <c r="H98" s="34">
        <v>0.25342592592592594</v>
      </c>
      <c r="I98" s="34">
        <v>4.2094907407407407E-2</v>
      </c>
      <c r="J98" s="35">
        <v>0.16610339788089148</v>
      </c>
      <c r="K98" s="33" t="s">
        <v>659</v>
      </c>
      <c r="L98" s="33" t="s">
        <v>100</v>
      </c>
    </row>
    <row r="99" spans="1:12" x14ac:dyDescent="0.25">
      <c r="A99" s="32">
        <v>46235</v>
      </c>
      <c r="B99" s="33" t="s">
        <v>32</v>
      </c>
      <c r="C99" s="33" t="s">
        <v>528</v>
      </c>
      <c r="D99" s="33" t="s">
        <v>32</v>
      </c>
      <c r="E99">
        <v>16</v>
      </c>
      <c r="F99" s="34">
        <v>0.10538194444444444</v>
      </c>
      <c r="G99" s="34">
        <v>6.5863715277777778E-3</v>
      </c>
      <c r="H99" s="34">
        <v>0.26457175925925924</v>
      </c>
      <c r="I99" s="34">
        <v>6.3101851851851853E-2</v>
      </c>
      <c r="J99" s="35">
        <v>0.23850562141825976</v>
      </c>
      <c r="K99" s="33" t="s">
        <v>254</v>
      </c>
      <c r="L99" s="33" t="s">
        <v>233</v>
      </c>
    </row>
    <row r="100" spans="1:12" x14ac:dyDescent="0.25">
      <c r="A100" s="32">
        <v>46235</v>
      </c>
      <c r="B100" s="33" t="s">
        <v>32</v>
      </c>
      <c r="C100" s="33" t="s">
        <v>520</v>
      </c>
      <c r="D100" s="33" t="s">
        <v>147</v>
      </c>
      <c r="E100">
        <v>3</v>
      </c>
      <c r="F100" s="34">
        <v>1.2326388888888888E-2</v>
      </c>
      <c r="G100" s="34">
        <v>4.1087962962962962E-3</v>
      </c>
      <c r="H100" s="34">
        <v>0.13074074074074074</v>
      </c>
      <c r="I100" s="34">
        <v>2.0416666666666666E-2</v>
      </c>
      <c r="J100" s="35">
        <v>0.15616147308781869</v>
      </c>
      <c r="K100" s="33" t="s">
        <v>168</v>
      </c>
      <c r="L100" s="33" t="s">
        <v>274</v>
      </c>
    </row>
    <row r="101" spans="1:12" x14ac:dyDescent="0.25">
      <c r="A101" s="32">
        <v>46235</v>
      </c>
      <c r="B101" s="33" t="s">
        <v>32</v>
      </c>
      <c r="C101" s="33" t="s">
        <v>521</v>
      </c>
      <c r="D101" s="33" t="s">
        <v>147</v>
      </c>
      <c r="E101">
        <v>5</v>
      </c>
      <c r="F101" s="34">
        <v>1.2789351851851852E-2</v>
      </c>
      <c r="G101" s="34">
        <v>2.5578703703703705E-3</v>
      </c>
      <c r="H101" s="34">
        <v>8.5233942111402741E-2</v>
      </c>
      <c r="I101" s="34">
        <v>1.9145295640128318E-2</v>
      </c>
      <c r="J101" s="35">
        <v>0.2246205580296283</v>
      </c>
      <c r="K101" s="33" t="s">
        <v>170</v>
      </c>
      <c r="L101" s="33" t="s">
        <v>146</v>
      </c>
    </row>
    <row r="102" spans="1:12" x14ac:dyDescent="0.25">
      <c r="A102" s="32">
        <v>46235</v>
      </c>
      <c r="B102" s="33" t="s">
        <v>32</v>
      </c>
      <c r="C102" s="33" t="s">
        <v>633</v>
      </c>
      <c r="D102" s="33" t="s">
        <v>147</v>
      </c>
      <c r="E102">
        <v>2</v>
      </c>
      <c r="F102" s="34">
        <v>1.0497685185185185E-2</v>
      </c>
      <c r="G102" s="34">
        <v>5.2488425925925923E-3</v>
      </c>
      <c r="H102" s="34">
        <v>0.11510302641833609</v>
      </c>
      <c r="I102" s="34">
        <v>2.4414272145172434E-2</v>
      </c>
      <c r="J102" s="35">
        <v>0.21210799494046323</v>
      </c>
      <c r="K102" s="33" t="s">
        <v>606</v>
      </c>
      <c r="L102" s="33" t="s">
        <v>146</v>
      </c>
    </row>
    <row r="103" spans="1:12" x14ac:dyDescent="0.25">
      <c r="A103" s="32">
        <v>46235</v>
      </c>
      <c r="B103" s="33" t="s">
        <v>32</v>
      </c>
      <c r="C103" s="33" t="s">
        <v>554</v>
      </c>
      <c r="D103" s="33" t="s">
        <v>32</v>
      </c>
      <c r="E103">
        <v>1</v>
      </c>
      <c r="F103" s="34">
        <v>5.9722222222222225E-3</v>
      </c>
      <c r="G103" s="34">
        <v>5.9722222222222225E-3</v>
      </c>
      <c r="H103" s="34">
        <v>0.20333333333333334</v>
      </c>
      <c r="I103" s="34">
        <v>0.18802083333333333</v>
      </c>
      <c r="J103" s="35">
        <v>0.92469262295081966</v>
      </c>
      <c r="K103" s="33" t="s">
        <v>258</v>
      </c>
      <c r="L103" s="33" t="s">
        <v>233</v>
      </c>
    </row>
    <row r="104" spans="1:12" x14ac:dyDescent="0.25">
      <c r="A104" s="32">
        <v>46235</v>
      </c>
      <c r="B104" s="33" t="s">
        <v>32</v>
      </c>
      <c r="C104" s="33" t="s">
        <v>662</v>
      </c>
      <c r="D104" s="33" t="s">
        <v>32</v>
      </c>
      <c r="E104">
        <v>11</v>
      </c>
      <c r="F104" s="34">
        <v>0.1404050925925926</v>
      </c>
      <c r="G104" s="34">
        <v>1.2764099326599327E-2</v>
      </c>
      <c r="H104" s="34">
        <v>0.26231481481481483</v>
      </c>
      <c r="I104" s="34">
        <v>3.0034722222222223E-2</v>
      </c>
      <c r="J104" s="35">
        <v>0.11449876456053654</v>
      </c>
      <c r="K104" s="33" t="s">
        <v>661</v>
      </c>
      <c r="L104" s="33" t="s">
        <v>100</v>
      </c>
    </row>
    <row r="105" spans="1:12" x14ac:dyDescent="0.25">
      <c r="A105" s="32">
        <v>46235</v>
      </c>
      <c r="B105" s="33" t="s">
        <v>32</v>
      </c>
      <c r="C105" s="33" t="s">
        <v>664</v>
      </c>
      <c r="D105" s="33" t="s">
        <v>32</v>
      </c>
      <c r="E105">
        <v>15</v>
      </c>
      <c r="F105" s="34">
        <v>0.1162037037037037</v>
      </c>
      <c r="G105" s="34">
        <v>7.7469135802469141E-3</v>
      </c>
      <c r="H105" s="34">
        <v>0.24864583333333334</v>
      </c>
      <c r="I105" s="34">
        <v>4.0937500000000002E-2</v>
      </c>
      <c r="J105" s="35">
        <v>0.16464180980310011</v>
      </c>
      <c r="K105" s="33" t="s">
        <v>663</v>
      </c>
      <c r="L105" s="33" t="s">
        <v>233</v>
      </c>
    </row>
    <row r="106" spans="1:12" x14ac:dyDescent="0.25">
      <c r="A106" s="32">
        <v>46235</v>
      </c>
      <c r="B106" s="33" t="s">
        <v>32</v>
      </c>
      <c r="C106" s="33" t="s">
        <v>666</v>
      </c>
      <c r="D106" s="33" t="s">
        <v>32</v>
      </c>
      <c r="E106">
        <v>16</v>
      </c>
      <c r="F106" s="34">
        <v>8.0844907407407407E-2</v>
      </c>
      <c r="G106" s="34">
        <v>5.0528067129629629E-3</v>
      </c>
      <c r="H106" s="34">
        <v>0.26341435185185186</v>
      </c>
      <c r="I106" s="34">
        <v>3.0138888888888889E-2</v>
      </c>
      <c r="J106" s="35">
        <v>0.11441627488026715</v>
      </c>
      <c r="K106" s="33" t="s">
        <v>665</v>
      </c>
      <c r="L106" s="33" t="s">
        <v>100</v>
      </c>
    </row>
    <row r="107" spans="1:12" x14ac:dyDescent="0.25">
      <c r="A107" s="32">
        <v>46235</v>
      </c>
      <c r="B107" s="33" t="s">
        <v>32</v>
      </c>
      <c r="C107" s="33" t="s">
        <v>555</v>
      </c>
      <c r="D107" s="33" t="s">
        <v>32</v>
      </c>
      <c r="E107">
        <v>16</v>
      </c>
      <c r="F107" s="34">
        <v>6.2789351851851846E-2</v>
      </c>
      <c r="G107" s="34">
        <v>3.9243344907407404E-3</v>
      </c>
      <c r="H107" s="34">
        <v>0.24840277777777778</v>
      </c>
      <c r="I107" s="34">
        <v>5.9699074074074071E-2</v>
      </c>
      <c r="J107" s="35">
        <v>0.24033174913801136</v>
      </c>
      <c r="K107" s="33" t="s">
        <v>128</v>
      </c>
      <c r="L107" s="33" t="s">
        <v>233</v>
      </c>
    </row>
    <row r="108" spans="1:12" x14ac:dyDescent="0.25">
      <c r="A108" s="32">
        <v>46235</v>
      </c>
      <c r="B108" s="33" t="s">
        <v>32</v>
      </c>
      <c r="C108" s="33" t="s">
        <v>522</v>
      </c>
      <c r="D108" s="33" t="s">
        <v>147</v>
      </c>
      <c r="E108">
        <v>4</v>
      </c>
      <c r="F108" s="34">
        <v>2.1956018518518517E-2</v>
      </c>
      <c r="G108" s="34">
        <v>5.4890046296296293E-3</v>
      </c>
      <c r="H108" s="34">
        <v>0.13647708828782726</v>
      </c>
      <c r="I108" s="34">
        <v>2.7529789678597587E-2</v>
      </c>
      <c r="J108" s="35">
        <v>0.2017172993941507</v>
      </c>
      <c r="K108" s="33" t="s">
        <v>178</v>
      </c>
      <c r="L108" s="33" t="s">
        <v>146</v>
      </c>
    </row>
    <row r="109" spans="1:12" x14ac:dyDescent="0.25">
      <c r="A109" s="32">
        <v>46235</v>
      </c>
      <c r="B109" s="33" t="s">
        <v>32</v>
      </c>
      <c r="C109" s="33" t="s">
        <v>523</v>
      </c>
      <c r="D109" s="33" t="s">
        <v>147</v>
      </c>
      <c r="E109">
        <v>3</v>
      </c>
      <c r="F109" s="34">
        <v>1.40625E-2</v>
      </c>
      <c r="G109" s="34">
        <v>4.6874999999999998E-3</v>
      </c>
      <c r="H109" s="34">
        <v>6.7719202512776827E-2</v>
      </c>
      <c r="I109" s="34">
        <v>1.5769404812606472E-2</v>
      </c>
      <c r="J109" s="35">
        <v>0.23286459715220656</v>
      </c>
      <c r="K109" s="33" t="s">
        <v>180</v>
      </c>
      <c r="L109" s="33" t="s">
        <v>146</v>
      </c>
    </row>
    <row r="110" spans="1:12" x14ac:dyDescent="0.25">
      <c r="A110" s="32">
        <v>46235</v>
      </c>
      <c r="B110" s="33" t="s">
        <v>32</v>
      </c>
      <c r="C110" s="33" t="s">
        <v>566</v>
      </c>
      <c r="D110" s="33" t="s">
        <v>147</v>
      </c>
      <c r="E110">
        <v>2</v>
      </c>
      <c r="F110" s="34">
        <v>7.7546296296296295E-3</v>
      </c>
      <c r="G110" s="34">
        <v>3.8773148148148148E-3</v>
      </c>
      <c r="H110" s="34">
        <v>0.10722100011502185</v>
      </c>
      <c r="I110" s="34">
        <v>1.5480360018403498E-2</v>
      </c>
      <c r="J110" s="35">
        <v>0.14437806028480304</v>
      </c>
      <c r="K110" s="33" t="s">
        <v>207</v>
      </c>
      <c r="L110" s="33" t="s">
        <v>274</v>
      </c>
    </row>
    <row r="111" spans="1:12" x14ac:dyDescent="0.25">
      <c r="A111" s="32">
        <v>46235</v>
      </c>
      <c r="B111" s="33" t="s">
        <v>32</v>
      </c>
      <c r="C111" s="33" t="s">
        <v>510</v>
      </c>
      <c r="D111" s="33" t="s">
        <v>32</v>
      </c>
      <c r="E111">
        <v>19</v>
      </c>
      <c r="F111" s="34">
        <v>9.9826388888888895E-2</v>
      </c>
      <c r="G111" s="34">
        <v>5.2540204678362575E-3</v>
      </c>
      <c r="H111" s="34">
        <v>0.26268518518518519</v>
      </c>
      <c r="I111" s="34">
        <v>3.8113425925925926E-2</v>
      </c>
      <c r="J111" s="35">
        <v>0.14509164610504052</v>
      </c>
      <c r="K111" s="33" t="s">
        <v>60</v>
      </c>
      <c r="L111" s="33" t="s">
        <v>100</v>
      </c>
    </row>
    <row r="112" spans="1:12" x14ac:dyDescent="0.25">
      <c r="A112" s="32">
        <v>46235</v>
      </c>
      <c r="B112" s="33" t="s">
        <v>32</v>
      </c>
      <c r="C112" s="33" t="s">
        <v>524</v>
      </c>
      <c r="D112" s="33" t="s">
        <v>147</v>
      </c>
      <c r="E112">
        <v>3</v>
      </c>
      <c r="F112" s="34">
        <v>6.1689814814814819E-3</v>
      </c>
      <c r="G112" s="34">
        <v>2.0563271604938272E-3</v>
      </c>
      <c r="H112" s="34">
        <v>4.8739193553519147E-2</v>
      </c>
      <c r="I112" s="34">
        <v>5.4821258113783881E-3</v>
      </c>
      <c r="J112" s="35">
        <v>0.11247879605062852</v>
      </c>
      <c r="K112" s="33" t="s">
        <v>501</v>
      </c>
      <c r="L112" s="33" t="s">
        <v>274</v>
      </c>
    </row>
    <row r="113" spans="1:12" x14ac:dyDescent="0.25">
      <c r="A113" s="32">
        <v>46235</v>
      </c>
      <c r="B113" s="33" t="s">
        <v>32</v>
      </c>
      <c r="C113" s="33" t="s">
        <v>669</v>
      </c>
      <c r="D113" s="33" t="s">
        <v>32</v>
      </c>
      <c r="E113">
        <v>22</v>
      </c>
      <c r="F113" s="34">
        <v>9.0810185185185188E-2</v>
      </c>
      <c r="G113" s="34">
        <v>4.1277356902356902E-3</v>
      </c>
      <c r="H113" s="34">
        <v>0.26215277777777779</v>
      </c>
      <c r="I113" s="34">
        <v>3.5196759259259261E-2</v>
      </c>
      <c r="J113" s="35">
        <v>0.13426048565121412</v>
      </c>
      <c r="K113" s="33" t="s">
        <v>668</v>
      </c>
      <c r="L113" s="33" t="s">
        <v>233</v>
      </c>
    </row>
    <row r="114" spans="1:12" x14ac:dyDescent="0.25">
      <c r="A114" s="32">
        <v>46235</v>
      </c>
      <c r="B114" s="33" t="s">
        <v>32</v>
      </c>
      <c r="C114" s="33" t="s">
        <v>670</v>
      </c>
      <c r="D114" s="33" t="s">
        <v>32</v>
      </c>
      <c r="E114">
        <v>15</v>
      </c>
      <c r="F114" s="34">
        <v>8.2071759259259261E-2</v>
      </c>
      <c r="G114" s="34">
        <v>5.4714506172839506E-3</v>
      </c>
      <c r="H114" s="34">
        <v>0.26104166666666667</v>
      </c>
      <c r="I114" s="34">
        <v>4.8321759259259259E-2</v>
      </c>
      <c r="J114" s="35">
        <v>0.18511128846324376</v>
      </c>
      <c r="K114" s="33" t="s">
        <v>744</v>
      </c>
      <c r="L114" s="33" t="s">
        <v>100</v>
      </c>
    </row>
    <row r="115" spans="1:12" x14ac:dyDescent="0.25">
      <c r="A115" s="32">
        <v>46235</v>
      </c>
      <c r="B115" s="33" t="s">
        <v>32</v>
      </c>
      <c r="C115" s="33" t="s">
        <v>306</v>
      </c>
      <c r="D115" s="33" t="s">
        <v>32</v>
      </c>
      <c r="E115">
        <v>16</v>
      </c>
      <c r="F115" s="34">
        <v>4.3946759259259262E-2</v>
      </c>
      <c r="G115" s="34">
        <v>2.7466724537037039E-3</v>
      </c>
      <c r="H115" s="34">
        <v>0.26094907407407408</v>
      </c>
      <c r="I115" s="34">
        <v>6.2094907407407404E-2</v>
      </c>
      <c r="J115" s="35">
        <v>0.2379579526301783</v>
      </c>
      <c r="K115" s="33" t="s">
        <v>305</v>
      </c>
      <c r="L115" s="33" t="s">
        <v>100</v>
      </c>
    </row>
    <row r="116" spans="1:12" x14ac:dyDescent="0.25">
      <c r="A116" s="32">
        <v>46235</v>
      </c>
      <c r="B116" s="33" t="s">
        <v>32</v>
      </c>
      <c r="C116" s="33" t="s">
        <v>533</v>
      </c>
      <c r="D116" s="33" t="s">
        <v>32</v>
      </c>
      <c r="E116">
        <v>18</v>
      </c>
      <c r="F116" s="34">
        <v>8.2916666666666666E-2</v>
      </c>
      <c r="G116" s="34">
        <v>4.6064814814814814E-3</v>
      </c>
      <c r="H116" s="34">
        <v>0.26428240740740738</v>
      </c>
      <c r="I116" s="34">
        <v>4.1550925925925929E-2</v>
      </c>
      <c r="J116" s="35">
        <v>0.15722168695804503</v>
      </c>
      <c r="K116" s="33" t="s">
        <v>278</v>
      </c>
      <c r="L116" s="33" t="s">
        <v>233</v>
      </c>
    </row>
    <row r="117" spans="1:12" x14ac:dyDescent="0.25">
      <c r="A117" s="32">
        <v>46235</v>
      </c>
      <c r="B117" s="33" t="s">
        <v>32</v>
      </c>
      <c r="C117" s="33" t="s">
        <v>511</v>
      </c>
      <c r="D117" s="33" t="s">
        <v>80</v>
      </c>
      <c r="E117">
        <v>2</v>
      </c>
      <c r="F117" s="34">
        <v>3.7268518518518519E-3</v>
      </c>
      <c r="G117" s="34">
        <v>1.8634259259259259E-3</v>
      </c>
      <c r="H117" s="34">
        <v>0.24952546296296296</v>
      </c>
      <c r="I117" s="34">
        <v>3.005787037037037E-2</v>
      </c>
      <c r="J117" s="35">
        <v>0.12046013265921425</v>
      </c>
      <c r="K117" s="33" t="s">
        <v>313</v>
      </c>
      <c r="L117" s="33" t="s">
        <v>78</v>
      </c>
    </row>
    <row r="118" spans="1:12" x14ac:dyDescent="0.25">
      <c r="A118" s="32">
        <v>46235</v>
      </c>
      <c r="B118" s="33" t="s">
        <v>32</v>
      </c>
      <c r="C118" s="33" t="s">
        <v>534</v>
      </c>
      <c r="D118" s="33" t="s">
        <v>32</v>
      </c>
      <c r="E118">
        <v>20</v>
      </c>
      <c r="F118" s="34">
        <v>7.0624999999999993E-2</v>
      </c>
      <c r="G118" s="34">
        <v>3.5312500000000001E-3</v>
      </c>
      <c r="H118" s="34">
        <v>0.26076388888888891</v>
      </c>
      <c r="I118" s="34">
        <v>4.2557870370370371E-2</v>
      </c>
      <c r="J118" s="35">
        <v>0.16320461606746561</v>
      </c>
      <c r="K118" s="33" t="s">
        <v>280</v>
      </c>
      <c r="L118" s="33" t="s">
        <v>233</v>
      </c>
    </row>
    <row r="119" spans="1:12" x14ac:dyDescent="0.25">
      <c r="A119" s="32">
        <v>46235</v>
      </c>
      <c r="B119" s="33" t="s">
        <v>32</v>
      </c>
      <c r="C119" s="33" t="s">
        <v>535</v>
      </c>
      <c r="D119" s="33" t="s">
        <v>32</v>
      </c>
      <c r="E119">
        <v>29</v>
      </c>
      <c r="F119" s="34">
        <v>5.1516203703703703E-2</v>
      </c>
      <c r="G119" s="34">
        <v>1.7764208173690931E-3</v>
      </c>
      <c r="H119" s="34">
        <v>0.25784722222222223</v>
      </c>
      <c r="I119" s="34">
        <v>3.875E-2</v>
      </c>
      <c r="J119" s="35">
        <v>0.15028279019660651</v>
      </c>
      <c r="K119" s="33" t="s">
        <v>282</v>
      </c>
      <c r="L119" s="33" t="s">
        <v>233</v>
      </c>
    </row>
    <row r="120" spans="1:12" x14ac:dyDescent="0.25">
      <c r="A120" s="32">
        <v>46235</v>
      </c>
      <c r="B120" s="33" t="s">
        <v>32</v>
      </c>
      <c r="C120" s="33" t="s">
        <v>557</v>
      </c>
      <c r="D120" s="33" t="s">
        <v>147</v>
      </c>
      <c r="E120">
        <v>3</v>
      </c>
      <c r="F120" s="34">
        <v>1.5104166666666667E-2</v>
      </c>
      <c r="G120" s="34">
        <v>5.0347222222222225E-3</v>
      </c>
      <c r="H120" s="34">
        <v>0.17275741558240398</v>
      </c>
      <c r="I120" s="34">
        <v>4.1017077137546473E-2</v>
      </c>
      <c r="J120" s="35">
        <v>0.23742585520435525</v>
      </c>
      <c r="K120" s="33" t="s">
        <v>227</v>
      </c>
      <c r="L120" s="33" t="s">
        <v>146</v>
      </c>
    </row>
    <row r="121" spans="1:12" x14ac:dyDescent="0.25">
      <c r="A121" s="32">
        <v>46235</v>
      </c>
      <c r="B121" s="33" t="s">
        <v>32</v>
      </c>
      <c r="C121" s="33" t="s">
        <v>678</v>
      </c>
      <c r="D121" s="33" t="s">
        <v>147</v>
      </c>
      <c r="E121">
        <v>7</v>
      </c>
      <c r="F121" s="34">
        <v>1.3252314814814814E-2</v>
      </c>
      <c r="G121" s="34">
        <v>1.8931878306878308E-3</v>
      </c>
      <c r="H121" s="34">
        <v>8.7244081338905752E-2</v>
      </c>
      <c r="I121" s="34">
        <v>9.7084986286609838E-3</v>
      </c>
      <c r="J121" s="35">
        <v>0.11127973932062669</v>
      </c>
      <c r="K121" s="33" t="s">
        <v>677</v>
      </c>
      <c r="L121" s="33" t="s">
        <v>274</v>
      </c>
    </row>
    <row r="122" spans="1:12" x14ac:dyDescent="0.25">
      <c r="A122" s="32">
        <v>46235</v>
      </c>
      <c r="B122" s="33" t="s">
        <v>32</v>
      </c>
      <c r="C122" s="33" t="s">
        <v>680</v>
      </c>
      <c r="D122" s="33" t="s">
        <v>147</v>
      </c>
      <c r="E122">
        <v>3</v>
      </c>
      <c r="F122" s="34">
        <v>9.2708333333333341E-3</v>
      </c>
      <c r="G122" s="34">
        <v>3.0902777777777777E-3</v>
      </c>
      <c r="H122" s="34">
        <v>0.13953262339418526</v>
      </c>
      <c r="I122" s="34">
        <v>1.9419230335812485E-2</v>
      </c>
      <c r="J122" s="35">
        <v>0.13917340521114105</v>
      </c>
      <c r="K122" s="33" t="s">
        <v>679</v>
      </c>
      <c r="L122" s="33" t="s">
        <v>274</v>
      </c>
    </row>
    <row r="123" spans="1:12" x14ac:dyDescent="0.25">
      <c r="A123" s="32">
        <v>46235</v>
      </c>
      <c r="B123" s="33" t="s">
        <v>600</v>
      </c>
      <c r="C123" s="33" t="s">
        <v>545</v>
      </c>
      <c r="D123" s="33" t="s">
        <v>600</v>
      </c>
      <c r="E123">
        <v>18</v>
      </c>
      <c r="F123" s="34">
        <v>5.4976851851851853E-2</v>
      </c>
      <c r="G123" s="34">
        <v>3.0542695473251033E-3</v>
      </c>
      <c r="H123" s="34">
        <v>0.25240740740740741</v>
      </c>
      <c r="I123" s="34">
        <v>8.0231481481481487E-2</v>
      </c>
      <c r="J123" s="35">
        <v>0.31786500366837855</v>
      </c>
      <c r="K123" s="33" t="s">
        <v>201</v>
      </c>
      <c r="L123" s="33" t="s">
        <v>601</v>
      </c>
    </row>
    <row r="124" spans="1:12" x14ac:dyDescent="0.25">
      <c r="A124" s="32">
        <v>46235</v>
      </c>
      <c r="B124" s="33" t="s">
        <v>600</v>
      </c>
      <c r="C124" s="33" t="s">
        <v>543</v>
      </c>
      <c r="D124" s="33" t="s">
        <v>600</v>
      </c>
      <c r="E124">
        <v>22</v>
      </c>
      <c r="F124" s="34">
        <v>4.521990740740741E-2</v>
      </c>
      <c r="G124" s="34">
        <v>2.0554503367003368E-3</v>
      </c>
      <c r="H124" s="34">
        <v>0.25930555555555557</v>
      </c>
      <c r="I124" s="34">
        <v>0.10219907407407407</v>
      </c>
      <c r="J124" s="35">
        <v>0.39412604891983577</v>
      </c>
      <c r="K124" s="33" t="s">
        <v>293</v>
      </c>
      <c r="L124" s="33" t="s">
        <v>104</v>
      </c>
    </row>
    <row r="125" spans="1:12" x14ac:dyDescent="0.25">
      <c r="A125" s="32">
        <v>46237</v>
      </c>
      <c r="B125" s="33" t="s">
        <v>147</v>
      </c>
      <c r="C125" s="33" t="s">
        <v>563</v>
      </c>
      <c r="D125" s="33" t="s">
        <v>147</v>
      </c>
      <c r="E125">
        <v>13</v>
      </c>
      <c r="F125" s="34">
        <v>3.0497685185185187E-2</v>
      </c>
      <c r="G125" s="34">
        <v>2.3459757834757835E-3</v>
      </c>
      <c r="H125" s="34">
        <v>0.10299019878012934</v>
      </c>
      <c r="I125" s="34">
        <v>1.8116146327951884E-2</v>
      </c>
      <c r="J125" s="35">
        <v>0.17590165416252371</v>
      </c>
      <c r="K125" s="33" t="s">
        <v>193</v>
      </c>
      <c r="L125" s="33" t="s">
        <v>274</v>
      </c>
    </row>
    <row r="126" spans="1:12" x14ac:dyDescent="0.25">
      <c r="A126" s="32">
        <v>46237</v>
      </c>
      <c r="B126" s="33" t="s">
        <v>147</v>
      </c>
      <c r="C126" s="33" t="s">
        <v>514</v>
      </c>
      <c r="D126" s="33" t="s">
        <v>147</v>
      </c>
      <c r="E126">
        <v>13</v>
      </c>
      <c r="F126" s="34">
        <v>3.4189814814814812E-2</v>
      </c>
      <c r="G126" s="34">
        <v>2.629985754985755E-3</v>
      </c>
      <c r="H126" s="34">
        <v>0.18628779689164629</v>
      </c>
      <c r="I126" s="34">
        <v>2.6925408911449518E-2</v>
      </c>
      <c r="J126" s="35">
        <v>0.14453662215518387</v>
      </c>
      <c r="K126" s="33" t="s">
        <v>150</v>
      </c>
      <c r="L126" s="33" t="s">
        <v>146</v>
      </c>
    </row>
    <row r="127" spans="1:12" x14ac:dyDescent="0.25">
      <c r="A127" s="32">
        <v>46237</v>
      </c>
      <c r="B127" s="33" t="s">
        <v>147</v>
      </c>
      <c r="C127" s="33" t="s">
        <v>515</v>
      </c>
      <c r="D127" s="33" t="s">
        <v>147</v>
      </c>
      <c r="E127">
        <v>11</v>
      </c>
      <c r="F127" s="34">
        <v>1.4953703703703703E-2</v>
      </c>
      <c r="G127" s="34">
        <v>1.3594276094276094E-3</v>
      </c>
      <c r="H127" s="34">
        <v>0.14070019302940814</v>
      </c>
      <c r="I127" s="34">
        <v>2.4113468223206598E-2</v>
      </c>
      <c r="J127" s="35">
        <v>0.1713819128746083</v>
      </c>
      <c r="K127" s="33" t="s">
        <v>154</v>
      </c>
      <c r="L127" s="33" t="s">
        <v>146</v>
      </c>
    </row>
    <row r="128" spans="1:12" x14ac:dyDescent="0.25">
      <c r="A128" s="32">
        <v>46237</v>
      </c>
      <c r="B128" s="33" t="s">
        <v>147</v>
      </c>
      <c r="C128" s="33" t="s">
        <v>516</v>
      </c>
      <c r="D128" s="33" t="s">
        <v>147</v>
      </c>
      <c r="E128">
        <v>5</v>
      </c>
      <c r="F128" s="34">
        <v>1.5219907407407408E-2</v>
      </c>
      <c r="G128" s="34">
        <v>3.0439814814814813E-3</v>
      </c>
      <c r="H128" s="34">
        <v>4.2561913569108628E-2</v>
      </c>
      <c r="I128" s="34">
        <v>1.169917097718433E-2</v>
      </c>
      <c r="J128" s="35">
        <v>0.27487417731320168</v>
      </c>
      <c r="K128" s="33" t="s">
        <v>156</v>
      </c>
      <c r="L128" s="33" t="s">
        <v>146</v>
      </c>
    </row>
    <row r="129" spans="1:12" x14ac:dyDescent="0.25">
      <c r="A129" s="32">
        <v>46237</v>
      </c>
      <c r="B129" s="33" t="s">
        <v>147</v>
      </c>
      <c r="C129" s="33" t="s">
        <v>544</v>
      </c>
      <c r="D129" s="33" t="s">
        <v>147</v>
      </c>
      <c r="E129">
        <v>9</v>
      </c>
      <c r="F129" s="34">
        <v>3.2557870370370369E-2</v>
      </c>
      <c r="G129" s="34">
        <v>3.6175411522633744E-3</v>
      </c>
      <c r="H129" s="34">
        <v>0.20303563048567921</v>
      </c>
      <c r="I129" s="34">
        <v>6.5188272894169577E-2</v>
      </c>
      <c r="J129" s="35">
        <v>0.32106814325265698</v>
      </c>
      <c r="K129" s="33" t="s">
        <v>160</v>
      </c>
      <c r="L129" s="33" t="s">
        <v>146</v>
      </c>
    </row>
    <row r="130" spans="1:12" x14ac:dyDescent="0.25">
      <c r="A130" s="32">
        <v>46237</v>
      </c>
      <c r="B130" s="33" t="s">
        <v>147</v>
      </c>
      <c r="C130" s="33" t="s">
        <v>517</v>
      </c>
      <c r="D130" s="33" t="s">
        <v>147</v>
      </c>
      <c r="E130">
        <v>6</v>
      </c>
      <c r="F130" s="34">
        <v>2.4282407407407409E-2</v>
      </c>
      <c r="G130" s="34">
        <v>4.0470679012345684E-3</v>
      </c>
      <c r="H130" s="34">
        <v>0.17523169760290466</v>
      </c>
      <c r="I130" s="34">
        <v>4.9131593247131768E-2</v>
      </c>
      <c r="J130" s="35">
        <v>0.28038074115146477</v>
      </c>
      <c r="K130" s="33" t="s">
        <v>499</v>
      </c>
      <c r="L130" s="33" t="s">
        <v>146</v>
      </c>
    </row>
    <row r="131" spans="1:12" x14ac:dyDescent="0.25">
      <c r="A131" s="32">
        <v>46237</v>
      </c>
      <c r="B131" s="33" t="s">
        <v>147</v>
      </c>
      <c r="C131" s="33" t="s">
        <v>518</v>
      </c>
      <c r="D131" s="33" t="s">
        <v>147</v>
      </c>
      <c r="E131">
        <v>10</v>
      </c>
      <c r="F131" s="34">
        <v>4.8634259259259259E-2</v>
      </c>
      <c r="G131" s="34">
        <v>4.8634259259259256E-3</v>
      </c>
      <c r="H131" s="34">
        <v>0.22375307766217778</v>
      </c>
      <c r="I131" s="34">
        <v>3.7771885180681287E-2</v>
      </c>
      <c r="J131" s="35">
        <v>0.16881057268722469</v>
      </c>
      <c r="K131" s="33" t="s">
        <v>500</v>
      </c>
      <c r="L131" s="33" t="s">
        <v>274</v>
      </c>
    </row>
    <row r="132" spans="1:12" x14ac:dyDescent="0.25">
      <c r="A132" s="32">
        <v>46237</v>
      </c>
      <c r="B132" s="33" t="s">
        <v>147</v>
      </c>
      <c r="C132" s="33" t="s">
        <v>519</v>
      </c>
      <c r="D132" s="33" t="s">
        <v>147</v>
      </c>
      <c r="E132">
        <v>18</v>
      </c>
      <c r="F132" s="34">
        <v>2.5289351851851851E-2</v>
      </c>
      <c r="G132" s="34">
        <v>1.4049639917695473E-3</v>
      </c>
      <c r="H132" s="34">
        <v>0.16968560587033688</v>
      </c>
      <c r="I132" s="34">
        <v>2.5792395017078563E-2</v>
      </c>
      <c r="J132" s="35">
        <v>0.15200107802182997</v>
      </c>
      <c r="K132" s="33" t="s">
        <v>164</v>
      </c>
      <c r="L132" s="33" t="s">
        <v>146</v>
      </c>
    </row>
    <row r="133" spans="1:12" x14ac:dyDescent="0.25">
      <c r="A133" s="32">
        <v>46237</v>
      </c>
      <c r="B133" s="33" t="s">
        <v>147</v>
      </c>
      <c r="C133" s="33" t="s">
        <v>167</v>
      </c>
      <c r="D133" s="33" t="s">
        <v>147</v>
      </c>
      <c r="E133">
        <v>9</v>
      </c>
      <c r="F133" s="34">
        <v>1.7372685185185185E-2</v>
      </c>
      <c r="G133" s="34">
        <v>1.9302983539094649E-3</v>
      </c>
      <c r="H133" s="34">
        <v>0.25284722222222222</v>
      </c>
      <c r="I133" s="34">
        <v>4.7673611111111111E-2</v>
      </c>
      <c r="J133" s="35">
        <v>0.18854710244438341</v>
      </c>
      <c r="K133" s="33" t="s">
        <v>166</v>
      </c>
      <c r="L133" s="33" t="s">
        <v>146</v>
      </c>
    </row>
    <row r="134" spans="1:12" x14ac:dyDescent="0.25">
      <c r="A134" s="32">
        <v>46237</v>
      </c>
      <c r="B134" s="33" t="s">
        <v>147</v>
      </c>
      <c r="C134" s="33" t="s">
        <v>658</v>
      </c>
      <c r="D134" s="33" t="s">
        <v>147</v>
      </c>
      <c r="E134">
        <v>11</v>
      </c>
      <c r="F134" s="34">
        <v>6.0243055555555557E-2</v>
      </c>
      <c r="G134" s="34">
        <v>5.4766414141414138E-3</v>
      </c>
      <c r="H134" s="34">
        <v>0.19372497385104276</v>
      </c>
      <c r="I134" s="34">
        <v>3.7939791526939409E-2</v>
      </c>
      <c r="J134" s="35">
        <v>0.19584357541899441</v>
      </c>
      <c r="K134" s="33" t="s">
        <v>657</v>
      </c>
      <c r="L134" s="33" t="s">
        <v>274</v>
      </c>
    </row>
    <row r="135" spans="1:12" x14ac:dyDescent="0.25">
      <c r="A135" s="32">
        <v>46237</v>
      </c>
      <c r="B135" s="33" t="s">
        <v>147</v>
      </c>
      <c r="C135" s="33" t="s">
        <v>520</v>
      </c>
      <c r="D135" s="33" t="s">
        <v>147</v>
      </c>
      <c r="E135">
        <v>18</v>
      </c>
      <c r="F135" s="34">
        <v>5.181712962962963E-2</v>
      </c>
      <c r="G135" s="34">
        <v>2.8787294238683129E-3</v>
      </c>
      <c r="H135" s="34">
        <v>0.23243477666136089</v>
      </c>
      <c r="I135" s="34">
        <v>4.1806299372890598E-2</v>
      </c>
      <c r="J135" s="35">
        <v>0.1798624972277667</v>
      </c>
      <c r="K135" s="33" t="s">
        <v>168</v>
      </c>
      <c r="L135" s="33" t="s">
        <v>274</v>
      </c>
    </row>
    <row r="136" spans="1:12" x14ac:dyDescent="0.25">
      <c r="A136" s="32">
        <v>46237</v>
      </c>
      <c r="B136" s="33" t="s">
        <v>147</v>
      </c>
      <c r="C136" s="33" t="s">
        <v>521</v>
      </c>
      <c r="D136" s="33" t="s">
        <v>147</v>
      </c>
      <c r="E136">
        <v>11</v>
      </c>
      <c r="F136" s="34">
        <v>4.1608796296296297E-2</v>
      </c>
      <c r="G136" s="34">
        <v>3.7826178451178449E-3</v>
      </c>
      <c r="H136" s="34">
        <v>0.15956258657540598</v>
      </c>
      <c r="I136" s="34">
        <v>2.3786514450649669E-2</v>
      </c>
      <c r="J136" s="35">
        <v>0.14907325684024714</v>
      </c>
      <c r="K136" s="33" t="s">
        <v>170</v>
      </c>
      <c r="L136" s="33" t="s">
        <v>146</v>
      </c>
    </row>
    <row r="137" spans="1:12" x14ac:dyDescent="0.25">
      <c r="A137" s="32">
        <v>46237</v>
      </c>
      <c r="B137" s="33" t="s">
        <v>147</v>
      </c>
      <c r="C137" s="33" t="s">
        <v>633</v>
      </c>
      <c r="D137" s="33" t="s">
        <v>147</v>
      </c>
      <c r="E137">
        <v>6</v>
      </c>
      <c r="F137" s="34">
        <v>2.1863425925925925E-2</v>
      </c>
      <c r="G137" s="34">
        <v>3.6439043209876543E-3</v>
      </c>
      <c r="H137" s="34">
        <v>0.15230307672120671</v>
      </c>
      <c r="I137" s="34">
        <v>4.9290373051733186E-2</v>
      </c>
      <c r="J137" s="35">
        <v>0.32363346895453743</v>
      </c>
      <c r="K137" s="33" t="s">
        <v>606</v>
      </c>
      <c r="L137" s="33" t="s">
        <v>146</v>
      </c>
    </row>
    <row r="138" spans="1:12" x14ac:dyDescent="0.25">
      <c r="A138" s="32">
        <v>46237</v>
      </c>
      <c r="B138" s="33" t="s">
        <v>147</v>
      </c>
      <c r="C138" s="33" t="s">
        <v>522</v>
      </c>
      <c r="D138" s="33" t="s">
        <v>147</v>
      </c>
      <c r="E138">
        <v>6</v>
      </c>
      <c r="F138" s="34">
        <v>2.357638888888889E-2</v>
      </c>
      <c r="G138" s="34">
        <v>3.929398148148148E-3</v>
      </c>
      <c r="H138" s="34">
        <v>0.19878846940863515</v>
      </c>
      <c r="I138" s="34">
        <v>4.2385397483118474E-2</v>
      </c>
      <c r="J138" s="35">
        <v>0.21321859164773718</v>
      </c>
      <c r="K138" s="33" t="s">
        <v>178</v>
      </c>
      <c r="L138" s="33" t="s">
        <v>146</v>
      </c>
    </row>
    <row r="139" spans="1:12" x14ac:dyDescent="0.25">
      <c r="A139" s="32">
        <v>46237</v>
      </c>
      <c r="B139" s="33" t="s">
        <v>147</v>
      </c>
      <c r="C139" s="33" t="s">
        <v>523</v>
      </c>
      <c r="D139" s="33" t="s">
        <v>147</v>
      </c>
      <c r="E139">
        <v>7</v>
      </c>
      <c r="F139" s="34">
        <v>3.9525462962962964E-2</v>
      </c>
      <c r="G139" s="34">
        <v>5.6464947089947086E-3</v>
      </c>
      <c r="H139" s="34">
        <v>0.14444377164181782</v>
      </c>
      <c r="I139" s="34">
        <v>2.0110565767204311E-2</v>
      </c>
      <c r="J139" s="35">
        <v>0.13922764227642276</v>
      </c>
      <c r="K139" s="33" t="s">
        <v>180</v>
      </c>
      <c r="L139" s="33" t="s">
        <v>146</v>
      </c>
    </row>
    <row r="140" spans="1:12" x14ac:dyDescent="0.25">
      <c r="A140" s="32">
        <v>46237</v>
      </c>
      <c r="B140" s="33" t="s">
        <v>147</v>
      </c>
      <c r="C140" s="33" t="s">
        <v>566</v>
      </c>
      <c r="D140" s="33" t="s">
        <v>147</v>
      </c>
      <c r="E140">
        <v>15</v>
      </c>
      <c r="F140" s="34">
        <v>4.5856481481481484E-2</v>
      </c>
      <c r="G140" s="34">
        <v>3.0570987654320986E-3</v>
      </c>
      <c r="H140" s="34">
        <v>0.20199590602999692</v>
      </c>
      <c r="I140" s="34">
        <v>3.5804509743903687E-2</v>
      </c>
      <c r="J140" s="35">
        <v>0.17725364066827481</v>
      </c>
      <c r="K140" s="33" t="s">
        <v>207</v>
      </c>
      <c r="L140" s="33" t="s">
        <v>274</v>
      </c>
    </row>
    <row r="141" spans="1:12" x14ac:dyDescent="0.25">
      <c r="A141" s="32">
        <v>46237</v>
      </c>
      <c r="B141" s="33" t="s">
        <v>147</v>
      </c>
      <c r="C141" s="33" t="s">
        <v>524</v>
      </c>
      <c r="D141" s="33" t="s">
        <v>147</v>
      </c>
      <c r="E141">
        <v>9</v>
      </c>
      <c r="F141" s="34">
        <v>3.6666666666666667E-2</v>
      </c>
      <c r="G141" s="34">
        <v>4.0740740740740737E-3</v>
      </c>
      <c r="H141" s="34">
        <v>0.1345516398235263</v>
      </c>
      <c r="I141" s="34">
        <v>1.712592356349333E-2</v>
      </c>
      <c r="J141" s="35">
        <v>0.12728141839040499</v>
      </c>
      <c r="K141" s="33" t="s">
        <v>501</v>
      </c>
      <c r="L141" s="33" t="s">
        <v>274</v>
      </c>
    </row>
    <row r="142" spans="1:12" x14ac:dyDescent="0.25">
      <c r="A142" s="32">
        <v>46237</v>
      </c>
      <c r="B142" s="33" t="s">
        <v>147</v>
      </c>
      <c r="C142" s="33" t="s">
        <v>557</v>
      </c>
      <c r="D142" s="33" t="s">
        <v>147</v>
      </c>
      <c r="E142">
        <v>6</v>
      </c>
      <c r="F142" s="34">
        <v>2.837962962962963E-2</v>
      </c>
      <c r="G142" s="34">
        <v>4.7299382716049386E-3</v>
      </c>
      <c r="H142" s="34">
        <v>0.25973235875206413</v>
      </c>
      <c r="I142" s="34">
        <v>6.7717953821656046E-2</v>
      </c>
      <c r="J142" s="35">
        <v>0.26072205306655066</v>
      </c>
      <c r="K142" s="33" t="s">
        <v>227</v>
      </c>
      <c r="L142" s="33" t="s">
        <v>146</v>
      </c>
    </row>
    <row r="143" spans="1:12" x14ac:dyDescent="0.25">
      <c r="A143" s="32">
        <v>46237</v>
      </c>
      <c r="B143" s="33" t="s">
        <v>147</v>
      </c>
      <c r="C143" s="33" t="s">
        <v>678</v>
      </c>
      <c r="D143" s="33" t="s">
        <v>147</v>
      </c>
      <c r="E143">
        <v>18</v>
      </c>
      <c r="F143" s="34">
        <v>4.9467592592592591E-2</v>
      </c>
      <c r="G143" s="34">
        <v>2.7481995884773664E-3</v>
      </c>
      <c r="H143" s="34">
        <v>0.20675475362998294</v>
      </c>
      <c r="I143" s="34">
        <v>3.5410483635350633E-2</v>
      </c>
      <c r="J143" s="35">
        <v>0.17126805073958656</v>
      </c>
      <c r="K143" s="33" t="s">
        <v>677</v>
      </c>
      <c r="L143" s="33" t="s">
        <v>274</v>
      </c>
    </row>
    <row r="144" spans="1:12" x14ac:dyDescent="0.25">
      <c r="A144" s="32">
        <v>46237</v>
      </c>
      <c r="B144" s="33" t="s">
        <v>147</v>
      </c>
      <c r="C144" s="33" t="s">
        <v>680</v>
      </c>
      <c r="D144" s="33" t="s">
        <v>147</v>
      </c>
      <c r="E144">
        <v>13</v>
      </c>
      <c r="F144" s="34">
        <v>3.1689814814814816E-2</v>
      </c>
      <c r="G144" s="34">
        <v>2.4376780626780628E-3</v>
      </c>
      <c r="H144" s="34">
        <v>0.14502826091035309</v>
      </c>
      <c r="I144" s="34">
        <v>3.0302783406506807E-2</v>
      </c>
      <c r="J144" s="35">
        <v>0.20894398937347797</v>
      </c>
      <c r="K144" s="33" t="s">
        <v>679</v>
      </c>
      <c r="L144" s="33" t="s">
        <v>274</v>
      </c>
    </row>
    <row r="145" spans="1:12" x14ac:dyDescent="0.25">
      <c r="A145" s="32">
        <v>46237</v>
      </c>
      <c r="B145" s="33" t="s">
        <v>105</v>
      </c>
      <c r="C145" s="33" t="s">
        <v>513</v>
      </c>
      <c r="D145" s="33" t="s">
        <v>105</v>
      </c>
      <c r="E145">
        <v>16</v>
      </c>
      <c r="F145" s="34">
        <v>0.25255787037037036</v>
      </c>
      <c r="G145" s="34">
        <v>1.5784866898148148E-2</v>
      </c>
      <c r="H145" s="34">
        <v>0.2260648148148148</v>
      </c>
      <c r="I145" s="34">
        <v>6.21875E-2</v>
      </c>
      <c r="J145" s="35">
        <v>0.27508703665779233</v>
      </c>
      <c r="K145" s="33" t="s">
        <v>148</v>
      </c>
      <c r="L145" s="33" t="s">
        <v>104</v>
      </c>
    </row>
    <row r="146" spans="1:12" x14ac:dyDescent="0.25">
      <c r="A146" s="32">
        <v>46237</v>
      </c>
      <c r="B146" s="33" t="s">
        <v>105</v>
      </c>
      <c r="C146" s="33" t="s">
        <v>569</v>
      </c>
      <c r="D146" s="33" t="s">
        <v>105</v>
      </c>
      <c r="E146">
        <v>28</v>
      </c>
      <c r="F146" s="34">
        <v>0.31479166666666669</v>
      </c>
      <c r="G146" s="34">
        <v>1.1242559523809524E-2</v>
      </c>
      <c r="H146" s="34">
        <v>0.24219907407407407</v>
      </c>
      <c r="I146" s="34">
        <v>5.2430555555555557E-2</v>
      </c>
      <c r="J146" s="35">
        <v>0.21647710981554047</v>
      </c>
      <c r="K146" s="33" t="s">
        <v>493</v>
      </c>
      <c r="L146" s="33" t="s">
        <v>104</v>
      </c>
    </row>
    <row r="147" spans="1:12" x14ac:dyDescent="0.25">
      <c r="A147" s="32">
        <v>46237</v>
      </c>
      <c r="B147" s="33" t="s">
        <v>105</v>
      </c>
      <c r="C147" s="33" t="s">
        <v>631</v>
      </c>
      <c r="D147" s="33" t="s">
        <v>105</v>
      </c>
      <c r="E147">
        <v>13</v>
      </c>
      <c r="F147" s="34">
        <v>0.27789351851851851</v>
      </c>
      <c r="G147" s="34">
        <v>2.1376424501424501E-2</v>
      </c>
      <c r="H147" s="34">
        <v>0.25726851851851851</v>
      </c>
      <c r="I147" s="34">
        <v>0.12686342592592592</v>
      </c>
      <c r="J147" s="35">
        <v>0.49311678963469496</v>
      </c>
      <c r="K147" s="33" t="s">
        <v>608</v>
      </c>
      <c r="L147" s="33" t="s">
        <v>601</v>
      </c>
    </row>
    <row r="148" spans="1:12" x14ac:dyDescent="0.25">
      <c r="A148" s="32">
        <v>46237</v>
      </c>
      <c r="B148" s="33" t="s">
        <v>105</v>
      </c>
      <c r="C148" s="33" t="s">
        <v>564</v>
      </c>
      <c r="D148" s="33" t="s">
        <v>105</v>
      </c>
      <c r="E148">
        <v>14</v>
      </c>
      <c r="F148" s="34">
        <v>0.19891203703703703</v>
      </c>
      <c r="G148" s="34">
        <v>1.4208002645502647E-2</v>
      </c>
      <c r="H148" s="34">
        <v>0.24303240740740742</v>
      </c>
      <c r="I148" s="34">
        <v>0.16501157407407407</v>
      </c>
      <c r="J148" s="35">
        <v>0.67896942565958662</v>
      </c>
      <c r="K148" s="33" t="s">
        <v>197</v>
      </c>
      <c r="L148" s="33" t="s">
        <v>601</v>
      </c>
    </row>
    <row r="149" spans="1:12" x14ac:dyDescent="0.25">
      <c r="A149" s="32">
        <v>46237</v>
      </c>
      <c r="B149" s="33" t="s">
        <v>105</v>
      </c>
      <c r="C149" s="33" t="s">
        <v>682</v>
      </c>
      <c r="D149" s="33" t="s">
        <v>105</v>
      </c>
      <c r="E149">
        <v>8</v>
      </c>
      <c r="F149" s="34">
        <v>0.18358796296296295</v>
      </c>
      <c r="G149" s="34">
        <v>2.2948495370370369E-2</v>
      </c>
      <c r="H149" s="34">
        <v>0.22493055555555555</v>
      </c>
      <c r="I149" s="34">
        <v>0.11410879629629629</v>
      </c>
      <c r="J149" s="35">
        <v>0.50730678192857881</v>
      </c>
      <c r="K149" s="33" t="s">
        <v>681</v>
      </c>
      <c r="L149" s="33" t="s">
        <v>601</v>
      </c>
    </row>
    <row r="150" spans="1:12" x14ac:dyDescent="0.25">
      <c r="A150" s="32">
        <v>46237</v>
      </c>
      <c r="B150" s="33" t="s">
        <v>105</v>
      </c>
      <c r="C150" s="33" t="s">
        <v>570</v>
      </c>
      <c r="D150" s="33" t="s">
        <v>105</v>
      </c>
      <c r="E150">
        <v>14</v>
      </c>
      <c r="F150" s="34">
        <v>0.1822337962962963</v>
      </c>
      <c r="G150" s="34">
        <v>1.3016699735449735E-2</v>
      </c>
      <c r="H150" s="34">
        <v>0.24171296296296296</v>
      </c>
      <c r="I150" s="34">
        <v>0.10887731481481482</v>
      </c>
      <c r="J150" s="35">
        <v>0.45044052863436124</v>
      </c>
      <c r="K150" s="33" t="s">
        <v>112</v>
      </c>
      <c r="L150" s="33" t="s">
        <v>104</v>
      </c>
    </row>
    <row r="151" spans="1:12" x14ac:dyDescent="0.25">
      <c r="A151" s="32">
        <v>46237</v>
      </c>
      <c r="B151" s="33" t="s">
        <v>105</v>
      </c>
      <c r="C151" s="33" t="s">
        <v>537</v>
      </c>
      <c r="D151" s="33" t="s">
        <v>105</v>
      </c>
      <c r="E151">
        <v>22</v>
      </c>
      <c r="F151" s="34">
        <v>0.36481481481481481</v>
      </c>
      <c r="G151" s="34">
        <v>1.6582491582491584E-2</v>
      </c>
      <c r="H151" s="34">
        <v>0.25760416666666669</v>
      </c>
      <c r="I151" s="34">
        <v>6.8819444444444447E-2</v>
      </c>
      <c r="J151" s="35">
        <v>0.26715190726513005</v>
      </c>
      <c r="K151" s="33" t="s">
        <v>42</v>
      </c>
      <c r="L151" s="33" t="s">
        <v>104</v>
      </c>
    </row>
    <row r="152" spans="1:12" x14ac:dyDescent="0.25">
      <c r="A152" s="32">
        <v>46237</v>
      </c>
      <c r="B152" s="33" t="s">
        <v>105</v>
      </c>
      <c r="C152" s="33" t="s">
        <v>541</v>
      </c>
      <c r="D152" s="33" t="s">
        <v>105</v>
      </c>
      <c r="E152">
        <v>16</v>
      </c>
      <c r="F152" s="34">
        <v>0.2083912037037037</v>
      </c>
      <c r="G152" s="34">
        <v>1.3024450231481481E-2</v>
      </c>
      <c r="H152" s="34">
        <v>0.25930555555555557</v>
      </c>
      <c r="I152" s="34">
        <v>0.14194444444444446</v>
      </c>
      <c r="J152" s="35">
        <v>0.54740224959828598</v>
      </c>
      <c r="K152" s="33" t="s">
        <v>114</v>
      </c>
      <c r="L152" s="33" t="s">
        <v>104</v>
      </c>
    </row>
    <row r="153" spans="1:12" x14ac:dyDescent="0.25">
      <c r="A153" s="32">
        <v>46237</v>
      </c>
      <c r="B153" s="33" t="s">
        <v>105</v>
      </c>
      <c r="C153" s="33" t="s">
        <v>632</v>
      </c>
      <c r="D153" s="33" t="s">
        <v>105</v>
      </c>
      <c r="E153">
        <v>12</v>
      </c>
      <c r="F153" s="34">
        <v>0.18172453703703703</v>
      </c>
      <c r="G153" s="34">
        <v>1.5143711419753087E-2</v>
      </c>
      <c r="H153" s="34">
        <v>0.26089120370370372</v>
      </c>
      <c r="I153" s="34">
        <v>0.1970486111111111</v>
      </c>
      <c r="J153" s="35">
        <v>0.75529035978882919</v>
      </c>
      <c r="K153" s="33" t="s">
        <v>609</v>
      </c>
      <c r="L153" s="33" t="s">
        <v>601</v>
      </c>
    </row>
    <row r="154" spans="1:12" x14ac:dyDescent="0.25">
      <c r="A154" s="32">
        <v>46237</v>
      </c>
      <c r="B154" s="33" t="s">
        <v>105</v>
      </c>
      <c r="C154" s="33" t="s">
        <v>542</v>
      </c>
      <c r="D154" s="33" t="s">
        <v>105</v>
      </c>
      <c r="E154">
        <v>7</v>
      </c>
      <c r="F154" s="34">
        <v>0.14489583333333333</v>
      </c>
      <c r="G154" s="34">
        <v>2.0699404761904759E-2</v>
      </c>
      <c r="H154" s="34">
        <v>0.22952546296296297</v>
      </c>
      <c r="I154" s="34">
        <v>0.11232638888888889</v>
      </c>
      <c r="J154" s="35">
        <v>0.48938530583429984</v>
      </c>
      <c r="K154" s="33" t="s">
        <v>287</v>
      </c>
      <c r="L154" s="33" t="s">
        <v>104</v>
      </c>
    </row>
    <row r="155" spans="1:12" x14ac:dyDescent="0.25">
      <c r="A155" s="32">
        <v>46237</v>
      </c>
      <c r="B155" s="33" t="s">
        <v>105</v>
      </c>
      <c r="C155" s="33" t="s">
        <v>650</v>
      </c>
      <c r="D155" s="33" t="s">
        <v>105</v>
      </c>
      <c r="E155">
        <v>10</v>
      </c>
      <c r="F155" s="34">
        <v>0.20957175925925925</v>
      </c>
      <c r="G155" s="34">
        <v>2.0957175925925928E-2</v>
      </c>
      <c r="H155" s="34">
        <v>0.25010416666666668</v>
      </c>
      <c r="I155" s="34">
        <v>9.9641203703703704E-2</v>
      </c>
      <c r="J155" s="35">
        <v>0.39839881530843629</v>
      </c>
      <c r="K155" s="33" t="s">
        <v>649</v>
      </c>
      <c r="L155" s="33" t="s">
        <v>104</v>
      </c>
    </row>
    <row r="156" spans="1:12" x14ac:dyDescent="0.25">
      <c r="A156" s="32">
        <v>46237</v>
      </c>
      <c r="B156" s="33" t="s">
        <v>105</v>
      </c>
      <c r="C156" s="33" t="s">
        <v>559</v>
      </c>
      <c r="D156" s="33" t="s">
        <v>105</v>
      </c>
      <c r="E156">
        <v>18</v>
      </c>
      <c r="F156" s="34">
        <v>0.23260416666666667</v>
      </c>
      <c r="G156" s="34">
        <v>1.2922453703703703E-2</v>
      </c>
      <c r="H156" s="34">
        <v>0.27881965470393111</v>
      </c>
      <c r="I156" s="34">
        <v>0.1056790219846143</v>
      </c>
      <c r="J156" s="35">
        <v>0.37902285653725226</v>
      </c>
      <c r="K156" s="33" t="s">
        <v>289</v>
      </c>
      <c r="L156" s="33" t="s">
        <v>104</v>
      </c>
    </row>
    <row r="157" spans="1:12" x14ac:dyDescent="0.25">
      <c r="A157" s="32">
        <v>46237</v>
      </c>
      <c r="B157" s="33" t="s">
        <v>105</v>
      </c>
      <c r="C157" s="33" t="s">
        <v>634</v>
      </c>
      <c r="D157" s="33" t="s">
        <v>105</v>
      </c>
      <c r="E157">
        <v>7</v>
      </c>
      <c r="F157" s="34">
        <v>0.17218749999999999</v>
      </c>
      <c r="G157" s="34">
        <v>2.4598214285714286E-2</v>
      </c>
      <c r="H157" s="34">
        <v>0.23771990740740739</v>
      </c>
      <c r="I157" s="34">
        <v>0.14800925925925926</v>
      </c>
      <c r="J157" s="35">
        <v>0.62262038073908177</v>
      </c>
      <c r="K157" s="33" t="s">
        <v>612</v>
      </c>
      <c r="L157" s="33" t="s">
        <v>601</v>
      </c>
    </row>
    <row r="158" spans="1:12" x14ac:dyDescent="0.25">
      <c r="A158" s="32">
        <v>46237</v>
      </c>
      <c r="B158" s="33" t="s">
        <v>105</v>
      </c>
      <c r="C158" s="33" t="s">
        <v>667</v>
      </c>
      <c r="D158" s="33" t="s">
        <v>105</v>
      </c>
      <c r="E158">
        <v>21</v>
      </c>
      <c r="F158" s="34">
        <v>0.32450231481481484</v>
      </c>
      <c r="G158" s="34">
        <v>1.5452491181657847E-2</v>
      </c>
      <c r="H158" s="34">
        <v>0.24775462962962963</v>
      </c>
      <c r="I158" s="34">
        <v>6.7789351851851851E-2</v>
      </c>
      <c r="J158" s="35">
        <v>0.27361487433429882</v>
      </c>
      <c r="K158" s="33" t="s">
        <v>297</v>
      </c>
      <c r="L158" s="33" t="s">
        <v>104</v>
      </c>
    </row>
    <row r="159" spans="1:12" x14ac:dyDescent="0.25">
      <c r="A159" s="32">
        <v>46237</v>
      </c>
      <c r="B159" s="33" t="s">
        <v>105</v>
      </c>
      <c r="C159" s="33" t="s">
        <v>635</v>
      </c>
      <c r="D159" s="33" t="s">
        <v>105</v>
      </c>
      <c r="E159">
        <v>9</v>
      </c>
      <c r="F159" s="34">
        <v>0.20038194444444443</v>
      </c>
      <c r="G159" s="34">
        <v>2.2264660493827162E-2</v>
      </c>
      <c r="H159" s="34">
        <v>0.21373842592592593</v>
      </c>
      <c r="I159" s="34">
        <v>0.12237268518518518</v>
      </c>
      <c r="J159" s="35">
        <v>0.57253479179076194</v>
      </c>
      <c r="K159" s="33" t="s">
        <v>614</v>
      </c>
      <c r="L159" s="33" t="s">
        <v>601</v>
      </c>
    </row>
    <row r="160" spans="1:12" x14ac:dyDescent="0.25">
      <c r="A160" s="32">
        <v>46237</v>
      </c>
      <c r="B160" s="33" t="s">
        <v>105</v>
      </c>
      <c r="C160" s="33" t="s">
        <v>636</v>
      </c>
      <c r="D160" s="33" t="s">
        <v>105</v>
      </c>
      <c r="E160">
        <v>11</v>
      </c>
      <c r="F160" s="34">
        <v>0.17571759259259259</v>
      </c>
      <c r="G160" s="34">
        <v>1.5974326599326599E-2</v>
      </c>
      <c r="H160" s="34">
        <v>0.22074074074074074</v>
      </c>
      <c r="I160" s="34">
        <v>0.14862268518518518</v>
      </c>
      <c r="J160" s="35">
        <v>0.67329068791946312</v>
      </c>
      <c r="K160" s="33" t="s">
        <v>615</v>
      </c>
      <c r="L160" s="33" t="s">
        <v>601</v>
      </c>
    </row>
    <row r="161" spans="1:12" x14ac:dyDescent="0.25">
      <c r="A161" s="32">
        <v>46237</v>
      </c>
      <c r="B161" s="33" t="s">
        <v>105</v>
      </c>
      <c r="C161" s="33" t="s">
        <v>637</v>
      </c>
      <c r="D161" s="33" t="s">
        <v>105</v>
      </c>
      <c r="E161">
        <v>6</v>
      </c>
      <c r="F161" s="34">
        <v>0.10634259259259259</v>
      </c>
      <c r="G161" s="34">
        <v>1.7723765432098765E-2</v>
      </c>
      <c r="H161" s="34">
        <v>0.21612363906644305</v>
      </c>
      <c r="I161" s="34">
        <v>0.15607543500763105</v>
      </c>
      <c r="J161" s="35">
        <v>0.72215809284818056</v>
      </c>
      <c r="K161" s="33" t="s">
        <v>616</v>
      </c>
      <c r="L161" s="33" t="s">
        <v>601</v>
      </c>
    </row>
    <row r="162" spans="1:12" x14ac:dyDescent="0.25">
      <c r="A162" s="32">
        <v>46237</v>
      </c>
      <c r="B162" s="33" t="s">
        <v>105</v>
      </c>
      <c r="C162" s="33" t="s">
        <v>567</v>
      </c>
      <c r="D162" s="33" t="s">
        <v>105</v>
      </c>
      <c r="E162">
        <v>7</v>
      </c>
      <c r="F162" s="34">
        <v>0.13280092592592593</v>
      </c>
      <c r="G162" s="34">
        <v>1.8971560846560848E-2</v>
      </c>
      <c r="H162" s="34">
        <v>0.21839585717819865</v>
      </c>
      <c r="I162" s="34">
        <v>0.13055658386537189</v>
      </c>
      <c r="J162" s="35">
        <v>0.59779789576706632</v>
      </c>
      <c r="K162" s="33" t="s">
        <v>209</v>
      </c>
      <c r="L162" s="33" t="s">
        <v>601</v>
      </c>
    </row>
    <row r="163" spans="1:12" x14ac:dyDescent="0.25">
      <c r="A163" s="32">
        <v>46237</v>
      </c>
      <c r="B163" s="33" t="s">
        <v>105</v>
      </c>
      <c r="C163" s="33" t="s">
        <v>512</v>
      </c>
      <c r="D163" s="33" t="s">
        <v>105</v>
      </c>
      <c r="E163">
        <v>16</v>
      </c>
      <c r="F163" s="34">
        <v>0.27469907407407407</v>
      </c>
      <c r="G163" s="34">
        <v>1.7168692129629629E-2</v>
      </c>
      <c r="H163" s="34">
        <v>0.25715277777777779</v>
      </c>
      <c r="I163" s="34">
        <v>6.7199074074074078E-2</v>
      </c>
      <c r="J163" s="35">
        <v>0.26131965073363939</v>
      </c>
      <c r="K163" s="33" t="s">
        <v>132</v>
      </c>
      <c r="L163" s="33" t="s">
        <v>104</v>
      </c>
    </row>
    <row r="164" spans="1:12" x14ac:dyDescent="0.25">
      <c r="A164" s="32">
        <v>46237</v>
      </c>
      <c r="B164" s="33" t="s">
        <v>105</v>
      </c>
      <c r="C164" s="33" t="s">
        <v>560</v>
      </c>
      <c r="D164" s="33" t="s">
        <v>105</v>
      </c>
      <c r="E164">
        <v>17</v>
      </c>
      <c r="F164" s="34">
        <v>0.26353009259259258</v>
      </c>
      <c r="G164" s="34">
        <v>1.5501770152505446E-2</v>
      </c>
      <c r="H164" s="34">
        <v>0.26245370370370369</v>
      </c>
      <c r="I164" s="34">
        <v>7.3506944444444444E-2</v>
      </c>
      <c r="J164" s="35">
        <v>0.28007585112012701</v>
      </c>
      <c r="K164" s="33" t="s">
        <v>134</v>
      </c>
      <c r="L164" s="33" t="s">
        <v>104</v>
      </c>
    </row>
    <row r="165" spans="1:12" x14ac:dyDescent="0.25">
      <c r="A165" s="32">
        <v>46237</v>
      </c>
      <c r="B165" s="33" t="s">
        <v>105</v>
      </c>
      <c r="C165" s="33" t="s">
        <v>546</v>
      </c>
      <c r="D165" s="33" t="s">
        <v>105</v>
      </c>
      <c r="E165">
        <v>9</v>
      </c>
      <c r="F165" s="34">
        <v>0.19905092592592594</v>
      </c>
      <c r="G165" s="34">
        <v>2.2116769547325103E-2</v>
      </c>
      <c r="H165" s="34">
        <v>0.25905092592592593</v>
      </c>
      <c r="I165" s="34">
        <v>5.3020833333333336E-2</v>
      </c>
      <c r="J165" s="35">
        <v>0.20467339826646413</v>
      </c>
      <c r="K165" s="33" t="s">
        <v>211</v>
      </c>
      <c r="L165" s="33" t="s">
        <v>104</v>
      </c>
    </row>
    <row r="166" spans="1:12" x14ac:dyDescent="0.25">
      <c r="A166" s="32">
        <v>46237</v>
      </c>
      <c r="B166" s="33" t="s">
        <v>105</v>
      </c>
      <c r="C166" s="33" t="s">
        <v>639</v>
      </c>
      <c r="D166" s="33" t="s">
        <v>105</v>
      </c>
      <c r="E166">
        <v>1</v>
      </c>
      <c r="F166" s="34">
        <v>4.103009259259259E-2</v>
      </c>
      <c r="G166" s="34">
        <v>4.103009259259259E-2</v>
      </c>
      <c r="H166" s="34">
        <v>5.7256944444444444E-2</v>
      </c>
      <c r="I166" s="34">
        <v>3.3229166666666664E-2</v>
      </c>
      <c r="J166" s="35">
        <v>0.5803517283201941</v>
      </c>
      <c r="K166" s="33" t="s">
        <v>618</v>
      </c>
      <c r="L166" s="33" t="s">
        <v>601</v>
      </c>
    </row>
    <row r="167" spans="1:12" x14ac:dyDescent="0.25">
      <c r="A167" s="32">
        <v>46237</v>
      </c>
      <c r="B167" s="33" t="s">
        <v>105</v>
      </c>
      <c r="C167" s="33" t="s">
        <v>572</v>
      </c>
      <c r="D167" s="33" t="s">
        <v>105</v>
      </c>
      <c r="E167">
        <v>7</v>
      </c>
      <c r="F167" s="34">
        <v>0.1711574074074074</v>
      </c>
      <c r="G167" s="34">
        <v>2.4451058201058199E-2</v>
      </c>
      <c r="H167" s="34">
        <v>0.2495138888888889</v>
      </c>
      <c r="I167" s="34">
        <v>0.16343750000000001</v>
      </c>
      <c r="J167" s="35">
        <v>0.65502365711104926</v>
      </c>
      <c r="K167" s="33" t="s">
        <v>213</v>
      </c>
      <c r="L167" s="33" t="s">
        <v>601</v>
      </c>
    </row>
    <row r="168" spans="1:12" x14ac:dyDescent="0.25">
      <c r="A168" s="32">
        <v>46237</v>
      </c>
      <c r="B168" s="33" t="s">
        <v>105</v>
      </c>
      <c r="C168" s="33" t="s">
        <v>547</v>
      </c>
      <c r="D168" s="33" t="s">
        <v>105</v>
      </c>
      <c r="E168">
        <v>14</v>
      </c>
      <c r="F168" s="34">
        <v>0.24922453703703704</v>
      </c>
      <c r="G168" s="34">
        <v>1.7801752645502645E-2</v>
      </c>
      <c r="H168" s="34">
        <v>0.2379050925925926</v>
      </c>
      <c r="I168" s="34">
        <v>0.1119212962962963</v>
      </c>
      <c r="J168" s="35">
        <v>0.47044514716613961</v>
      </c>
      <c r="K168" s="33" t="s">
        <v>215</v>
      </c>
      <c r="L168" s="33" t="s">
        <v>601</v>
      </c>
    </row>
    <row r="169" spans="1:12" x14ac:dyDescent="0.25">
      <c r="A169" s="32">
        <v>46237</v>
      </c>
      <c r="B169" s="33" t="s">
        <v>105</v>
      </c>
      <c r="C169" s="33" t="s">
        <v>640</v>
      </c>
      <c r="D169" s="33" t="s">
        <v>105</v>
      </c>
      <c r="E169">
        <v>8</v>
      </c>
      <c r="F169" s="34">
        <v>0.17812500000000001</v>
      </c>
      <c r="G169" s="34">
        <v>2.2265625000000001E-2</v>
      </c>
      <c r="H169" s="34">
        <v>0.18758098245038543</v>
      </c>
      <c r="I169" s="34">
        <v>9.2242086271937015E-2</v>
      </c>
      <c r="J169" s="35">
        <v>0.4917454054615305</v>
      </c>
      <c r="K169" s="33" t="s">
        <v>619</v>
      </c>
      <c r="L169" s="33" t="s">
        <v>601</v>
      </c>
    </row>
    <row r="170" spans="1:12" x14ac:dyDescent="0.25">
      <c r="A170" s="32">
        <v>46237</v>
      </c>
      <c r="B170" s="33" t="s">
        <v>105</v>
      </c>
      <c r="C170" s="33" t="s">
        <v>548</v>
      </c>
      <c r="D170" s="33" t="s">
        <v>105</v>
      </c>
      <c r="E170">
        <v>19</v>
      </c>
      <c r="F170" s="34">
        <v>0.27539351851851851</v>
      </c>
      <c r="G170" s="34">
        <v>1.4494395711500975E-2</v>
      </c>
      <c r="H170" s="34">
        <v>0.26327546296296295</v>
      </c>
      <c r="I170" s="34">
        <v>6.5127314814814818E-2</v>
      </c>
      <c r="J170" s="35">
        <v>0.2473732799929661</v>
      </c>
      <c r="K170" s="33" t="s">
        <v>219</v>
      </c>
      <c r="L170" s="33" t="s">
        <v>104</v>
      </c>
    </row>
    <row r="171" spans="1:12" x14ac:dyDescent="0.25">
      <c r="A171" s="32">
        <v>46237</v>
      </c>
      <c r="B171" s="33" t="s">
        <v>105</v>
      </c>
      <c r="C171" s="33" t="s">
        <v>641</v>
      </c>
      <c r="D171" s="33" t="s">
        <v>105</v>
      </c>
      <c r="E171">
        <v>13</v>
      </c>
      <c r="F171" s="34">
        <v>0.23354166666666668</v>
      </c>
      <c r="G171" s="34">
        <v>1.7964743589743589E-2</v>
      </c>
      <c r="H171" s="34">
        <v>0.24063657407407407</v>
      </c>
      <c r="I171" s="34">
        <v>0.14937500000000001</v>
      </c>
      <c r="J171" s="35">
        <v>0.62074936270501657</v>
      </c>
      <c r="K171" s="33" t="s">
        <v>620</v>
      </c>
      <c r="L171" s="33" t="s">
        <v>601</v>
      </c>
    </row>
    <row r="172" spans="1:12" x14ac:dyDescent="0.25">
      <c r="A172" s="32">
        <v>46237</v>
      </c>
      <c r="B172" s="33" t="s">
        <v>105</v>
      </c>
      <c r="C172" s="33" t="s">
        <v>556</v>
      </c>
      <c r="D172" s="33" t="s">
        <v>105</v>
      </c>
      <c r="E172">
        <v>16</v>
      </c>
      <c r="F172" s="34">
        <v>0.19341435185185185</v>
      </c>
      <c r="G172" s="34">
        <v>1.2088396990740741E-2</v>
      </c>
      <c r="H172" s="34">
        <v>0.23188657407407406</v>
      </c>
      <c r="I172" s="34">
        <v>9.0810185185185188E-2</v>
      </c>
      <c r="J172" s="35">
        <v>0.39161467431994013</v>
      </c>
      <c r="K172" s="33" t="s">
        <v>138</v>
      </c>
      <c r="L172" s="33" t="s">
        <v>104</v>
      </c>
    </row>
    <row r="173" spans="1:12" x14ac:dyDescent="0.25">
      <c r="A173" s="32">
        <v>46237</v>
      </c>
      <c r="B173" s="33" t="s">
        <v>105</v>
      </c>
      <c r="C173" s="33" t="s">
        <v>674</v>
      </c>
      <c r="D173" s="33" t="s">
        <v>105</v>
      </c>
      <c r="E173">
        <v>14</v>
      </c>
      <c r="F173" s="34">
        <v>0.19850694444444444</v>
      </c>
      <c r="G173" s="34">
        <v>1.4179067460317461E-2</v>
      </c>
      <c r="H173" s="34">
        <v>0.25037037037037035</v>
      </c>
      <c r="I173" s="34">
        <v>0.13590277777777779</v>
      </c>
      <c r="J173" s="35">
        <v>0.54280695266272194</v>
      </c>
      <c r="K173" s="33" t="s">
        <v>673</v>
      </c>
      <c r="L173" s="33" t="s">
        <v>104</v>
      </c>
    </row>
    <row r="174" spans="1:12" x14ac:dyDescent="0.25">
      <c r="A174" s="32">
        <v>46237</v>
      </c>
      <c r="B174" s="33" t="s">
        <v>105</v>
      </c>
      <c r="C174" s="33" t="s">
        <v>549</v>
      </c>
      <c r="D174" s="33" t="s">
        <v>105</v>
      </c>
      <c r="E174">
        <v>13</v>
      </c>
      <c r="F174" s="34">
        <v>0.34709490740740739</v>
      </c>
      <c r="G174" s="34">
        <v>2.6699608262108262E-2</v>
      </c>
      <c r="H174" s="34">
        <v>0.2568171296296296</v>
      </c>
      <c r="I174" s="34">
        <v>5.1712962962962961E-2</v>
      </c>
      <c r="J174" s="35">
        <v>0.20136103474694669</v>
      </c>
      <c r="K174" s="33" t="s">
        <v>225</v>
      </c>
      <c r="L174" s="33" t="s">
        <v>601</v>
      </c>
    </row>
    <row r="175" spans="1:12" x14ac:dyDescent="0.25">
      <c r="A175" s="32">
        <v>46237</v>
      </c>
      <c r="B175" s="33" t="s">
        <v>105</v>
      </c>
      <c r="C175" s="33" t="s">
        <v>571</v>
      </c>
      <c r="D175" s="33" t="s">
        <v>105</v>
      </c>
      <c r="E175">
        <v>13</v>
      </c>
      <c r="F175" s="34">
        <v>0.25300925925925927</v>
      </c>
      <c r="G175" s="34">
        <v>1.946225071225071E-2</v>
      </c>
      <c r="H175" s="34">
        <v>0.26898148148148149</v>
      </c>
      <c r="I175" s="34">
        <v>5.1770833333333335E-2</v>
      </c>
      <c r="J175" s="35">
        <v>0.19246987951807229</v>
      </c>
      <c r="K175" s="33" t="s">
        <v>299</v>
      </c>
      <c r="L175" s="33" t="s">
        <v>104</v>
      </c>
    </row>
    <row r="176" spans="1:12" x14ac:dyDescent="0.25">
      <c r="A176" s="32">
        <v>46237</v>
      </c>
      <c r="B176" s="33" t="s">
        <v>105</v>
      </c>
      <c r="C176" s="33" t="s">
        <v>676</v>
      </c>
      <c r="D176" s="33" t="s">
        <v>105</v>
      </c>
      <c r="E176">
        <v>10</v>
      </c>
      <c r="F176" s="34">
        <v>0.23590277777777777</v>
      </c>
      <c r="G176" s="34">
        <v>2.3590277777777779E-2</v>
      </c>
      <c r="H176" s="34">
        <v>0.25798611111111114</v>
      </c>
      <c r="I176" s="34">
        <v>8.2349537037037041E-2</v>
      </c>
      <c r="J176" s="35">
        <v>0.31920143562135489</v>
      </c>
      <c r="K176" s="33" t="s">
        <v>675</v>
      </c>
      <c r="L176" s="33" t="s">
        <v>104</v>
      </c>
    </row>
    <row r="177" spans="1:12" x14ac:dyDescent="0.25">
      <c r="A177" s="32">
        <v>46237</v>
      </c>
      <c r="B177" s="33" t="s">
        <v>32</v>
      </c>
      <c r="C177" s="33" t="s">
        <v>562</v>
      </c>
      <c r="D177" s="33" t="s">
        <v>80</v>
      </c>
      <c r="E177">
        <v>5</v>
      </c>
      <c r="F177" s="34">
        <v>7.1296296296296299E-3</v>
      </c>
      <c r="G177" s="34">
        <v>1.425925925925926E-3</v>
      </c>
      <c r="H177" s="34">
        <v>0.26290509259259259</v>
      </c>
      <c r="I177" s="34">
        <v>6.1585648148148146E-2</v>
      </c>
      <c r="J177" s="35">
        <v>0.23425049526744443</v>
      </c>
      <c r="K177" s="33" t="s">
        <v>186</v>
      </c>
      <c r="L177" s="33" t="s">
        <v>78</v>
      </c>
    </row>
    <row r="178" spans="1:12" x14ac:dyDescent="0.25">
      <c r="A178" s="32">
        <v>46237</v>
      </c>
      <c r="B178" s="33" t="s">
        <v>32</v>
      </c>
      <c r="C178" s="33" t="s">
        <v>644</v>
      </c>
      <c r="D178" s="33" t="s">
        <v>32</v>
      </c>
      <c r="E178">
        <v>25</v>
      </c>
      <c r="F178" s="34">
        <v>0.13630787037037037</v>
      </c>
      <c r="G178" s="34">
        <v>5.4523148148148144E-3</v>
      </c>
      <c r="H178" s="34">
        <v>0.25465277777777778</v>
      </c>
      <c r="I178" s="34">
        <v>4.4537037037037035E-2</v>
      </c>
      <c r="J178" s="35">
        <v>0.17489319152804292</v>
      </c>
      <c r="K178" s="33" t="s">
        <v>643</v>
      </c>
      <c r="L178" s="33" t="s">
        <v>233</v>
      </c>
    </row>
    <row r="179" spans="1:12" x14ac:dyDescent="0.25">
      <c r="A179" s="32">
        <v>46237</v>
      </c>
      <c r="B179" s="33" t="s">
        <v>32</v>
      </c>
      <c r="C179" s="33" t="s">
        <v>563</v>
      </c>
      <c r="D179" s="33" t="s">
        <v>147</v>
      </c>
      <c r="E179">
        <v>9</v>
      </c>
      <c r="F179" s="34">
        <v>4.5335648148148146E-2</v>
      </c>
      <c r="G179" s="34">
        <v>5.0372942386831274E-3</v>
      </c>
      <c r="H179" s="34">
        <v>0.15309776418283363</v>
      </c>
      <c r="I179" s="34">
        <v>2.6930149968344409E-2</v>
      </c>
      <c r="J179" s="35">
        <v>0.17590165416252371</v>
      </c>
      <c r="K179" s="33" t="s">
        <v>193</v>
      </c>
      <c r="L179" s="33" t="s">
        <v>274</v>
      </c>
    </row>
    <row r="180" spans="1:12" x14ac:dyDescent="0.25">
      <c r="A180" s="32">
        <v>46237</v>
      </c>
      <c r="B180" s="33" t="s">
        <v>32</v>
      </c>
      <c r="C180" s="33" t="s">
        <v>525</v>
      </c>
      <c r="D180" s="33" t="s">
        <v>32</v>
      </c>
      <c r="E180">
        <v>33</v>
      </c>
      <c r="F180" s="34">
        <v>0.14894675925925926</v>
      </c>
      <c r="G180" s="34">
        <v>4.5135381593714927E-3</v>
      </c>
      <c r="H180" s="34">
        <v>0.26171296296296298</v>
      </c>
      <c r="I180" s="34">
        <v>4.1828703703703701E-2</v>
      </c>
      <c r="J180" s="35">
        <v>0.15982664072174066</v>
      </c>
      <c r="K180" s="33" t="s">
        <v>231</v>
      </c>
      <c r="L180" s="33" t="s">
        <v>233</v>
      </c>
    </row>
    <row r="181" spans="1:12" x14ac:dyDescent="0.25">
      <c r="A181" s="32">
        <v>46237</v>
      </c>
      <c r="B181" s="33" t="s">
        <v>32</v>
      </c>
      <c r="C181" s="33" t="s">
        <v>550</v>
      </c>
      <c r="D181" s="33" t="s">
        <v>32</v>
      </c>
      <c r="E181">
        <v>49</v>
      </c>
      <c r="F181" s="34">
        <v>0.1333101851851852</v>
      </c>
      <c r="G181" s="34">
        <v>2.7206160241874527E-3</v>
      </c>
      <c r="H181" s="34">
        <v>0.26333333333333331</v>
      </c>
      <c r="I181" s="34">
        <v>5.1284722222222225E-2</v>
      </c>
      <c r="J181" s="35">
        <v>0.19475210970464135</v>
      </c>
      <c r="K181" s="33" t="s">
        <v>234</v>
      </c>
      <c r="L181" s="33" t="s">
        <v>233</v>
      </c>
    </row>
    <row r="182" spans="1:12" x14ac:dyDescent="0.25">
      <c r="A182" s="32">
        <v>46237</v>
      </c>
      <c r="B182" s="33" t="s">
        <v>32</v>
      </c>
      <c r="C182" s="33" t="s">
        <v>505</v>
      </c>
      <c r="D182" s="33" t="s">
        <v>32</v>
      </c>
      <c r="E182">
        <v>43</v>
      </c>
      <c r="F182" s="34">
        <v>0.14887731481481481</v>
      </c>
      <c r="G182" s="34">
        <v>3.4622631352282519E-3</v>
      </c>
      <c r="H182" s="34">
        <v>0.25965277777777779</v>
      </c>
      <c r="I182" s="34">
        <v>4.5937499999999999E-2</v>
      </c>
      <c r="J182" s="35">
        <v>0.1769189622893822</v>
      </c>
      <c r="K182" s="33" t="s">
        <v>34</v>
      </c>
      <c r="L182" s="33" t="s">
        <v>233</v>
      </c>
    </row>
    <row r="183" spans="1:12" x14ac:dyDescent="0.25">
      <c r="A183" s="32">
        <v>46237</v>
      </c>
      <c r="B183" s="33" t="s">
        <v>32</v>
      </c>
      <c r="C183" s="33" t="s">
        <v>551</v>
      </c>
      <c r="D183" s="33" t="s">
        <v>32</v>
      </c>
      <c r="E183">
        <v>12</v>
      </c>
      <c r="F183" s="34">
        <v>6.7789351851851851E-2</v>
      </c>
      <c r="G183" s="34">
        <v>5.6491126543209876E-3</v>
      </c>
      <c r="H183" s="34">
        <v>0.30199074074074073</v>
      </c>
      <c r="I183" s="34">
        <v>0.23159722222222223</v>
      </c>
      <c r="J183" s="35">
        <v>0.76690173233174919</v>
      </c>
      <c r="K183" s="33" t="s">
        <v>236</v>
      </c>
      <c r="L183" s="33" t="s">
        <v>233</v>
      </c>
    </row>
    <row r="184" spans="1:12" x14ac:dyDescent="0.25">
      <c r="A184" s="32">
        <v>46237</v>
      </c>
      <c r="B184" s="33" t="s">
        <v>32</v>
      </c>
      <c r="C184" s="33" t="s">
        <v>514</v>
      </c>
      <c r="D184" s="33" t="s">
        <v>147</v>
      </c>
      <c r="E184">
        <v>6</v>
      </c>
      <c r="F184" s="34">
        <v>1.369212962962963E-2</v>
      </c>
      <c r="G184" s="34">
        <v>2.2820216049382713E-3</v>
      </c>
      <c r="H184" s="34">
        <v>7.4603406812057405E-2</v>
      </c>
      <c r="I184" s="34">
        <v>1.0782924421883812E-2</v>
      </c>
      <c r="J184" s="35">
        <v>0.1445366221551839</v>
      </c>
      <c r="K184" s="33" t="s">
        <v>150</v>
      </c>
      <c r="L184" s="33" t="s">
        <v>146</v>
      </c>
    </row>
    <row r="185" spans="1:12" x14ac:dyDescent="0.25">
      <c r="A185" s="32">
        <v>46237</v>
      </c>
      <c r="B185" s="33" t="s">
        <v>32</v>
      </c>
      <c r="C185" s="33" t="s">
        <v>536</v>
      </c>
      <c r="D185" s="33" t="s">
        <v>32</v>
      </c>
      <c r="E185">
        <v>8</v>
      </c>
      <c r="F185" s="34">
        <v>7.6365740740740734E-2</v>
      </c>
      <c r="G185" s="34">
        <v>9.5457175925925918E-3</v>
      </c>
      <c r="H185" s="34">
        <v>0.25975694444444447</v>
      </c>
      <c r="I185" s="34">
        <v>0.19453703703703704</v>
      </c>
      <c r="J185" s="35">
        <v>0.74891948491734617</v>
      </c>
      <c r="K185" s="33" t="s">
        <v>38</v>
      </c>
      <c r="L185" s="33" t="s">
        <v>100</v>
      </c>
    </row>
    <row r="186" spans="1:12" x14ac:dyDescent="0.25">
      <c r="A186" s="32">
        <v>46237</v>
      </c>
      <c r="B186" s="33" t="s">
        <v>32</v>
      </c>
      <c r="C186" s="33" t="s">
        <v>515</v>
      </c>
      <c r="D186" s="33" t="s">
        <v>147</v>
      </c>
      <c r="E186">
        <v>8</v>
      </c>
      <c r="F186" s="34">
        <v>1.2916666666666667E-2</v>
      </c>
      <c r="G186" s="34">
        <v>1.6145833333333333E-3</v>
      </c>
      <c r="H186" s="34">
        <v>0.12153360326688814</v>
      </c>
      <c r="I186" s="34">
        <v>2.0828661406423032E-2</v>
      </c>
      <c r="J186" s="35">
        <v>0.1713819128746083</v>
      </c>
      <c r="K186" s="33" t="s">
        <v>154</v>
      </c>
      <c r="L186" s="33" t="s">
        <v>146</v>
      </c>
    </row>
    <row r="187" spans="1:12" x14ac:dyDescent="0.25">
      <c r="A187" s="32">
        <v>46237</v>
      </c>
      <c r="B187" s="33" t="s">
        <v>32</v>
      </c>
      <c r="C187" s="33" t="s">
        <v>516</v>
      </c>
      <c r="D187" s="33" t="s">
        <v>147</v>
      </c>
      <c r="E187">
        <v>3</v>
      </c>
      <c r="F187" s="34">
        <v>1.6851851851851851E-2</v>
      </c>
      <c r="G187" s="34">
        <v>5.6172839506172835E-3</v>
      </c>
      <c r="H187" s="34">
        <v>4.7125586430891375E-2</v>
      </c>
      <c r="I187" s="34">
        <v>1.2953606800593449E-2</v>
      </c>
      <c r="J187" s="35">
        <v>0.27487417731320174</v>
      </c>
      <c r="K187" s="33" t="s">
        <v>156</v>
      </c>
      <c r="L187" s="33" t="s">
        <v>146</v>
      </c>
    </row>
    <row r="188" spans="1:12" x14ac:dyDescent="0.25">
      <c r="A188" s="32">
        <v>46237</v>
      </c>
      <c r="B188" s="33" t="s">
        <v>32</v>
      </c>
      <c r="C188" s="33" t="s">
        <v>506</v>
      </c>
      <c r="D188" s="33" t="s">
        <v>32</v>
      </c>
      <c r="E188">
        <v>41</v>
      </c>
      <c r="F188" s="34">
        <v>0.25049768518518517</v>
      </c>
      <c r="G188" s="34">
        <v>6.1096996386630536E-3</v>
      </c>
      <c r="H188" s="34">
        <v>0.26271990740740742</v>
      </c>
      <c r="I188" s="34">
        <v>3.2789351851851854E-2</v>
      </c>
      <c r="J188" s="35">
        <v>0.12480726023172826</v>
      </c>
      <c r="K188" s="33" t="s">
        <v>44</v>
      </c>
      <c r="L188" s="33" t="s">
        <v>100</v>
      </c>
    </row>
    <row r="189" spans="1:12" x14ac:dyDescent="0.25">
      <c r="A189" s="32">
        <v>46237</v>
      </c>
      <c r="B189" s="33" t="s">
        <v>32</v>
      </c>
      <c r="C189" s="33" t="s">
        <v>646</v>
      </c>
      <c r="D189" s="33" t="s">
        <v>32</v>
      </c>
      <c r="E189">
        <v>47</v>
      </c>
      <c r="F189" s="34">
        <v>0.26636574074074076</v>
      </c>
      <c r="G189" s="34">
        <v>5.6673561859732074E-3</v>
      </c>
      <c r="H189" s="34">
        <v>0.26622685185185185</v>
      </c>
      <c r="I189" s="34">
        <v>4.2893518518518518E-2</v>
      </c>
      <c r="J189" s="35">
        <v>0.16111642465872533</v>
      </c>
      <c r="K189" s="33" t="s">
        <v>645</v>
      </c>
      <c r="L189" s="33" t="s">
        <v>100</v>
      </c>
    </row>
    <row r="190" spans="1:12" x14ac:dyDescent="0.25">
      <c r="A190" s="32">
        <v>46237</v>
      </c>
      <c r="B190" s="33" t="s">
        <v>32</v>
      </c>
      <c r="C190" s="33" t="s">
        <v>544</v>
      </c>
      <c r="D190" s="33" t="s">
        <v>147</v>
      </c>
      <c r="E190">
        <v>4</v>
      </c>
      <c r="F190" s="34">
        <v>9.0046296296296298E-3</v>
      </c>
      <c r="G190" s="34">
        <v>2.2511574074074074E-3</v>
      </c>
      <c r="H190" s="34">
        <v>5.615418432913559E-2</v>
      </c>
      <c r="I190" s="34">
        <v>1.8029319698423012E-2</v>
      </c>
      <c r="J190" s="35">
        <v>0.32106814325265698</v>
      </c>
      <c r="K190" s="33" t="s">
        <v>160</v>
      </c>
      <c r="L190" s="33" t="s">
        <v>146</v>
      </c>
    </row>
    <row r="191" spans="1:12" x14ac:dyDescent="0.25">
      <c r="A191" s="32">
        <v>46237</v>
      </c>
      <c r="B191" s="33" t="s">
        <v>32</v>
      </c>
      <c r="C191" s="33" t="s">
        <v>558</v>
      </c>
      <c r="D191" s="33" t="s">
        <v>32</v>
      </c>
      <c r="E191">
        <v>57</v>
      </c>
      <c r="F191" s="34">
        <v>0.16090277777777778</v>
      </c>
      <c r="G191" s="34">
        <v>2.8228557504873294E-3</v>
      </c>
      <c r="H191" s="34">
        <v>0.25548611111111114</v>
      </c>
      <c r="I191" s="34">
        <v>4.3877314814814813E-2</v>
      </c>
      <c r="J191" s="35">
        <v>0.1717405091963396</v>
      </c>
      <c r="K191" s="33" t="s">
        <v>120</v>
      </c>
      <c r="L191" s="33" t="s">
        <v>233</v>
      </c>
    </row>
    <row r="192" spans="1:12" x14ac:dyDescent="0.25">
      <c r="A192" s="32">
        <v>46237</v>
      </c>
      <c r="B192" s="33" t="s">
        <v>32</v>
      </c>
      <c r="C192" s="33" t="s">
        <v>507</v>
      </c>
      <c r="D192" s="33" t="s">
        <v>32</v>
      </c>
      <c r="E192">
        <v>36</v>
      </c>
      <c r="F192" s="34">
        <v>0.23997685185185186</v>
      </c>
      <c r="G192" s="34">
        <v>6.6660236625514409E-3</v>
      </c>
      <c r="H192" s="34">
        <v>0.2628125</v>
      </c>
      <c r="I192" s="34">
        <v>3.366898148148148E-2</v>
      </c>
      <c r="J192" s="35">
        <v>0.12811027436473335</v>
      </c>
      <c r="K192" s="33" t="s">
        <v>46</v>
      </c>
      <c r="L192" s="33" t="s">
        <v>100</v>
      </c>
    </row>
    <row r="193" spans="1:12" x14ac:dyDescent="0.25">
      <c r="A193" s="32">
        <v>46237</v>
      </c>
      <c r="B193" s="33" t="s">
        <v>32</v>
      </c>
      <c r="C193" s="33" t="s">
        <v>517</v>
      </c>
      <c r="D193" s="33" t="s">
        <v>147</v>
      </c>
      <c r="E193">
        <v>4</v>
      </c>
      <c r="F193" s="34">
        <v>1.0428240740740741E-2</v>
      </c>
      <c r="G193" s="34">
        <v>2.6070601851851853E-3</v>
      </c>
      <c r="H193" s="34">
        <v>7.5254413508206441E-2</v>
      </c>
      <c r="I193" s="34">
        <v>2.1099888234349721E-2</v>
      </c>
      <c r="J193" s="35">
        <v>0.28038074115146477</v>
      </c>
      <c r="K193" s="33" t="s">
        <v>499</v>
      </c>
      <c r="L193" s="33" t="s">
        <v>146</v>
      </c>
    </row>
    <row r="194" spans="1:12" x14ac:dyDescent="0.25">
      <c r="A194" s="32">
        <v>46237</v>
      </c>
      <c r="B194" s="33" t="s">
        <v>32</v>
      </c>
      <c r="C194" s="33" t="s">
        <v>648</v>
      </c>
      <c r="D194" s="33" t="s">
        <v>32</v>
      </c>
      <c r="E194">
        <v>35</v>
      </c>
      <c r="F194" s="34">
        <v>0.14929398148148149</v>
      </c>
      <c r="G194" s="34">
        <v>4.2655423280423283E-3</v>
      </c>
      <c r="H194" s="34">
        <v>0.26407407407407407</v>
      </c>
      <c r="I194" s="34">
        <v>4.7210648148148147E-2</v>
      </c>
      <c r="J194" s="35">
        <v>0.17877805049088358</v>
      </c>
      <c r="K194" s="33" t="s">
        <v>647</v>
      </c>
      <c r="L194" s="33" t="s">
        <v>233</v>
      </c>
    </row>
    <row r="195" spans="1:12" x14ac:dyDescent="0.25">
      <c r="A195" s="32">
        <v>46237</v>
      </c>
      <c r="B195" s="33" t="s">
        <v>32</v>
      </c>
      <c r="C195" s="33" t="s">
        <v>508</v>
      </c>
      <c r="D195" s="33" t="s">
        <v>32</v>
      </c>
      <c r="E195">
        <v>42</v>
      </c>
      <c r="F195" s="34">
        <v>0.23150462962962962</v>
      </c>
      <c r="G195" s="34">
        <v>5.5120149911816576E-3</v>
      </c>
      <c r="H195" s="34">
        <v>0.30230324074074072</v>
      </c>
      <c r="I195" s="34">
        <v>7.5023148148148144E-2</v>
      </c>
      <c r="J195" s="35">
        <v>0.24817182893678932</v>
      </c>
      <c r="K195" s="33" t="s">
        <v>48</v>
      </c>
      <c r="L195" s="33" t="s">
        <v>100</v>
      </c>
    </row>
    <row r="196" spans="1:12" x14ac:dyDescent="0.25">
      <c r="A196" s="32">
        <v>46237</v>
      </c>
      <c r="B196" s="33" t="s">
        <v>32</v>
      </c>
      <c r="C196" s="33" t="s">
        <v>538</v>
      </c>
      <c r="D196" s="33" t="s">
        <v>32</v>
      </c>
      <c r="E196">
        <v>12</v>
      </c>
      <c r="F196" s="34">
        <v>5.6527777777777781E-2</v>
      </c>
      <c r="G196" s="34">
        <v>4.7106481481481478E-3</v>
      </c>
      <c r="H196" s="34">
        <v>0.24517361111111111</v>
      </c>
      <c r="I196" s="34">
        <v>0.19908564814814814</v>
      </c>
      <c r="J196" s="35">
        <v>0.81201907189727607</v>
      </c>
      <c r="K196" s="33" t="s">
        <v>50</v>
      </c>
      <c r="L196" s="33" t="s">
        <v>100</v>
      </c>
    </row>
    <row r="197" spans="1:12" x14ac:dyDescent="0.25">
      <c r="A197" s="32">
        <v>46237</v>
      </c>
      <c r="B197" s="33" t="s">
        <v>32</v>
      </c>
      <c r="C197" s="33" t="s">
        <v>603</v>
      </c>
      <c r="D197" s="33" t="s">
        <v>32</v>
      </c>
      <c r="E197">
        <v>33</v>
      </c>
      <c r="F197" s="34">
        <v>0.20393518518518519</v>
      </c>
      <c r="G197" s="34">
        <v>6.1798540965207639E-3</v>
      </c>
      <c r="H197" s="34">
        <v>0.27641203703703704</v>
      </c>
      <c r="I197" s="34">
        <v>6.5162037037037037E-3</v>
      </c>
      <c r="J197" s="35">
        <v>2.3574240013399212E-2</v>
      </c>
      <c r="K197" s="33" t="s">
        <v>242</v>
      </c>
      <c r="L197" s="33" t="s">
        <v>233</v>
      </c>
    </row>
    <row r="198" spans="1:12" x14ac:dyDescent="0.25">
      <c r="A198" s="32">
        <v>46237</v>
      </c>
      <c r="B198" s="33" t="s">
        <v>32</v>
      </c>
      <c r="C198" s="33" t="s">
        <v>559</v>
      </c>
      <c r="D198" s="33" t="s">
        <v>105</v>
      </c>
      <c r="E198">
        <v>6</v>
      </c>
      <c r="F198" s="34">
        <v>4.071759259259259E-2</v>
      </c>
      <c r="G198" s="34">
        <v>6.7862654320987661E-3</v>
      </c>
      <c r="H198" s="34">
        <v>4.8807660110883694E-2</v>
      </c>
      <c r="I198" s="34">
        <v>1.8499218756126441E-2</v>
      </c>
      <c r="J198" s="35">
        <v>0.37902285653725232</v>
      </c>
      <c r="K198" s="33" t="s">
        <v>289</v>
      </c>
      <c r="L198" s="33" t="s">
        <v>104</v>
      </c>
    </row>
    <row r="199" spans="1:12" x14ac:dyDescent="0.25">
      <c r="A199" s="32">
        <v>46237</v>
      </c>
      <c r="B199" s="33" t="s">
        <v>32</v>
      </c>
      <c r="C199" s="33" t="s">
        <v>518</v>
      </c>
      <c r="D199" s="33" t="s">
        <v>147</v>
      </c>
      <c r="E199">
        <v>5</v>
      </c>
      <c r="F199" s="34">
        <v>8.472222222222223E-3</v>
      </c>
      <c r="G199" s="34">
        <v>1.6944444444444446E-3</v>
      </c>
      <c r="H199" s="34">
        <v>3.8978403819303696E-2</v>
      </c>
      <c r="I199" s="34">
        <v>6.5799666711705623E-3</v>
      </c>
      <c r="J199" s="35">
        <v>0.16881057268722466</v>
      </c>
      <c r="K199" s="33" t="s">
        <v>500</v>
      </c>
      <c r="L199" s="33" t="s">
        <v>274</v>
      </c>
    </row>
    <row r="200" spans="1:12" x14ac:dyDescent="0.25">
      <c r="A200" s="32">
        <v>46237</v>
      </c>
      <c r="B200" s="33" t="s">
        <v>32</v>
      </c>
      <c r="C200" s="33" t="s">
        <v>654</v>
      </c>
      <c r="D200" s="33" t="s">
        <v>32</v>
      </c>
      <c r="E200">
        <v>23</v>
      </c>
      <c r="F200" s="34">
        <v>0.20667824074074073</v>
      </c>
      <c r="G200" s="34">
        <v>8.9860104669887281E-3</v>
      </c>
      <c r="H200" s="34">
        <v>0.25649305555555557</v>
      </c>
      <c r="I200" s="34">
        <v>4.3043981481481482E-2</v>
      </c>
      <c r="J200" s="35">
        <v>0.16781733676278146</v>
      </c>
      <c r="K200" s="33" t="s">
        <v>653</v>
      </c>
      <c r="L200" s="33" t="s">
        <v>100</v>
      </c>
    </row>
    <row r="201" spans="1:12" x14ac:dyDescent="0.25">
      <c r="A201" s="32">
        <v>46237</v>
      </c>
      <c r="B201" s="33" t="s">
        <v>32</v>
      </c>
      <c r="C201" s="33" t="s">
        <v>509</v>
      </c>
      <c r="D201" s="33" t="s">
        <v>32</v>
      </c>
      <c r="E201">
        <v>5</v>
      </c>
      <c r="F201" s="34">
        <v>4.9629629629629628E-2</v>
      </c>
      <c r="G201" s="34">
        <v>9.9259259259259266E-3</v>
      </c>
      <c r="H201" s="34">
        <v>0.25643518518518521</v>
      </c>
      <c r="I201" s="34">
        <v>0.22572916666666668</v>
      </c>
      <c r="J201" s="35">
        <v>0.88025816934464707</v>
      </c>
      <c r="K201" s="33" t="s">
        <v>52</v>
      </c>
      <c r="L201" s="33" t="s">
        <v>100</v>
      </c>
    </row>
    <row r="202" spans="1:12" x14ac:dyDescent="0.25">
      <c r="A202" s="32">
        <v>46237</v>
      </c>
      <c r="B202" s="33" t="s">
        <v>32</v>
      </c>
      <c r="C202" s="33" t="s">
        <v>519</v>
      </c>
      <c r="D202" s="33" t="s">
        <v>147</v>
      </c>
      <c r="E202">
        <v>7</v>
      </c>
      <c r="F202" s="34">
        <v>1.3113425925925926E-2</v>
      </c>
      <c r="G202" s="34">
        <v>1.8733465608465609E-3</v>
      </c>
      <c r="H202" s="34">
        <v>8.7988005240774228E-2</v>
      </c>
      <c r="I202" s="34">
        <v>1.3374271649588104E-2</v>
      </c>
      <c r="J202" s="35">
        <v>0.15200107802182994</v>
      </c>
      <c r="K202" s="33" t="s">
        <v>164</v>
      </c>
      <c r="L202" s="33" t="s">
        <v>146</v>
      </c>
    </row>
    <row r="203" spans="1:12" x14ac:dyDescent="0.25">
      <c r="A203" s="32">
        <v>46237</v>
      </c>
      <c r="B203" s="33" t="s">
        <v>32</v>
      </c>
      <c r="C203" s="33" t="s">
        <v>656</v>
      </c>
      <c r="D203" s="33" t="s">
        <v>32</v>
      </c>
      <c r="E203">
        <v>22</v>
      </c>
      <c r="F203" s="34">
        <v>0.2107175925925926</v>
      </c>
      <c r="G203" s="34">
        <v>9.5780723905723904E-3</v>
      </c>
      <c r="H203" s="34">
        <v>0.26162037037037039</v>
      </c>
      <c r="I203" s="34">
        <v>4.1342592592592591E-2</v>
      </c>
      <c r="J203" s="35">
        <v>0.15802512829587684</v>
      </c>
      <c r="K203" s="33" t="s">
        <v>655</v>
      </c>
      <c r="L203" s="33" t="s">
        <v>100</v>
      </c>
    </row>
    <row r="204" spans="1:12" x14ac:dyDescent="0.25">
      <c r="A204" s="32">
        <v>46237</v>
      </c>
      <c r="B204" s="33" t="s">
        <v>32</v>
      </c>
      <c r="C204" s="33" t="s">
        <v>658</v>
      </c>
      <c r="D204" s="33" t="s">
        <v>147</v>
      </c>
      <c r="E204">
        <v>5</v>
      </c>
      <c r="F204" s="34">
        <v>2.0289351851851854E-2</v>
      </c>
      <c r="G204" s="34">
        <v>4.0578703703703705E-3</v>
      </c>
      <c r="H204" s="34">
        <v>6.524493355636464E-2</v>
      </c>
      <c r="I204" s="34">
        <v>1.2777801065653177E-2</v>
      </c>
      <c r="J204" s="35">
        <v>0.19584357541899441</v>
      </c>
      <c r="K204" s="33" t="s">
        <v>657</v>
      </c>
      <c r="L204" s="33" t="s">
        <v>274</v>
      </c>
    </row>
    <row r="205" spans="1:12" x14ac:dyDescent="0.25">
      <c r="A205" s="32">
        <v>46237</v>
      </c>
      <c r="B205" s="33" t="s">
        <v>32</v>
      </c>
      <c r="C205" s="33" t="s">
        <v>660</v>
      </c>
      <c r="D205" s="33" t="s">
        <v>32</v>
      </c>
      <c r="E205">
        <v>20</v>
      </c>
      <c r="F205" s="34">
        <v>0.11556712962962963</v>
      </c>
      <c r="G205" s="34">
        <v>5.7783564814814815E-3</v>
      </c>
      <c r="H205" s="34">
        <v>0.26377314814814817</v>
      </c>
      <c r="I205" s="34">
        <v>0.19548611111111111</v>
      </c>
      <c r="J205" s="35">
        <v>0.74111452391399735</v>
      </c>
      <c r="K205" s="33" t="s">
        <v>659</v>
      </c>
      <c r="L205" s="33" t="s">
        <v>100</v>
      </c>
    </row>
    <row r="206" spans="1:12" x14ac:dyDescent="0.25">
      <c r="A206" s="32">
        <v>46237</v>
      </c>
      <c r="B206" s="33" t="s">
        <v>32</v>
      </c>
      <c r="C206" s="33" t="s">
        <v>528</v>
      </c>
      <c r="D206" s="33" t="s">
        <v>32</v>
      </c>
      <c r="E206">
        <v>25</v>
      </c>
      <c r="F206" s="34">
        <v>0.13108796296296296</v>
      </c>
      <c r="G206" s="34">
        <v>5.2435185185185189E-3</v>
      </c>
      <c r="H206" s="34">
        <v>0.26520833333333332</v>
      </c>
      <c r="I206" s="34">
        <v>6.3032407407407412E-2</v>
      </c>
      <c r="J206" s="35">
        <v>0.23767129265950948</v>
      </c>
      <c r="K206" s="33" t="s">
        <v>254</v>
      </c>
      <c r="L206" s="33" t="s">
        <v>233</v>
      </c>
    </row>
    <row r="207" spans="1:12" x14ac:dyDescent="0.25">
      <c r="A207" s="32">
        <v>46237</v>
      </c>
      <c r="B207" s="33" t="s">
        <v>32</v>
      </c>
      <c r="C207" s="33" t="s">
        <v>520</v>
      </c>
      <c r="D207" s="33" t="s">
        <v>147</v>
      </c>
      <c r="E207">
        <v>4</v>
      </c>
      <c r="F207" s="34">
        <v>6.3541666666666668E-3</v>
      </c>
      <c r="G207" s="34">
        <v>1.5885416666666667E-3</v>
      </c>
      <c r="H207" s="34">
        <v>2.8502723338639076E-2</v>
      </c>
      <c r="I207" s="34">
        <v>5.126570997479772E-3</v>
      </c>
      <c r="J207" s="35">
        <v>0.1798624972277667</v>
      </c>
      <c r="K207" s="33" t="s">
        <v>168</v>
      </c>
      <c r="L207" s="33" t="s">
        <v>274</v>
      </c>
    </row>
    <row r="208" spans="1:12" x14ac:dyDescent="0.25">
      <c r="A208" s="32">
        <v>46237</v>
      </c>
      <c r="B208" s="33" t="s">
        <v>32</v>
      </c>
      <c r="C208" s="33" t="s">
        <v>521</v>
      </c>
      <c r="D208" s="33" t="s">
        <v>147</v>
      </c>
      <c r="E208">
        <v>5</v>
      </c>
      <c r="F208" s="34">
        <v>2.6782407407407408E-2</v>
      </c>
      <c r="G208" s="34">
        <v>5.356481481481482E-3</v>
      </c>
      <c r="H208" s="34">
        <v>0.10270593194311251</v>
      </c>
      <c r="I208" s="34">
        <v>1.5310707771572554E-2</v>
      </c>
      <c r="J208" s="35">
        <v>0.14907325684024714</v>
      </c>
      <c r="K208" s="33" t="s">
        <v>170</v>
      </c>
      <c r="L208" s="33" t="s">
        <v>146</v>
      </c>
    </row>
    <row r="209" spans="1:12" x14ac:dyDescent="0.25">
      <c r="A209" s="32">
        <v>46237</v>
      </c>
      <c r="B209" s="33" t="s">
        <v>32</v>
      </c>
      <c r="C209" s="33" t="s">
        <v>633</v>
      </c>
      <c r="D209" s="33" t="s">
        <v>147</v>
      </c>
      <c r="E209">
        <v>2</v>
      </c>
      <c r="F209" s="34">
        <v>1.5706018518518518E-2</v>
      </c>
      <c r="G209" s="34">
        <v>7.8530092592592592E-3</v>
      </c>
      <c r="H209" s="34">
        <v>0.10940988624175622</v>
      </c>
      <c r="I209" s="34">
        <v>3.5408701022340887E-2</v>
      </c>
      <c r="J209" s="35">
        <v>0.32363346895453743</v>
      </c>
      <c r="K209" s="33" t="s">
        <v>606</v>
      </c>
      <c r="L209" s="33" t="s">
        <v>146</v>
      </c>
    </row>
    <row r="210" spans="1:12" x14ac:dyDescent="0.25">
      <c r="A210" s="32">
        <v>46237</v>
      </c>
      <c r="B210" s="33" t="s">
        <v>32</v>
      </c>
      <c r="C210" s="33" t="s">
        <v>529</v>
      </c>
      <c r="D210" s="33" t="s">
        <v>32</v>
      </c>
      <c r="E210">
        <v>19</v>
      </c>
      <c r="F210" s="34">
        <v>0.14512731481481481</v>
      </c>
      <c r="G210" s="34">
        <v>7.6382797270955162E-3</v>
      </c>
      <c r="H210" s="34">
        <v>0.25015046296296295</v>
      </c>
      <c r="I210" s="34">
        <v>4.4583333333333336E-2</v>
      </c>
      <c r="J210" s="35">
        <v>0.17822606764447324</v>
      </c>
      <c r="K210" s="33" t="s">
        <v>256</v>
      </c>
      <c r="L210" s="33" t="s">
        <v>233</v>
      </c>
    </row>
    <row r="211" spans="1:12" x14ac:dyDescent="0.25">
      <c r="A211" s="32">
        <v>46237</v>
      </c>
      <c r="B211" s="33" t="s">
        <v>32</v>
      </c>
      <c r="C211" s="33" t="s">
        <v>662</v>
      </c>
      <c r="D211" s="33" t="s">
        <v>32</v>
      </c>
      <c r="E211">
        <v>27</v>
      </c>
      <c r="F211" s="34">
        <v>0.23043981481481482</v>
      </c>
      <c r="G211" s="34">
        <v>8.5348079561042515E-3</v>
      </c>
      <c r="H211" s="34">
        <v>0.26465277777777779</v>
      </c>
      <c r="I211" s="34">
        <v>4.7789351851851854E-2</v>
      </c>
      <c r="J211" s="35">
        <v>0.18057377766115632</v>
      </c>
      <c r="K211" s="33" t="s">
        <v>661</v>
      </c>
      <c r="L211" s="33" t="s">
        <v>100</v>
      </c>
    </row>
    <row r="212" spans="1:12" x14ac:dyDescent="0.25">
      <c r="A212" s="32">
        <v>46237</v>
      </c>
      <c r="B212" s="33" t="s">
        <v>32</v>
      </c>
      <c r="C212" s="33" t="s">
        <v>664</v>
      </c>
      <c r="D212" s="33" t="s">
        <v>32</v>
      </c>
      <c r="E212">
        <v>14</v>
      </c>
      <c r="F212" s="34">
        <v>0.17265046296296296</v>
      </c>
      <c r="G212" s="34">
        <v>1.2332175925925925E-2</v>
      </c>
      <c r="H212" s="34">
        <v>0.24324074074074073</v>
      </c>
      <c r="I212" s="34">
        <v>3.2233796296296295E-2</v>
      </c>
      <c r="J212" s="35">
        <v>0.13251808146174343</v>
      </c>
      <c r="K212" s="33" t="s">
        <v>663</v>
      </c>
      <c r="L212" s="33" t="s">
        <v>233</v>
      </c>
    </row>
    <row r="213" spans="1:12" x14ac:dyDescent="0.25">
      <c r="A213" s="32">
        <v>46237</v>
      </c>
      <c r="B213" s="33" t="s">
        <v>32</v>
      </c>
      <c r="C213" s="33" t="s">
        <v>666</v>
      </c>
      <c r="D213" s="33" t="s">
        <v>32</v>
      </c>
      <c r="E213">
        <v>28</v>
      </c>
      <c r="F213" s="34">
        <v>0.25922453703703702</v>
      </c>
      <c r="G213" s="34">
        <v>9.2580191798941787E-3</v>
      </c>
      <c r="H213" s="34">
        <v>0.25421296296296297</v>
      </c>
      <c r="I213" s="34">
        <v>1.4826388888888889E-2</v>
      </c>
      <c r="J213" s="35">
        <v>5.8322709888909127E-2</v>
      </c>
      <c r="K213" s="33" t="s">
        <v>665</v>
      </c>
      <c r="L213" s="33" t="s">
        <v>100</v>
      </c>
    </row>
    <row r="214" spans="1:12" x14ac:dyDescent="0.25">
      <c r="A214" s="32">
        <v>46237</v>
      </c>
      <c r="B214" s="33" t="s">
        <v>32</v>
      </c>
      <c r="C214" s="33" t="s">
        <v>530</v>
      </c>
      <c r="D214" s="33" t="s">
        <v>80</v>
      </c>
      <c r="E214">
        <v>2</v>
      </c>
      <c r="F214" s="34">
        <v>1.8055555555555555E-3</v>
      </c>
      <c r="G214" s="34">
        <v>9.0277777777777774E-4</v>
      </c>
      <c r="H214" s="34">
        <v>0.42125000000000001</v>
      </c>
      <c r="I214" s="34">
        <v>2.7199074074074074E-3</v>
      </c>
      <c r="J214" s="35">
        <v>6.456753489394439E-3</v>
      </c>
      <c r="K214" s="33" t="s">
        <v>264</v>
      </c>
      <c r="L214" s="33" t="s">
        <v>78</v>
      </c>
    </row>
    <row r="215" spans="1:12" x14ac:dyDescent="0.25">
      <c r="A215" s="32">
        <v>46237</v>
      </c>
      <c r="B215" s="33" t="s">
        <v>32</v>
      </c>
      <c r="C215" s="33" t="s">
        <v>555</v>
      </c>
      <c r="D215" s="33" t="s">
        <v>32</v>
      </c>
      <c r="E215">
        <v>39</v>
      </c>
      <c r="F215" s="34">
        <v>0.14332175925925925</v>
      </c>
      <c r="G215" s="34">
        <v>3.6749169040835705E-3</v>
      </c>
      <c r="H215" s="34">
        <v>0.26170138888888889</v>
      </c>
      <c r="I215" s="34">
        <v>4.9907407407407407E-2</v>
      </c>
      <c r="J215" s="35">
        <v>0.1907036398213259</v>
      </c>
      <c r="K215" s="33" t="s">
        <v>128</v>
      </c>
      <c r="L215" s="33" t="s">
        <v>233</v>
      </c>
    </row>
    <row r="216" spans="1:12" x14ac:dyDescent="0.25">
      <c r="A216" s="32">
        <v>46237</v>
      </c>
      <c r="B216" s="33" t="s">
        <v>32</v>
      </c>
      <c r="C216" s="33" t="s">
        <v>522</v>
      </c>
      <c r="D216" s="33" t="s">
        <v>147</v>
      </c>
      <c r="E216">
        <v>5</v>
      </c>
      <c r="F216" s="34">
        <v>7.8472222222222224E-3</v>
      </c>
      <c r="G216" s="34">
        <v>1.5694444444444443E-3</v>
      </c>
      <c r="H216" s="34">
        <v>6.6165234295068542E-2</v>
      </c>
      <c r="I216" s="34">
        <v>1.4107658072437078E-2</v>
      </c>
      <c r="J216" s="35">
        <v>0.21321859164773721</v>
      </c>
      <c r="K216" s="33" t="s">
        <v>178</v>
      </c>
      <c r="L216" s="33" t="s">
        <v>146</v>
      </c>
    </row>
    <row r="217" spans="1:12" x14ac:dyDescent="0.25">
      <c r="A217" s="32">
        <v>46237</v>
      </c>
      <c r="B217" s="33" t="s">
        <v>32</v>
      </c>
      <c r="C217" s="33" t="s">
        <v>523</v>
      </c>
      <c r="D217" s="33" t="s">
        <v>147</v>
      </c>
      <c r="E217">
        <v>7</v>
      </c>
      <c r="F217" s="34">
        <v>3.215277777777778E-2</v>
      </c>
      <c r="G217" s="34">
        <v>4.5932539682539677E-3</v>
      </c>
      <c r="H217" s="34">
        <v>0.11750067280262663</v>
      </c>
      <c r="I217" s="34">
        <v>1.6359341640203098E-2</v>
      </c>
      <c r="J217" s="35">
        <v>0.13922764227642276</v>
      </c>
      <c r="K217" s="33" t="s">
        <v>180</v>
      </c>
      <c r="L217" s="33" t="s">
        <v>146</v>
      </c>
    </row>
    <row r="218" spans="1:12" x14ac:dyDescent="0.25">
      <c r="A218" s="32">
        <v>46237</v>
      </c>
      <c r="B218" s="33" t="s">
        <v>32</v>
      </c>
      <c r="C218" s="33" t="s">
        <v>566</v>
      </c>
      <c r="D218" s="33" t="s">
        <v>147</v>
      </c>
      <c r="E218">
        <v>6</v>
      </c>
      <c r="F218" s="34">
        <v>1.2962962962962963E-2</v>
      </c>
      <c r="G218" s="34">
        <v>2.1604938271604936E-3</v>
      </c>
      <c r="H218" s="34">
        <v>5.710131619222529E-2</v>
      </c>
      <c r="I218" s="34">
        <v>1.0121416182022242E-2</v>
      </c>
      <c r="J218" s="35">
        <v>0.17725364066827479</v>
      </c>
      <c r="K218" s="33" t="s">
        <v>207</v>
      </c>
      <c r="L218" s="33" t="s">
        <v>274</v>
      </c>
    </row>
    <row r="219" spans="1:12" x14ac:dyDescent="0.25">
      <c r="A219" s="32">
        <v>46237</v>
      </c>
      <c r="B219" s="33" t="s">
        <v>32</v>
      </c>
      <c r="C219" s="33" t="s">
        <v>637</v>
      </c>
      <c r="D219" s="33" t="s">
        <v>105</v>
      </c>
      <c r="E219">
        <v>2</v>
      </c>
      <c r="F219" s="34">
        <v>7.1296296296296299E-3</v>
      </c>
      <c r="G219" s="34">
        <v>3.5648148148148149E-3</v>
      </c>
      <c r="H219" s="34">
        <v>1.4489786859482899E-2</v>
      </c>
      <c r="I219" s="34">
        <v>1.0463916844220799E-2</v>
      </c>
      <c r="J219" s="35">
        <v>0.72215809284818067</v>
      </c>
      <c r="K219" s="33" t="s">
        <v>616</v>
      </c>
      <c r="L219" s="33" t="s">
        <v>601</v>
      </c>
    </row>
    <row r="220" spans="1:12" x14ac:dyDescent="0.25">
      <c r="A220" s="32">
        <v>46237</v>
      </c>
      <c r="B220" s="33" t="s">
        <v>32</v>
      </c>
      <c r="C220" s="33" t="s">
        <v>567</v>
      </c>
      <c r="D220" s="33" t="s">
        <v>105</v>
      </c>
      <c r="E220">
        <v>1</v>
      </c>
      <c r="F220" s="34">
        <v>1.1018518518518518E-2</v>
      </c>
      <c r="G220" s="34">
        <v>1.1018518518518518E-2</v>
      </c>
      <c r="H220" s="34">
        <v>1.8120346525505062E-2</v>
      </c>
      <c r="I220" s="34">
        <v>1.0832305023516998E-2</v>
      </c>
      <c r="J220" s="35">
        <v>0.59779789576706632</v>
      </c>
      <c r="K220" s="33" t="s">
        <v>209</v>
      </c>
      <c r="L220" s="33" t="s">
        <v>601</v>
      </c>
    </row>
    <row r="221" spans="1:12" x14ac:dyDescent="0.25">
      <c r="A221" s="32">
        <v>46237</v>
      </c>
      <c r="B221" s="33" t="s">
        <v>32</v>
      </c>
      <c r="C221" s="33" t="s">
        <v>510</v>
      </c>
      <c r="D221" s="33" t="s">
        <v>32</v>
      </c>
      <c r="E221">
        <v>42</v>
      </c>
      <c r="F221" s="34">
        <v>0.24966435185185185</v>
      </c>
      <c r="G221" s="34">
        <v>5.9443893298059963E-3</v>
      </c>
      <c r="H221" s="34">
        <v>0.2654050925925926</v>
      </c>
      <c r="I221" s="34">
        <v>4.4270833333333336E-2</v>
      </c>
      <c r="J221" s="35">
        <v>0.16680476211242423</v>
      </c>
      <c r="K221" s="33" t="s">
        <v>60</v>
      </c>
      <c r="L221" s="33" t="s">
        <v>100</v>
      </c>
    </row>
    <row r="222" spans="1:12" x14ac:dyDescent="0.25">
      <c r="A222" s="32">
        <v>46237</v>
      </c>
      <c r="B222" s="33" t="s">
        <v>32</v>
      </c>
      <c r="C222" s="33" t="s">
        <v>524</v>
      </c>
      <c r="D222" s="33" t="s">
        <v>147</v>
      </c>
      <c r="E222">
        <v>9</v>
      </c>
      <c r="F222" s="34">
        <v>3.591435185185185E-2</v>
      </c>
      <c r="G222" s="34">
        <v>3.9904835390946504E-3</v>
      </c>
      <c r="H222" s="34">
        <v>0.1317909527690663</v>
      </c>
      <c r="I222" s="34">
        <v>1.6774539399469632E-2</v>
      </c>
      <c r="J222" s="35">
        <v>0.12728141839040499</v>
      </c>
      <c r="K222" s="33" t="s">
        <v>501</v>
      </c>
      <c r="L222" s="33" t="s">
        <v>274</v>
      </c>
    </row>
    <row r="223" spans="1:12" x14ac:dyDescent="0.25">
      <c r="A223" s="32">
        <v>46237</v>
      </c>
      <c r="B223" s="33" t="s">
        <v>32</v>
      </c>
      <c r="C223" s="33" t="s">
        <v>640</v>
      </c>
      <c r="D223" s="33" t="s">
        <v>105</v>
      </c>
      <c r="E223">
        <v>1</v>
      </c>
      <c r="F223" s="34">
        <v>3.3576388888888892E-2</v>
      </c>
      <c r="G223" s="34">
        <v>3.3576388888888892E-2</v>
      </c>
      <c r="H223" s="34">
        <v>3.5358832364429375E-2</v>
      </c>
      <c r="I223" s="34">
        <v>1.738754335769261E-2</v>
      </c>
      <c r="J223" s="35">
        <v>0.4917454054615305</v>
      </c>
      <c r="K223" s="33" t="s">
        <v>619</v>
      </c>
      <c r="L223" s="33" t="s">
        <v>601</v>
      </c>
    </row>
    <row r="224" spans="1:12" x14ac:dyDescent="0.25">
      <c r="A224" s="32">
        <v>46237</v>
      </c>
      <c r="B224" s="33" t="s">
        <v>32</v>
      </c>
      <c r="C224" s="33" t="s">
        <v>669</v>
      </c>
      <c r="D224" s="33" t="s">
        <v>32</v>
      </c>
      <c r="E224">
        <v>30</v>
      </c>
      <c r="F224" s="34">
        <v>0.16410879629629629</v>
      </c>
      <c r="G224" s="34">
        <v>5.4702932098765434E-3</v>
      </c>
      <c r="H224" s="34">
        <v>0.26313657407407409</v>
      </c>
      <c r="I224" s="34">
        <v>4.1851851851851848E-2</v>
      </c>
      <c r="J224" s="35">
        <v>0.1590499230261711</v>
      </c>
      <c r="K224" s="33" t="s">
        <v>668</v>
      </c>
      <c r="L224" s="33" t="s">
        <v>233</v>
      </c>
    </row>
    <row r="225" spans="1:12" x14ac:dyDescent="0.25">
      <c r="A225" s="32">
        <v>46237</v>
      </c>
      <c r="B225" s="33" t="s">
        <v>32</v>
      </c>
      <c r="C225" s="33" t="s">
        <v>670</v>
      </c>
      <c r="D225" s="33" t="s">
        <v>32</v>
      </c>
      <c r="E225">
        <v>29</v>
      </c>
      <c r="F225" s="34">
        <v>0.22244212962962964</v>
      </c>
      <c r="G225" s="34">
        <v>7.6704182630906777E-3</v>
      </c>
      <c r="H225" s="34">
        <v>0.26248842592592592</v>
      </c>
      <c r="I225" s="34">
        <v>4.8935185185185186E-2</v>
      </c>
      <c r="J225" s="35">
        <v>0.1864279730146832</v>
      </c>
      <c r="K225" s="33" t="s">
        <v>744</v>
      </c>
      <c r="L225" s="33" t="s">
        <v>100</v>
      </c>
    </row>
    <row r="226" spans="1:12" x14ac:dyDescent="0.25">
      <c r="A226" s="32">
        <v>46237</v>
      </c>
      <c r="B226" s="33" t="s">
        <v>32</v>
      </c>
      <c r="C226" s="33" t="s">
        <v>306</v>
      </c>
      <c r="D226" s="33" t="s">
        <v>32</v>
      </c>
      <c r="E226">
        <v>54</v>
      </c>
      <c r="F226" s="34">
        <v>0.3004398148148148</v>
      </c>
      <c r="G226" s="34">
        <v>5.563700274348422E-3</v>
      </c>
      <c r="H226" s="34">
        <v>0.26291666666666669</v>
      </c>
      <c r="I226" s="34">
        <v>4.6157407407407404E-2</v>
      </c>
      <c r="J226" s="35">
        <v>0.17555907730234196</v>
      </c>
      <c r="K226" s="33" t="s">
        <v>305</v>
      </c>
      <c r="L226" s="33" t="s">
        <v>100</v>
      </c>
    </row>
    <row r="227" spans="1:12" x14ac:dyDescent="0.25">
      <c r="A227" s="32">
        <v>46237</v>
      </c>
      <c r="B227" s="33" t="s">
        <v>32</v>
      </c>
      <c r="C227" s="33" t="s">
        <v>532</v>
      </c>
      <c r="D227" s="33" t="s">
        <v>32</v>
      </c>
      <c r="E227">
        <v>41</v>
      </c>
      <c r="F227" s="34">
        <v>0.13099537037037037</v>
      </c>
      <c r="G227" s="34">
        <v>3.1950090334236679E-3</v>
      </c>
      <c r="H227" s="34">
        <v>0.26269675925925928</v>
      </c>
      <c r="I227" s="34">
        <v>5.3506944444444447E-2</v>
      </c>
      <c r="J227" s="35">
        <v>0.2036833061638102</v>
      </c>
      <c r="K227" s="33" t="s">
        <v>276</v>
      </c>
      <c r="L227" s="33" t="s">
        <v>233</v>
      </c>
    </row>
    <row r="228" spans="1:12" x14ac:dyDescent="0.25">
      <c r="A228" s="32">
        <v>46237</v>
      </c>
      <c r="B228" s="33" t="s">
        <v>32</v>
      </c>
      <c r="C228" s="33" t="s">
        <v>533</v>
      </c>
      <c r="D228" s="33" t="s">
        <v>32</v>
      </c>
      <c r="E228">
        <v>29</v>
      </c>
      <c r="F228" s="34">
        <v>0.13844907407407409</v>
      </c>
      <c r="G228" s="34">
        <v>4.7741060025542782E-3</v>
      </c>
      <c r="H228" s="34">
        <v>0.26671296296296299</v>
      </c>
      <c r="I228" s="34">
        <v>3.4664351851851849E-2</v>
      </c>
      <c r="J228" s="35">
        <v>0.12996875542440547</v>
      </c>
      <c r="K228" s="33" t="s">
        <v>278</v>
      </c>
      <c r="L228" s="33" t="s">
        <v>233</v>
      </c>
    </row>
    <row r="229" spans="1:12" x14ac:dyDescent="0.25">
      <c r="A229" s="32">
        <v>46237</v>
      </c>
      <c r="B229" s="33" t="s">
        <v>32</v>
      </c>
      <c r="C229" s="33" t="s">
        <v>511</v>
      </c>
      <c r="D229" s="33" t="s">
        <v>80</v>
      </c>
      <c r="E229">
        <v>2</v>
      </c>
      <c r="F229" s="34">
        <v>4.4444444444444444E-3</v>
      </c>
      <c r="G229" s="34">
        <v>2.2222222222222222E-3</v>
      </c>
      <c r="H229" s="34">
        <v>0.24265046296296297</v>
      </c>
      <c r="I229" s="34">
        <v>1.2662037037037038E-2</v>
      </c>
      <c r="J229" s="35">
        <v>5.21822084426425E-2</v>
      </c>
      <c r="K229" s="33" t="s">
        <v>313</v>
      </c>
      <c r="L229" s="33" t="s">
        <v>78</v>
      </c>
    </row>
    <row r="230" spans="1:12" x14ac:dyDescent="0.25">
      <c r="A230" s="32">
        <v>46237</v>
      </c>
      <c r="B230" s="33" t="s">
        <v>32</v>
      </c>
      <c r="C230" s="33" t="s">
        <v>534</v>
      </c>
      <c r="D230" s="33" t="s">
        <v>32</v>
      </c>
      <c r="E230">
        <v>39</v>
      </c>
      <c r="F230" s="34">
        <v>0.11961805555555556</v>
      </c>
      <c r="G230" s="34">
        <v>3.0671296296296297E-3</v>
      </c>
      <c r="H230" s="34">
        <v>0.25284722222222222</v>
      </c>
      <c r="I230" s="34">
        <v>3.8078703703703705E-2</v>
      </c>
      <c r="J230" s="35">
        <v>0.15059965211022613</v>
      </c>
      <c r="K230" s="33" t="s">
        <v>280</v>
      </c>
      <c r="L230" s="33" t="s">
        <v>233</v>
      </c>
    </row>
    <row r="231" spans="1:12" x14ac:dyDescent="0.25">
      <c r="A231" s="32">
        <v>46237</v>
      </c>
      <c r="B231" s="33" t="s">
        <v>32</v>
      </c>
      <c r="C231" s="33" t="s">
        <v>535</v>
      </c>
      <c r="D231" s="33" t="s">
        <v>32</v>
      </c>
      <c r="E231">
        <v>62</v>
      </c>
      <c r="F231" s="34">
        <v>0.12487268518518518</v>
      </c>
      <c r="G231" s="34">
        <v>2.014075567502987E-3</v>
      </c>
      <c r="H231" s="34">
        <v>0.25888888888888889</v>
      </c>
      <c r="I231" s="34">
        <v>4.3645833333333335E-2</v>
      </c>
      <c r="J231" s="35">
        <v>0.16858905579399142</v>
      </c>
      <c r="K231" s="33" t="s">
        <v>282</v>
      </c>
      <c r="L231" s="33" t="s">
        <v>233</v>
      </c>
    </row>
    <row r="232" spans="1:12" x14ac:dyDescent="0.25">
      <c r="A232" s="32">
        <v>46237</v>
      </c>
      <c r="B232" s="33" t="s">
        <v>32</v>
      </c>
      <c r="C232" s="33" t="s">
        <v>557</v>
      </c>
      <c r="D232" s="33" t="s">
        <v>147</v>
      </c>
      <c r="E232">
        <v>2</v>
      </c>
      <c r="F232" s="34">
        <v>6.9444444444444447E-4</v>
      </c>
      <c r="G232" s="34">
        <v>3.4722222222222224E-4</v>
      </c>
      <c r="H232" s="34">
        <v>6.3556042108987975E-3</v>
      </c>
      <c r="I232" s="34">
        <v>1.6570461783439491E-3</v>
      </c>
      <c r="J232" s="35">
        <v>0.26072205306655066</v>
      </c>
      <c r="K232" s="33" t="s">
        <v>227</v>
      </c>
      <c r="L232" s="33" t="s">
        <v>146</v>
      </c>
    </row>
    <row r="233" spans="1:12" x14ac:dyDescent="0.25">
      <c r="A233" s="32">
        <v>46237</v>
      </c>
      <c r="B233" s="33" t="s">
        <v>32</v>
      </c>
      <c r="C233" s="33" t="s">
        <v>678</v>
      </c>
      <c r="D233" s="33" t="s">
        <v>147</v>
      </c>
      <c r="E233">
        <v>7</v>
      </c>
      <c r="F233" s="34">
        <v>1.3622685185185186E-2</v>
      </c>
      <c r="G233" s="34">
        <v>1.9460978835978836E-3</v>
      </c>
      <c r="H233" s="34">
        <v>5.6937375999646683E-2</v>
      </c>
      <c r="I233" s="34">
        <v>9.751553401686406E-3</v>
      </c>
      <c r="J233" s="35">
        <v>0.17126805073958654</v>
      </c>
      <c r="K233" s="33" t="s">
        <v>677</v>
      </c>
      <c r="L233" s="33" t="s">
        <v>274</v>
      </c>
    </row>
    <row r="234" spans="1:12" x14ac:dyDescent="0.25">
      <c r="A234" s="32">
        <v>46237</v>
      </c>
      <c r="B234" s="33" t="s">
        <v>32</v>
      </c>
      <c r="C234" s="33" t="s">
        <v>680</v>
      </c>
      <c r="D234" s="33" t="s">
        <v>147</v>
      </c>
      <c r="E234">
        <v>8</v>
      </c>
      <c r="F234" s="34">
        <v>2.5428240740740741E-2</v>
      </c>
      <c r="G234" s="34">
        <v>3.1785300925925926E-3</v>
      </c>
      <c r="H234" s="34">
        <v>0.11637220205260987</v>
      </c>
      <c r="I234" s="34">
        <v>2.4315272149048748E-2</v>
      </c>
      <c r="J234" s="35">
        <v>0.20894398937347797</v>
      </c>
      <c r="K234" s="33" t="s">
        <v>679</v>
      </c>
      <c r="L234" s="33" t="s">
        <v>274</v>
      </c>
    </row>
    <row r="235" spans="1:12" x14ac:dyDescent="0.25">
      <c r="A235" s="32">
        <v>46237</v>
      </c>
      <c r="B235" s="33" t="s">
        <v>600</v>
      </c>
      <c r="C235" s="33" t="s">
        <v>545</v>
      </c>
      <c r="D235" s="33" t="s">
        <v>600</v>
      </c>
      <c r="E235">
        <v>25</v>
      </c>
      <c r="F235" s="34">
        <v>6.5393518518518517E-2</v>
      </c>
      <c r="G235" s="34">
        <v>2.6157407407407405E-3</v>
      </c>
      <c r="H235" s="34">
        <v>0.25819444444444445</v>
      </c>
      <c r="I235" s="34">
        <v>5.9444444444444446E-2</v>
      </c>
      <c r="J235" s="35">
        <v>0.23023130715438409</v>
      </c>
      <c r="K235" s="33" t="s">
        <v>201</v>
      </c>
      <c r="L235" s="33" t="s">
        <v>601</v>
      </c>
    </row>
    <row r="236" spans="1:12" x14ac:dyDescent="0.25">
      <c r="A236" s="32">
        <v>46237</v>
      </c>
      <c r="B236" s="33" t="s">
        <v>600</v>
      </c>
      <c r="C236" s="33" t="s">
        <v>543</v>
      </c>
      <c r="D236" s="33" t="s">
        <v>600</v>
      </c>
      <c r="E236">
        <v>35</v>
      </c>
      <c r="F236" s="34">
        <v>9.1701388888888888E-2</v>
      </c>
      <c r="G236" s="34">
        <v>2.6200396825396825E-3</v>
      </c>
      <c r="H236" s="34">
        <v>0.25666666666666665</v>
      </c>
      <c r="I236" s="34">
        <v>0.11233796296296296</v>
      </c>
      <c r="J236" s="35">
        <v>0.43768037518037517</v>
      </c>
      <c r="K236" s="33" t="s">
        <v>293</v>
      </c>
      <c r="L236" s="33" t="s">
        <v>104</v>
      </c>
    </row>
    <row r="237" spans="1:12" x14ac:dyDescent="0.25">
      <c r="A237" s="32">
        <v>46238</v>
      </c>
      <c r="B237" s="33" t="s">
        <v>147</v>
      </c>
      <c r="C237" s="33" t="s">
        <v>563</v>
      </c>
      <c r="D237" s="33" t="s">
        <v>147</v>
      </c>
      <c r="E237">
        <v>7</v>
      </c>
      <c r="F237" s="34">
        <v>2.4791666666666667E-2</v>
      </c>
      <c r="G237" s="34">
        <v>3.5416666666666665E-3</v>
      </c>
      <c r="H237" s="34">
        <v>6.333965010375836E-2</v>
      </c>
      <c r="I237" s="34">
        <v>7.1939848973945125E-3</v>
      </c>
      <c r="J237" s="35">
        <v>0.11357790713415461</v>
      </c>
      <c r="K237" s="33" t="s">
        <v>193</v>
      </c>
      <c r="L237" s="33" t="s">
        <v>274</v>
      </c>
    </row>
    <row r="238" spans="1:12" x14ac:dyDescent="0.25">
      <c r="A238" s="32">
        <v>46238</v>
      </c>
      <c r="B238" s="33" t="s">
        <v>147</v>
      </c>
      <c r="C238" s="33" t="s">
        <v>514</v>
      </c>
      <c r="D238" s="33" t="s">
        <v>147</v>
      </c>
      <c r="E238">
        <v>16</v>
      </c>
      <c r="F238" s="34">
        <v>3.3842592592592591E-2</v>
      </c>
      <c r="G238" s="34">
        <v>2.1151620370370369E-3</v>
      </c>
      <c r="H238" s="34">
        <v>0.16181417753786176</v>
      </c>
      <c r="I238" s="34">
        <v>2.414340507138291E-2</v>
      </c>
      <c r="J238" s="35">
        <v>0.14920451000490217</v>
      </c>
      <c r="K238" s="33" t="s">
        <v>150</v>
      </c>
      <c r="L238" s="33" t="s">
        <v>146</v>
      </c>
    </row>
    <row r="239" spans="1:12" x14ac:dyDescent="0.25">
      <c r="A239" s="32">
        <v>46238</v>
      </c>
      <c r="B239" s="33" t="s">
        <v>147</v>
      </c>
      <c r="C239" s="33" t="s">
        <v>515</v>
      </c>
      <c r="D239" s="33" t="s">
        <v>147</v>
      </c>
      <c r="E239">
        <v>14</v>
      </c>
      <c r="F239" s="34">
        <v>2.9560185185185186E-2</v>
      </c>
      <c r="G239" s="34">
        <v>2.1114417989417989E-3</v>
      </c>
      <c r="H239" s="34">
        <v>0.15878999807554367</v>
      </c>
      <c r="I239" s="34">
        <v>2.4603233961405905E-2</v>
      </c>
      <c r="J239" s="35">
        <v>0.15494196271544144</v>
      </c>
      <c r="K239" s="33" t="s">
        <v>154</v>
      </c>
      <c r="L239" s="33" t="s">
        <v>146</v>
      </c>
    </row>
    <row r="240" spans="1:12" x14ac:dyDescent="0.25">
      <c r="A240" s="32">
        <v>46238</v>
      </c>
      <c r="B240" s="33" t="s">
        <v>147</v>
      </c>
      <c r="C240" s="33" t="s">
        <v>516</v>
      </c>
      <c r="D240" s="33" t="s">
        <v>147</v>
      </c>
      <c r="E240">
        <v>22</v>
      </c>
      <c r="F240" s="34">
        <v>2.7592592592592592E-2</v>
      </c>
      <c r="G240" s="34">
        <v>1.2542087542087542E-3</v>
      </c>
      <c r="H240" s="34">
        <v>0.18815925608556286</v>
      </c>
      <c r="I240" s="34">
        <v>3.837427401694754E-2</v>
      </c>
      <c r="J240" s="35">
        <v>0.20394571500376979</v>
      </c>
      <c r="K240" s="33" t="s">
        <v>156</v>
      </c>
      <c r="L240" s="33" t="s">
        <v>146</v>
      </c>
    </row>
    <row r="241" spans="1:12" x14ac:dyDescent="0.25">
      <c r="A241" s="32">
        <v>46238</v>
      </c>
      <c r="B241" s="33" t="s">
        <v>147</v>
      </c>
      <c r="C241" s="33" t="s">
        <v>544</v>
      </c>
      <c r="D241" s="33" t="s">
        <v>147</v>
      </c>
      <c r="E241">
        <v>5</v>
      </c>
      <c r="F241" s="34">
        <v>1.3113425925925926E-2</v>
      </c>
      <c r="G241" s="34">
        <v>2.6226851851851849E-3</v>
      </c>
      <c r="H241" s="34">
        <v>0.11944063283208019</v>
      </c>
      <c r="I241" s="34">
        <v>5.0100517497447324E-2</v>
      </c>
      <c r="J241" s="35">
        <v>0.41945957844917731</v>
      </c>
      <c r="K241" s="33" t="s">
        <v>160</v>
      </c>
      <c r="L241" s="33" t="s">
        <v>146</v>
      </c>
    </row>
    <row r="242" spans="1:12" x14ac:dyDescent="0.25">
      <c r="A242" s="32">
        <v>46238</v>
      </c>
      <c r="B242" s="33" t="s">
        <v>147</v>
      </c>
      <c r="C242" s="33" t="s">
        <v>517</v>
      </c>
      <c r="D242" s="33" t="s">
        <v>147</v>
      </c>
      <c r="E242">
        <v>7</v>
      </c>
      <c r="F242" s="34">
        <v>2.9525462962962962E-2</v>
      </c>
      <c r="G242" s="34">
        <v>4.2179232804232802E-3</v>
      </c>
      <c r="H242" s="34">
        <v>0.11899540002544319</v>
      </c>
      <c r="I242" s="34">
        <v>2.4295739296667628E-2</v>
      </c>
      <c r="J242" s="35">
        <v>0.20417376883033123</v>
      </c>
      <c r="K242" s="33" t="s">
        <v>499</v>
      </c>
      <c r="L242" s="33" t="s">
        <v>146</v>
      </c>
    </row>
    <row r="243" spans="1:12" x14ac:dyDescent="0.25">
      <c r="A243" s="32">
        <v>46238</v>
      </c>
      <c r="B243" s="33" t="s">
        <v>147</v>
      </c>
      <c r="C243" s="33" t="s">
        <v>518</v>
      </c>
      <c r="D243" s="33" t="s">
        <v>147</v>
      </c>
      <c r="E243">
        <v>9</v>
      </c>
      <c r="F243" s="34">
        <v>2.5474537037037039E-2</v>
      </c>
      <c r="G243" s="34">
        <v>2.8305041152263373E-3</v>
      </c>
      <c r="H243" s="34">
        <v>6.8203251331045392E-2</v>
      </c>
      <c r="I243" s="34">
        <v>1.031760162391839E-2</v>
      </c>
      <c r="J243" s="35">
        <v>0.15127726937589453</v>
      </c>
      <c r="K243" s="33" t="s">
        <v>500</v>
      </c>
      <c r="L243" s="33" t="s">
        <v>274</v>
      </c>
    </row>
    <row r="244" spans="1:12" x14ac:dyDescent="0.25">
      <c r="A244" s="32">
        <v>46238</v>
      </c>
      <c r="B244" s="33" t="s">
        <v>147</v>
      </c>
      <c r="C244" s="33" t="s">
        <v>519</v>
      </c>
      <c r="D244" s="33" t="s">
        <v>147</v>
      </c>
      <c r="E244">
        <v>17</v>
      </c>
      <c r="F244" s="34">
        <v>7.6550925925925925E-2</v>
      </c>
      <c r="G244" s="34">
        <v>4.5029956427015249E-3</v>
      </c>
      <c r="H244" s="34">
        <v>0.22674891691600974</v>
      </c>
      <c r="I244" s="34">
        <v>2.6075283028367573E-2</v>
      </c>
      <c r="J244" s="35">
        <v>0.11499628480265747</v>
      </c>
      <c r="K244" s="33" t="s">
        <v>164</v>
      </c>
      <c r="L244" s="33" t="s">
        <v>146</v>
      </c>
    </row>
    <row r="245" spans="1:12" x14ac:dyDescent="0.25">
      <c r="A245" s="32">
        <v>46238</v>
      </c>
      <c r="B245" s="33" t="s">
        <v>147</v>
      </c>
      <c r="C245" s="33" t="s">
        <v>658</v>
      </c>
      <c r="D245" s="33" t="s">
        <v>147</v>
      </c>
      <c r="E245">
        <v>8</v>
      </c>
      <c r="F245" s="34">
        <v>2.1782407407407407E-2</v>
      </c>
      <c r="G245" s="34">
        <v>2.7228009259259258E-3</v>
      </c>
      <c r="H245" s="34">
        <v>7.1504433602093839E-2</v>
      </c>
      <c r="I245" s="34">
        <v>1.2416194848666741E-2</v>
      </c>
      <c r="J245" s="35">
        <v>0.17364230752123824</v>
      </c>
      <c r="K245" s="33" t="s">
        <v>657</v>
      </c>
      <c r="L245" s="33" t="s">
        <v>274</v>
      </c>
    </row>
    <row r="246" spans="1:12" x14ac:dyDescent="0.25">
      <c r="A246" s="32">
        <v>46238</v>
      </c>
      <c r="B246" s="33" t="s">
        <v>147</v>
      </c>
      <c r="C246" s="33" t="s">
        <v>520</v>
      </c>
      <c r="D246" s="33" t="s">
        <v>147</v>
      </c>
      <c r="E246">
        <v>2</v>
      </c>
      <c r="F246" s="34">
        <v>7.7314814814814815E-3</v>
      </c>
      <c r="G246" s="34">
        <v>3.8657407407407408E-3</v>
      </c>
      <c r="H246" s="34">
        <v>2.9249076623273626E-2</v>
      </c>
      <c r="I246" s="34">
        <v>4.3612272413128947E-3</v>
      </c>
      <c r="J246" s="35">
        <v>0.14910649308643972</v>
      </c>
      <c r="K246" s="33" t="s">
        <v>168</v>
      </c>
      <c r="L246" s="33" t="s">
        <v>274</v>
      </c>
    </row>
    <row r="247" spans="1:12" x14ac:dyDescent="0.25">
      <c r="A247" s="32">
        <v>46238</v>
      </c>
      <c r="B247" s="33" t="s">
        <v>147</v>
      </c>
      <c r="C247" s="33" t="s">
        <v>521</v>
      </c>
      <c r="D247" s="33" t="s">
        <v>147</v>
      </c>
      <c r="E247">
        <v>15</v>
      </c>
      <c r="F247" s="34">
        <v>5.4074074074074073E-2</v>
      </c>
      <c r="G247" s="34">
        <v>3.604938271604938E-3</v>
      </c>
      <c r="H247" s="34">
        <v>0.17903147152384183</v>
      </c>
      <c r="I247" s="34">
        <v>2.7952547810126651E-2</v>
      </c>
      <c r="J247" s="35">
        <v>0.15613203406197876</v>
      </c>
      <c r="K247" s="33" t="s">
        <v>170</v>
      </c>
      <c r="L247" s="33" t="s">
        <v>146</v>
      </c>
    </row>
    <row r="248" spans="1:12" x14ac:dyDescent="0.25">
      <c r="A248" s="32">
        <v>46238</v>
      </c>
      <c r="B248" s="33" t="s">
        <v>147</v>
      </c>
      <c r="C248" s="33" t="s">
        <v>633</v>
      </c>
      <c r="D248" s="33" t="s">
        <v>147</v>
      </c>
      <c r="E248">
        <v>7</v>
      </c>
      <c r="F248" s="34">
        <v>3.318287037037037E-2</v>
      </c>
      <c r="G248" s="34">
        <v>4.7404100529100527E-3</v>
      </c>
      <c r="H248" s="34">
        <v>0.12779449044296498</v>
      </c>
      <c r="I248" s="34">
        <v>2.8841238888261993E-2</v>
      </c>
      <c r="J248" s="35">
        <v>0.2256845251175669</v>
      </c>
      <c r="K248" s="33" t="s">
        <v>606</v>
      </c>
      <c r="L248" s="33" t="s">
        <v>146</v>
      </c>
    </row>
    <row r="249" spans="1:12" x14ac:dyDescent="0.25">
      <c r="A249" s="32">
        <v>46238</v>
      </c>
      <c r="B249" s="33" t="s">
        <v>147</v>
      </c>
      <c r="C249" s="33" t="s">
        <v>522</v>
      </c>
      <c r="D249" s="33" t="s">
        <v>147</v>
      </c>
      <c r="E249">
        <v>9</v>
      </c>
      <c r="F249" s="34">
        <v>3.3090277777777781E-2</v>
      </c>
      <c r="G249" s="34">
        <v>3.6766975308641977E-3</v>
      </c>
      <c r="H249" s="34">
        <v>0.1494169230381279</v>
      </c>
      <c r="I249" s="34">
        <v>2.4819377199471009E-2</v>
      </c>
      <c r="J249" s="35">
        <v>0.16610820712147614</v>
      </c>
      <c r="K249" s="33" t="s">
        <v>178</v>
      </c>
      <c r="L249" s="33" t="s">
        <v>146</v>
      </c>
    </row>
    <row r="250" spans="1:12" x14ac:dyDescent="0.25">
      <c r="A250" s="32">
        <v>46238</v>
      </c>
      <c r="B250" s="33" t="s">
        <v>147</v>
      </c>
      <c r="C250" s="33" t="s">
        <v>523</v>
      </c>
      <c r="D250" s="33" t="s">
        <v>147</v>
      </c>
      <c r="E250">
        <v>4</v>
      </c>
      <c r="F250" s="34">
        <v>2.3958333333333335E-2</v>
      </c>
      <c r="G250" s="34">
        <v>5.9895833333333337E-3</v>
      </c>
      <c r="H250" s="34">
        <v>0.12739901527331191</v>
      </c>
      <c r="I250" s="34">
        <v>4.6241124062165059E-2</v>
      </c>
      <c r="J250" s="35">
        <v>0.36296296296296293</v>
      </c>
      <c r="K250" s="33" t="s">
        <v>180</v>
      </c>
      <c r="L250" s="33" t="s">
        <v>146</v>
      </c>
    </row>
    <row r="251" spans="1:12" x14ac:dyDescent="0.25">
      <c r="A251" s="32">
        <v>46238</v>
      </c>
      <c r="B251" s="33" t="s">
        <v>147</v>
      </c>
      <c r="C251" s="33" t="s">
        <v>566</v>
      </c>
      <c r="D251" s="33" t="s">
        <v>147</v>
      </c>
      <c r="E251">
        <v>6</v>
      </c>
      <c r="F251" s="34">
        <v>4.355324074074074E-2</v>
      </c>
      <c r="G251" s="34">
        <v>7.258873456790123E-3</v>
      </c>
      <c r="H251" s="34">
        <v>0.10971937021301814</v>
      </c>
      <c r="I251" s="34">
        <v>1.3928193739424704E-2</v>
      </c>
      <c r="J251" s="35">
        <v>0.12694379955319987</v>
      </c>
      <c r="K251" s="33" t="s">
        <v>207</v>
      </c>
      <c r="L251" s="33" t="s">
        <v>274</v>
      </c>
    </row>
    <row r="252" spans="1:12" x14ac:dyDescent="0.25">
      <c r="A252" s="32">
        <v>46238</v>
      </c>
      <c r="B252" s="33" t="s">
        <v>147</v>
      </c>
      <c r="C252" s="33" t="s">
        <v>524</v>
      </c>
      <c r="D252" s="33" t="s">
        <v>147</v>
      </c>
      <c r="E252">
        <v>8</v>
      </c>
      <c r="F252" s="34">
        <v>2.5416666666666667E-2</v>
      </c>
      <c r="G252" s="34">
        <v>3.1770833333333334E-3</v>
      </c>
      <c r="H252" s="34">
        <v>7.5780123246361603E-2</v>
      </c>
      <c r="I252" s="34">
        <v>1.0950461081246449E-2</v>
      </c>
      <c r="J252" s="35">
        <v>0.14450307827616535</v>
      </c>
      <c r="K252" s="33" t="s">
        <v>501</v>
      </c>
      <c r="L252" s="33" t="s">
        <v>274</v>
      </c>
    </row>
    <row r="253" spans="1:12" x14ac:dyDescent="0.25">
      <c r="A253" s="32">
        <v>46238</v>
      </c>
      <c r="B253" s="33" t="s">
        <v>147</v>
      </c>
      <c r="C253" s="33" t="s">
        <v>557</v>
      </c>
      <c r="D253" s="33" t="s">
        <v>147</v>
      </c>
      <c r="E253">
        <v>7</v>
      </c>
      <c r="F253" s="34">
        <v>3.7453703703703704E-2</v>
      </c>
      <c r="G253" s="34">
        <v>5.3505291005291004E-3</v>
      </c>
      <c r="H253" s="34">
        <v>0.19575738281126032</v>
      </c>
      <c r="I253" s="34">
        <v>2.9654860516043036E-2</v>
      </c>
      <c r="J253" s="35">
        <v>0.151487826871055</v>
      </c>
      <c r="K253" s="33" t="s">
        <v>227</v>
      </c>
      <c r="L253" s="33" t="s">
        <v>146</v>
      </c>
    </row>
    <row r="254" spans="1:12" x14ac:dyDescent="0.25">
      <c r="A254" s="32">
        <v>46238</v>
      </c>
      <c r="B254" s="33" t="s">
        <v>147</v>
      </c>
      <c r="C254" s="33" t="s">
        <v>678</v>
      </c>
      <c r="D254" s="33" t="s">
        <v>147</v>
      </c>
      <c r="E254">
        <v>10</v>
      </c>
      <c r="F254" s="34">
        <v>2.6064814814814815E-2</v>
      </c>
      <c r="G254" s="34">
        <v>2.6064814814814813E-3</v>
      </c>
      <c r="H254" s="34">
        <v>9.008755824054332E-2</v>
      </c>
      <c r="I254" s="34">
        <v>1.1182543913087624E-2</v>
      </c>
      <c r="J254" s="35">
        <v>0.12412972591874505</v>
      </c>
      <c r="K254" s="33" t="s">
        <v>677</v>
      </c>
      <c r="L254" s="33" t="s">
        <v>274</v>
      </c>
    </row>
    <row r="255" spans="1:12" x14ac:dyDescent="0.25">
      <c r="A255" s="32">
        <v>46238</v>
      </c>
      <c r="B255" s="33" t="s">
        <v>147</v>
      </c>
      <c r="C255" s="33" t="s">
        <v>680</v>
      </c>
      <c r="D255" s="33" t="s">
        <v>147</v>
      </c>
      <c r="E255">
        <v>7</v>
      </c>
      <c r="F255" s="34">
        <v>2.3171296296296297E-2</v>
      </c>
      <c r="G255" s="34">
        <v>3.3101851851851851E-3</v>
      </c>
      <c r="H255" s="34">
        <v>7.371364309965385E-2</v>
      </c>
      <c r="I255" s="34">
        <v>9.8870655143049879E-3</v>
      </c>
      <c r="J255" s="35">
        <v>0.13412802703210061</v>
      </c>
      <c r="K255" s="33" t="s">
        <v>679</v>
      </c>
      <c r="L255" s="33" t="s">
        <v>274</v>
      </c>
    </row>
    <row r="256" spans="1:12" x14ac:dyDescent="0.25">
      <c r="A256" s="32">
        <v>46238</v>
      </c>
      <c r="B256" s="33" t="s">
        <v>105</v>
      </c>
      <c r="C256" s="33" t="s">
        <v>513</v>
      </c>
      <c r="D256" s="33" t="s">
        <v>105</v>
      </c>
      <c r="E256">
        <v>19</v>
      </c>
      <c r="F256" s="34">
        <v>0.22578703703703704</v>
      </c>
      <c r="G256" s="34">
        <v>1.1883528265107211E-2</v>
      </c>
      <c r="H256" s="34">
        <v>0.2530324074074074</v>
      </c>
      <c r="I256" s="34">
        <v>8.9293981481481488E-2</v>
      </c>
      <c r="J256" s="35">
        <v>0.35289543500137227</v>
      </c>
      <c r="K256" s="33" t="s">
        <v>148</v>
      </c>
      <c r="L256" s="33" t="s">
        <v>104</v>
      </c>
    </row>
    <row r="257" spans="1:12" x14ac:dyDescent="0.25">
      <c r="A257" s="32">
        <v>46238</v>
      </c>
      <c r="B257" s="33" t="s">
        <v>105</v>
      </c>
      <c r="C257" s="33" t="s">
        <v>569</v>
      </c>
      <c r="D257" s="33" t="s">
        <v>105</v>
      </c>
      <c r="E257">
        <v>19</v>
      </c>
      <c r="F257" s="34">
        <v>0.22144675925925925</v>
      </c>
      <c r="G257" s="34">
        <v>1.1655092592592592E-2</v>
      </c>
      <c r="H257" s="34">
        <v>0.25633101851851853</v>
      </c>
      <c r="I257" s="34">
        <v>8.3807870370370366E-2</v>
      </c>
      <c r="J257" s="35">
        <v>0.32695173161150493</v>
      </c>
      <c r="K257" s="33" t="s">
        <v>493</v>
      </c>
      <c r="L257" s="33" t="s">
        <v>104</v>
      </c>
    </row>
    <row r="258" spans="1:12" x14ac:dyDescent="0.25">
      <c r="A258" s="32">
        <v>46238</v>
      </c>
      <c r="B258" s="33" t="s">
        <v>105</v>
      </c>
      <c r="C258" s="33" t="s">
        <v>631</v>
      </c>
      <c r="D258" s="33" t="s">
        <v>105</v>
      </c>
      <c r="E258">
        <v>13</v>
      </c>
      <c r="F258" s="34">
        <v>0.18652777777777776</v>
      </c>
      <c r="G258" s="34">
        <v>1.4348290598290597E-2</v>
      </c>
      <c r="H258" s="34">
        <v>0.25288194444444445</v>
      </c>
      <c r="I258" s="34">
        <v>0.1572337962962963</v>
      </c>
      <c r="J258" s="35">
        <v>0.62176758661723652</v>
      </c>
      <c r="K258" s="33" t="s">
        <v>608</v>
      </c>
      <c r="L258" s="33" t="s">
        <v>601</v>
      </c>
    </row>
    <row r="259" spans="1:12" x14ac:dyDescent="0.25">
      <c r="A259" s="32">
        <v>46238</v>
      </c>
      <c r="B259" s="33" t="s">
        <v>105</v>
      </c>
      <c r="C259" s="33" t="s">
        <v>564</v>
      </c>
      <c r="D259" s="33" t="s">
        <v>105</v>
      </c>
      <c r="E259">
        <v>6</v>
      </c>
      <c r="F259" s="34">
        <v>0.12003472222222222</v>
      </c>
      <c r="G259" s="34">
        <v>2.0005787037037037E-2</v>
      </c>
      <c r="H259" s="34">
        <v>0.23070601851851852</v>
      </c>
      <c r="I259" s="34">
        <v>0.1527662037037037</v>
      </c>
      <c r="J259" s="35">
        <v>0.66216826368333914</v>
      </c>
      <c r="K259" s="33" t="s">
        <v>197</v>
      </c>
      <c r="L259" s="33" t="s">
        <v>601</v>
      </c>
    </row>
    <row r="260" spans="1:12" x14ac:dyDescent="0.25">
      <c r="A260" s="32">
        <v>46238</v>
      </c>
      <c r="B260" s="33" t="s">
        <v>105</v>
      </c>
      <c r="C260" s="33" t="s">
        <v>682</v>
      </c>
      <c r="D260" s="33" t="s">
        <v>105</v>
      </c>
      <c r="E260">
        <v>9</v>
      </c>
      <c r="F260" s="34">
        <v>0.13886574074074073</v>
      </c>
      <c r="G260" s="34">
        <v>1.5429526748971193E-2</v>
      </c>
      <c r="H260" s="34">
        <v>0.26188657407407406</v>
      </c>
      <c r="I260" s="34">
        <v>0.1887962962962963</v>
      </c>
      <c r="J260" s="35">
        <v>0.72090864895920803</v>
      </c>
      <c r="K260" s="33" t="s">
        <v>681</v>
      </c>
      <c r="L260" s="33" t="s">
        <v>601</v>
      </c>
    </row>
    <row r="261" spans="1:12" x14ac:dyDescent="0.25">
      <c r="A261" s="32">
        <v>46238</v>
      </c>
      <c r="B261" s="33" t="s">
        <v>105</v>
      </c>
      <c r="C261" s="33" t="s">
        <v>570</v>
      </c>
      <c r="D261" s="33" t="s">
        <v>105</v>
      </c>
      <c r="E261">
        <v>12</v>
      </c>
      <c r="F261" s="34">
        <v>0.14956018518518518</v>
      </c>
      <c r="G261" s="34">
        <v>1.2463348765432099E-2</v>
      </c>
      <c r="H261" s="34">
        <v>0.23592592592592593</v>
      </c>
      <c r="I261" s="34">
        <v>7.4861111111111114E-2</v>
      </c>
      <c r="J261" s="35">
        <v>0.31730769230769229</v>
      </c>
      <c r="K261" s="33" t="s">
        <v>112</v>
      </c>
      <c r="L261" s="33" t="s">
        <v>104</v>
      </c>
    </row>
    <row r="262" spans="1:12" x14ac:dyDescent="0.25">
      <c r="A262" s="32">
        <v>46238</v>
      </c>
      <c r="B262" s="33" t="s">
        <v>105</v>
      </c>
      <c r="C262" s="33" t="s">
        <v>537</v>
      </c>
      <c r="D262" s="33" t="s">
        <v>105</v>
      </c>
      <c r="E262">
        <v>20</v>
      </c>
      <c r="F262" s="34">
        <v>0.22577546296296297</v>
      </c>
      <c r="G262" s="34">
        <v>1.1288773148148148E-2</v>
      </c>
      <c r="H262" s="34">
        <v>0.22839120370370369</v>
      </c>
      <c r="I262" s="34">
        <v>7.5173611111111108E-2</v>
      </c>
      <c r="J262" s="35">
        <v>0.32914407337961787</v>
      </c>
      <c r="K262" s="33" t="s">
        <v>42</v>
      </c>
      <c r="L262" s="33" t="s">
        <v>104</v>
      </c>
    </row>
    <row r="263" spans="1:12" x14ac:dyDescent="0.25">
      <c r="A263" s="32">
        <v>46238</v>
      </c>
      <c r="B263" s="33" t="s">
        <v>105</v>
      </c>
      <c r="C263" s="33" t="s">
        <v>541</v>
      </c>
      <c r="D263" s="33" t="s">
        <v>105</v>
      </c>
      <c r="E263">
        <v>15</v>
      </c>
      <c r="F263" s="34">
        <v>0.1973263888888889</v>
      </c>
      <c r="G263" s="34">
        <v>1.3155092592592591E-2</v>
      </c>
      <c r="H263" s="34">
        <v>0.24834490740740742</v>
      </c>
      <c r="I263" s="34">
        <v>0.1049537037037037</v>
      </c>
      <c r="J263" s="35">
        <v>0.42261266719485485</v>
      </c>
      <c r="K263" s="33" t="s">
        <v>114</v>
      </c>
      <c r="L263" s="33" t="s">
        <v>104</v>
      </c>
    </row>
    <row r="264" spans="1:12" x14ac:dyDescent="0.25">
      <c r="A264" s="32">
        <v>46238</v>
      </c>
      <c r="B264" s="33" t="s">
        <v>105</v>
      </c>
      <c r="C264" s="33" t="s">
        <v>632</v>
      </c>
      <c r="D264" s="33" t="s">
        <v>105</v>
      </c>
      <c r="E264">
        <v>8</v>
      </c>
      <c r="F264" s="34">
        <v>0.10715277777777778</v>
      </c>
      <c r="G264" s="34">
        <v>1.3394097222222222E-2</v>
      </c>
      <c r="H264" s="34">
        <v>0.23518518518518519</v>
      </c>
      <c r="I264" s="34">
        <v>0.20162037037037037</v>
      </c>
      <c r="J264" s="35">
        <v>0.85728346456692917</v>
      </c>
      <c r="K264" s="33" t="s">
        <v>609</v>
      </c>
      <c r="L264" s="33" t="s">
        <v>601</v>
      </c>
    </row>
    <row r="265" spans="1:12" x14ac:dyDescent="0.25">
      <c r="A265" s="32">
        <v>46238</v>
      </c>
      <c r="B265" s="33" t="s">
        <v>105</v>
      </c>
      <c r="C265" s="33" t="s">
        <v>542</v>
      </c>
      <c r="D265" s="33" t="s">
        <v>105</v>
      </c>
      <c r="E265">
        <v>9</v>
      </c>
      <c r="F265" s="34">
        <v>0.15732638888888889</v>
      </c>
      <c r="G265" s="34">
        <v>1.748070987654321E-2</v>
      </c>
      <c r="H265" s="34">
        <v>0.21679398148148149</v>
      </c>
      <c r="I265" s="34">
        <v>9.1562500000000005E-2</v>
      </c>
      <c r="J265" s="35">
        <v>0.42234797928567613</v>
      </c>
      <c r="K265" s="33" t="s">
        <v>287</v>
      </c>
      <c r="L265" s="33" t="s">
        <v>104</v>
      </c>
    </row>
    <row r="266" spans="1:12" x14ac:dyDescent="0.25">
      <c r="A266" s="32">
        <v>46238</v>
      </c>
      <c r="B266" s="33" t="s">
        <v>105</v>
      </c>
      <c r="C266" s="33" t="s">
        <v>650</v>
      </c>
      <c r="D266" s="33" t="s">
        <v>105</v>
      </c>
      <c r="E266">
        <v>14</v>
      </c>
      <c r="F266" s="34">
        <v>0.20501157407407408</v>
      </c>
      <c r="G266" s="34">
        <v>1.4643683862433863E-2</v>
      </c>
      <c r="H266" s="34">
        <v>0.26645833333333335</v>
      </c>
      <c r="I266" s="34">
        <v>0.10472222222222222</v>
      </c>
      <c r="J266" s="35">
        <v>0.3930153765962992</v>
      </c>
      <c r="K266" s="33" t="s">
        <v>649</v>
      </c>
      <c r="L266" s="33" t="s">
        <v>104</v>
      </c>
    </row>
    <row r="267" spans="1:12" x14ac:dyDescent="0.25">
      <c r="A267" s="32">
        <v>46238</v>
      </c>
      <c r="B267" s="33" t="s">
        <v>105</v>
      </c>
      <c r="C267" s="33" t="s">
        <v>559</v>
      </c>
      <c r="D267" s="33" t="s">
        <v>105</v>
      </c>
      <c r="E267">
        <v>15</v>
      </c>
      <c r="F267" s="34">
        <v>0.21368055555555557</v>
      </c>
      <c r="G267" s="34">
        <v>1.424537037037037E-2</v>
      </c>
      <c r="H267" s="34">
        <v>0.25287522903290377</v>
      </c>
      <c r="I267" s="34">
        <v>8.6492803747671182E-2</v>
      </c>
      <c r="J267" s="35">
        <v>0.34203747072599533</v>
      </c>
      <c r="K267" s="33" t="s">
        <v>289</v>
      </c>
      <c r="L267" s="33" t="s">
        <v>104</v>
      </c>
    </row>
    <row r="268" spans="1:12" x14ac:dyDescent="0.25">
      <c r="A268" s="32">
        <v>46238</v>
      </c>
      <c r="B268" s="33" t="s">
        <v>105</v>
      </c>
      <c r="C268" s="33" t="s">
        <v>634</v>
      </c>
      <c r="D268" s="33" t="s">
        <v>105</v>
      </c>
      <c r="E268">
        <v>11</v>
      </c>
      <c r="F268" s="34">
        <v>0.11891203703703704</v>
      </c>
      <c r="G268" s="34">
        <v>1.0810185185185185E-2</v>
      </c>
      <c r="H268" s="34">
        <v>0.20866898148148147</v>
      </c>
      <c r="I268" s="34">
        <v>0.16778935185185184</v>
      </c>
      <c r="J268" s="35">
        <v>0.80409340506961002</v>
      </c>
      <c r="K268" s="33" t="s">
        <v>612</v>
      </c>
      <c r="L268" s="33" t="s">
        <v>601</v>
      </c>
    </row>
    <row r="269" spans="1:12" x14ac:dyDescent="0.25">
      <c r="A269" s="32">
        <v>46238</v>
      </c>
      <c r="B269" s="33" t="s">
        <v>105</v>
      </c>
      <c r="C269" s="33" t="s">
        <v>667</v>
      </c>
      <c r="D269" s="33" t="s">
        <v>105</v>
      </c>
      <c r="E269">
        <v>26</v>
      </c>
      <c r="F269" s="34">
        <v>0.2910300925925926</v>
      </c>
      <c r="G269" s="34">
        <v>1.11934650997151E-2</v>
      </c>
      <c r="H269" s="34">
        <v>0.24119212962962963</v>
      </c>
      <c r="I269" s="34">
        <v>6.653935185185185E-2</v>
      </c>
      <c r="J269" s="35">
        <v>0.27587696146648111</v>
      </c>
      <c r="K269" s="33" t="s">
        <v>297</v>
      </c>
      <c r="L269" s="33" t="s">
        <v>104</v>
      </c>
    </row>
    <row r="270" spans="1:12" x14ac:dyDescent="0.25">
      <c r="A270" s="32">
        <v>46238</v>
      </c>
      <c r="B270" s="33" t="s">
        <v>105</v>
      </c>
      <c r="C270" s="33" t="s">
        <v>635</v>
      </c>
      <c r="D270" s="33" t="s">
        <v>105</v>
      </c>
      <c r="E270">
        <v>14</v>
      </c>
      <c r="F270" s="34">
        <v>0.16218750000000001</v>
      </c>
      <c r="G270" s="34">
        <v>1.1584821428571429E-2</v>
      </c>
      <c r="H270" s="34">
        <v>0.19739583333333333</v>
      </c>
      <c r="I270" s="34">
        <v>0.1399074074074074</v>
      </c>
      <c r="J270" s="35">
        <v>0.70876575784227502</v>
      </c>
      <c r="K270" s="33" t="s">
        <v>614</v>
      </c>
      <c r="L270" s="33" t="s">
        <v>601</v>
      </c>
    </row>
    <row r="271" spans="1:12" x14ac:dyDescent="0.25">
      <c r="A271" s="32">
        <v>46238</v>
      </c>
      <c r="B271" s="33" t="s">
        <v>105</v>
      </c>
      <c r="C271" s="33" t="s">
        <v>636</v>
      </c>
      <c r="D271" s="33" t="s">
        <v>105</v>
      </c>
      <c r="E271">
        <v>10</v>
      </c>
      <c r="F271" s="34">
        <v>0.16648148148148148</v>
      </c>
      <c r="G271" s="34">
        <v>1.6648148148148148E-2</v>
      </c>
      <c r="H271" s="34">
        <v>0.25812499999999999</v>
      </c>
      <c r="I271" s="34">
        <v>0.17776620370370369</v>
      </c>
      <c r="J271" s="35">
        <v>0.68868262936059543</v>
      </c>
      <c r="K271" s="33" t="s">
        <v>615</v>
      </c>
      <c r="L271" s="33" t="s">
        <v>601</v>
      </c>
    </row>
    <row r="272" spans="1:12" x14ac:dyDescent="0.25">
      <c r="A272" s="32">
        <v>46238</v>
      </c>
      <c r="B272" s="33" t="s">
        <v>105</v>
      </c>
      <c r="C272" s="33" t="s">
        <v>637</v>
      </c>
      <c r="D272" s="33" t="s">
        <v>105</v>
      </c>
      <c r="E272">
        <v>4</v>
      </c>
      <c r="F272" s="34">
        <v>7.6226851851851851E-2</v>
      </c>
      <c r="G272" s="34">
        <v>1.9056712962962963E-2</v>
      </c>
      <c r="H272" s="34">
        <v>0.22289351851851852</v>
      </c>
      <c r="I272" s="34">
        <v>0.17759259259259258</v>
      </c>
      <c r="J272" s="35">
        <v>0.79675978813999382</v>
      </c>
      <c r="K272" s="33" t="s">
        <v>616</v>
      </c>
      <c r="L272" s="33" t="s">
        <v>601</v>
      </c>
    </row>
    <row r="273" spans="1:12" x14ac:dyDescent="0.25">
      <c r="A273" s="32">
        <v>46238</v>
      </c>
      <c r="B273" s="33" t="s">
        <v>105</v>
      </c>
      <c r="C273" s="33" t="s">
        <v>567</v>
      </c>
      <c r="D273" s="33" t="s">
        <v>105</v>
      </c>
      <c r="E273">
        <v>8</v>
      </c>
      <c r="F273" s="34">
        <v>0.11342592592592593</v>
      </c>
      <c r="G273" s="34">
        <v>1.4178240740740741E-2</v>
      </c>
      <c r="H273" s="34">
        <v>0.25307870370370372</v>
      </c>
      <c r="I273" s="34">
        <v>0.17591435185185186</v>
      </c>
      <c r="J273" s="35">
        <v>0.69509741150644833</v>
      </c>
      <c r="K273" s="33" t="s">
        <v>209</v>
      </c>
      <c r="L273" s="33" t="s">
        <v>601</v>
      </c>
    </row>
    <row r="274" spans="1:12" x14ac:dyDescent="0.25">
      <c r="A274" s="32">
        <v>46238</v>
      </c>
      <c r="B274" s="33" t="s">
        <v>105</v>
      </c>
      <c r="C274" s="33" t="s">
        <v>512</v>
      </c>
      <c r="D274" s="33" t="s">
        <v>105</v>
      </c>
      <c r="E274">
        <v>15</v>
      </c>
      <c r="F274" s="34">
        <v>0.24031250000000001</v>
      </c>
      <c r="G274" s="34">
        <v>1.6020833333333335E-2</v>
      </c>
      <c r="H274" s="34">
        <v>0.25721064814814815</v>
      </c>
      <c r="I274" s="34">
        <v>7.4733796296296298E-2</v>
      </c>
      <c r="J274" s="35">
        <v>0.29055483058092968</v>
      </c>
      <c r="K274" s="33" t="s">
        <v>132</v>
      </c>
      <c r="L274" s="33" t="s">
        <v>104</v>
      </c>
    </row>
    <row r="275" spans="1:12" x14ac:dyDescent="0.25">
      <c r="A275" s="32">
        <v>46238</v>
      </c>
      <c r="B275" s="33" t="s">
        <v>105</v>
      </c>
      <c r="C275" s="33" t="s">
        <v>560</v>
      </c>
      <c r="D275" s="33" t="s">
        <v>105</v>
      </c>
      <c r="E275">
        <v>21</v>
      </c>
      <c r="F275" s="34">
        <v>0.26056712962962963</v>
      </c>
      <c r="G275" s="34">
        <v>1.2407958553791888E-2</v>
      </c>
      <c r="H275" s="34">
        <v>0.25734953703703706</v>
      </c>
      <c r="I275" s="34">
        <v>4.5324074074074072E-2</v>
      </c>
      <c r="J275" s="35">
        <v>0.17611873172925568</v>
      </c>
      <c r="K275" s="33" t="s">
        <v>134</v>
      </c>
      <c r="L275" s="33" t="s">
        <v>104</v>
      </c>
    </row>
    <row r="276" spans="1:12" x14ac:dyDescent="0.25">
      <c r="A276" s="32">
        <v>46238</v>
      </c>
      <c r="B276" s="33" t="s">
        <v>105</v>
      </c>
      <c r="C276" s="33" t="s">
        <v>546</v>
      </c>
      <c r="D276" s="33" t="s">
        <v>105</v>
      </c>
      <c r="E276">
        <v>13</v>
      </c>
      <c r="F276" s="34">
        <v>0.20282407407407407</v>
      </c>
      <c r="G276" s="34">
        <v>1.5601851851851851E-2</v>
      </c>
      <c r="H276" s="34">
        <v>0.26258101851851851</v>
      </c>
      <c r="I276" s="34">
        <v>6.4340277777777774E-2</v>
      </c>
      <c r="J276" s="35">
        <v>0.24503019350288713</v>
      </c>
      <c r="K276" s="33" t="s">
        <v>211</v>
      </c>
      <c r="L276" s="33" t="s">
        <v>104</v>
      </c>
    </row>
    <row r="277" spans="1:12" x14ac:dyDescent="0.25">
      <c r="A277" s="32">
        <v>46238</v>
      </c>
      <c r="B277" s="33" t="s">
        <v>105</v>
      </c>
      <c r="C277" s="33" t="s">
        <v>638</v>
      </c>
      <c r="D277" s="33" t="s">
        <v>105</v>
      </c>
      <c r="E277">
        <v>5</v>
      </c>
      <c r="F277" s="34">
        <v>0.12263888888888889</v>
      </c>
      <c r="G277" s="34">
        <v>2.4527777777777777E-2</v>
      </c>
      <c r="H277" s="34">
        <v>0.23646990740740742</v>
      </c>
      <c r="I277" s="34">
        <v>0.1577662037037037</v>
      </c>
      <c r="J277" s="35">
        <v>0.66717243404630222</v>
      </c>
      <c r="K277" s="33" t="s">
        <v>617</v>
      </c>
      <c r="L277" s="33" t="s">
        <v>601</v>
      </c>
    </row>
    <row r="278" spans="1:12" x14ac:dyDescent="0.25">
      <c r="A278" s="32">
        <v>46238</v>
      </c>
      <c r="B278" s="33" t="s">
        <v>105</v>
      </c>
      <c r="C278" s="33" t="s">
        <v>561</v>
      </c>
      <c r="D278" s="33" t="s">
        <v>105</v>
      </c>
      <c r="E278">
        <v>16</v>
      </c>
      <c r="F278" s="34">
        <v>0.28749999999999998</v>
      </c>
      <c r="G278" s="34">
        <v>1.7968749999999999E-2</v>
      </c>
      <c r="H278" s="34">
        <v>0.26541666666666669</v>
      </c>
      <c r="I278" s="34">
        <v>4.6099537037037036E-2</v>
      </c>
      <c r="J278" s="35">
        <v>0.17368742368742368</v>
      </c>
      <c r="K278" s="33" t="s">
        <v>136</v>
      </c>
      <c r="L278" s="33" t="s">
        <v>104</v>
      </c>
    </row>
    <row r="279" spans="1:12" x14ac:dyDescent="0.25">
      <c r="A279" s="32">
        <v>46238</v>
      </c>
      <c r="B279" s="33" t="s">
        <v>105</v>
      </c>
      <c r="C279" s="33" t="s">
        <v>639</v>
      </c>
      <c r="D279" s="33" t="s">
        <v>105</v>
      </c>
      <c r="E279">
        <v>5</v>
      </c>
      <c r="F279" s="34">
        <v>0.10055555555555555</v>
      </c>
      <c r="G279" s="34">
        <v>2.0111111111111111E-2</v>
      </c>
      <c r="H279" s="34">
        <v>0.2204861111111111</v>
      </c>
      <c r="I279" s="34">
        <v>0.15530092592592593</v>
      </c>
      <c r="J279" s="35">
        <v>0.70435695538057741</v>
      </c>
      <c r="K279" s="33" t="s">
        <v>618</v>
      </c>
      <c r="L279" s="33" t="s">
        <v>601</v>
      </c>
    </row>
    <row r="280" spans="1:12" x14ac:dyDescent="0.25">
      <c r="A280" s="32">
        <v>46238</v>
      </c>
      <c r="B280" s="33" t="s">
        <v>105</v>
      </c>
      <c r="C280" s="33" t="s">
        <v>572</v>
      </c>
      <c r="D280" s="33" t="s">
        <v>105</v>
      </c>
      <c r="E280">
        <v>8</v>
      </c>
      <c r="F280" s="34">
        <v>0.11597222222222223</v>
      </c>
      <c r="G280" s="34">
        <v>1.4496527777777778E-2</v>
      </c>
      <c r="H280" s="34">
        <v>0.23716435185185186</v>
      </c>
      <c r="I280" s="34">
        <v>0.18916666666666668</v>
      </c>
      <c r="J280" s="35">
        <v>0.79761846664389247</v>
      </c>
      <c r="K280" s="33" t="s">
        <v>213</v>
      </c>
      <c r="L280" s="33" t="s">
        <v>601</v>
      </c>
    </row>
    <row r="281" spans="1:12" x14ac:dyDescent="0.25">
      <c r="A281" s="32">
        <v>46238</v>
      </c>
      <c r="B281" s="33" t="s">
        <v>105</v>
      </c>
      <c r="C281" s="33" t="s">
        <v>547</v>
      </c>
      <c r="D281" s="33" t="s">
        <v>105</v>
      </c>
      <c r="E281">
        <v>17</v>
      </c>
      <c r="F281" s="34">
        <v>0.21424768518518519</v>
      </c>
      <c r="G281" s="34">
        <v>1.2602805010893248E-2</v>
      </c>
      <c r="H281" s="34">
        <v>0.22042824074074074</v>
      </c>
      <c r="I281" s="34">
        <v>0.12633101851851852</v>
      </c>
      <c r="J281" s="35">
        <v>0.57311630349173015</v>
      </c>
      <c r="K281" s="33" t="s">
        <v>215</v>
      </c>
      <c r="L281" s="33" t="s">
        <v>601</v>
      </c>
    </row>
    <row r="282" spans="1:12" x14ac:dyDescent="0.25">
      <c r="A282" s="32">
        <v>46238</v>
      </c>
      <c r="B282" s="33" t="s">
        <v>105</v>
      </c>
      <c r="C282" s="33" t="s">
        <v>640</v>
      </c>
      <c r="D282" s="33" t="s">
        <v>105</v>
      </c>
      <c r="E282">
        <v>14</v>
      </c>
      <c r="F282" s="34">
        <v>0.18805555555555556</v>
      </c>
      <c r="G282" s="34">
        <v>1.3432539682539683E-2</v>
      </c>
      <c r="H282" s="34">
        <v>0.24331018518518518</v>
      </c>
      <c r="I282" s="34">
        <v>0.17521990740740739</v>
      </c>
      <c r="J282" s="35">
        <v>0.72015031871372848</v>
      </c>
      <c r="K282" s="33" t="s">
        <v>619</v>
      </c>
      <c r="L282" s="33" t="s">
        <v>601</v>
      </c>
    </row>
    <row r="283" spans="1:12" x14ac:dyDescent="0.25">
      <c r="A283" s="32">
        <v>46238</v>
      </c>
      <c r="B283" s="33" t="s">
        <v>105</v>
      </c>
      <c r="C283" s="33" t="s">
        <v>548</v>
      </c>
      <c r="D283" s="33" t="s">
        <v>105</v>
      </c>
      <c r="E283">
        <v>17</v>
      </c>
      <c r="F283" s="34">
        <v>0.17534722222222221</v>
      </c>
      <c r="G283" s="34">
        <v>1.0314542483660131E-2</v>
      </c>
      <c r="H283" s="34">
        <v>0.24256944444444445</v>
      </c>
      <c r="I283" s="34">
        <v>6.4270833333333333E-2</v>
      </c>
      <c r="J283" s="35">
        <v>0.26495848840538222</v>
      </c>
      <c r="K283" s="33" t="s">
        <v>219</v>
      </c>
      <c r="L283" s="33" t="s">
        <v>104</v>
      </c>
    </row>
    <row r="284" spans="1:12" x14ac:dyDescent="0.25">
      <c r="A284" s="32">
        <v>46238</v>
      </c>
      <c r="B284" s="33" t="s">
        <v>105</v>
      </c>
      <c r="C284" s="33" t="s">
        <v>641</v>
      </c>
      <c r="D284" s="33" t="s">
        <v>105</v>
      </c>
      <c r="E284">
        <v>9</v>
      </c>
      <c r="F284" s="34">
        <v>0.12261574074074075</v>
      </c>
      <c r="G284" s="34">
        <v>1.3623971193415638E-2</v>
      </c>
      <c r="H284" s="34">
        <v>0.24069444444444443</v>
      </c>
      <c r="I284" s="34">
        <v>0.17409722222222221</v>
      </c>
      <c r="J284" s="35">
        <v>0.72331217541834969</v>
      </c>
      <c r="K284" s="33" t="s">
        <v>620</v>
      </c>
      <c r="L284" s="33" t="s">
        <v>601</v>
      </c>
    </row>
    <row r="285" spans="1:12" x14ac:dyDescent="0.25">
      <c r="A285" s="32">
        <v>46238</v>
      </c>
      <c r="B285" s="33" t="s">
        <v>105</v>
      </c>
      <c r="C285" s="33" t="s">
        <v>556</v>
      </c>
      <c r="D285" s="33" t="s">
        <v>105</v>
      </c>
      <c r="E285">
        <v>23</v>
      </c>
      <c r="F285" s="34">
        <v>0.28293981481481484</v>
      </c>
      <c r="G285" s="34">
        <v>1.2301731078904992E-2</v>
      </c>
      <c r="H285" s="34">
        <v>0.25104166666666666</v>
      </c>
      <c r="I285" s="34">
        <v>7.6793981481481477E-2</v>
      </c>
      <c r="J285" s="35">
        <v>0.305901337021669</v>
      </c>
      <c r="K285" s="33" t="s">
        <v>138</v>
      </c>
      <c r="L285" s="33" t="s">
        <v>104</v>
      </c>
    </row>
    <row r="286" spans="1:12" x14ac:dyDescent="0.25">
      <c r="A286" s="32">
        <v>46238</v>
      </c>
      <c r="B286" s="33" t="s">
        <v>105</v>
      </c>
      <c r="C286" s="33" t="s">
        <v>674</v>
      </c>
      <c r="D286" s="33" t="s">
        <v>105</v>
      </c>
      <c r="E286">
        <v>13</v>
      </c>
      <c r="F286" s="34">
        <v>0.18185185185185185</v>
      </c>
      <c r="G286" s="34">
        <v>1.3988603988603987E-2</v>
      </c>
      <c r="H286" s="34">
        <v>0.26396990740740739</v>
      </c>
      <c r="I286" s="34">
        <v>0.13445601851851852</v>
      </c>
      <c r="J286" s="35">
        <v>0.50936116104704698</v>
      </c>
      <c r="K286" s="33" t="s">
        <v>673</v>
      </c>
      <c r="L286" s="33" t="s">
        <v>104</v>
      </c>
    </row>
    <row r="287" spans="1:12" x14ac:dyDescent="0.25">
      <c r="A287" s="32">
        <v>46238</v>
      </c>
      <c r="B287" s="33" t="s">
        <v>105</v>
      </c>
      <c r="C287" s="33" t="s">
        <v>549</v>
      </c>
      <c r="D287" s="33" t="s">
        <v>105</v>
      </c>
      <c r="E287">
        <v>12</v>
      </c>
      <c r="F287" s="34">
        <v>0.25709490740740742</v>
      </c>
      <c r="G287" s="34">
        <v>2.1424575617283951E-2</v>
      </c>
      <c r="H287" s="34">
        <v>0.25373842592592594</v>
      </c>
      <c r="I287" s="34">
        <v>7.1608796296296295E-2</v>
      </c>
      <c r="J287" s="35">
        <v>0.28221502531587828</v>
      </c>
      <c r="K287" s="33" t="s">
        <v>225</v>
      </c>
      <c r="L287" s="33" t="s">
        <v>601</v>
      </c>
    </row>
    <row r="288" spans="1:12" x14ac:dyDescent="0.25">
      <c r="A288" s="32">
        <v>46238</v>
      </c>
      <c r="B288" s="33" t="s">
        <v>105</v>
      </c>
      <c r="C288" s="33" t="s">
        <v>571</v>
      </c>
      <c r="D288" s="33" t="s">
        <v>105</v>
      </c>
      <c r="E288">
        <v>16</v>
      </c>
      <c r="F288" s="34">
        <v>0.24384259259259258</v>
      </c>
      <c r="G288" s="34">
        <v>1.5240162037037036E-2</v>
      </c>
      <c r="H288" s="34">
        <v>0.25437500000000002</v>
      </c>
      <c r="I288" s="34">
        <v>6.008101851851852E-2</v>
      </c>
      <c r="J288" s="35">
        <v>0.23619073619073619</v>
      </c>
      <c r="K288" s="33" t="s">
        <v>299</v>
      </c>
      <c r="L288" s="33" t="s">
        <v>104</v>
      </c>
    </row>
    <row r="289" spans="1:12" x14ac:dyDescent="0.25">
      <c r="A289" s="32">
        <v>46238</v>
      </c>
      <c r="B289" s="33" t="s">
        <v>105</v>
      </c>
      <c r="C289" s="33" t="s">
        <v>676</v>
      </c>
      <c r="D289" s="33" t="s">
        <v>105</v>
      </c>
      <c r="E289">
        <v>12</v>
      </c>
      <c r="F289" s="34">
        <v>0.23034722222222223</v>
      </c>
      <c r="G289" s="34">
        <v>1.9195601851851853E-2</v>
      </c>
      <c r="H289" s="34">
        <v>0.26503472222222224</v>
      </c>
      <c r="I289" s="34">
        <v>9.0578703703703703E-2</v>
      </c>
      <c r="J289" s="35">
        <v>0.34176164898030481</v>
      </c>
      <c r="K289" s="33" t="s">
        <v>675</v>
      </c>
      <c r="L289" s="33" t="s">
        <v>104</v>
      </c>
    </row>
    <row r="290" spans="1:12" x14ac:dyDescent="0.25">
      <c r="A290" s="32">
        <v>46238</v>
      </c>
      <c r="B290" s="33" t="s">
        <v>32</v>
      </c>
      <c r="C290" s="33" t="s">
        <v>562</v>
      </c>
      <c r="D290" s="33" t="s">
        <v>80</v>
      </c>
      <c r="E290">
        <v>3</v>
      </c>
      <c r="F290" s="34">
        <v>7.6041666666666671E-3</v>
      </c>
      <c r="G290" s="34">
        <v>2.5347222222222221E-3</v>
      </c>
      <c r="H290" s="34">
        <v>0.30253472222222222</v>
      </c>
      <c r="I290" s="34">
        <v>0.11115740740740741</v>
      </c>
      <c r="J290" s="35">
        <v>0.36742032977543132</v>
      </c>
      <c r="K290" s="33" t="s">
        <v>186</v>
      </c>
      <c r="L290" s="33" t="s">
        <v>78</v>
      </c>
    </row>
    <row r="291" spans="1:12" x14ac:dyDescent="0.25">
      <c r="A291" s="32">
        <v>46238</v>
      </c>
      <c r="B291" s="33" t="s">
        <v>32</v>
      </c>
      <c r="C291" s="33" t="s">
        <v>644</v>
      </c>
      <c r="D291" s="33" t="s">
        <v>32</v>
      </c>
      <c r="E291">
        <v>23</v>
      </c>
      <c r="F291" s="34">
        <v>0.16446759259259258</v>
      </c>
      <c r="G291" s="34">
        <v>7.1507648953301126E-3</v>
      </c>
      <c r="H291" s="34">
        <v>0.26042824074074072</v>
      </c>
      <c r="I291" s="34">
        <v>3.9629629629629633E-2</v>
      </c>
      <c r="J291" s="35">
        <v>0.15217101462157237</v>
      </c>
      <c r="K291" s="33" t="s">
        <v>643</v>
      </c>
      <c r="L291" s="33" t="s">
        <v>233</v>
      </c>
    </row>
    <row r="292" spans="1:12" x14ac:dyDescent="0.25">
      <c r="A292" s="32">
        <v>46238</v>
      </c>
      <c r="B292" s="33" t="s">
        <v>32</v>
      </c>
      <c r="C292" s="33" t="s">
        <v>563</v>
      </c>
      <c r="D292" s="33" t="s">
        <v>147</v>
      </c>
      <c r="E292">
        <v>16</v>
      </c>
      <c r="F292" s="34">
        <v>7.5601851851851851E-2</v>
      </c>
      <c r="G292" s="34">
        <v>4.7251157407407407E-3</v>
      </c>
      <c r="H292" s="34">
        <v>0.19315340545179718</v>
      </c>
      <c r="I292" s="34">
        <v>2.193795954704993E-2</v>
      </c>
      <c r="J292" s="35">
        <v>0.1135779071341546</v>
      </c>
      <c r="K292" s="33" t="s">
        <v>193</v>
      </c>
      <c r="L292" s="33" t="s">
        <v>274</v>
      </c>
    </row>
    <row r="293" spans="1:12" x14ac:dyDescent="0.25">
      <c r="A293" s="32">
        <v>46238</v>
      </c>
      <c r="B293" s="33" t="s">
        <v>32</v>
      </c>
      <c r="C293" s="33" t="s">
        <v>525</v>
      </c>
      <c r="D293" s="33" t="s">
        <v>32</v>
      </c>
      <c r="E293">
        <v>33</v>
      </c>
      <c r="F293" s="34">
        <v>0.17288194444444444</v>
      </c>
      <c r="G293" s="34">
        <v>5.2388468013468015E-3</v>
      </c>
      <c r="H293" s="34">
        <v>0.25877314814814817</v>
      </c>
      <c r="I293" s="34">
        <v>4.2141203703703702E-2</v>
      </c>
      <c r="J293" s="35">
        <v>0.16284998658198407</v>
      </c>
      <c r="K293" s="33" t="s">
        <v>231</v>
      </c>
      <c r="L293" s="33" t="s">
        <v>233</v>
      </c>
    </row>
    <row r="294" spans="1:12" x14ac:dyDescent="0.25">
      <c r="A294" s="32">
        <v>46238</v>
      </c>
      <c r="B294" s="33" t="s">
        <v>32</v>
      </c>
      <c r="C294" s="33" t="s">
        <v>505</v>
      </c>
      <c r="D294" s="33" t="s">
        <v>32</v>
      </c>
      <c r="E294">
        <v>43</v>
      </c>
      <c r="F294" s="34">
        <v>0.15293981481481481</v>
      </c>
      <c r="G294" s="34">
        <v>3.5567398794142981E-3</v>
      </c>
      <c r="H294" s="34">
        <v>0.25444444444444442</v>
      </c>
      <c r="I294" s="34">
        <v>5.4467592592592595E-2</v>
      </c>
      <c r="J294" s="35">
        <v>0.21406477438136826</v>
      </c>
      <c r="K294" s="33" t="s">
        <v>34</v>
      </c>
      <c r="L294" s="33" t="s">
        <v>233</v>
      </c>
    </row>
    <row r="295" spans="1:12" x14ac:dyDescent="0.25">
      <c r="A295" s="32">
        <v>46238</v>
      </c>
      <c r="B295" s="33" t="s">
        <v>32</v>
      </c>
      <c r="C295" s="33" t="s">
        <v>551</v>
      </c>
      <c r="D295" s="33" t="s">
        <v>32</v>
      </c>
      <c r="E295">
        <v>15</v>
      </c>
      <c r="F295" s="34">
        <v>7.7476851851851852E-2</v>
      </c>
      <c r="G295" s="34">
        <v>5.1651234567901229E-3</v>
      </c>
      <c r="H295" s="34">
        <v>0.2979398148148148</v>
      </c>
      <c r="I295" s="34">
        <v>0.21739583333333334</v>
      </c>
      <c r="J295" s="35">
        <v>0.72966358480304561</v>
      </c>
      <c r="K295" s="33" t="s">
        <v>236</v>
      </c>
      <c r="L295" s="33" t="s">
        <v>233</v>
      </c>
    </row>
    <row r="296" spans="1:12" x14ac:dyDescent="0.25">
      <c r="A296" s="32">
        <v>46238</v>
      </c>
      <c r="B296" s="33" t="s">
        <v>32</v>
      </c>
      <c r="C296" s="33" t="s">
        <v>514</v>
      </c>
      <c r="D296" s="33" t="s">
        <v>147</v>
      </c>
      <c r="E296">
        <v>7</v>
      </c>
      <c r="F296" s="34">
        <v>2.0474537037037038E-2</v>
      </c>
      <c r="G296" s="34">
        <v>2.9249338624338624E-3</v>
      </c>
      <c r="H296" s="34">
        <v>9.7896470610286404E-2</v>
      </c>
      <c r="I296" s="34">
        <v>1.460659492861709E-2</v>
      </c>
      <c r="J296" s="35">
        <v>0.1492045100049022</v>
      </c>
      <c r="K296" s="33" t="s">
        <v>150</v>
      </c>
      <c r="L296" s="33" t="s">
        <v>146</v>
      </c>
    </row>
    <row r="297" spans="1:12" x14ac:dyDescent="0.25">
      <c r="A297" s="32">
        <v>46238</v>
      </c>
      <c r="B297" s="33" t="s">
        <v>32</v>
      </c>
      <c r="C297" s="33" t="s">
        <v>536</v>
      </c>
      <c r="D297" s="33" t="s">
        <v>32</v>
      </c>
      <c r="E297">
        <v>4</v>
      </c>
      <c r="F297" s="34">
        <v>6.1087962962962962E-2</v>
      </c>
      <c r="G297" s="34">
        <v>1.527199074074074E-2</v>
      </c>
      <c r="H297" s="34">
        <v>0.24706018518518519</v>
      </c>
      <c r="I297" s="34">
        <v>0.19141203703703705</v>
      </c>
      <c r="J297" s="35">
        <v>0.77475873699990627</v>
      </c>
      <c r="K297" s="33" t="s">
        <v>38</v>
      </c>
      <c r="L297" s="33" t="s">
        <v>100</v>
      </c>
    </row>
    <row r="298" spans="1:12" x14ac:dyDescent="0.25">
      <c r="A298" s="32">
        <v>46238</v>
      </c>
      <c r="B298" s="33" t="s">
        <v>32</v>
      </c>
      <c r="C298" s="33" t="s">
        <v>515</v>
      </c>
      <c r="D298" s="33" t="s">
        <v>147</v>
      </c>
      <c r="E298">
        <v>10</v>
      </c>
      <c r="F298" s="34">
        <v>1.9444444444444445E-2</v>
      </c>
      <c r="G298" s="34">
        <v>1.9444444444444444E-3</v>
      </c>
      <c r="H298" s="34">
        <v>0.10445074266519709</v>
      </c>
      <c r="I298" s="34">
        <v>1.6183803075631133E-2</v>
      </c>
      <c r="J298" s="35">
        <v>0.15494196271544142</v>
      </c>
      <c r="K298" s="33" t="s">
        <v>154</v>
      </c>
      <c r="L298" s="33" t="s">
        <v>146</v>
      </c>
    </row>
    <row r="299" spans="1:12" x14ac:dyDescent="0.25">
      <c r="A299" s="32">
        <v>46238</v>
      </c>
      <c r="B299" s="33" t="s">
        <v>32</v>
      </c>
      <c r="C299" s="33" t="s">
        <v>516</v>
      </c>
      <c r="D299" s="33" t="s">
        <v>147</v>
      </c>
      <c r="E299">
        <v>12</v>
      </c>
      <c r="F299" s="34">
        <v>1.292824074074074E-2</v>
      </c>
      <c r="G299" s="34">
        <v>1.0773533950617284E-3</v>
      </c>
      <c r="H299" s="34">
        <v>8.8160188358881605E-2</v>
      </c>
      <c r="I299" s="34">
        <v>1.797989264971913E-2</v>
      </c>
      <c r="J299" s="35">
        <v>0.20394571500376976</v>
      </c>
      <c r="K299" s="33" t="s">
        <v>156</v>
      </c>
      <c r="L299" s="33" t="s">
        <v>146</v>
      </c>
    </row>
    <row r="300" spans="1:12" x14ac:dyDescent="0.25">
      <c r="A300" s="32">
        <v>46238</v>
      </c>
      <c r="B300" s="33" t="s">
        <v>32</v>
      </c>
      <c r="C300" s="33" t="s">
        <v>506</v>
      </c>
      <c r="D300" s="33" t="s">
        <v>32</v>
      </c>
      <c r="E300">
        <v>25</v>
      </c>
      <c r="F300" s="34">
        <v>0.23005787037037037</v>
      </c>
      <c r="G300" s="34">
        <v>9.2023148148148159E-3</v>
      </c>
      <c r="H300" s="34">
        <v>0.26148148148148148</v>
      </c>
      <c r="I300" s="34">
        <v>3.1134259259259261E-2</v>
      </c>
      <c r="J300" s="35">
        <v>0.11906869688385269</v>
      </c>
      <c r="K300" s="33" t="s">
        <v>44</v>
      </c>
      <c r="L300" s="33" t="s">
        <v>100</v>
      </c>
    </row>
    <row r="301" spans="1:12" x14ac:dyDescent="0.25">
      <c r="A301" s="32">
        <v>46238</v>
      </c>
      <c r="B301" s="33" t="s">
        <v>32</v>
      </c>
      <c r="C301" s="33" t="s">
        <v>539</v>
      </c>
      <c r="D301" s="33" t="s">
        <v>284</v>
      </c>
      <c r="E301">
        <v>1</v>
      </c>
      <c r="F301" s="34">
        <v>2.0011574074074074E-2</v>
      </c>
      <c r="G301" s="34">
        <v>2.0011574074074074E-2</v>
      </c>
      <c r="H301" s="34">
        <v>0</v>
      </c>
      <c r="I301" s="34">
        <v>0</v>
      </c>
      <c r="J301" s="35">
        <v>0</v>
      </c>
      <c r="K301" s="33" t="s">
        <v>539</v>
      </c>
      <c r="L301" s="33" t="s">
        <v>284</v>
      </c>
    </row>
    <row r="302" spans="1:12" x14ac:dyDescent="0.25">
      <c r="A302" s="32">
        <v>46238</v>
      </c>
      <c r="B302" s="33" t="s">
        <v>32</v>
      </c>
      <c r="C302" s="33" t="s">
        <v>540</v>
      </c>
      <c r="D302" s="33" t="s">
        <v>284</v>
      </c>
      <c r="E302">
        <v>1</v>
      </c>
      <c r="F302" s="34">
        <v>1.4444444444444444E-2</v>
      </c>
      <c r="G302" s="34">
        <v>1.4444444444444444E-2</v>
      </c>
      <c r="H302" s="34">
        <v>0</v>
      </c>
      <c r="I302" s="34">
        <v>0</v>
      </c>
      <c r="J302" s="35">
        <v>0</v>
      </c>
      <c r="K302" s="33" t="s">
        <v>540</v>
      </c>
      <c r="L302" s="33" t="s">
        <v>284</v>
      </c>
    </row>
    <row r="303" spans="1:12" x14ac:dyDescent="0.25">
      <c r="A303" s="32">
        <v>46238</v>
      </c>
      <c r="B303" s="33" t="s">
        <v>32</v>
      </c>
      <c r="C303" s="33" t="s">
        <v>646</v>
      </c>
      <c r="D303" s="33" t="s">
        <v>32</v>
      </c>
      <c r="E303">
        <v>35</v>
      </c>
      <c r="F303" s="34">
        <v>0.25064814814814818</v>
      </c>
      <c r="G303" s="34">
        <v>7.161375661375661E-3</v>
      </c>
      <c r="H303" s="34">
        <v>0.2643287037037037</v>
      </c>
      <c r="I303" s="34">
        <v>3.7210648148148145E-2</v>
      </c>
      <c r="J303" s="35">
        <v>0.14077414834924248</v>
      </c>
      <c r="K303" s="33" t="s">
        <v>645</v>
      </c>
      <c r="L303" s="33" t="s">
        <v>100</v>
      </c>
    </row>
    <row r="304" spans="1:12" x14ac:dyDescent="0.25">
      <c r="A304" s="32">
        <v>46238</v>
      </c>
      <c r="B304" s="33" t="s">
        <v>32</v>
      </c>
      <c r="C304" s="33" t="s">
        <v>544</v>
      </c>
      <c r="D304" s="33" t="s">
        <v>147</v>
      </c>
      <c r="E304">
        <v>4</v>
      </c>
      <c r="F304" s="34">
        <v>9.9768518518518513E-3</v>
      </c>
      <c r="G304" s="34">
        <v>2.4942129629629628E-3</v>
      </c>
      <c r="H304" s="34">
        <v>9.0871867167919798E-2</v>
      </c>
      <c r="I304" s="34">
        <v>3.8117075095145267E-2</v>
      </c>
      <c r="J304" s="35">
        <v>0.41945957844917725</v>
      </c>
      <c r="K304" s="33" t="s">
        <v>160</v>
      </c>
      <c r="L304" s="33" t="s">
        <v>146</v>
      </c>
    </row>
    <row r="305" spans="1:12" x14ac:dyDescent="0.25">
      <c r="A305" s="32">
        <v>46238</v>
      </c>
      <c r="B305" s="33" t="s">
        <v>32</v>
      </c>
      <c r="C305" s="33" t="s">
        <v>558</v>
      </c>
      <c r="D305" s="33" t="s">
        <v>32</v>
      </c>
      <c r="E305">
        <v>50</v>
      </c>
      <c r="F305" s="34">
        <v>0.15075231481481483</v>
      </c>
      <c r="G305" s="34">
        <v>3.0150462962962965E-3</v>
      </c>
      <c r="H305" s="34">
        <v>0.26030092592592591</v>
      </c>
      <c r="I305" s="34">
        <v>5.9108796296296298E-2</v>
      </c>
      <c r="J305" s="35">
        <v>0.22707870164517563</v>
      </c>
      <c r="K305" s="33" t="s">
        <v>120</v>
      </c>
      <c r="L305" s="33" t="s">
        <v>233</v>
      </c>
    </row>
    <row r="306" spans="1:12" x14ac:dyDescent="0.25">
      <c r="A306" s="32">
        <v>46238</v>
      </c>
      <c r="B306" s="33" t="s">
        <v>32</v>
      </c>
      <c r="C306" s="33" t="s">
        <v>507</v>
      </c>
      <c r="D306" s="33" t="s">
        <v>32</v>
      </c>
      <c r="E306">
        <v>28</v>
      </c>
      <c r="F306" s="34">
        <v>0.22387731481481482</v>
      </c>
      <c r="G306" s="34">
        <v>7.9956183862433857E-3</v>
      </c>
      <c r="H306" s="34">
        <v>0.2631134259259259</v>
      </c>
      <c r="I306" s="34">
        <v>2.9027777777777777E-2</v>
      </c>
      <c r="J306" s="35">
        <v>0.11032419830202789</v>
      </c>
      <c r="K306" s="33" t="s">
        <v>46</v>
      </c>
      <c r="L306" s="33" t="s">
        <v>100</v>
      </c>
    </row>
    <row r="307" spans="1:12" x14ac:dyDescent="0.25">
      <c r="A307" s="32">
        <v>46238</v>
      </c>
      <c r="B307" s="33" t="s">
        <v>32</v>
      </c>
      <c r="C307" s="33" t="s">
        <v>517</v>
      </c>
      <c r="D307" s="33" t="s">
        <v>147</v>
      </c>
      <c r="E307">
        <v>5</v>
      </c>
      <c r="F307" s="34">
        <v>3.2812500000000001E-2</v>
      </c>
      <c r="G307" s="34">
        <v>6.5624999999999998E-3</v>
      </c>
      <c r="H307" s="34">
        <v>0.13224302590048273</v>
      </c>
      <c r="I307" s="34">
        <v>2.700055699962867E-2</v>
      </c>
      <c r="J307" s="35">
        <v>0.20417376883033125</v>
      </c>
      <c r="K307" s="33" t="s">
        <v>499</v>
      </c>
      <c r="L307" s="33" t="s">
        <v>146</v>
      </c>
    </row>
    <row r="308" spans="1:12" x14ac:dyDescent="0.25">
      <c r="A308" s="32">
        <v>46238</v>
      </c>
      <c r="B308" s="33" t="s">
        <v>32</v>
      </c>
      <c r="C308" s="33" t="s">
        <v>648</v>
      </c>
      <c r="D308" s="33" t="s">
        <v>32</v>
      </c>
      <c r="E308">
        <v>38</v>
      </c>
      <c r="F308" s="34">
        <v>0.17093749999999999</v>
      </c>
      <c r="G308" s="34">
        <v>4.4983552631578947E-3</v>
      </c>
      <c r="H308" s="34">
        <v>0.2646296296296296</v>
      </c>
      <c r="I308" s="34">
        <v>4.7997685185185185E-2</v>
      </c>
      <c r="J308" s="35">
        <v>0.18137683694891532</v>
      </c>
      <c r="K308" s="33" t="s">
        <v>647</v>
      </c>
      <c r="L308" s="33" t="s">
        <v>233</v>
      </c>
    </row>
    <row r="309" spans="1:12" x14ac:dyDescent="0.25">
      <c r="A309" s="32">
        <v>46238</v>
      </c>
      <c r="B309" s="33" t="s">
        <v>32</v>
      </c>
      <c r="C309" s="33" t="s">
        <v>652</v>
      </c>
      <c r="D309" s="33" t="s">
        <v>32</v>
      </c>
      <c r="E309">
        <v>17</v>
      </c>
      <c r="F309" s="34">
        <v>0.21438657407407408</v>
      </c>
      <c r="G309" s="34">
        <v>1.2610974945533768E-2</v>
      </c>
      <c r="H309" s="34">
        <v>0.25765046296296296</v>
      </c>
      <c r="I309" s="34">
        <v>3.6921296296296299E-2</v>
      </c>
      <c r="J309" s="35">
        <v>0.14329994160190468</v>
      </c>
      <c r="K309" s="33" t="s">
        <v>651</v>
      </c>
      <c r="L309" s="33" t="s">
        <v>100</v>
      </c>
    </row>
    <row r="310" spans="1:12" x14ac:dyDescent="0.25">
      <c r="A310" s="32">
        <v>46238</v>
      </c>
      <c r="B310" s="33" t="s">
        <v>32</v>
      </c>
      <c r="C310" s="33" t="s">
        <v>508</v>
      </c>
      <c r="D310" s="33" t="s">
        <v>32</v>
      </c>
      <c r="E310">
        <v>36</v>
      </c>
      <c r="F310" s="34">
        <v>0.18666666666666668</v>
      </c>
      <c r="G310" s="34">
        <v>5.185185185185185E-3</v>
      </c>
      <c r="H310" s="34">
        <v>0.26417824074074076</v>
      </c>
      <c r="I310" s="34">
        <v>6.9155092592592587E-2</v>
      </c>
      <c r="J310" s="35">
        <v>0.26177437020810512</v>
      </c>
      <c r="K310" s="33" t="s">
        <v>48</v>
      </c>
      <c r="L310" s="33" t="s">
        <v>100</v>
      </c>
    </row>
    <row r="311" spans="1:12" x14ac:dyDescent="0.25">
      <c r="A311" s="32">
        <v>46238</v>
      </c>
      <c r="B311" s="33" t="s">
        <v>32</v>
      </c>
      <c r="C311" s="33" t="s">
        <v>538</v>
      </c>
      <c r="D311" s="33" t="s">
        <v>32</v>
      </c>
      <c r="E311">
        <v>14</v>
      </c>
      <c r="F311" s="34">
        <v>8.987268518518518E-2</v>
      </c>
      <c r="G311" s="34">
        <v>6.4194775132275133E-3</v>
      </c>
      <c r="H311" s="34">
        <v>0.26221064814814815</v>
      </c>
      <c r="I311" s="34">
        <v>0.18024305555555556</v>
      </c>
      <c r="J311" s="35">
        <v>0.68739792540278088</v>
      </c>
      <c r="K311" s="33" t="s">
        <v>50</v>
      </c>
      <c r="L311" s="33" t="s">
        <v>100</v>
      </c>
    </row>
    <row r="312" spans="1:12" x14ac:dyDescent="0.25">
      <c r="A312" s="32">
        <v>46238</v>
      </c>
      <c r="B312" s="33" t="s">
        <v>32</v>
      </c>
      <c r="C312" s="33" t="s">
        <v>603</v>
      </c>
      <c r="D312" s="33" t="s">
        <v>32</v>
      </c>
      <c r="E312">
        <v>34</v>
      </c>
      <c r="F312" s="34">
        <v>0.23059027777777777</v>
      </c>
      <c r="G312" s="34">
        <v>6.782066993464053E-3</v>
      </c>
      <c r="H312" s="34">
        <v>0.26437500000000003</v>
      </c>
      <c r="I312" s="34">
        <v>2.5115740740740741E-3</v>
      </c>
      <c r="J312" s="35">
        <v>9.5000437790035905E-3</v>
      </c>
      <c r="K312" s="33" t="s">
        <v>242</v>
      </c>
      <c r="L312" s="33" t="s">
        <v>233</v>
      </c>
    </row>
    <row r="313" spans="1:12" x14ac:dyDescent="0.25">
      <c r="A313" s="32">
        <v>46238</v>
      </c>
      <c r="B313" s="33" t="s">
        <v>32</v>
      </c>
      <c r="C313" s="33" t="s">
        <v>552</v>
      </c>
      <c r="D313" s="33" t="s">
        <v>284</v>
      </c>
      <c r="E313">
        <v>1</v>
      </c>
      <c r="F313" s="34">
        <v>3.6689814814814814E-2</v>
      </c>
      <c r="G313" s="34">
        <v>3.6689814814814814E-2</v>
      </c>
      <c r="H313" s="34">
        <v>0</v>
      </c>
      <c r="I313" s="34">
        <v>0</v>
      </c>
      <c r="J313" s="35">
        <v>0</v>
      </c>
      <c r="K313" s="33" t="s">
        <v>552</v>
      </c>
      <c r="L313" s="33" t="s">
        <v>284</v>
      </c>
    </row>
    <row r="314" spans="1:12" x14ac:dyDescent="0.25">
      <c r="A314" s="32">
        <v>46238</v>
      </c>
      <c r="B314" s="33" t="s">
        <v>32</v>
      </c>
      <c r="C314" s="33" t="s">
        <v>559</v>
      </c>
      <c r="D314" s="33" t="s">
        <v>105</v>
      </c>
      <c r="E314">
        <v>2</v>
      </c>
      <c r="F314" s="34">
        <v>3.6886574074074072E-2</v>
      </c>
      <c r="G314" s="34">
        <v>1.8443287037037036E-2</v>
      </c>
      <c r="H314" s="34">
        <v>4.365254874487403E-2</v>
      </c>
      <c r="I314" s="34">
        <v>1.4930807363439935E-2</v>
      </c>
      <c r="J314" s="35">
        <v>0.34203747072599533</v>
      </c>
      <c r="K314" s="33" t="s">
        <v>289</v>
      </c>
      <c r="L314" s="33" t="s">
        <v>104</v>
      </c>
    </row>
    <row r="315" spans="1:12" x14ac:dyDescent="0.25">
      <c r="A315" s="32">
        <v>46238</v>
      </c>
      <c r="B315" s="33" t="s">
        <v>32</v>
      </c>
      <c r="C315" s="33" t="s">
        <v>518</v>
      </c>
      <c r="D315" s="33" t="s">
        <v>147</v>
      </c>
      <c r="E315">
        <v>19</v>
      </c>
      <c r="F315" s="34">
        <v>7.4201388888888886E-2</v>
      </c>
      <c r="G315" s="34">
        <v>3.9053362573099417E-3</v>
      </c>
      <c r="H315" s="34">
        <v>0.1986601745948805</v>
      </c>
      <c r="I315" s="34">
        <v>3.0052768746451977E-2</v>
      </c>
      <c r="J315" s="35">
        <v>0.15127726937589453</v>
      </c>
      <c r="K315" s="33" t="s">
        <v>500</v>
      </c>
      <c r="L315" s="33" t="s">
        <v>274</v>
      </c>
    </row>
    <row r="316" spans="1:12" x14ac:dyDescent="0.25">
      <c r="A316" s="32">
        <v>46238</v>
      </c>
      <c r="B316" s="33" t="s">
        <v>32</v>
      </c>
      <c r="C316" s="33" t="s">
        <v>684</v>
      </c>
      <c r="D316" s="33" t="s">
        <v>32</v>
      </c>
      <c r="E316">
        <v>24</v>
      </c>
      <c r="F316" s="34">
        <v>0.18094907407407407</v>
      </c>
      <c r="G316" s="34">
        <v>7.5395447530864192E-3</v>
      </c>
      <c r="H316" s="34">
        <v>0.26545138888888886</v>
      </c>
      <c r="I316" s="34">
        <v>5.5057870370370368E-2</v>
      </c>
      <c r="J316" s="35">
        <v>0.20741225201656857</v>
      </c>
      <c r="K316" s="33" t="s">
        <v>683</v>
      </c>
      <c r="L316" s="33" t="s">
        <v>233</v>
      </c>
    </row>
    <row r="317" spans="1:12" x14ac:dyDescent="0.25">
      <c r="A317" s="32">
        <v>46238</v>
      </c>
      <c r="B317" s="33" t="s">
        <v>32</v>
      </c>
      <c r="C317" s="33" t="s">
        <v>654</v>
      </c>
      <c r="D317" s="33" t="s">
        <v>32</v>
      </c>
      <c r="E317">
        <v>30</v>
      </c>
      <c r="F317" s="34">
        <v>0.18229166666666666</v>
      </c>
      <c r="G317" s="34">
        <v>6.076388888888889E-3</v>
      </c>
      <c r="H317" s="34">
        <v>0.2258449074074074</v>
      </c>
      <c r="I317" s="34">
        <v>5.2557870370370373E-2</v>
      </c>
      <c r="J317" s="35">
        <v>0.23271665043816941</v>
      </c>
      <c r="K317" s="33" t="s">
        <v>653</v>
      </c>
      <c r="L317" s="33" t="s">
        <v>100</v>
      </c>
    </row>
    <row r="318" spans="1:12" x14ac:dyDescent="0.25">
      <c r="A318" s="32">
        <v>46238</v>
      </c>
      <c r="B318" s="33" t="s">
        <v>32</v>
      </c>
      <c r="C318" s="33" t="s">
        <v>509</v>
      </c>
      <c r="D318" s="33" t="s">
        <v>32</v>
      </c>
      <c r="E318">
        <v>9</v>
      </c>
      <c r="F318" s="34">
        <v>5.3171296296296293E-2</v>
      </c>
      <c r="G318" s="34">
        <v>5.9079218106995882E-3</v>
      </c>
      <c r="H318" s="34">
        <v>0.2320949074074074</v>
      </c>
      <c r="I318" s="34">
        <v>0.19019675925925925</v>
      </c>
      <c r="J318" s="35">
        <v>0.81947838228693959</v>
      </c>
      <c r="K318" s="33" t="s">
        <v>52</v>
      </c>
      <c r="L318" s="33" t="s">
        <v>100</v>
      </c>
    </row>
    <row r="319" spans="1:12" x14ac:dyDescent="0.25">
      <c r="A319" s="32">
        <v>46238</v>
      </c>
      <c r="B319" s="33" t="s">
        <v>32</v>
      </c>
      <c r="C319" s="33" t="s">
        <v>519</v>
      </c>
      <c r="D319" s="33" t="s">
        <v>147</v>
      </c>
      <c r="E319">
        <v>6</v>
      </c>
      <c r="F319" s="34">
        <v>1.2847222222222222E-2</v>
      </c>
      <c r="G319" s="34">
        <v>2.1412037037037038E-3</v>
      </c>
      <c r="H319" s="34">
        <v>3.8054323824730993E-2</v>
      </c>
      <c r="I319" s="34">
        <v>4.3761058605213182E-3</v>
      </c>
      <c r="J319" s="35">
        <v>0.11499628480265746</v>
      </c>
      <c r="K319" s="33" t="s">
        <v>164</v>
      </c>
      <c r="L319" s="33" t="s">
        <v>146</v>
      </c>
    </row>
    <row r="320" spans="1:12" x14ac:dyDescent="0.25">
      <c r="A320" s="32">
        <v>46238</v>
      </c>
      <c r="B320" s="33" t="s">
        <v>32</v>
      </c>
      <c r="C320" s="33" t="s">
        <v>656</v>
      </c>
      <c r="D320" s="33" t="s">
        <v>32</v>
      </c>
      <c r="E320">
        <v>25</v>
      </c>
      <c r="F320" s="34">
        <v>0.21592592592592594</v>
      </c>
      <c r="G320" s="34">
        <v>8.6370370370370368E-3</v>
      </c>
      <c r="H320" s="34">
        <v>0.26192129629629629</v>
      </c>
      <c r="I320" s="34">
        <v>3.2384259259259258E-2</v>
      </c>
      <c r="J320" s="35">
        <v>0.12364118426866991</v>
      </c>
      <c r="K320" s="33" t="s">
        <v>655</v>
      </c>
      <c r="L320" s="33" t="s">
        <v>100</v>
      </c>
    </row>
    <row r="321" spans="1:12" x14ac:dyDescent="0.25">
      <c r="A321" s="32">
        <v>46238</v>
      </c>
      <c r="B321" s="33" t="s">
        <v>32</v>
      </c>
      <c r="C321" s="33" t="s">
        <v>658</v>
      </c>
      <c r="D321" s="33" t="s">
        <v>147</v>
      </c>
      <c r="E321">
        <v>11</v>
      </c>
      <c r="F321" s="34">
        <v>5.7488425925925929E-2</v>
      </c>
      <c r="G321" s="34">
        <v>5.2262205387205388E-3</v>
      </c>
      <c r="H321" s="34">
        <v>0.18871547380531359</v>
      </c>
      <c r="I321" s="34">
        <v>3.2768990336518443E-2</v>
      </c>
      <c r="J321" s="35">
        <v>0.17364230752123824</v>
      </c>
      <c r="K321" s="33" t="s">
        <v>657</v>
      </c>
      <c r="L321" s="33" t="s">
        <v>274</v>
      </c>
    </row>
    <row r="322" spans="1:12" x14ac:dyDescent="0.25">
      <c r="A322" s="32">
        <v>46238</v>
      </c>
      <c r="B322" s="33" t="s">
        <v>32</v>
      </c>
      <c r="C322" s="33" t="s">
        <v>660</v>
      </c>
      <c r="D322" s="33" t="s">
        <v>32</v>
      </c>
      <c r="E322">
        <v>2</v>
      </c>
      <c r="F322" s="34">
        <v>1.9837962962962963E-2</v>
      </c>
      <c r="G322" s="34">
        <v>9.9189814814814817E-3</v>
      </c>
      <c r="H322" s="34">
        <v>0.13724537037037038</v>
      </c>
      <c r="I322" s="34">
        <v>0.11403935185185185</v>
      </c>
      <c r="J322" s="35">
        <v>0.83091583740934394</v>
      </c>
      <c r="K322" s="33" t="s">
        <v>659</v>
      </c>
      <c r="L322" s="33" t="s">
        <v>100</v>
      </c>
    </row>
    <row r="323" spans="1:12" x14ac:dyDescent="0.25">
      <c r="A323" s="32">
        <v>46238</v>
      </c>
      <c r="B323" s="33" t="s">
        <v>32</v>
      </c>
      <c r="C323" s="33" t="s">
        <v>528</v>
      </c>
      <c r="D323" s="33" t="s">
        <v>32</v>
      </c>
      <c r="E323">
        <v>35</v>
      </c>
      <c r="F323" s="34">
        <v>0.14184027777777777</v>
      </c>
      <c r="G323" s="34">
        <v>4.0525793650793658E-3</v>
      </c>
      <c r="H323" s="34">
        <v>0.26564814814814813</v>
      </c>
      <c r="I323" s="34">
        <v>5.7083333333333333E-2</v>
      </c>
      <c r="J323" s="35">
        <v>0.21488323457650749</v>
      </c>
      <c r="K323" s="33" t="s">
        <v>254</v>
      </c>
      <c r="L323" s="33" t="s">
        <v>233</v>
      </c>
    </row>
    <row r="324" spans="1:12" x14ac:dyDescent="0.25">
      <c r="A324" s="32">
        <v>46238</v>
      </c>
      <c r="B324" s="33" t="s">
        <v>32</v>
      </c>
      <c r="C324" s="33" t="s">
        <v>520</v>
      </c>
      <c r="D324" s="33" t="s">
        <v>147</v>
      </c>
      <c r="E324">
        <v>23</v>
      </c>
      <c r="F324" s="34">
        <v>6.7939814814814814E-2</v>
      </c>
      <c r="G324" s="34">
        <v>2.9539049919484702E-3</v>
      </c>
      <c r="H324" s="34">
        <v>0.25702407152487455</v>
      </c>
      <c r="I324" s="34">
        <v>3.8323957943872292E-2</v>
      </c>
      <c r="J324" s="35">
        <v>0.14910649308643972</v>
      </c>
      <c r="K324" s="33" t="s">
        <v>168</v>
      </c>
      <c r="L324" s="33" t="s">
        <v>274</v>
      </c>
    </row>
    <row r="325" spans="1:12" x14ac:dyDescent="0.25">
      <c r="A325" s="32">
        <v>46238</v>
      </c>
      <c r="B325" s="33" t="s">
        <v>32</v>
      </c>
      <c r="C325" s="33" t="s">
        <v>521</v>
      </c>
      <c r="D325" s="33" t="s">
        <v>147</v>
      </c>
      <c r="E325">
        <v>3</v>
      </c>
      <c r="F325" s="34">
        <v>2.5567129629629631E-2</v>
      </c>
      <c r="G325" s="34">
        <v>8.5223765432098763E-3</v>
      </c>
      <c r="H325" s="34">
        <v>8.4649084031713742E-2</v>
      </c>
      <c r="I325" s="34">
        <v>1.3216433671354829E-2</v>
      </c>
      <c r="J325" s="35">
        <v>0.15613203406197873</v>
      </c>
      <c r="K325" s="33" t="s">
        <v>170</v>
      </c>
      <c r="L325" s="33" t="s">
        <v>146</v>
      </c>
    </row>
    <row r="326" spans="1:12" x14ac:dyDescent="0.25">
      <c r="A326" s="32">
        <v>46238</v>
      </c>
      <c r="B326" s="33" t="s">
        <v>32</v>
      </c>
      <c r="C326" s="33" t="s">
        <v>633</v>
      </c>
      <c r="D326" s="33" t="s">
        <v>147</v>
      </c>
      <c r="E326">
        <v>8</v>
      </c>
      <c r="F326" s="34">
        <v>3.5196759259259261E-2</v>
      </c>
      <c r="G326" s="34">
        <v>4.3995949074074076E-3</v>
      </c>
      <c r="H326" s="34">
        <v>0.13555041696444245</v>
      </c>
      <c r="I326" s="34">
        <v>3.0591631482108382E-2</v>
      </c>
      <c r="J326" s="35">
        <v>0.22568452511756693</v>
      </c>
      <c r="K326" s="33" t="s">
        <v>606</v>
      </c>
      <c r="L326" s="33" t="s">
        <v>146</v>
      </c>
    </row>
    <row r="327" spans="1:12" x14ac:dyDescent="0.25">
      <c r="A327" s="32">
        <v>46238</v>
      </c>
      <c r="B327" s="33" t="s">
        <v>32</v>
      </c>
      <c r="C327" s="33" t="s">
        <v>529</v>
      </c>
      <c r="D327" s="33" t="s">
        <v>32</v>
      </c>
      <c r="E327">
        <v>27</v>
      </c>
      <c r="F327" s="34">
        <v>0.1193287037037037</v>
      </c>
      <c r="G327" s="34">
        <v>4.4195816186556923E-3</v>
      </c>
      <c r="H327" s="34">
        <v>0.22687499999999999</v>
      </c>
      <c r="I327" s="34">
        <v>6.2743055555555552E-2</v>
      </c>
      <c r="J327" s="35">
        <v>0.27655341291704927</v>
      </c>
      <c r="K327" s="33" t="s">
        <v>256</v>
      </c>
      <c r="L327" s="33" t="s">
        <v>233</v>
      </c>
    </row>
    <row r="328" spans="1:12" x14ac:dyDescent="0.25">
      <c r="A328" s="32">
        <v>46238</v>
      </c>
      <c r="B328" s="33" t="s">
        <v>32</v>
      </c>
      <c r="C328" s="33" t="s">
        <v>554</v>
      </c>
      <c r="D328" s="33" t="s">
        <v>32</v>
      </c>
      <c r="E328">
        <v>2</v>
      </c>
      <c r="F328" s="34">
        <v>1.0138888888888888E-2</v>
      </c>
      <c r="G328" s="34">
        <v>5.0694444444444441E-3</v>
      </c>
      <c r="H328" s="34">
        <v>0.19136574074074075</v>
      </c>
      <c r="I328" s="34">
        <v>0.17829861111111112</v>
      </c>
      <c r="J328" s="35">
        <v>0.93171646304584488</v>
      </c>
      <c r="K328" s="33" t="s">
        <v>258</v>
      </c>
      <c r="L328" s="33" t="s">
        <v>233</v>
      </c>
    </row>
    <row r="329" spans="1:12" x14ac:dyDescent="0.25">
      <c r="A329" s="32">
        <v>46238</v>
      </c>
      <c r="B329" s="33" t="s">
        <v>32</v>
      </c>
      <c r="C329" s="33" t="s">
        <v>662</v>
      </c>
      <c r="D329" s="33" t="s">
        <v>32</v>
      </c>
      <c r="E329">
        <v>24</v>
      </c>
      <c r="F329" s="34">
        <v>0.18738425925925925</v>
      </c>
      <c r="G329" s="34">
        <v>7.807677469135803E-3</v>
      </c>
      <c r="H329" s="34">
        <v>0.24479166666666666</v>
      </c>
      <c r="I329" s="34">
        <v>4.5254629629629631E-2</v>
      </c>
      <c r="J329" s="35">
        <v>0.18486997635933805</v>
      </c>
      <c r="K329" s="33" t="s">
        <v>661</v>
      </c>
      <c r="L329" s="33" t="s">
        <v>100</v>
      </c>
    </row>
    <row r="330" spans="1:12" x14ac:dyDescent="0.25">
      <c r="A330" s="32">
        <v>46238</v>
      </c>
      <c r="B330" s="33" t="s">
        <v>32</v>
      </c>
      <c r="C330" s="33" t="s">
        <v>664</v>
      </c>
      <c r="D330" s="33" t="s">
        <v>32</v>
      </c>
      <c r="E330">
        <v>27</v>
      </c>
      <c r="F330" s="34">
        <v>0.18554398148148149</v>
      </c>
      <c r="G330" s="34">
        <v>6.8719993141289444E-3</v>
      </c>
      <c r="H330" s="34">
        <v>0.24726851851851853</v>
      </c>
      <c r="I330" s="34">
        <v>4.3078703703703702E-2</v>
      </c>
      <c r="J330" s="35">
        <v>0.17421831117768208</v>
      </c>
      <c r="K330" s="33" t="s">
        <v>663</v>
      </c>
      <c r="L330" s="33" t="s">
        <v>233</v>
      </c>
    </row>
    <row r="331" spans="1:12" x14ac:dyDescent="0.25">
      <c r="A331" s="32">
        <v>46238</v>
      </c>
      <c r="B331" s="33" t="s">
        <v>32</v>
      </c>
      <c r="C331" s="33" t="s">
        <v>666</v>
      </c>
      <c r="D331" s="33" t="s">
        <v>32</v>
      </c>
      <c r="E331">
        <v>35</v>
      </c>
      <c r="F331" s="34">
        <v>0.20539351851851853</v>
      </c>
      <c r="G331" s="34">
        <v>5.8683862433862432E-3</v>
      </c>
      <c r="H331" s="34">
        <v>0.26026620370370368</v>
      </c>
      <c r="I331" s="34">
        <v>3.1539351851851853E-2</v>
      </c>
      <c r="J331" s="35">
        <v>0.12118112687330458</v>
      </c>
      <c r="K331" s="33" t="s">
        <v>665</v>
      </c>
      <c r="L331" s="33" t="s">
        <v>100</v>
      </c>
    </row>
    <row r="332" spans="1:12" x14ac:dyDescent="0.25">
      <c r="A332" s="32">
        <v>46238</v>
      </c>
      <c r="B332" s="33" t="s">
        <v>32</v>
      </c>
      <c r="C332" s="33" t="s">
        <v>555</v>
      </c>
      <c r="D332" s="33" t="s">
        <v>32</v>
      </c>
      <c r="E332">
        <v>43</v>
      </c>
      <c r="F332" s="34">
        <v>0.17618055555555556</v>
      </c>
      <c r="G332" s="34">
        <v>4.0972222222222226E-3</v>
      </c>
      <c r="H332" s="34">
        <v>0.23663194444444444</v>
      </c>
      <c r="I332" s="34">
        <v>4.4085648148148152E-2</v>
      </c>
      <c r="J332" s="35">
        <v>0.18630471998043532</v>
      </c>
      <c r="K332" s="33" t="s">
        <v>128</v>
      </c>
      <c r="L332" s="33" t="s">
        <v>233</v>
      </c>
    </row>
    <row r="333" spans="1:12" x14ac:dyDescent="0.25">
      <c r="A333" s="32">
        <v>46238</v>
      </c>
      <c r="B333" s="33" t="s">
        <v>32</v>
      </c>
      <c r="C333" s="33" t="s">
        <v>522</v>
      </c>
      <c r="D333" s="33" t="s">
        <v>147</v>
      </c>
      <c r="E333">
        <v>8</v>
      </c>
      <c r="F333" s="34">
        <v>2.4282407407407409E-2</v>
      </c>
      <c r="G333" s="34">
        <v>3.0353009259259261E-3</v>
      </c>
      <c r="H333" s="34">
        <v>0.10964557696187209</v>
      </c>
      <c r="I333" s="34">
        <v>1.8213030207936402E-2</v>
      </c>
      <c r="J333" s="35">
        <v>0.16610820712147614</v>
      </c>
      <c r="K333" s="33" t="s">
        <v>178</v>
      </c>
      <c r="L333" s="33" t="s">
        <v>146</v>
      </c>
    </row>
    <row r="334" spans="1:12" x14ac:dyDescent="0.25">
      <c r="A334" s="32">
        <v>46238</v>
      </c>
      <c r="B334" s="33" t="s">
        <v>32</v>
      </c>
      <c r="C334" s="33" t="s">
        <v>523</v>
      </c>
      <c r="D334" s="33" t="s">
        <v>147</v>
      </c>
      <c r="E334">
        <v>4</v>
      </c>
      <c r="F334" s="34">
        <v>1.923611111111111E-2</v>
      </c>
      <c r="G334" s="34">
        <v>4.8090277777777775E-3</v>
      </c>
      <c r="H334" s="34">
        <v>0.1022884847266881</v>
      </c>
      <c r="I334" s="34">
        <v>3.7126931493390497E-2</v>
      </c>
      <c r="J334" s="35">
        <v>0.36296296296296299</v>
      </c>
      <c r="K334" s="33" t="s">
        <v>180</v>
      </c>
      <c r="L334" s="33" t="s">
        <v>146</v>
      </c>
    </row>
    <row r="335" spans="1:12" x14ac:dyDescent="0.25">
      <c r="A335" s="32">
        <v>46238</v>
      </c>
      <c r="B335" s="33" t="s">
        <v>32</v>
      </c>
      <c r="C335" s="33" t="s">
        <v>566</v>
      </c>
      <c r="D335" s="33" t="s">
        <v>147</v>
      </c>
      <c r="E335">
        <v>19</v>
      </c>
      <c r="F335" s="34">
        <v>6.1331018518518521E-2</v>
      </c>
      <c r="G335" s="34">
        <v>3.2279483430799221E-3</v>
      </c>
      <c r="H335" s="34">
        <v>0.15450516682401888</v>
      </c>
      <c r="I335" s="34">
        <v>1.9613472927241964E-2</v>
      </c>
      <c r="J335" s="35">
        <v>0.12694379955319987</v>
      </c>
      <c r="K335" s="33" t="s">
        <v>207</v>
      </c>
      <c r="L335" s="33" t="s">
        <v>274</v>
      </c>
    </row>
    <row r="336" spans="1:12" x14ac:dyDescent="0.25">
      <c r="A336" s="32">
        <v>46238</v>
      </c>
      <c r="B336" s="33" t="s">
        <v>32</v>
      </c>
      <c r="C336" s="33" t="s">
        <v>510</v>
      </c>
      <c r="D336" s="33" t="s">
        <v>32</v>
      </c>
      <c r="E336">
        <v>50</v>
      </c>
      <c r="F336" s="34">
        <v>0.29979166666666668</v>
      </c>
      <c r="G336" s="34">
        <v>5.995833333333333E-3</v>
      </c>
      <c r="H336" s="34">
        <v>0.31505787037037036</v>
      </c>
      <c r="I336" s="34">
        <v>3.1643518518518515E-2</v>
      </c>
      <c r="J336" s="35">
        <v>0.10043716248484626</v>
      </c>
      <c r="K336" s="33" t="s">
        <v>60</v>
      </c>
      <c r="L336" s="33" t="s">
        <v>100</v>
      </c>
    </row>
    <row r="337" spans="1:12" x14ac:dyDescent="0.25">
      <c r="A337" s="32">
        <v>46238</v>
      </c>
      <c r="B337" s="33" t="s">
        <v>32</v>
      </c>
      <c r="C337" s="33" t="s">
        <v>524</v>
      </c>
      <c r="D337" s="33" t="s">
        <v>147</v>
      </c>
      <c r="E337">
        <v>18</v>
      </c>
      <c r="F337" s="34">
        <v>6.2858796296296301E-2</v>
      </c>
      <c r="G337" s="34">
        <v>3.492155349794239E-3</v>
      </c>
      <c r="H337" s="34">
        <v>0.18741432119808282</v>
      </c>
      <c r="I337" s="34">
        <v>2.7081946326160955E-2</v>
      </c>
      <c r="J337" s="35">
        <v>0.14450307827616535</v>
      </c>
      <c r="K337" s="33" t="s">
        <v>501</v>
      </c>
      <c r="L337" s="33" t="s">
        <v>274</v>
      </c>
    </row>
    <row r="338" spans="1:12" x14ac:dyDescent="0.25">
      <c r="A338" s="32">
        <v>46238</v>
      </c>
      <c r="B338" s="33" t="s">
        <v>32</v>
      </c>
      <c r="C338" s="33" t="s">
        <v>669</v>
      </c>
      <c r="D338" s="33" t="s">
        <v>32</v>
      </c>
      <c r="E338">
        <v>40</v>
      </c>
      <c r="F338" s="34">
        <v>0.17092592592592593</v>
      </c>
      <c r="G338" s="34">
        <v>4.2731481481481483E-3</v>
      </c>
      <c r="H338" s="34">
        <v>0.26237268518518519</v>
      </c>
      <c r="I338" s="34">
        <v>4.553240740740741E-2</v>
      </c>
      <c r="J338" s="35">
        <v>0.17354095901892452</v>
      </c>
      <c r="K338" s="33" t="s">
        <v>668</v>
      </c>
      <c r="L338" s="33" t="s">
        <v>233</v>
      </c>
    </row>
    <row r="339" spans="1:12" x14ac:dyDescent="0.25">
      <c r="A339" s="32">
        <v>46238</v>
      </c>
      <c r="B339" s="33" t="s">
        <v>32</v>
      </c>
      <c r="C339" s="33" t="s">
        <v>670</v>
      </c>
      <c r="D339" s="33" t="s">
        <v>32</v>
      </c>
      <c r="E339">
        <v>33</v>
      </c>
      <c r="F339" s="34">
        <v>0.19296296296296298</v>
      </c>
      <c r="G339" s="34">
        <v>5.8473625140291804E-3</v>
      </c>
      <c r="H339" s="34">
        <v>0.26004629629629628</v>
      </c>
      <c r="I339" s="34">
        <v>6.446759259259259E-2</v>
      </c>
      <c r="J339" s="35">
        <v>0.24790813601566672</v>
      </c>
      <c r="K339" s="33" t="s">
        <v>744</v>
      </c>
      <c r="L339" s="33" t="s">
        <v>100</v>
      </c>
    </row>
    <row r="340" spans="1:12" x14ac:dyDescent="0.25">
      <c r="A340" s="32">
        <v>46238</v>
      </c>
      <c r="B340" s="33" t="s">
        <v>32</v>
      </c>
      <c r="C340" s="33" t="s">
        <v>306</v>
      </c>
      <c r="D340" s="33" t="s">
        <v>32</v>
      </c>
      <c r="E340">
        <v>44</v>
      </c>
      <c r="F340" s="34">
        <v>0.22738425925925926</v>
      </c>
      <c r="G340" s="34">
        <v>5.1678240740740738E-3</v>
      </c>
      <c r="H340" s="34">
        <v>0.26087962962962963</v>
      </c>
      <c r="I340" s="34">
        <v>4.7164351851851853E-2</v>
      </c>
      <c r="J340" s="35">
        <v>0.1807897071872227</v>
      </c>
      <c r="K340" s="33" t="s">
        <v>305</v>
      </c>
      <c r="L340" s="33" t="s">
        <v>100</v>
      </c>
    </row>
    <row r="341" spans="1:12" x14ac:dyDescent="0.25">
      <c r="A341" s="32">
        <v>46238</v>
      </c>
      <c r="B341" s="33" t="s">
        <v>32</v>
      </c>
      <c r="C341" s="33" t="s">
        <v>532</v>
      </c>
      <c r="D341" s="33" t="s">
        <v>32</v>
      </c>
      <c r="E341">
        <v>48</v>
      </c>
      <c r="F341" s="34">
        <v>0.12770833333333334</v>
      </c>
      <c r="G341" s="34">
        <v>2.6605902777777778E-3</v>
      </c>
      <c r="H341" s="34">
        <v>0.26204861111111111</v>
      </c>
      <c r="I341" s="34">
        <v>6.1400462962962962E-2</v>
      </c>
      <c r="J341" s="35">
        <v>0.23430943862903583</v>
      </c>
      <c r="K341" s="33" t="s">
        <v>276</v>
      </c>
      <c r="L341" s="33" t="s">
        <v>233</v>
      </c>
    </row>
    <row r="342" spans="1:12" x14ac:dyDescent="0.25">
      <c r="A342" s="32">
        <v>46238</v>
      </c>
      <c r="B342" s="33" t="s">
        <v>32</v>
      </c>
      <c r="C342" s="33" t="s">
        <v>533</v>
      </c>
      <c r="D342" s="33" t="s">
        <v>32</v>
      </c>
      <c r="E342">
        <v>28</v>
      </c>
      <c r="F342" s="34">
        <v>0.18296296296296297</v>
      </c>
      <c r="G342" s="34">
        <v>6.5343915343915341E-3</v>
      </c>
      <c r="H342" s="34">
        <v>0.26708333333333334</v>
      </c>
      <c r="I342" s="34">
        <v>3.9942129629629633E-2</v>
      </c>
      <c r="J342" s="35">
        <v>0.14954931530594556</v>
      </c>
      <c r="K342" s="33" t="s">
        <v>278</v>
      </c>
      <c r="L342" s="33" t="s">
        <v>233</v>
      </c>
    </row>
    <row r="343" spans="1:12" x14ac:dyDescent="0.25">
      <c r="A343" s="32">
        <v>46238</v>
      </c>
      <c r="B343" s="33" t="s">
        <v>32</v>
      </c>
      <c r="C343" s="33" t="s">
        <v>534</v>
      </c>
      <c r="D343" s="33" t="s">
        <v>32</v>
      </c>
      <c r="E343">
        <v>35</v>
      </c>
      <c r="F343" s="34">
        <v>0.13879629629629631</v>
      </c>
      <c r="G343" s="34">
        <v>3.9656084656084657E-3</v>
      </c>
      <c r="H343" s="34">
        <v>0.2606134259259259</v>
      </c>
      <c r="I343" s="34">
        <v>5.0983796296296298E-2</v>
      </c>
      <c r="J343" s="35">
        <v>0.19562996846826841</v>
      </c>
      <c r="K343" s="33" t="s">
        <v>280</v>
      </c>
      <c r="L343" s="33" t="s">
        <v>233</v>
      </c>
    </row>
    <row r="344" spans="1:12" x14ac:dyDescent="0.25">
      <c r="A344" s="32">
        <v>46238</v>
      </c>
      <c r="B344" s="33" t="s">
        <v>32</v>
      </c>
      <c r="C344" s="33" t="s">
        <v>535</v>
      </c>
      <c r="D344" s="33" t="s">
        <v>32</v>
      </c>
      <c r="E344">
        <v>57</v>
      </c>
      <c r="F344" s="34">
        <v>0.14679398148148148</v>
      </c>
      <c r="G344" s="34">
        <v>2.5753330084470434E-3</v>
      </c>
      <c r="H344" s="34">
        <v>0.24255787037037038</v>
      </c>
      <c r="I344" s="34">
        <v>4.2256944444444444E-2</v>
      </c>
      <c r="J344" s="35">
        <v>0.17421386648852413</v>
      </c>
      <c r="K344" s="33" t="s">
        <v>282</v>
      </c>
      <c r="L344" s="33" t="s">
        <v>233</v>
      </c>
    </row>
    <row r="345" spans="1:12" x14ac:dyDescent="0.25">
      <c r="A345" s="32">
        <v>46238</v>
      </c>
      <c r="B345" s="33" t="s">
        <v>32</v>
      </c>
      <c r="C345" s="33" t="s">
        <v>557</v>
      </c>
      <c r="D345" s="33" t="s">
        <v>147</v>
      </c>
      <c r="E345">
        <v>4</v>
      </c>
      <c r="F345" s="34">
        <v>1.6574074074074074E-2</v>
      </c>
      <c r="G345" s="34">
        <v>4.1435185185185186E-3</v>
      </c>
      <c r="H345" s="34">
        <v>8.6626876447998991E-2</v>
      </c>
      <c r="I345" s="34">
        <v>1.3122917261734745E-2</v>
      </c>
      <c r="J345" s="35">
        <v>0.15148782687105503</v>
      </c>
      <c r="K345" s="33" t="s">
        <v>227</v>
      </c>
      <c r="L345" s="33" t="s">
        <v>146</v>
      </c>
    </row>
    <row r="346" spans="1:12" x14ac:dyDescent="0.25">
      <c r="A346" s="32">
        <v>46238</v>
      </c>
      <c r="B346" s="33" t="s">
        <v>32</v>
      </c>
      <c r="C346" s="33" t="s">
        <v>678</v>
      </c>
      <c r="D346" s="33" t="s">
        <v>147</v>
      </c>
      <c r="E346">
        <v>23</v>
      </c>
      <c r="F346" s="34">
        <v>4.9930555555555554E-2</v>
      </c>
      <c r="G346" s="34">
        <v>2.1708937198067634E-3</v>
      </c>
      <c r="H346" s="34">
        <v>0.17257447879649374</v>
      </c>
      <c r="I346" s="34">
        <v>2.1421622753579044E-2</v>
      </c>
      <c r="J346" s="35">
        <v>0.12412972591874503</v>
      </c>
      <c r="K346" s="33" t="s">
        <v>677</v>
      </c>
      <c r="L346" s="33" t="s">
        <v>274</v>
      </c>
    </row>
    <row r="347" spans="1:12" x14ac:dyDescent="0.25">
      <c r="A347" s="32">
        <v>46238</v>
      </c>
      <c r="B347" s="33" t="s">
        <v>32</v>
      </c>
      <c r="C347" s="33" t="s">
        <v>680</v>
      </c>
      <c r="D347" s="33" t="s">
        <v>147</v>
      </c>
      <c r="E347">
        <v>26</v>
      </c>
      <c r="F347" s="34">
        <v>5.4351851851851853E-2</v>
      </c>
      <c r="G347" s="34">
        <v>2.0904558404558405E-3</v>
      </c>
      <c r="H347" s="34">
        <v>0.17290672727071651</v>
      </c>
      <c r="I347" s="34">
        <v>2.3191638189398713E-2</v>
      </c>
      <c r="J347" s="35">
        <v>0.13412802703210061</v>
      </c>
      <c r="K347" s="33" t="s">
        <v>679</v>
      </c>
      <c r="L347" s="33" t="s">
        <v>274</v>
      </c>
    </row>
    <row r="348" spans="1:12" x14ac:dyDescent="0.25">
      <c r="A348" s="32">
        <v>46238</v>
      </c>
      <c r="B348" s="33" t="s">
        <v>600</v>
      </c>
      <c r="C348" s="33" t="s">
        <v>598</v>
      </c>
      <c r="D348" s="33" t="s">
        <v>284</v>
      </c>
      <c r="E348">
        <v>17</v>
      </c>
      <c r="F348" s="34">
        <v>1.9675925925925926E-4</v>
      </c>
      <c r="G348" s="34">
        <v>1.1574074074074073E-5</v>
      </c>
      <c r="H348" s="34">
        <v>0</v>
      </c>
      <c r="I348" s="34">
        <v>0</v>
      </c>
      <c r="J348" s="35">
        <v>0</v>
      </c>
      <c r="K348" s="33" t="s">
        <v>598</v>
      </c>
      <c r="L348" s="33" t="s">
        <v>284</v>
      </c>
    </row>
    <row r="349" spans="1:12" x14ac:dyDescent="0.25">
      <c r="A349" s="32">
        <v>46238</v>
      </c>
      <c r="B349" s="33" t="s">
        <v>600</v>
      </c>
      <c r="C349" s="33" t="s">
        <v>545</v>
      </c>
      <c r="D349" s="33" t="s">
        <v>600</v>
      </c>
      <c r="E349">
        <v>31</v>
      </c>
      <c r="F349" s="34">
        <v>4.6273148148148147E-2</v>
      </c>
      <c r="G349" s="34">
        <v>1.4926821983273597E-3</v>
      </c>
      <c r="H349" s="34">
        <v>0.25266203703703705</v>
      </c>
      <c r="I349" s="34">
        <v>6.9930555555555551E-2</v>
      </c>
      <c r="J349" s="35">
        <v>0.27677508016491065</v>
      </c>
      <c r="K349" s="33" t="s">
        <v>201</v>
      </c>
      <c r="L349" s="33" t="s">
        <v>601</v>
      </c>
    </row>
    <row r="350" spans="1:12" x14ac:dyDescent="0.25">
      <c r="A350" s="32">
        <v>46238</v>
      </c>
      <c r="B350" s="33" t="s">
        <v>600</v>
      </c>
      <c r="C350" s="33" t="s">
        <v>543</v>
      </c>
      <c r="D350" s="33" t="s">
        <v>600</v>
      </c>
      <c r="E350">
        <v>14</v>
      </c>
      <c r="F350" s="34">
        <v>9.6655092592592598E-2</v>
      </c>
      <c r="G350" s="34">
        <v>6.9039351851851848E-3</v>
      </c>
      <c r="H350" s="34">
        <v>0.24283564814814815</v>
      </c>
      <c r="I350" s="34">
        <v>0.14425925925925925</v>
      </c>
      <c r="J350" s="35">
        <v>0.59406129355130832</v>
      </c>
      <c r="K350" s="33" t="s">
        <v>293</v>
      </c>
      <c r="L350" s="33" t="s">
        <v>104</v>
      </c>
    </row>
    <row r="351" spans="1:12" x14ac:dyDescent="0.25">
      <c r="A351" s="32">
        <v>46239</v>
      </c>
      <c r="B351" s="33" t="s">
        <v>147</v>
      </c>
      <c r="C351" s="33" t="s">
        <v>563</v>
      </c>
      <c r="D351" s="33" t="s">
        <v>147</v>
      </c>
      <c r="E351">
        <v>9</v>
      </c>
      <c r="F351" s="34">
        <v>2.0486111111111111E-2</v>
      </c>
      <c r="G351" s="34">
        <v>2.2762345679012345E-3</v>
      </c>
      <c r="H351" s="34">
        <v>0.26138888888888889</v>
      </c>
      <c r="I351" s="34">
        <v>3.4363425925925929E-2</v>
      </c>
      <c r="J351" s="35">
        <v>0.13146475380800568</v>
      </c>
      <c r="K351" s="33" t="s">
        <v>193</v>
      </c>
      <c r="L351" s="33" t="s">
        <v>274</v>
      </c>
    </row>
    <row r="352" spans="1:12" x14ac:dyDescent="0.25">
      <c r="A352" s="32">
        <v>46239</v>
      </c>
      <c r="B352" s="33" t="s">
        <v>147</v>
      </c>
      <c r="C352" s="33" t="s">
        <v>514</v>
      </c>
      <c r="D352" s="33" t="s">
        <v>147</v>
      </c>
      <c r="E352">
        <v>10</v>
      </c>
      <c r="F352" s="34">
        <v>2.2604166666666668E-2</v>
      </c>
      <c r="G352" s="34">
        <v>2.2604166666666667E-3</v>
      </c>
      <c r="H352" s="34">
        <v>0.26150462962962961</v>
      </c>
      <c r="I352" s="34">
        <v>7.4282407407407408E-2</v>
      </c>
      <c r="J352" s="35">
        <v>0.28405771443746131</v>
      </c>
      <c r="K352" s="33" t="s">
        <v>150</v>
      </c>
      <c r="L352" s="33" t="s">
        <v>146</v>
      </c>
    </row>
    <row r="353" spans="1:12" x14ac:dyDescent="0.25">
      <c r="A353" s="32">
        <v>46239</v>
      </c>
      <c r="B353" s="33" t="s">
        <v>147</v>
      </c>
      <c r="C353" s="33" t="s">
        <v>515</v>
      </c>
      <c r="D353" s="33" t="s">
        <v>147</v>
      </c>
      <c r="E353">
        <v>12</v>
      </c>
      <c r="F353" s="34">
        <v>1.6886574074074075E-2</v>
      </c>
      <c r="G353" s="34">
        <v>1.4072145061728395E-3</v>
      </c>
      <c r="H353" s="34">
        <v>0.26400462962962962</v>
      </c>
      <c r="I353" s="34">
        <v>4.6307870370370367E-2</v>
      </c>
      <c r="J353" s="35">
        <v>0.17540552389302938</v>
      </c>
      <c r="K353" s="33" t="s">
        <v>154</v>
      </c>
      <c r="L353" s="33" t="s">
        <v>146</v>
      </c>
    </row>
    <row r="354" spans="1:12" x14ac:dyDescent="0.25">
      <c r="A354" s="32">
        <v>46239</v>
      </c>
      <c r="B354" s="33" t="s">
        <v>147</v>
      </c>
      <c r="C354" s="33" t="s">
        <v>516</v>
      </c>
      <c r="D354" s="33" t="s">
        <v>147</v>
      </c>
      <c r="E354">
        <v>7</v>
      </c>
      <c r="F354" s="34">
        <v>2.4502314814814814E-2</v>
      </c>
      <c r="G354" s="34">
        <v>3.5003306878306877E-3</v>
      </c>
      <c r="H354" s="34">
        <v>0.27614583333333331</v>
      </c>
      <c r="I354" s="34">
        <v>4.2268518518518518E-2</v>
      </c>
      <c r="J354" s="35">
        <v>0.15306592899953897</v>
      </c>
      <c r="K354" s="33" t="s">
        <v>156</v>
      </c>
      <c r="L354" s="33" t="s">
        <v>146</v>
      </c>
    </row>
    <row r="355" spans="1:12" x14ac:dyDescent="0.25">
      <c r="A355" s="32">
        <v>46239</v>
      </c>
      <c r="B355" s="33" t="s">
        <v>147</v>
      </c>
      <c r="C355" s="33" t="s">
        <v>544</v>
      </c>
      <c r="D355" s="33" t="s">
        <v>147</v>
      </c>
      <c r="E355">
        <v>10</v>
      </c>
      <c r="F355" s="34">
        <v>2.0682870370370369E-2</v>
      </c>
      <c r="G355" s="34">
        <v>2.0682870370370369E-3</v>
      </c>
      <c r="H355" s="34">
        <v>0.26100694444444444</v>
      </c>
      <c r="I355" s="34">
        <v>7.2361111111111112E-2</v>
      </c>
      <c r="J355" s="35">
        <v>0.27723825994412665</v>
      </c>
      <c r="K355" s="33" t="s">
        <v>160</v>
      </c>
      <c r="L355" s="33" t="s">
        <v>146</v>
      </c>
    </row>
    <row r="356" spans="1:12" x14ac:dyDescent="0.25">
      <c r="A356" s="32">
        <v>46239</v>
      </c>
      <c r="B356" s="33" t="s">
        <v>147</v>
      </c>
      <c r="C356" s="33" t="s">
        <v>517</v>
      </c>
      <c r="D356" s="33" t="s">
        <v>147</v>
      </c>
      <c r="E356">
        <v>6</v>
      </c>
      <c r="F356" s="34">
        <v>3.079861111111111E-2</v>
      </c>
      <c r="G356" s="34">
        <v>5.1331018518518514E-3</v>
      </c>
      <c r="H356" s="34">
        <v>0.21649305555555556</v>
      </c>
      <c r="I356" s="34">
        <v>4.9074074074074076E-2</v>
      </c>
      <c r="J356" s="35">
        <v>0.22667735899492114</v>
      </c>
      <c r="K356" s="33" t="s">
        <v>499</v>
      </c>
      <c r="L356" s="33" t="s">
        <v>146</v>
      </c>
    </row>
    <row r="357" spans="1:12" x14ac:dyDescent="0.25">
      <c r="A357" s="32">
        <v>46239</v>
      </c>
      <c r="B357" s="33" t="s">
        <v>147</v>
      </c>
      <c r="C357" s="33" t="s">
        <v>518</v>
      </c>
      <c r="D357" s="33" t="s">
        <v>147</v>
      </c>
      <c r="E357">
        <v>13</v>
      </c>
      <c r="F357" s="34">
        <v>7.4282407407407408E-2</v>
      </c>
      <c r="G357" s="34">
        <v>5.7140313390313391E-3</v>
      </c>
      <c r="H357" s="34">
        <v>0.3021875</v>
      </c>
      <c r="I357" s="34">
        <v>3.9178240740740743E-2</v>
      </c>
      <c r="J357" s="35">
        <v>0.12964878011413689</v>
      </c>
      <c r="K357" s="33" t="s">
        <v>500</v>
      </c>
      <c r="L357" s="33" t="s">
        <v>274</v>
      </c>
    </row>
    <row r="358" spans="1:12" x14ac:dyDescent="0.25">
      <c r="A358" s="32">
        <v>46239</v>
      </c>
      <c r="B358" s="33" t="s">
        <v>147</v>
      </c>
      <c r="C358" s="33" t="s">
        <v>519</v>
      </c>
      <c r="D358" s="33" t="s">
        <v>147</v>
      </c>
      <c r="E358">
        <v>10</v>
      </c>
      <c r="F358" s="34">
        <v>2.4710648148148148E-2</v>
      </c>
      <c r="G358" s="34">
        <v>2.4710648148148148E-3</v>
      </c>
      <c r="H358" s="34">
        <v>0.26627314814814818</v>
      </c>
      <c r="I358" s="34">
        <v>2.7627314814814816E-2</v>
      </c>
      <c r="J358" s="35">
        <v>0.10375554203251325</v>
      </c>
      <c r="K358" s="33" t="s">
        <v>164</v>
      </c>
      <c r="L358" s="33" t="s">
        <v>146</v>
      </c>
    </row>
    <row r="359" spans="1:12" x14ac:dyDescent="0.25">
      <c r="A359" s="32">
        <v>46239</v>
      </c>
      <c r="B359" s="33" t="s">
        <v>147</v>
      </c>
      <c r="C359" s="33" t="s">
        <v>167</v>
      </c>
      <c r="D359" s="33" t="s">
        <v>147</v>
      </c>
      <c r="E359">
        <v>13</v>
      </c>
      <c r="F359" s="34">
        <v>4.2418981481481481E-2</v>
      </c>
      <c r="G359" s="34">
        <v>3.2629985754985755E-3</v>
      </c>
      <c r="H359" s="34">
        <v>0.25430555555555556</v>
      </c>
      <c r="I359" s="34">
        <v>3.6076388888888887E-2</v>
      </c>
      <c r="J359" s="35">
        <v>0.14186237028945931</v>
      </c>
      <c r="K359" s="33" t="s">
        <v>166</v>
      </c>
      <c r="L359" s="33" t="s">
        <v>146</v>
      </c>
    </row>
    <row r="360" spans="1:12" x14ac:dyDescent="0.25">
      <c r="A360" s="32">
        <v>46239</v>
      </c>
      <c r="B360" s="33" t="s">
        <v>147</v>
      </c>
      <c r="C360" s="33" t="s">
        <v>658</v>
      </c>
      <c r="D360" s="33" t="s">
        <v>147</v>
      </c>
      <c r="E360">
        <v>11</v>
      </c>
      <c r="F360" s="34">
        <v>5.3668981481481484E-2</v>
      </c>
      <c r="G360" s="34">
        <v>4.878998316498317E-3</v>
      </c>
      <c r="H360" s="34">
        <v>0.26233796296296297</v>
      </c>
      <c r="I360" s="34">
        <v>5.6180555555555553E-2</v>
      </c>
      <c r="J360" s="35">
        <v>0.21415335745168973</v>
      </c>
      <c r="K360" s="33" t="s">
        <v>657</v>
      </c>
      <c r="L360" s="33" t="s">
        <v>274</v>
      </c>
    </row>
    <row r="361" spans="1:12" x14ac:dyDescent="0.25">
      <c r="A361" s="32">
        <v>46239</v>
      </c>
      <c r="B361" s="33" t="s">
        <v>147</v>
      </c>
      <c r="C361" s="33" t="s">
        <v>520</v>
      </c>
      <c r="D361" s="33" t="s">
        <v>147</v>
      </c>
      <c r="E361">
        <v>7</v>
      </c>
      <c r="F361" s="34">
        <v>1.4953703703703703E-2</v>
      </c>
      <c r="G361" s="34">
        <v>2.1362433862433861E-3</v>
      </c>
      <c r="H361" s="34">
        <v>0.28078703703703706</v>
      </c>
      <c r="I361" s="34">
        <v>4.974537037037037E-2</v>
      </c>
      <c r="J361" s="35">
        <v>0.17716405605935695</v>
      </c>
      <c r="K361" s="33" t="s">
        <v>168</v>
      </c>
      <c r="L361" s="33" t="s">
        <v>274</v>
      </c>
    </row>
    <row r="362" spans="1:12" x14ac:dyDescent="0.25">
      <c r="A362" s="32">
        <v>46239</v>
      </c>
      <c r="B362" s="33" t="s">
        <v>147</v>
      </c>
      <c r="C362" s="33" t="s">
        <v>521</v>
      </c>
      <c r="D362" s="33" t="s">
        <v>147</v>
      </c>
      <c r="E362">
        <v>9</v>
      </c>
      <c r="F362" s="34">
        <v>6.6909722222222218E-2</v>
      </c>
      <c r="G362" s="34">
        <v>7.434413580246913E-3</v>
      </c>
      <c r="H362" s="34">
        <v>0.26238425925925923</v>
      </c>
      <c r="I362" s="34">
        <v>5.6412037037037038E-2</v>
      </c>
      <c r="J362" s="35">
        <v>0.21499779444199385</v>
      </c>
      <c r="K362" s="33" t="s">
        <v>170</v>
      </c>
      <c r="L362" s="33" t="s">
        <v>146</v>
      </c>
    </row>
    <row r="363" spans="1:12" x14ac:dyDescent="0.25">
      <c r="A363" s="32">
        <v>46239</v>
      </c>
      <c r="B363" s="33" t="s">
        <v>147</v>
      </c>
      <c r="C363" s="33" t="s">
        <v>633</v>
      </c>
      <c r="D363" s="33" t="s">
        <v>147</v>
      </c>
      <c r="E363">
        <v>11</v>
      </c>
      <c r="F363" s="34">
        <v>6.8553240740740734E-2</v>
      </c>
      <c r="G363" s="34">
        <v>6.2321127946127937E-3</v>
      </c>
      <c r="H363" s="34">
        <v>0.26504629629629628</v>
      </c>
      <c r="I363" s="34">
        <v>7.5289351851851857E-2</v>
      </c>
      <c r="J363" s="35">
        <v>0.28406113537117905</v>
      </c>
      <c r="K363" s="33" t="s">
        <v>606</v>
      </c>
      <c r="L363" s="33" t="s">
        <v>146</v>
      </c>
    </row>
    <row r="364" spans="1:12" x14ac:dyDescent="0.25">
      <c r="A364" s="32">
        <v>46239</v>
      </c>
      <c r="B364" s="33" t="s">
        <v>147</v>
      </c>
      <c r="C364" s="33" t="s">
        <v>522</v>
      </c>
      <c r="D364" s="33" t="s">
        <v>147</v>
      </c>
      <c r="E364">
        <v>11</v>
      </c>
      <c r="F364" s="34">
        <v>5.423611111111111E-2</v>
      </c>
      <c r="G364" s="34">
        <v>4.9305555555555552E-3</v>
      </c>
      <c r="H364" s="34">
        <v>0.2638888888888889</v>
      </c>
      <c r="I364" s="34">
        <v>3.9027777777777779E-2</v>
      </c>
      <c r="J364" s="35">
        <v>0.14789473684210527</v>
      </c>
      <c r="K364" s="33" t="s">
        <v>178</v>
      </c>
      <c r="L364" s="33" t="s">
        <v>146</v>
      </c>
    </row>
    <row r="365" spans="1:12" x14ac:dyDescent="0.25">
      <c r="A365" s="32">
        <v>46239</v>
      </c>
      <c r="B365" s="33" t="s">
        <v>147</v>
      </c>
      <c r="C365" s="33" t="s">
        <v>523</v>
      </c>
      <c r="D365" s="33" t="s">
        <v>147</v>
      </c>
      <c r="E365">
        <v>6</v>
      </c>
      <c r="F365" s="34">
        <v>5.2650462962962961E-2</v>
      </c>
      <c r="G365" s="34">
        <v>8.7750771604938275E-3</v>
      </c>
      <c r="H365" s="34">
        <v>0.32966435185185183</v>
      </c>
      <c r="I365" s="34">
        <v>5.4050925925925926E-2</v>
      </c>
      <c r="J365" s="35">
        <v>0.16395744830249623</v>
      </c>
      <c r="K365" s="33" t="s">
        <v>180</v>
      </c>
      <c r="L365" s="33" t="s">
        <v>146</v>
      </c>
    </row>
    <row r="366" spans="1:12" x14ac:dyDescent="0.25">
      <c r="A366" s="32">
        <v>46239</v>
      </c>
      <c r="B366" s="33" t="s">
        <v>147</v>
      </c>
      <c r="C366" s="33" t="s">
        <v>566</v>
      </c>
      <c r="D366" s="33" t="s">
        <v>147</v>
      </c>
      <c r="E366">
        <v>7</v>
      </c>
      <c r="F366" s="34">
        <v>4.0034722222222222E-2</v>
      </c>
      <c r="G366" s="34">
        <v>5.7192460317460319E-3</v>
      </c>
      <c r="H366" s="34">
        <v>0.24853009259259259</v>
      </c>
      <c r="I366" s="34">
        <v>2.7511574074074074E-2</v>
      </c>
      <c r="J366" s="35">
        <v>0.11069715456619941</v>
      </c>
      <c r="K366" s="33" t="s">
        <v>207</v>
      </c>
      <c r="L366" s="33" t="s">
        <v>274</v>
      </c>
    </row>
    <row r="367" spans="1:12" x14ac:dyDescent="0.25">
      <c r="A367" s="32">
        <v>46239</v>
      </c>
      <c r="B367" s="33" t="s">
        <v>147</v>
      </c>
      <c r="C367" s="33" t="s">
        <v>524</v>
      </c>
      <c r="D367" s="33" t="s">
        <v>147</v>
      </c>
      <c r="E367">
        <v>17</v>
      </c>
      <c r="F367" s="34">
        <v>3.7800925925925925E-2</v>
      </c>
      <c r="G367" s="34">
        <v>2.2235838779956427E-3</v>
      </c>
      <c r="H367" s="34">
        <v>0.29920138888888886</v>
      </c>
      <c r="I367" s="34">
        <v>4.1365740740740738E-2</v>
      </c>
      <c r="J367" s="35">
        <v>0.1382538393098913</v>
      </c>
      <c r="K367" s="33" t="s">
        <v>501</v>
      </c>
      <c r="L367" s="33" t="s">
        <v>274</v>
      </c>
    </row>
    <row r="368" spans="1:12" x14ac:dyDescent="0.25">
      <c r="A368" s="32">
        <v>46239</v>
      </c>
      <c r="B368" s="33" t="s">
        <v>147</v>
      </c>
      <c r="C368" s="33" t="s">
        <v>557</v>
      </c>
      <c r="D368" s="33" t="s">
        <v>147</v>
      </c>
      <c r="E368">
        <v>7</v>
      </c>
      <c r="F368" s="34">
        <v>5.3935185185185183E-2</v>
      </c>
      <c r="G368" s="34">
        <v>7.7050264550264551E-3</v>
      </c>
      <c r="H368" s="34">
        <v>0.26290509259259259</v>
      </c>
      <c r="I368" s="34">
        <v>3.5648148148148151E-2</v>
      </c>
      <c r="J368" s="35">
        <v>0.13559322033898305</v>
      </c>
      <c r="K368" s="33" t="s">
        <v>227</v>
      </c>
      <c r="L368" s="33" t="s">
        <v>146</v>
      </c>
    </row>
    <row r="369" spans="1:12" x14ac:dyDescent="0.25">
      <c r="A369" s="32">
        <v>46239</v>
      </c>
      <c r="B369" s="33" t="s">
        <v>147</v>
      </c>
      <c r="C369" s="33" t="s">
        <v>678</v>
      </c>
      <c r="D369" s="33" t="s">
        <v>147</v>
      </c>
      <c r="E369">
        <v>8</v>
      </c>
      <c r="F369" s="34">
        <v>2.6898148148148147E-2</v>
      </c>
      <c r="G369" s="34">
        <v>3.3622685185185183E-3</v>
      </c>
      <c r="H369" s="34">
        <v>0.26020833333333332</v>
      </c>
      <c r="I369" s="34">
        <v>4.4652777777777777E-2</v>
      </c>
      <c r="J369" s="35">
        <v>0.17160394982652791</v>
      </c>
      <c r="K369" s="33" t="s">
        <v>677</v>
      </c>
      <c r="L369" s="33" t="s">
        <v>274</v>
      </c>
    </row>
    <row r="370" spans="1:12" x14ac:dyDescent="0.25">
      <c r="A370" s="32">
        <v>46239</v>
      </c>
      <c r="B370" s="33" t="s">
        <v>147</v>
      </c>
      <c r="C370" s="33" t="s">
        <v>680</v>
      </c>
      <c r="D370" s="33" t="s">
        <v>147</v>
      </c>
      <c r="E370">
        <v>9</v>
      </c>
      <c r="F370" s="34">
        <v>2.6504629629629628E-2</v>
      </c>
      <c r="G370" s="34">
        <v>2.9449588477366254E-3</v>
      </c>
      <c r="H370" s="34">
        <v>0.25871527777777775</v>
      </c>
      <c r="I370" s="34">
        <v>7.121527777777778E-2</v>
      </c>
      <c r="J370" s="35">
        <v>0.27526506509193399</v>
      </c>
      <c r="K370" s="33" t="s">
        <v>679</v>
      </c>
      <c r="L370" s="33" t="s">
        <v>274</v>
      </c>
    </row>
    <row r="371" spans="1:12" x14ac:dyDescent="0.25">
      <c r="A371" s="32">
        <v>46239</v>
      </c>
      <c r="B371" s="33" t="s">
        <v>105</v>
      </c>
      <c r="C371" s="33" t="s">
        <v>513</v>
      </c>
      <c r="D371" s="33" t="s">
        <v>105</v>
      </c>
      <c r="E371">
        <v>10</v>
      </c>
      <c r="F371" s="34">
        <v>0.14827546296296296</v>
      </c>
      <c r="G371" s="34">
        <v>1.4827546296296295E-2</v>
      </c>
      <c r="H371" s="34">
        <v>0.19681712962962963</v>
      </c>
      <c r="I371" s="34">
        <v>8.5289351851851852E-2</v>
      </c>
      <c r="J371" s="35">
        <v>0.43334313437224348</v>
      </c>
      <c r="K371" s="33" t="s">
        <v>148</v>
      </c>
      <c r="L371" s="33" t="s">
        <v>104</v>
      </c>
    </row>
    <row r="372" spans="1:12" x14ac:dyDescent="0.25">
      <c r="A372" s="32">
        <v>46239</v>
      </c>
      <c r="B372" s="33" t="s">
        <v>105</v>
      </c>
      <c r="C372" s="33" t="s">
        <v>569</v>
      </c>
      <c r="D372" s="33" t="s">
        <v>105</v>
      </c>
      <c r="E372">
        <v>26</v>
      </c>
      <c r="F372" s="34">
        <v>0.29354166666666665</v>
      </c>
      <c r="G372" s="34">
        <v>1.1290064102564102E-2</v>
      </c>
      <c r="H372" s="34">
        <v>0.25185185185185183</v>
      </c>
      <c r="I372" s="34">
        <v>4.9398148148148149E-2</v>
      </c>
      <c r="J372" s="35">
        <v>0.19613970588235297</v>
      </c>
      <c r="K372" s="33" t="s">
        <v>493</v>
      </c>
      <c r="L372" s="33" t="s">
        <v>104</v>
      </c>
    </row>
    <row r="373" spans="1:12" x14ac:dyDescent="0.25">
      <c r="A373" s="32">
        <v>46239</v>
      </c>
      <c r="B373" s="33" t="s">
        <v>105</v>
      </c>
      <c r="C373" s="33" t="s">
        <v>631</v>
      </c>
      <c r="D373" s="33" t="s">
        <v>105</v>
      </c>
      <c r="E373">
        <v>12</v>
      </c>
      <c r="F373" s="34">
        <v>0.24277777777777779</v>
      </c>
      <c r="G373" s="34">
        <v>2.0231481481481482E-2</v>
      </c>
      <c r="H373" s="34">
        <v>0.25101851851851853</v>
      </c>
      <c r="I373" s="34">
        <v>0.12635416666666666</v>
      </c>
      <c r="J373" s="35">
        <v>0.50336591663592767</v>
      </c>
      <c r="K373" s="33" t="s">
        <v>608</v>
      </c>
      <c r="L373" s="33" t="s">
        <v>601</v>
      </c>
    </row>
    <row r="374" spans="1:12" x14ac:dyDescent="0.25">
      <c r="A374" s="32">
        <v>46239</v>
      </c>
      <c r="B374" s="33" t="s">
        <v>105</v>
      </c>
      <c r="C374" s="33" t="s">
        <v>564</v>
      </c>
      <c r="D374" s="33" t="s">
        <v>105</v>
      </c>
      <c r="E374">
        <v>10</v>
      </c>
      <c r="F374" s="34">
        <v>0.15241898148148147</v>
      </c>
      <c r="G374" s="34">
        <v>1.5241898148148147E-2</v>
      </c>
      <c r="H374" s="34">
        <v>0.26145833333333335</v>
      </c>
      <c r="I374" s="34">
        <v>0.16120370370370371</v>
      </c>
      <c r="J374" s="35">
        <v>0.61655599822930496</v>
      </c>
      <c r="K374" s="33" t="s">
        <v>197</v>
      </c>
      <c r="L374" s="33" t="s">
        <v>601</v>
      </c>
    </row>
    <row r="375" spans="1:12" x14ac:dyDescent="0.25">
      <c r="A375" s="32">
        <v>46239</v>
      </c>
      <c r="B375" s="33" t="s">
        <v>105</v>
      </c>
      <c r="C375" s="33" t="s">
        <v>682</v>
      </c>
      <c r="D375" s="33" t="s">
        <v>105</v>
      </c>
      <c r="E375">
        <v>10</v>
      </c>
      <c r="F375" s="34">
        <v>0.19909722222222223</v>
      </c>
      <c r="G375" s="34">
        <v>1.9909722222222224E-2</v>
      </c>
      <c r="H375" s="34">
        <v>0.23511574074074074</v>
      </c>
      <c r="I375" s="34">
        <v>0.13776620370370371</v>
      </c>
      <c r="J375" s="35">
        <v>0.5859505759574678</v>
      </c>
      <c r="K375" s="33" t="s">
        <v>681</v>
      </c>
      <c r="L375" s="33" t="s">
        <v>601</v>
      </c>
    </row>
    <row r="376" spans="1:12" x14ac:dyDescent="0.25">
      <c r="A376" s="32">
        <v>46239</v>
      </c>
      <c r="B376" s="33" t="s">
        <v>105</v>
      </c>
      <c r="C376" s="33" t="s">
        <v>570</v>
      </c>
      <c r="D376" s="33" t="s">
        <v>105</v>
      </c>
      <c r="E376">
        <v>10</v>
      </c>
      <c r="F376" s="34">
        <v>0.17038194444444443</v>
      </c>
      <c r="G376" s="34">
        <v>1.7038194444444443E-2</v>
      </c>
      <c r="H376" s="34">
        <v>0.24763888888888888</v>
      </c>
      <c r="I376" s="34">
        <v>8.5289351851851852E-2</v>
      </c>
      <c r="J376" s="35">
        <v>0.3444101701252571</v>
      </c>
      <c r="K376" s="33" t="s">
        <v>112</v>
      </c>
      <c r="L376" s="33" t="s">
        <v>104</v>
      </c>
    </row>
    <row r="377" spans="1:12" x14ac:dyDescent="0.25">
      <c r="A377" s="32">
        <v>46239</v>
      </c>
      <c r="B377" s="33" t="s">
        <v>105</v>
      </c>
      <c r="C377" s="33" t="s">
        <v>537</v>
      </c>
      <c r="D377" s="33" t="s">
        <v>105</v>
      </c>
      <c r="E377">
        <v>9</v>
      </c>
      <c r="F377" s="34">
        <v>0.13299768518518518</v>
      </c>
      <c r="G377" s="34">
        <v>1.4777520576131686E-2</v>
      </c>
      <c r="H377" s="34">
        <v>0.20629629629629628</v>
      </c>
      <c r="I377" s="34">
        <v>0.10357638888888888</v>
      </c>
      <c r="J377" s="35">
        <v>0.50207585278276479</v>
      </c>
      <c r="K377" s="33" t="s">
        <v>42</v>
      </c>
      <c r="L377" s="33" t="s">
        <v>104</v>
      </c>
    </row>
    <row r="378" spans="1:12" x14ac:dyDescent="0.25">
      <c r="A378" s="32">
        <v>46239</v>
      </c>
      <c r="B378" s="33" t="s">
        <v>105</v>
      </c>
      <c r="C378" s="33" t="s">
        <v>541</v>
      </c>
      <c r="D378" s="33" t="s">
        <v>105</v>
      </c>
      <c r="E378">
        <v>17</v>
      </c>
      <c r="F378" s="34">
        <v>0.24692129629629631</v>
      </c>
      <c r="G378" s="34">
        <v>1.4524782135076254E-2</v>
      </c>
      <c r="H378" s="34">
        <v>0.25627314814814817</v>
      </c>
      <c r="I378" s="34">
        <v>0.11528935185185185</v>
      </c>
      <c r="J378" s="35">
        <v>0.4498690271881492</v>
      </c>
      <c r="K378" s="33" t="s">
        <v>114</v>
      </c>
      <c r="L378" s="33" t="s">
        <v>104</v>
      </c>
    </row>
    <row r="379" spans="1:12" x14ac:dyDescent="0.25">
      <c r="A379" s="32">
        <v>46239</v>
      </c>
      <c r="B379" s="33" t="s">
        <v>105</v>
      </c>
      <c r="C379" s="33" t="s">
        <v>632</v>
      </c>
      <c r="D379" s="33" t="s">
        <v>105</v>
      </c>
      <c r="E379">
        <v>13</v>
      </c>
      <c r="F379" s="34">
        <v>0.19396990740740741</v>
      </c>
      <c r="G379" s="34">
        <v>1.4920762108262108E-2</v>
      </c>
      <c r="H379" s="34">
        <v>0.21546296296296297</v>
      </c>
      <c r="I379" s="34">
        <v>0.14060185185185184</v>
      </c>
      <c r="J379" s="35">
        <v>0.6525569402664374</v>
      </c>
      <c r="K379" s="33" t="s">
        <v>609</v>
      </c>
      <c r="L379" s="33" t="s">
        <v>601</v>
      </c>
    </row>
    <row r="380" spans="1:12" x14ac:dyDescent="0.25">
      <c r="A380" s="32">
        <v>46239</v>
      </c>
      <c r="B380" s="33" t="s">
        <v>105</v>
      </c>
      <c r="C380" s="33" t="s">
        <v>542</v>
      </c>
      <c r="D380" s="33" t="s">
        <v>105</v>
      </c>
      <c r="E380">
        <v>5</v>
      </c>
      <c r="F380" s="34">
        <v>7.7175925925925926E-2</v>
      </c>
      <c r="G380" s="34">
        <v>1.5435185185185185E-2</v>
      </c>
      <c r="H380" s="34">
        <v>0.1890162037037037</v>
      </c>
      <c r="I380" s="34">
        <v>0.11540509259259259</v>
      </c>
      <c r="J380" s="35">
        <v>0.61055661012797746</v>
      </c>
      <c r="K380" s="33" t="s">
        <v>287</v>
      </c>
      <c r="L380" s="33" t="s">
        <v>104</v>
      </c>
    </row>
    <row r="381" spans="1:12" x14ac:dyDescent="0.25">
      <c r="A381" s="32">
        <v>46239</v>
      </c>
      <c r="B381" s="33" t="s">
        <v>105</v>
      </c>
      <c r="C381" s="33" t="s">
        <v>650</v>
      </c>
      <c r="D381" s="33" t="s">
        <v>105</v>
      </c>
      <c r="E381">
        <v>12</v>
      </c>
      <c r="F381" s="34">
        <v>0.19259259259259259</v>
      </c>
      <c r="G381" s="34">
        <v>1.6049382716049384E-2</v>
      </c>
      <c r="H381" s="34">
        <v>0.26370370370370372</v>
      </c>
      <c r="I381" s="34">
        <v>0.13226851851851851</v>
      </c>
      <c r="J381" s="35">
        <v>0.50158005617977519</v>
      </c>
      <c r="K381" s="33" t="s">
        <v>649</v>
      </c>
      <c r="L381" s="33" t="s">
        <v>104</v>
      </c>
    </row>
    <row r="382" spans="1:12" x14ac:dyDescent="0.25">
      <c r="A382" s="32">
        <v>46239</v>
      </c>
      <c r="B382" s="33" t="s">
        <v>105</v>
      </c>
      <c r="C382" s="33" t="s">
        <v>559</v>
      </c>
      <c r="D382" s="33" t="s">
        <v>105</v>
      </c>
      <c r="E382">
        <v>7</v>
      </c>
      <c r="F382" s="34">
        <v>0.10836805555555555</v>
      </c>
      <c r="G382" s="34">
        <v>1.5481150793650793E-2</v>
      </c>
      <c r="H382" s="34">
        <v>0.18513888888888888</v>
      </c>
      <c r="I382" s="34">
        <v>8.6099537037037044E-2</v>
      </c>
      <c r="J382" s="35">
        <v>0.46505376344086025</v>
      </c>
      <c r="K382" s="33" t="s">
        <v>289</v>
      </c>
      <c r="L382" s="33" t="s">
        <v>104</v>
      </c>
    </row>
    <row r="383" spans="1:12" x14ac:dyDescent="0.25">
      <c r="A383" s="32">
        <v>46239</v>
      </c>
      <c r="B383" s="33" t="s">
        <v>105</v>
      </c>
      <c r="C383" s="33" t="s">
        <v>634</v>
      </c>
      <c r="D383" s="33" t="s">
        <v>105</v>
      </c>
      <c r="E383">
        <v>10</v>
      </c>
      <c r="F383" s="34">
        <v>0.19253472222222223</v>
      </c>
      <c r="G383" s="34">
        <v>1.9253472222222224E-2</v>
      </c>
      <c r="H383" s="34">
        <v>0.25349537037037034</v>
      </c>
      <c r="I383" s="34">
        <v>0.15987268518518519</v>
      </c>
      <c r="J383" s="35">
        <v>0.6306729978997353</v>
      </c>
      <c r="K383" s="33" t="s">
        <v>612</v>
      </c>
      <c r="L383" s="33" t="s">
        <v>601</v>
      </c>
    </row>
    <row r="384" spans="1:12" x14ac:dyDescent="0.25">
      <c r="A384" s="32">
        <v>46239</v>
      </c>
      <c r="B384" s="33" t="s">
        <v>105</v>
      </c>
      <c r="C384" s="33" t="s">
        <v>565</v>
      </c>
      <c r="D384" s="33" t="s">
        <v>105</v>
      </c>
      <c r="E384">
        <v>7</v>
      </c>
      <c r="F384" s="34">
        <v>0.11488425925925926</v>
      </c>
      <c r="G384" s="34">
        <v>1.6412037037037037E-2</v>
      </c>
      <c r="H384" s="34">
        <v>0.19519675925925925</v>
      </c>
      <c r="I384" s="34">
        <v>0.141875</v>
      </c>
      <c r="J384" s="35">
        <v>0.72683071449748005</v>
      </c>
      <c r="K384" s="33" t="s">
        <v>203</v>
      </c>
      <c r="L384" s="33" t="s">
        <v>601</v>
      </c>
    </row>
    <row r="385" spans="1:12" x14ac:dyDescent="0.25">
      <c r="A385" s="32">
        <v>46239</v>
      </c>
      <c r="B385" s="33" t="s">
        <v>105</v>
      </c>
      <c r="C385" s="33" t="s">
        <v>667</v>
      </c>
      <c r="D385" s="33" t="s">
        <v>105</v>
      </c>
      <c r="E385">
        <v>18</v>
      </c>
      <c r="F385" s="34">
        <v>0.27459490740740738</v>
      </c>
      <c r="G385" s="34">
        <v>1.5255272633744855E-2</v>
      </c>
      <c r="H385" s="34">
        <v>0.24019675925925926</v>
      </c>
      <c r="I385" s="34">
        <v>6.9826388888888882E-2</v>
      </c>
      <c r="J385" s="35">
        <v>0.29070495831927912</v>
      </c>
      <c r="K385" s="33" t="s">
        <v>297</v>
      </c>
      <c r="L385" s="33" t="s">
        <v>104</v>
      </c>
    </row>
    <row r="386" spans="1:12" x14ac:dyDescent="0.25">
      <c r="A386" s="32">
        <v>46239</v>
      </c>
      <c r="B386" s="33" t="s">
        <v>105</v>
      </c>
      <c r="C386" s="33" t="s">
        <v>635</v>
      </c>
      <c r="D386" s="33" t="s">
        <v>105</v>
      </c>
      <c r="E386">
        <v>13</v>
      </c>
      <c r="F386" s="34">
        <v>0.20396990740740742</v>
      </c>
      <c r="G386" s="34">
        <v>1.5689992877492877E-2</v>
      </c>
      <c r="H386" s="34">
        <v>0.2442013888888889</v>
      </c>
      <c r="I386" s="34">
        <v>0.13475694444444444</v>
      </c>
      <c r="J386" s="35">
        <v>0.55182710081046493</v>
      </c>
      <c r="K386" s="33" t="s">
        <v>614</v>
      </c>
      <c r="L386" s="33" t="s">
        <v>601</v>
      </c>
    </row>
    <row r="387" spans="1:12" x14ac:dyDescent="0.25">
      <c r="A387" s="32">
        <v>46239</v>
      </c>
      <c r="B387" s="33" t="s">
        <v>105</v>
      </c>
      <c r="C387" s="33" t="s">
        <v>636</v>
      </c>
      <c r="D387" s="33" t="s">
        <v>105</v>
      </c>
      <c r="E387">
        <v>10</v>
      </c>
      <c r="F387" s="34">
        <v>0.13818287037037036</v>
      </c>
      <c r="G387" s="34">
        <v>1.3818287037037035E-2</v>
      </c>
      <c r="H387" s="34">
        <v>0.21682870370370369</v>
      </c>
      <c r="I387" s="34">
        <v>0.15916666666666668</v>
      </c>
      <c r="J387" s="35">
        <v>0.73406640333084239</v>
      </c>
      <c r="K387" s="33" t="s">
        <v>615</v>
      </c>
      <c r="L387" s="33" t="s">
        <v>601</v>
      </c>
    </row>
    <row r="388" spans="1:12" x14ac:dyDescent="0.25">
      <c r="A388" s="32">
        <v>46239</v>
      </c>
      <c r="B388" s="33" t="s">
        <v>105</v>
      </c>
      <c r="C388" s="33" t="s">
        <v>637</v>
      </c>
      <c r="D388" s="33" t="s">
        <v>105</v>
      </c>
      <c r="E388">
        <v>6</v>
      </c>
      <c r="F388" s="34">
        <v>9.8935185185185182E-2</v>
      </c>
      <c r="G388" s="34">
        <v>1.6489197530864197E-2</v>
      </c>
      <c r="H388" s="34">
        <v>0.20951388888888889</v>
      </c>
      <c r="I388" s="34">
        <v>0.13599537037037038</v>
      </c>
      <c r="J388" s="35">
        <v>0.64909954701137995</v>
      </c>
      <c r="K388" s="33" t="s">
        <v>616</v>
      </c>
      <c r="L388" s="33" t="s">
        <v>601</v>
      </c>
    </row>
    <row r="389" spans="1:12" x14ac:dyDescent="0.25">
      <c r="A389" s="32">
        <v>46239</v>
      </c>
      <c r="B389" s="33" t="s">
        <v>105</v>
      </c>
      <c r="C389" s="33" t="s">
        <v>567</v>
      </c>
      <c r="D389" s="33" t="s">
        <v>105</v>
      </c>
      <c r="E389">
        <v>8</v>
      </c>
      <c r="F389" s="34">
        <v>0.18759259259259259</v>
      </c>
      <c r="G389" s="34">
        <v>2.3449074074074074E-2</v>
      </c>
      <c r="H389" s="34">
        <v>0.24094907407407407</v>
      </c>
      <c r="I389" s="34">
        <v>0.10803240740740741</v>
      </c>
      <c r="J389" s="35">
        <v>0.44836199442789898</v>
      </c>
      <c r="K389" s="33" t="s">
        <v>209</v>
      </c>
      <c r="L389" s="33" t="s">
        <v>601</v>
      </c>
    </row>
    <row r="390" spans="1:12" x14ac:dyDescent="0.25">
      <c r="A390" s="32">
        <v>46239</v>
      </c>
      <c r="B390" s="33" t="s">
        <v>105</v>
      </c>
      <c r="C390" s="33" t="s">
        <v>512</v>
      </c>
      <c r="D390" s="33" t="s">
        <v>105</v>
      </c>
      <c r="E390">
        <v>14</v>
      </c>
      <c r="F390" s="34">
        <v>0.21025462962962962</v>
      </c>
      <c r="G390" s="34">
        <v>1.501818783068783E-2</v>
      </c>
      <c r="H390" s="34">
        <v>0.25219907407407405</v>
      </c>
      <c r="I390" s="34">
        <v>7.0219907407407411E-2</v>
      </c>
      <c r="J390" s="35">
        <v>0.27843047269389631</v>
      </c>
      <c r="K390" s="33" t="s">
        <v>132</v>
      </c>
      <c r="L390" s="33" t="s">
        <v>104</v>
      </c>
    </row>
    <row r="391" spans="1:12" x14ac:dyDescent="0.25">
      <c r="A391" s="32">
        <v>46239</v>
      </c>
      <c r="B391" s="33" t="s">
        <v>105</v>
      </c>
      <c r="C391" s="33" t="s">
        <v>560</v>
      </c>
      <c r="D391" s="33" t="s">
        <v>105</v>
      </c>
      <c r="E391">
        <v>17</v>
      </c>
      <c r="F391" s="34">
        <v>0.24490740740740741</v>
      </c>
      <c r="G391" s="34">
        <v>1.4406318082788671E-2</v>
      </c>
      <c r="H391" s="34">
        <v>0.26318287037037036</v>
      </c>
      <c r="I391" s="34">
        <v>6.0763888888888888E-2</v>
      </c>
      <c r="J391" s="35">
        <v>0.23088086547341571</v>
      </c>
      <c r="K391" s="33" t="s">
        <v>134</v>
      </c>
      <c r="L391" s="33" t="s">
        <v>104</v>
      </c>
    </row>
    <row r="392" spans="1:12" x14ac:dyDescent="0.25">
      <c r="A392" s="32">
        <v>46239</v>
      </c>
      <c r="B392" s="33" t="s">
        <v>105</v>
      </c>
      <c r="C392" s="33" t="s">
        <v>546</v>
      </c>
      <c r="D392" s="33" t="s">
        <v>105</v>
      </c>
      <c r="E392">
        <v>9</v>
      </c>
      <c r="F392" s="34">
        <v>0.10956018518518519</v>
      </c>
      <c r="G392" s="34">
        <v>1.2173353909465022E-2</v>
      </c>
      <c r="H392" s="34">
        <v>0.21635416666666665</v>
      </c>
      <c r="I392" s="34">
        <v>7.5543981481481476E-2</v>
      </c>
      <c r="J392" s="35">
        <v>0.34916813780559569</v>
      </c>
      <c r="K392" s="33" t="s">
        <v>211</v>
      </c>
      <c r="L392" s="33" t="s">
        <v>104</v>
      </c>
    </row>
    <row r="393" spans="1:12" x14ac:dyDescent="0.25">
      <c r="A393" s="32">
        <v>46239</v>
      </c>
      <c r="B393" s="33" t="s">
        <v>105</v>
      </c>
      <c r="C393" s="33" t="s">
        <v>638</v>
      </c>
      <c r="D393" s="33" t="s">
        <v>105</v>
      </c>
      <c r="E393">
        <v>8</v>
      </c>
      <c r="F393" s="34">
        <v>0.21314814814814814</v>
      </c>
      <c r="G393" s="34">
        <v>2.6643518518518518E-2</v>
      </c>
      <c r="H393" s="34">
        <v>0.25829861111111113</v>
      </c>
      <c r="I393" s="34">
        <v>0.12965277777777778</v>
      </c>
      <c r="J393" s="35">
        <v>0.50194918671864497</v>
      </c>
      <c r="K393" s="33" t="s">
        <v>617</v>
      </c>
      <c r="L393" s="33" t="s">
        <v>601</v>
      </c>
    </row>
    <row r="394" spans="1:12" x14ac:dyDescent="0.25">
      <c r="A394" s="32">
        <v>46239</v>
      </c>
      <c r="B394" s="33" t="s">
        <v>105</v>
      </c>
      <c r="C394" s="33" t="s">
        <v>561</v>
      </c>
      <c r="D394" s="33" t="s">
        <v>105</v>
      </c>
      <c r="E394">
        <v>15</v>
      </c>
      <c r="F394" s="34">
        <v>0.24032407407407408</v>
      </c>
      <c r="G394" s="34">
        <v>1.6021604938271605E-2</v>
      </c>
      <c r="H394" s="34">
        <v>0.26200231481481484</v>
      </c>
      <c r="I394" s="34">
        <v>8.324074074074074E-2</v>
      </c>
      <c r="J394" s="35">
        <v>0.31770994389715951</v>
      </c>
      <c r="K394" s="33" t="s">
        <v>136</v>
      </c>
      <c r="L394" s="33" t="s">
        <v>104</v>
      </c>
    </row>
    <row r="395" spans="1:12" x14ac:dyDescent="0.25">
      <c r="A395" s="32">
        <v>46239</v>
      </c>
      <c r="B395" s="33" t="s">
        <v>105</v>
      </c>
      <c r="C395" s="33" t="s">
        <v>639</v>
      </c>
      <c r="D395" s="33" t="s">
        <v>105</v>
      </c>
      <c r="E395">
        <v>11</v>
      </c>
      <c r="F395" s="34">
        <v>0.16</v>
      </c>
      <c r="G395" s="34">
        <v>1.4545454545454545E-2</v>
      </c>
      <c r="H395" s="34">
        <v>0.23627314814814815</v>
      </c>
      <c r="I395" s="34">
        <v>0.16394675925925925</v>
      </c>
      <c r="J395" s="35">
        <v>0.69388654844714404</v>
      </c>
      <c r="K395" s="33" t="s">
        <v>618</v>
      </c>
      <c r="L395" s="33" t="s">
        <v>601</v>
      </c>
    </row>
    <row r="396" spans="1:12" x14ac:dyDescent="0.25">
      <c r="A396" s="32">
        <v>46239</v>
      </c>
      <c r="B396" s="33" t="s">
        <v>105</v>
      </c>
      <c r="C396" s="33" t="s">
        <v>572</v>
      </c>
      <c r="D396" s="33" t="s">
        <v>105</v>
      </c>
      <c r="E396">
        <v>20</v>
      </c>
      <c r="F396" s="34">
        <v>0.25626157407407407</v>
      </c>
      <c r="G396" s="34">
        <v>1.2813078703703703E-2</v>
      </c>
      <c r="H396" s="34">
        <v>0.27886574074074072</v>
      </c>
      <c r="I396" s="34">
        <v>0.16875000000000001</v>
      </c>
      <c r="J396" s="35">
        <v>0.60512990786087828</v>
      </c>
      <c r="K396" s="33" t="s">
        <v>213</v>
      </c>
      <c r="L396" s="33" t="s">
        <v>601</v>
      </c>
    </row>
    <row r="397" spans="1:12" x14ac:dyDescent="0.25">
      <c r="A397" s="32">
        <v>46239</v>
      </c>
      <c r="B397" s="33" t="s">
        <v>105</v>
      </c>
      <c r="C397" s="33" t="s">
        <v>547</v>
      </c>
      <c r="D397" s="33" t="s">
        <v>105</v>
      </c>
      <c r="E397">
        <v>9</v>
      </c>
      <c r="F397" s="34">
        <v>0.15520833333333334</v>
      </c>
      <c r="G397" s="34">
        <v>1.7245370370370369E-2</v>
      </c>
      <c r="H397" s="34">
        <v>0.24224537037037036</v>
      </c>
      <c r="I397" s="34">
        <v>0.13464120370370369</v>
      </c>
      <c r="J397" s="35">
        <v>0.55580506450071665</v>
      </c>
      <c r="K397" s="33" t="s">
        <v>215</v>
      </c>
      <c r="L397" s="33" t="s">
        <v>601</v>
      </c>
    </row>
    <row r="398" spans="1:12" x14ac:dyDescent="0.25">
      <c r="A398" s="32">
        <v>46239</v>
      </c>
      <c r="B398" s="33" t="s">
        <v>105</v>
      </c>
      <c r="C398" s="33" t="s">
        <v>640</v>
      </c>
      <c r="D398" s="33" t="s">
        <v>105</v>
      </c>
      <c r="E398">
        <v>9</v>
      </c>
      <c r="F398" s="34">
        <v>0.12883101851851853</v>
      </c>
      <c r="G398" s="34">
        <v>1.4314557613168724E-2</v>
      </c>
      <c r="H398" s="34">
        <v>0.21211805555555555</v>
      </c>
      <c r="I398" s="34">
        <v>0.16091435185185185</v>
      </c>
      <c r="J398" s="35">
        <v>0.75860751896109568</v>
      </c>
      <c r="K398" s="33" t="s">
        <v>619</v>
      </c>
      <c r="L398" s="33" t="s">
        <v>601</v>
      </c>
    </row>
    <row r="399" spans="1:12" x14ac:dyDescent="0.25">
      <c r="A399" s="32">
        <v>46239</v>
      </c>
      <c r="B399" s="33" t="s">
        <v>105</v>
      </c>
      <c r="C399" s="33" t="s">
        <v>548</v>
      </c>
      <c r="D399" s="33" t="s">
        <v>105</v>
      </c>
      <c r="E399">
        <v>9</v>
      </c>
      <c r="F399" s="34">
        <v>9.6539351851851848E-2</v>
      </c>
      <c r="G399" s="34">
        <v>1.0726594650205762E-2</v>
      </c>
      <c r="H399" s="34">
        <v>0.1922800925925926</v>
      </c>
      <c r="I399" s="34">
        <v>9.5289351851851847E-2</v>
      </c>
      <c r="J399" s="35">
        <v>0.49557575392764697</v>
      </c>
      <c r="K399" s="33" t="s">
        <v>219</v>
      </c>
      <c r="L399" s="33" t="s">
        <v>104</v>
      </c>
    </row>
    <row r="400" spans="1:12" x14ac:dyDescent="0.25">
      <c r="A400" s="32">
        <v>46239</v>
      </c>
      <c r="B400" s="33" t="s">
        <v>105</v>
      </c>
      <c r="C400" s="33" t="s">
        <v>641</v>
      </c>
      <c r="D400" s="33" t="s">
        <v>105</v>
      </c>
      <c r="E400">
        <v>12</v>
      </c>
      <c r="F400" s="34">
        <v>0.16149305555555554</v>
      </c>
      <c r="G400" s="34">
        <v>1.3457754629629629E-2</v>
      </c>
      <c r="H400" s="34">
        <v>0.22755787037037037</v>
      </c>
      <c r="I400" s="34">
        <v>0.15979166666666667</v>
      </c>
      <c r="J400" s="35">
        <v>0.7022023294847668</v>
      </c>
      <c r="K400" s="33" t="s">
        <v>620</v>
      </c>
      <c r="L400" s="33" t="s">
        <v>601</v>
      </c>
    </row>
    <row r="401" spans="1:12" x14ac:dyDescent="0.25">
      <c r="A401" s="32">
        <v>46239</v>
      </c>
      <c r="B401" s="33" t="s">
        <v>105</v>
      </c>
      <c r="C401" s="33" t="s">
        <v>556</v>
      </c>
      <c r="D401" s="33" t="s">
        <v>105</v>
      </c>
      <c r="E401">
        <v>22</v>
      </c>
      <c r="F401" s="34">
        <v>0.27988425925925925</v>
      </c>
      <c r="G401" s="34">
        <v>1.2722011784511784E-2</v>
      </c>
      <c r="H401" s="34">
        <v>0.24997685185185184</v>
      </c>
      <c r="I401" s="34">
        <v>6.4861111111111105E-2</v>
      </c>
      <c r="J401" s="35">
        <v>0.25946846930271322</v>
      </c>
      <c r="K401" s="33" t="s">
        <v>138</v>
      </c>
      <c r="L401" s="33" t="s">
        <v>104</v>
      </c>
    </row>
    <row r="402" spans="1:12" x14ac:dyDescent="0.25">
      <c r="A402" s="32">
        <v>46239</v>
      </c>
      <c r="B402" s="33" t="s">
        <v>105</v>
      </c>
      <c r="C402" s="33" t="s">
        <v>674</v>
      </c>
      <c r="D402" s="33" t="s">
        <v>105</v>
      </c>
      <c r="E402">
        <v>11</v>
      </c>
      <c r="F402" s="34">
        <v>0.18481481481481482</v>
      </c>
      <c r="G402" s="34">
        <v>1.6801346801346803E-2</v>
      </c>
      <c r="H402" s="34">
        <v>0.25600694444444444</v>
      </c>
      <c r="I402" s="34">
        <v>0.11967592592592592</v>
      </c>
      <c r="J402" s="35">
        <v>0.46747140467471404</v>
      </c>
      <c r="K402" s="33" t="s">
        <v>673</v>
      </c>
      <c r="L402" s="33" t="s">
        <v>104</v>
      </c>
    </row>
    <row r="403" spans="1:12" x14ac:dyDescent="0.25">
      <c r="A403" s="32">
        <v>46239</v>
      </c>
      <c r="B403" s="33" t="s">
        <v>105</v>
      </c>
      <c r="C403" s="33" t="s">
        <v>549</v>
      </c>
      <c r="D403" s="33" t="s">
        <v>105</v>
      </c>
      <c r="E403">
        <v>9</v>
      </c>
      <c r="F403" s="34">
        <v>0.20053240740740741</v>
      </c>
      <c r="G403" s="34">
        <v>2.2281378600823045E-2</v>
      </c>
      <c r="H403" s="34">
        <v>0.22325231481481481</v>
      </c>
      <c r="I403" s="34">
        <v>7.4988425925925931E-2</v>
      </c>
      <c r="J403" s="35">
        <v>0.33589092228731404</v>
      </c>
      <c r="K403" s="33" t="s">
        <v>225</v>
      </c>
      <c r="L403" s="33" t="s">
        <v>601</v>
      </c>
    </row>
    <row r="404" spans="1:12" x14ac:dyDescent="0.25">
      <c r="A404" s="32">
        <v>46239</v>
      </c>
      <c r="B404" s="33" t="s">
        <v>105</v>
      </c>
      <c r="C404" s="33" t="s">
        <v>571</v>
      </c>
      <c r="D404" s="33" t="s">
        <v>105</v>
      </c>
      <c r="E404">
        <v>15</v>
      </c>
      <c r="F404" s="34">
        <v>0.25929398148148147</v>
      </c>
      <c r="G404" s="34">
        <v>1.7286265432098765E-2</v>
      </c>
      <c r="H404" s="34">
        <v>0.26222222222222225</v>
      </c>
      <c r="I404" s="34">
        <v>7.9629629629629634E-2</v>
      </c>
      <c r="J404" s="35">
        <v>0.3036723163841808</v>
      </c>
      <c r="K404" s="33" t="s">
        <v>299</v>
      </c>
      <c r="L404" s="33" t="s">
        <v>104</v>
      </c>
    </row>
    <row r="405" spans="1:12" x14ac:dyDescent="0.25">
      <c r="A405" s="32">
        <v>46239</v>
      </c>
      <c r="B405" s="33" t="s">
        <v>105</v>
      </c>
      <c r="C405" s="33" t="s">
        <v>676</v>
      </c>
      <c r="D405" s="33" t="s">
        <v>105</v>
      </c>
      <c r="E405">
        <v>10</v>
      </c>
      <c r="F405" s="34">
        <v>0.26458333333333334</v>
      </c>
      <c r="G405" s="34">
        <v>2.6458333333333334E-2</v>
      </c>
      <c r="H405" s="34">
        <v>0.25899305555555557</v>
      </c>
      <c r="I405" s="34">
        <v>4.9733796296296297E-2</v>
      </c>
      <c r="J405" s="35">
        <v>0.19202752826562988</v>
      </c>
      <c r="K405" s="33" t="s">
        <v>675</v>
      </c>
      <c r="L405" s="33" t="s">
        <v>104</v>
      </c>
    </row>
    <row r="406" spans="1:12" x14ac:dyDescent="0.25">
      <c r="A406" s="32">
        <v>46239</v>
      </c>
      <c r="B406" s="33" t="s">
        <v>32</v>
      </c>
      <c r="C406" s="33" t="s">
        <v>562</v>
      </c>
      <c r="D406" s="33" t="s">
        <v>80</v>
      </c>
      <c r="E406">
        <v>8</v>
      </c>
      <c r="F406" s="34">
        <v>3.4421296296296297E-2</v>
      </c>
      <c r="G406" s="34">
        <v>4.3026620370370371E-3</v>
      </c>
      <c r="H406" s="34">
        <v>0.26620370370370372</v>
      </c>
      <c r="I406" s="34">
        <v>4.0393518518518516E-2</v>
      </c>
      <c r="J406" s="35">
        <v>0.1517391304347826</v>
      </c>
      <c r="K406" s="33" t="s">
        <v>186</v>
      </c>
      <c r="L406" s="33" t="s">
        <v>78</v>
      </c>
    </row>
    <row r="407" spans="1:12" x14ac:dyDescent="0.25">
      <c r="A407" s="32">
        <v>46239</v>
      </c>
      <c r="B407" s="33" t="s">
        <v>32</v>
      </c>
      <c r="C407" s="33" t="s">
        <v>644</v>
      </c>
      <c r="D407" s="33" t="s">
        <v>32</v>
      </c>
      <c r="E407">
        <v>13</v>
      </c>
      <c r="F407" s="34">
        <v>8.773148148148148E-2</v>
      </c>
      <c r="G407" s="34">
        <v>6.7485754985754983E-3</v>
      </c>
      <c r="H407" s="34">
        <v>0.24538194444444444</v>
      </c>
      <c r="I407" s="34">
        <v>8.324074074074074E-2</v>
      </c>
      <c r="J407" s="35">
        <v>0.33922928163765859</v>
      </c>
      <c r="K407" s="33" t="s">
        <v>643</v>
      </c>
      <c r="L407" s="33" t="s">
        <v>233</v>
      </c>
    </row>
    <row r="408" spans="1:12" x14ac:dyDescent="0.25">
      <c r="A408" s="32">
        <v>46239</v>
      </c>
      <c r="B408" s="33" t="s">
        <v>32</v>
      </c>
      <c r="C408" s="33" t="s">
        <v>563</v>
      </c>
      <c r="D408" s="33" t="s">
        <v>147</v>
      </c>
      <c r="E408">
        <v>11</v>
      </c>
      <c r="F408" s="34">
        <v>5.8865740740740739E-2</v>
      </c>
      <c r="G408" s="34">
        <v>5.3514309764309759E-3</v>
      </c>
      <c r="H408" s="34">
        <v>0.26138888888888889</v>
      </c>
      <c r="I408" s="34">
        <v>3.4363425925925929E-2</v>
      </c>
      <c r="J408" s="35">
        <v>0.13146475380800568</v>
      </c>
      <c r="K408" s="33" t="s">
        <v>193</v>
      </c>
      <c r="L408" s="33" t="s">
        <v>274</v>
      </c>
    </row>
    <row r="409" spans="1:12" x14ac:dyDescent="0.25">
      <c r="A409" s="32">
        <v>46239</v>
      </c>
      <c r="B409" s="33" t="s">
        <v>32</v>
      </c>
      <c r="C409" s="33" t="s">
        <v>550</v>
      </c>
      <c r="D409" s="33" t="s">
        <v>32</v>
      </c>
      <c r="E409">
        <v>58</v>
      </c>
      <c r="F409" s="34">
        <v>0.15671296296296297</v>
      </c>
      <c r="G409" s="34">
        <v>2.701947637292465E-3</v>
      </c>
      <c r="H409" s="34">
        <v>0.27031250000000001</v>
      </c>
      <c r="I409" s="34">
        <v>4.3310185185185188E-2</v>
      </c>
      <c r="J409" s="35">
        <v>0.16022265039606079</v>
      </c>
      <c r="K409" s="33" t="s">
        <v>234</v>
      </c>
      <c r="L409" s="33" t="s">
        <v>233</v>
      </c>
    </row>
    <row r="410" spans="1:12" x14ac:dyDescent="0.25">
      <c r="A410" s="32">
        <v>46239</v>
      </c>
      <c r="B410" s="33" t="s">
        <v>32</v>
      </c>
      <c r="C410" s="33" t="s">
        <v>505</v>
      </c>
      <c r="D410" s="33" t="s">
        <v>32</v>
      </c>
      <c r="E410">
        <v>38</v>
      </c>
      <c r="F410" s="34">
        <v>0.17737268518518517</v>
      </c>
      <c r="G410" s="34">
        <v>4.6677022417153996E-3</v>
      </c>
      <c r="H410" s="34">
        <v>0.26081018518518517</v>
      </c>
      <c r="I410" s="34">
        <v>4.3657407407407409E-2</v>
      </c>
      <c r="J410" s="35">
        <v>0.1673914972929795</v>
      </c>
      <c r="K410" s="33" t="s">
        <v>34</v>
      </c>
      <c r="L410" s="33" t="s">
        <v>233</v>
      </c>
    </row>
    <row r="411" spans="1:12" x14ac:dyDescent="0.25">
      <c r="A411" s="32">
        <v>46239</v>
      </c>
      <c r="B411" s="33" t="s">
        <v>32</v>
      </c>
      <c r="C411" s="33" t="s">
        <v>551</v>
      </c>
      <c r="D411" s="33" t="s">
        <v>32</v>
      </c>
      <c r="E411">
        <v>5</v>
      </c>
      <c r="F411" s="34">
        <v>2.1678240740740741E-2</v>
      </c>
      <c r="G411" s="34">
        <v>4.3356481481481484E-3</v>
      </c>
      <c r="H411" s="34">
        <v>0.235625</v>
      </c>
      <c r="I411" s="34">
        <v>0.20569444444444446</v>
      </c>
      <c r="J411" s="35">
        <v>0.87297376952549377</v>
      </c>
      <c r="K411" s="33" t="s">
        <v>236</v>
      </c>
      <c r="L411" s="33" t="s">
        <v>233</v>
      </c>
    </row>
    <row r="412" spans="1:12" x14ac:dyDescent="0.25">
      <c r="A412" s="32">
        <v>46239</v>
      </c>
      <c r="B412" s="33" t="s">
        <v>32</v>
      </c>
      <c r="C412" s="33" t="s">
        <v>526</v>
      </c>
      <c r="D412" s="33" t="s">
        <v>32</v>
      </c>
      <c r="E412">
        <v>3</v>
      </c>
      <c r="F412" s="34">
        <v>2.3252314814814816E-2</v>
      </c>
      <c r="G412" s="34">
        <v>7.7507716049382723E-3</v>
      </c>
      <c r="H412" s="34">
        <v>0.21773148148148147</v>
      </c>
      <c r="I412" s="34">
        <v>0.19562499999999999</v>
      </c>
      <c r="J412" s="35">
        <v>0.89846906230065915</v>
      </c>
      <c r="K412" s="33" t="s">
        <v>238</v>
      </c>
      <c r="L412" s="33" t="s">
        <v>233</v>
      </c>
    </row>
    <row r="413" spans="1:12" x14ac:dyDescent="0.25">
      <c r="A413" s="32">
        <v>46239</v>
      </c>
      <c r="B413" s="33" t="s">
        <v>32</v>
      </c>
      <c r="C413" s="33" t="s">
        <v>514</v>
      </c>
      <c r="D413" s="33" t="s">
        <v>147</v>
      </c>
      <c r="E413">
        <v>7</v>
      </c>
      <c r="F413" s="34">
        <v>3.528935185185185E-2</v>
      </c>
      <c r="G413" s="34">
        <v>5.0413359788359785E-3</v>
      </c>
      <c r="H413" s="34">
        <v>0.26150462962962961</v>
      </c>
      <c r="I413" s="34">
        <v>7.4282407407407408E-2</v>
      </c>
      <c r="J413" s="35">
        <v>0.28405771443746131</v>
      </c>
      <c r="K413" s="33" t="s">
        <v>150</v>
      </c>
      <c r="L413" s="33" t="s">
        <v>146</v>
      </c>
    </row>
    <row r="414" spans="1:12" x14ac:dyDescent="0.25">
      <c r="A414" s="32">
        <v>46239</v>
      </c>
      <c r="B414" s="33" t="s">
        <v>32</v>
      </c>
      <c r="C414" s="33" t="s">
        <v>536</v>
      </c>
      <c r="D414" s="33" t="s">
        <v>32</v>
      </c>
      <c r="E414">
        <v>4</v>
      </c>
      <c r="F414" s="34">
        <v>4.5266203703703704E-2</v>
      </c>
      <c r="G414" s="34">
        <v>1.1316550925925926E-2</v>
      </c>
      <c r="H414" s="34">
        <v>0.21604166666666666</v>
      </c>
      <c r="I414" s="34">
        <v>0.17024305555555555</v>
      </c>
      <c r="J414" s="35">
        <v>0.78801028608164581</v>
      </c>
      <c r="K414" s="33" t="s">
        <v>38</v>
      </c>
      <c r="L414" s="33" t="s">
        <v>100</v>
      </c>
    </row>
    <row r="415" spans="1:12" x14ac:dyDescent="0.25">
      <c r="A415" s="32">
        <v>46239</v>
      </c>
      <c r="B415" s="33" t="s">
        <v>32</v>
      </c>
      <c r="C415" s="33" t="s">
        <v>515</v>
      </c>
      <c r="D415" s="33" t="s">
        <v>147</v>
      </c>
      <c r="E415">
        <v>5</v>
      </c>
      <c r="F415" s="34">
        <v>1.9456018518518518E-2</v>
      </c>
      <c r="G415" s="34">
        <v>3.8912037037037036E-3</v>
      </c>
      <c r="H415" s="34">
        <v>0.26400462962962962</v>
      </c>
      <c r="I415" s="34">
        <v>4.6307870370370367E-2</v>
      </c>
      <c r="J415" s="35">
        <v>0.17540552389302938</v>
      </c>
      <c r="K415" s="33" t="s">
        <v>154</v>
      </c>
      <c r="L415" s="33" t="s">
        <v>146</v>
      </c>
    </row>
    <row r="416" spans="1:12" x14ac:dyDescent="0.25">
      <c r="A416" s="32">
        <v>46239</v>
      </c>
      <c r="B416" s="33" t="s">
        <v>32</v>
      </c>
      <c r="C416" s="33" t="s">
        <v>516</v>
      </c>
      <c r="D416" s="33" t="s">
        <v>147</v>
      </c>
      <c r="E416">
        <v>11</v>
      </c>
      <c r="F416" s="34">
        <v>3.4548611111111113E-2</v>
      </c>
      <c r="G416" s="34">
        <v>3.1407828282828286E-3</v>
      </c>
      <c r="H416" s="34">
        <v>0.27614583333333331</v>
      </c>
      <c r="I416" s="34">
        <v>4.2268518518518518E-2</v>
      </c>
      <c r="J416" s="35">
        <v>0.15306592899953897</v>
      </c>
      <c r="K416" s="33" t="s">
        <v>156</v>
      </c>
      <c r="L416" s="33" t="s">
        <v>146</v>
      </c>
    </row>
    <row r="417" spans="1:12" x14ac:dyDescent="0.25">
      <c r="A417" s="32">
        <v>46239</v>
      </c>
      <c r="B417" s="33" t="s">
        <v>32</v>
      </c>
      <c r="C417" s="33" t="s">
        <v>506</v>
      </c>
      <c r="D417" s="33" t="s">
        <v>32</v>
      </c>
      <c r="E417">
        <v>25</v>
      </c>
      <c r="F417" s="34">
        <v>0.24</v>
      </c>
      <c r="G417" s="34">
        <v>9.5999999999999992E-3</v>
      </c>
      <c r="H417" s="34">
        <v>0.26024305555555555</v>
      </c>
      <c r="I417" s="34">
        <v>3.3564814814814818E-2</v>
      </c>
      <c r="J417" s="35">
        <v>0.12897487213698022</v>
      </c>
      <c r="K417" s="33" t="s">
        <v>44</v>
      </c>
      <c r="L417" s="33" t="s">
        <v>100</v>
      </c>
    </row>
    <row r="418" spans="1:12" x14ac:dyDescent="0.25">
      <c r="A418" s="32">
        <v>46239</v>
      </c>
      <c r="B418" s="33" t="s">
        <v>32</v>
      </c>
      <c r="C418" s="33" t="s">
        <v>527</v>
      </c>
      <c r="D418" s="33" t="s">
        <v>32</v>
      </c>
      <c r="E418">
        <v>4</v>
      </c>
      <c r="F418" s="34">
        <v>3.8275462962962963E-2</v>
      </c>
      <c r="G418" s="34">
        <v>9.5688657407407406E-3</v>
      </c>
      <c r="H418" s="34">
        <v>0.24035879629629631</v>
      </c>
      <c r="I418" s="34">
        <v>0.20386574074074074</v>
      </c>
      <c r="J418" s="35">
        <v>0.84817258149949437</v>
      </c>
      <c r="K418" s="33" t="s">
        <v>240</v>
      </c>
      <c r="L418" s="33" t="s">
        <v>233</v>
      </c>
    </row>
    <row r="419" spans="1:12" x14ac:dyDescent="0.25">
      <c r="A419" s="32">
        <v>46239</v>
      </c>
      <c r="B419" s="33" t="s">
        <v>32</v>
      </c>
      <c r="C419" s="33" t="s">
        <v>310</v>
      </c>
      <c r="D419" s="33" t="s">
        <v>80</v>
      </c>
      <c r="E419">
        <v>1</v>
      </c>
      <c r="F419" s="34">
        <v>2.5416666666666667E-2</v>
      </c>
      <c r="G419" s="34">
        <v>2.5416666666666667E-2</v>
      </c>
      <c r="H419" s="34">
        <v>0.35166666666666668</v>
      </c>
      <c r="I419" s="34">
        <v>6.4039351851851847E-2</v>
      </c>
      <c r="J419" s="35">
        <v>0.18210242232754079</v>
      </c>
      <c r="K419" s="33" t="s">
        <v>309</v>
      </c>
      <c r="L419" s="33" t="s">
        <v>78</v>
      </c>
    </row>
    <row r="420" spans="1:12" x14ac:dyDescent="0.25">
      <c r="A420" s="32">
        <v>46239</v>
      </c>
      <c r="B420" s="33" t="s">
        <v>32</v>
      </c>
      <c r="C420" s="33" t="s">
        <v>646</v>
      </c>
      <c r="D420" s="33" t="s">
        <v>32</v>
      </c>
      <c r="E420">
        <v>36</v>
      </c>
      <c r="F420" s="34">
        <v>0.25113425925925925</v>
      </c>
      <c r="G420" s="34">
        <v>6.9759516460905346E-3</v>
      </c>
      <c r="H420" s="34">
        <v>0.2618402777777778</v>
      </c>
      <c r="I420" s="34">
        <v>3.2569444444444443E-2</v>
      </c>
      <c r="J420" s="35">
        <v>0.12438668611589973</v>
      </c>
      <c r="K420" s="33" t="s">
        <v>645</v>
      </c>
      <c r="L420" s="33" t="s">
        <v>100</v>
      </c>
    </row>
    <row r="421" spans="1:12" x14ac:dyDescent="0.25">
      <c r="A421" s="32">
        <v>46239</v>
      </c>
      <c r="B421" s="33" t="s">
        <v>32</v>
      </c>
      <c r="C421" s="33" t="s">
        <v>544</v>
      </c>
      <c r="D421" s="33" t="s">
        <v>147</v>
      </c>
      <c r="E421">
        <v>6</v>
      </c>
      <c r="F421" s="34">
        <v>1.5034722222222222E-2</v>
      </c>
      <c r="G421" s="34">
        <v>2.5057870370370368E-3</v>
      </c>
      <c r="H421" s="34">
        <v>0.26100694444444444</v>
      </c>
      <c r="I421" s="34">
        <v>7.2361111111111112E-2</v>
      </c>
      <c r="J421" s="35">
        <v>0.27723825994412665</v>
      </c>
      <c r="K421" s="33" t="s">
        <v>160</v>
      </c>
      <c r="L421" s="33" t="s">
        <v>146</v>
      </c>
    </row>
    <row r="422" spans="1:12" x14ac:dyDescent="0.25">
      <c r="A422" s="32">
        <v>46239</v>
      </c>
      <c r="B422" s="33" t="s">
        <v>32</v>
      </c>
      <c r="C422" s="33" t="s">
        <v>558</v>
      </c>
      <c r="D422" s="33" t="s">
        <v>32</v>
      </c>
      <c r="E422">
        <v>52</v>
      </c>
      <c r="F422" s="34">
        <v>0.16472222222222221</v>
      </c>
      <c r="G422" s="34">
        <v>3.1677350427350426E-3</v>
      </c>
      <c r="H422" s="34">
        <v>0.26228009259259261</v>
      </c>
      <c r="I422" s="34">
        <v>5.108796296296296E-2</v>
      </c>
      <c r="J422" s="35">
        <v>0.19478399011517583</v>
      </c>
      <c r="K422" s="33" t="s">
        <v>120</v>
      </c>
      <c r="L422" s="33" t="s">
        <v>233</v>
      </c>
    </row>
    <row r="423" spans="1:12" x14ac:dyDescent="0.25">
      <c r="A423" s="32">
        <v>46239</v>
      </c>
      <c r="B423" s="33" t="s">
        <v>32</v>
      </c>
      <c r="C423" s="33" t="s">
        <v>507</v>
      </c>
      <c r="D423" s="33" t="s">
        <v>32</v>
      </c>
      <c r="E423">
        <v>30</v>
      </c>
      <c r="F423" s="34">
        <v>0.23185185185185186</v>
      </c>
      <c r="G423" s="34">
        <v>7.7283950617283957E-3</v>
      </c>
      <c r="H423" s="34">
        <v>0.2678935185185185</v>
      </c>
      <c r="I423" s="34">
        <v>3.1585648148148147E-2</v>
      </c>
      <c r="J423" s="35">
        <v>0.11790374146720817</v>
      </c>
      <c r="K423" s="33" t="s">
        <v>46</v>
      </c>
      <c r="L423" s="33" t="s">
        <v>100</v>
      </c>
    </row>
    <row r="424" spans="1:12" x14ac:dyDescent="0.25">
      <c r="A424" s="32">
        <v>46239</v>
      </c>
      <c r="B424" s="33" t="s">
        <v>32</v>
      </c>
      <c r="C424" s="33" t="s">
        <v>517</v>
      </c>
      <c r="D424" s="33" t="s">
        <v>147</v>
      </c>
      <c r="E424">
        <v>4</v>
      </c>
      <c r="F424" s="34">
        <v>2.0173611111111111E-2</v>
      </c>
      <c r="G424" s="34">
        <v>5.0434027777777777E-3</v>
      </c>
      <c r="H424" s="34">
        <v>0.21649305555555556</v>
      </c>
      <c r="I424" s="34">
        <v>4.9074074074074076E-2</v>
      </c>
      <c r="J424" s="35">
        <v>0.22667735899492114</v>
      </c>
      <c r="K424" s="33" t="s">
        <v>499</v>
      </c>
      <c r="L424" s="33" t="s">
        <v>146</v>
      </c>
    </row>
    <row r="425" spans="1:12" x14ac:dyDescent="0.25">
      <c r="A425" s="32">
        <v>46239</v>
      </c>
      <c r="B425" s="33" t="s">
        <v>32</v>
      </c>
      <c r="C425" s="33" t="s">
        <v>648</v>
      </c>
      <c r="D425" s="33" t="s">
        <v>32</v>
      </c>
      <c r="E425">
        <v>28</v>
      </c>
      <c r="F425" s="34">
        <v>9.3356481481481485E-2</v>
      </c>
      <c r="G425" s="34">
        <v>3.3341600529100531E-3</v>
      </c>
      <c r="H425" s="34">
        <v>0.24541666666666667</v>
      </c>
      <c r="I425" s="34">
        <v>8.1747685185185187E-2</v>
      </c>
      <c r="J425" s="35">
        <v>0.33309752876815696</v>
      </c>
      <c r="K425" s="33" t="s">
        <v>647</v>
      </c>
      <c r="L425" s="33" t="s">
        <v>233</v>
      </c>
    </row>
    <row r="426" spans="1:12" x14ac:dyDescent="0.25">
      <c r="A426" s="32">
        <v>46239</v>
      </c>
      <c r="B426" s="33" t="s">
        <v>32</v>
      </c>
      <c r="C426" s="33" t="s">
        <v>652</v>
      </c>
      <c r="D426" s="33" t="s">
        <v>32</v>
      </c>
      <c r="E426">
        <v>26</v>
      </c>
      <c r="F426" s="34">
        <v>0.23711805555555557</v>
      </c>
      <c r="G426" s="34">
        <v>9.1199252136752139E-3</v>
      </c>
      <c r="H426" s="34">
        <v>0.26219907407407406</v>
      </c>
      <c r="I426" s="34">
        <v>4.6319444444444448E-2</v>
      </c>
      <c r="J426" s="35">
        <v>0.17665754392160327</v>
      </c>
      <c r="K426" s="33" t="s">
        <v>651</v>
      </c>
      <c r="L426" s="33" t="s">
        <v>100</v>
      </c>
    </row>
    <row r="427" spans="1:12" x14ac:dyDescent="0.25">
      <c r="A427" s="32">
        <v>46239</v>
      </c>
      <c r="B427" s="33" t="s">
        <v>32</v>
      </c>
      <c r="C427" s="33" t="s">
        <v>508</v>
      </c>
      <c r="D427" s="33" t="s">
        <v>32</v>
      </c>
      <c r="E427">
        <v>28</v>
      </c>
      <c r="F427" s="34">
        <v>0.21357638888888889</v>
      </c>
      <c r="G427" s="34">
        <v>7.6277281746031742E-3</v>
      </c>
      <c r="H427" s="34">
        <v>0.2654050925925926</v>
      </c>
      <c r="I427" s="34">
        <v>6.356481481481481E-2</v>
      </c>
      <c r="J427" s="35">
        <v>0.2395011120317474</v>
      </c>
      <c r="K427" s="33" t="s">
        <v>48</v>
      </c>
      <c r="L427" s="33" t="s">
        <v>100</v>
      </c>
    </row>
    <row r="428" spans="1:12" x14ac:dyDescent="0.25">
      <c r="A428" s="32">
        <v>46239</v>
      </c>
      <c r="B428" s="33" t="s">
        <v>32</v>
      </c>
      <c r="C428" s="33" t="s">
        <v>538</v>
      </c>
      <c r="D428" s="33" t="s">
        <v>32</v>
      </c>
      <c r="E428">
        <v>10</v>
      </c>
      <c r="F428" s="34">
        <v>4.0196759259259258E-2</v>
      </c>
      <c r="G428" s="34">
        <v>4.0196759259259257E-3</v>
      </c>
      <c r="H428" s="34">
        <v>0.22109953703703702</v>
      </c>
      <c r="I428" s="34">
        <v>0.18099537037037036</v>
      </c>
      <c r="J428" s="35">
        <v>0.81861487724441184</v>
      </c>
      <c r="K428" s="33" t="s">
        <v>50</v>
      </c>
      <c r="L428" s="33" t="s">
        <v>100</v>
      </c>
    </row>
    <row r="429" spans="1:12" x14ac:dyDescent="0.25">
      <c r="A429" s="32">
        <v>46239</v>
      </c>
      <c r="B429" s="33" t="s">
        <v>32</v>
      </c>
      <c r="C429" s="33" t="s">
        <v>603</v>
      </c>
      <c r="D429" s="33" t="s">
        <v>32</v>
      </c>
      <c r="E429">
        <v>34</v>
      </c>
      <c r="F429" s="34">
        <v>0.23401620370370371</v>
      </c>
      <c r="G429" s="34">
        <v>6.8828295206971677E-3</v>
      </c>
      <c r="H429" s="34">
        <v>0.23295138888888889</v>
      </c>
      <c r="I429" s="34">
        <v>2.2337962962962962E-3</v>
      </c>
      <c r="J429" s="35">
        <v>9.5891091568539762E-3</v>
      </c>
      <c r="K429" s="33" t="s">
        <v>242</v>
      </c>
      <c r="L429" s="33" t="s">
        <v>233</v>
      </c>
    </row>
    <row r="430" spans="1:12" x14ac:dyDescent="0.25">
      <c r="A430" s="32">
        <v>46239</v>
      </c>
      <c r="B430" s="33" t="s">
        <v>32</v>
      </c>
      <c r="C430" s="33" t="s">
        <v>553</v>
      </c>
      <c r="D430" s="33" t="s">
        <v>80</v>
      </c>
      <c r="E430">
        <v>1</v>
      </c>
      <c r="F430" s="34">
        <v>4.2476851851851851E-3</v>
      </c>
      <c r="G430" s="34">
        <v>4.2476851851851851E-3</v>
      </c>
      <c r="H430" s="34">
        <v>0.38260416666666669</v>
      </c>
      <c r="I430" s="34">
        <v>3.3564814814814812E-4</v>
      </c>
      <c r="J430" s="35">
        <v>8.7727258976918641E-4</v>
      </c>
      <c r="K430" s="33" t="s">
        <v>252</v>
      </c>
      <c r="L430" s="33" t="s">
        <v>78</v>
      </c>
    </row>
    <row r="431" spans="1:12" x14ac:dyDescent="0.25">
      <c r="A431" s="32">
        <v>46239</v>
      </c>
      <c r="B431" s="33" t="s">
        <v>32</v>
      </c>
      <c r="C431" s="33" t="s">
        <v>518</v>
      </c>
      <c r="D431" s="33" t="s">
        <v>147</v>
      </c>
      <c r="E431">
        <v>10</v>
      </c>
      <c r="F431" s="34">
        <v>4.400462962962963E-2</v>
      </c>
      <c r="G431" s="34">
        <v>4.4004629629629628E-3</v>
      </c>
      <c r="H431" s="34">
        <v>0.3021875</v>
      </c>
      <c r="I431" s="34">
        <v>3.9178240740740743E-2</v>
      </c>
      <c r="J431" s="35">
        <v>0.12964878011413689</v>
      </c>
      <c r="K431" s="33" t="s">
        <v>500</v>
      </c>
      <c r="L431" s="33" t="s">
        <v>274</v>
      </c>
    </row>
    <row r="432" spans="1:12" x14ac:dyDescent="0.25">
      <c r="A432" s="32">
        <v>46239</v>
      </c>
      <c r="B432" s="33" t="s">
        <v>32</v>
      </c>
      <c r="C432" s="33" t="s">
        <v>684</v>
      </c>
      <c r="D432" s="33" t="s">
        <v>32</v>
      </c>
      <c r="E432">
        <v>23</v>
      </c>
      <c r="F432" s="34">
        <v>0.17666666666666667</v>
      </c>
      <c r="G432" s="34">
        <v>7.6811594202898549E-3</v>
      </c>
      <c r="H432" s="34">
        <v>0.25770833333333332</v>
      </c>
      <c r="I432" s="34">
        <v>5.7164351851851855E-2</v>
      </c>
      <c r="J432" s="35">
        <v>0.22181801850354804</v>
      </c>
      <c r="K432" s="33" t="s">
        <v>683</v>
      </c>
      <c r="L432" s="33" t="s">
        <v>233</v>
      </c>
    </row>
    <row r="433" spans="1:12" x14ac:dyDescent="0.25">
      <c r="A433" s="32">
        <v>46239</v>
      </c>
      <c r="B433" s="33" t="s">
        <v>32</v>
      </c>
      <c r="C433" s="33" t="s">
        <v>654</v>
      </c>
      <c r="D433" s="33" t="s">
        <v>32</v>
      </c>
      <c r="E433">
        <v>21</v>
      </c>
      <c r="F433" s="34">
        <v>0.20505787037037038</v>
      </c>
      <c r="G433" s="34">
        <v>9.7646604938271611E-3</v>
      </c>
      <c r="H433" s="34">
        <v>0.25224537037037037</v>
      </c>
      <c r="I433" s="34">
        <v>3.5312499999999997E-2</v>
      </c>
      <c r="J433" s="35">
        <v>0.13999265852987058</v>
      </c>
      <c r="K433" s="33" t="s">
        <v>653</v>
      </c>
      <c r="L433" s="33" t="s">
        <v>100</v>
      </c>
    </row>
    <row r="434" spans="1:12" x14ac:dyDescent="0.25">
      <c r="A434" s="32">
        <v>46239</v>
      </c>
      <c r="B434" s="33" t="s">
        <v>32</v>
      </c>
      <c r="C434" s="33" t="s">
        <v>509</v>
      </c>
      <c r="D434" s="33" t="s">
        <v>32</v>
      </c>
      <c r="E434">
        <v>9</v>
      </c>
      <c r="F434" s="34">
        <v>7.391203703703704E-2</v>
      </c>
      <c r="G434" s="34">
        <v>8.2124485596707826E-3</v>
      </c>
      <c r="H434" s="34">
        <v>0.23498842592592592</v>
      </c>
      <c r="I434" s="34">
        <v>0.17318287037037036</v>
      </c>
      <c r="J434" s="35">
        <v>0.73698468206668966</v>
      </c>
      <c r="K434" s="33" t="s">
        <v>52</v>
      </c>
      <c r="L434" s="33" t="s">
        <v>100</v>
      </c>
    </row>
    <row r="435" spans="1:12" x14ac:dyDescent="0.25">
      <c r="A435" s="32">
        <v>46239</v>
      </c>
      <c r="B435" s="33" t="s">
        <v>32</v>
      </c>
      <c r="C435" s="33" t="s">
        <v>519</v>
      </c>
      <c r="D435" s="33" t="s">
        <v>147</v>
      </c>
      <c r="E435">
        <v>8</v>
      </c>
      <c r="F435" s="34">
        <v>2.5694444444444443E-2</v>
      </c>
      <c r="G435" s="34">
        <v>3.2118055555555554E-3</v>
      </c>
      <c r="H435" s="34">
        <v>0.26627314814814818</v>
      </c>
      <c r="I435" s="34">
        <v>2.7627314814814816E-2</v>
      </c>
      <c r="J435" s="35">
        <v>0.10375554203251325</v>
      </c>
      <c r="K435" s="33" t="s">
        <v>164</v>
      </c>
      <c r="L435" s="33" t="s">
        <v>146</v>
      </c>
    </row>
    <row r="436" spans="1:12" x14ac:dyDescent="0.25">
      <c r="A436" s="32">
        <v>46239</v>
      </c>
      <c r="B436" s="33" t="s">
        <v>32</v>
      </c>
      <c r="C436" s="33" t="s">
        <v>656</v>
      </c>
      <c r="D436" s="33" t="s">
        <v>32</v>
      </c>
      <c r="E436">
        <v>26</v>
      </c>
      <c r="F436" s="34">
        <v>0.18623842592592593</v>
      </c>
      <c r="G436" s="34">
        <v>7.1630163817663819E-3</v>
      </c>
      <c r="H436" s="34">
        <v>0.26197916666666665</v>
      </c>
      <c r="I436" s="34">
        <v>3.3090277777777781E-2</v>
      </c>
      <c r="J436" s="35">
        <v>0.12630881378396291</v>
      </c>
      <c r="K436" s="33" t="s">
        <v>655</v>
      </c>
      <c r="L436" s="33" t="s">
        <v>100</v>
      </c>
    </row>
    <row r="437" spans="1:12" x14ac:dyDescent="0.25">
      <c r="A437" s="32">
        <v>46239</v>
      </c>
      <c r="B437" s="33" t="s">
        <v>32</v>
      </c>
      <c r="C437" s="33" t="s">
        <v>167</v>
      </c>
      <c r="D437" s="33" t="s">
        <v>147</v>
      </c>
      <c r="E437">
        <v>10</v>
      </c>
      <c r="F437" s="34">
        <v>1.7118055555555556E-2</v>
      </c>
      <c r="G437" s="34">
        <v>1.7118055555555556E-3</v>
      </c>
      <c r="H437" s="34">
        <v>0.25430555555555556</v>
      </c>
      <c r="I437" s="34">
        <v>3.6076388888888887E-2</v>
      </c>
      <c r="J437" s="35">
        <v>0.14186237028945931</v>
      </c>
      <c r="K437" s="33" t="s">
        <v>166</v>
      </c>
      <c r="L437" s="33" t="s">
        <v>146</v>
      </c>
    </row>
    <row r="438" spans="1:12" x14ac:dyDescent="0.25">
      <c r="A438" s="32">
        <v>46239</v>
      </c>
      <c r="B438" s="33" t="s">
        <v>32</v>
      </c>
      <c r="C438" s="33" t="s">
        <v>658</v>
      </c>
      <c r="D438" s="33" t="s">
        <v>147</v>
      </c>
      <c r="E438">
        <v>3</v>
      </c>
      <c r="F438" s="34">
        <v>1.511574074074074E-2</v>
      </c>
      <c r="G438" s="34">
        <v>5.0385802469135798E-3</v>
      </c>
      <c r="H438" s="34">
        <v>0.26233796296296297</v>
      </c>
      <c r="I438" s="34">
        <v>5.6180555555555553E-2</v>
      </c>
      <c r="J438" s="35">
        <v>0.21415335745168973</v>
      </c>
      <c r="K438" s="33" t="s">
        <v>657</v>
      </c>
      <c r="L438" s="33" t="s">
        <v>274</v>
      </c>
    </row>
    <row r="439" spans="1:12" x14ac:dyDescent="0.25">
      <c r="A439" s="32">
        <v>46239</v>
      </c>
      <c r="B439" s="33" t="s">
        <v>32</v>
      </c>
      <c r="C439" s="33" t="s">
        <v>660</v>
      </c>
      <c r="D439" s="33" t="s">
        <v>32</v>
      </c>
      <c r="E439">
        <v>8</v>
      </c>
      <c r="F439" s="34">
        <v>5.2638888888888888E-2</v>
      </c>
      <c r="G439" s="34">
        <v>6.579861111111111E-3</v>
      </c>
      <c r="H439" s="34">
        <v>0.2399537037037037</v>
      </c>
      <c r="I439" s="34">
        <v>0.19469907407407408</v>
      </c>
      <c r="J439" s="35">
        <v>0.81140266255064641</v>
      </c>
      <c r="K439" s="33" t="s">
        <v>659</v>
      </c>
      <c r="L439" s="33" t="s">
        <v>100</v>
      </c>
    </row>
    <row r="440" spans="1:12" x14ac:dyDescent="0.25">
      <c r="A440" s="32">
        <v>46239</v>
      </c>
      <c r="B440" s="33" t="s">
        <v>32</v>
      </c>
      <c r="C440" s="33" t="s">
        <v>528</v>
      </c>
      <c r="D440" s="33" t="s">
        <v>32</v>
      </c>
      <c r="E440">
        <v>25</v>
      </c>
      <c r="F440" s="34">
        <v>0.16215277777777778</v>
      </c>
      <c r="G440" s="34">
        <v>6.4861111111111118E-3</v>
      </c>
      <c r="H440" s="34">
        <v>0.26515046296296296</v>
      </c>
      <c r="I440" s="34">
        <v>5.5648148148148148E-2</v>
      </c>
      <c r="J440" s="35">
        <v>0.20987384870574882</v>
      </c>
      <c r="K440" s="33" t="s">
        <v>254</v>
      </c>
      <c r="L440" s="33" t="s">
        <v>233</v>
      </c>
    </row>
    <row r="441" spans="1:12" x14ac:dyDescent="0.25">
      <c r="A441" s="32">
        <v>46239</v>
      </c>
      <c r="B441" s="33" t="s">
        <v>32</v>
      </c>
      <c r="C441" s="33" t="s">
        <v>520</v>
      </c>
      <c r="D441" s="33" t="s">
        <v>147</v>
      </c>
      <c r="E441">
        <v>10</v>
      </c>
      <c r="F441" s="34">
        <v>3.8587962962962963E-2</v>
      </c>
      <c r="G441" s="34">
        <v>3.8587962962962964E-3</v>
      </c>
      <c r="H441" s="34">
        <v>0.28078703703703706</v>
      </c>
      <c r="I441" s="34">
        <v>4.974537037037037E-2</v>
      </c>
      <c r="J441" s="35">
        <v>0.17716405605935695</v>
      </c>
      <c r="K441" s="33" t="s">
        <v>168</v>
      </c>
      <c r="L441" s="33" t="s">
        <v>274</v>
      </c>
    </row>
    <row r="442" spans="1:12" x14ac:dyDescent="0.25">
      <c r="A442" s="32">
        <v>46239</v>
      </c>
      <c r="B442" s="33" t="s">
        <v>32</v>
      </c>
      <c r="C442" s="33" t="s">
        <v>521</v>
      </c>
      <c r="D442" s="33" t="s">
        <v>147</v>
      </c>
      <c r="E442">
        <v>3</v>
      </c>
      <c r="F442" s="34">
        <v>1.4201388888888888E-2</v>
      </c>
      <c r="G442" s="34">
        <v>4.7337962962962958E-3</v>
      </c>
      <c r="H442" s="34">
        <v>0.26238425925925923</v>
      </c>
      <c r="I442" s="34">
        <v>5.6412037037037038E-2</v>
      </c>
      <c r="J442" s="35">
        <v>0.21499779444199385</v>
      </c>
      <c r="K442" s="33" t="s">
        <v>170</v>
      </c>
      <c r="L442" s="33" t="s">
        <v>146</v>
      </c>
    </row>
    <row r="443" spans="1:12" x14ac:dyDescent="0.25">
      <c r="A443" s="32">
        <v>46239</v>
      </c>
      <c r="B443" s="33" t="s">
        <v>32</v>
      </c>
      <c r="C443" s="33" t="s">
        <v>529</v>
      </c>
      <c r="D443" s="33" t="s">
        <v>32</v>
      </c>
      <c r="E443">
        <v>21</v>
      </c>
      <c r="F443" s="34">
        <v>0.15212962962962964</v>
      </c>
      <c r="G443" s="34">
        <v>7.2442680776014113E-3</v>
      </c>
      <c r="H443" s="34">
        <v>0.26023148148148151</v>
      </c>
      <c r="I443" s="34">
        <v>5.3368055555555557E-2</v>
      </c>
      <c r="J443" s="35">
        <v>0.20507916740793453</v>
      </c>
      <c r="K443" s="33" t="s">
        <v>256</v>
      </c>
      <c r="L443" s="33" t="s">
        <v>233</v>
      </c>
    </row>
    <row r="444" spans="1:12" x14ac:dyDescent="0.25">
      <c r="A444" s="32">
        <v>46239</v>
      </c>
      <c r="B444" s="33" t="s">
        <v>32</v>
      </c>
      <c r="C444" s="33" t="s">
        <v>554</v>
      </c>
      <c r="D444" s="33" t="s">
        <v>32</v>
      </c>
      <c r="E444">
        <v>5</v>
      </c>
      <c r="F444" s="34">
        <v>5.2928240740740741E-2</v>
      </c>
      <c r="G444" s="34">
        <v>1.0585648148148148E-2</v>
      </c>
      <c r="H444" s="34">
        <v>0.1900462962962963</v>
      </c>
      <c r="I444" s="34">
        <v>0.15329861111111112</v>
      </c>
      <c r="J444" s="35">
        <v>0.80663824604141299</v>
      </c>
      <c r="K444" s="33" t="s">
        <v>258</v>
      </c>
      <c r="L444" s="33" t="s">
        <v>233</v>
      </c>
    </row>
    <row r="445" spans="1:12" x14ac:dyDescent="0.25">
      <c r="A445" s="32">
        <v>46239</v>
      </c>
      <c r="B445" s="33" t="s">
        <v>32</v>
      </c>
      <c r="C445" s="33" t="s">
        <v>662</v>
      </c>
      <c r="D445" s="33" t="s">
        <v>32</v>
      </c>
      <c r="E445">
        <v>24</v>
      </c>
      <c r="F445" s="34">
        <v>0.2101851851851852</v>
      </c>
      <c r="G445" s="34">
        <v>8.7577160493827171E-3</v>
      </c>
      <c r="H445" s="34">
        <v>0.26105324074074077</v>
      </c>
      <c r="I445" s="34">
        <v>4.3888888888888887E-2</v>
      </c>
      <c r="J445" s="35">
        <v>0.16812236754599866</v>
      </c>
      <c r="K445" s="33" t="s">
        <v>661</v>
      </c>
      <c r="L445" s="33" t="s">
        <v>100</v>
      </c>
    </row>
    <row r="446" spans="1:12" x14ac:dyDescent="0.25">
      <c r="A446" s="32">
        <v>46239</v>
      </c>
      <c r="B446" s="33" t="s">
        <v>32</v>
      </c>
      <c r="C446" s="33" t="s">
        <v>664</v>
      </c>
      <c r="D446" s="33" t="s">
        <v>32</v>
      </c>
      <c r="E446">
        <v>20</v>
      </c>
      <c r="F446" s="34">
        <v>0.17737268518518517</v>
      </c>
      <c r="G446" s="34">
        <v>8.8686342592592584E-3</v>
      </c>
      <c r="H446" s="34">
        <v>0.24888888888888888</v>
      </c>
      <c r="I446" s="34">
        <v>3.3136574074074075E-2</v>
      </c>
      <c r="J446" s="35">
        <v>0.13313802083333334</v>
      </c>
      <c r="K446" s="33" t="s">
        <v>663</v>
      </c>
      <c r="L446" s="33" t="s">
        <v>233</v>
      </c>
    </row>
    <row r="447" spans="1:12" x14ac:dyDescent="0.25">
      <c r="A447" s="32">
        <v>46239</v>
      </c>
      <c r="B447" s="33" t="s">
        <v>32</v>
      </c>
      <c r="C447" s="33" t="s">
        <v>666</v>
      </c>
      <c r="D447" s="33" t="s">
        <v>32</v>
      </c>
      <c r="E447">
        <v>28</v>
      </c>
      <c r="F447" s="34">
        <v>0.22866898148148149</v>
      </c>
      <c r="G447" s="34">
        <v>8.1667493386243396E-3</v>
      </c>
      <c r="H447" s="34">
        <v>0.26418981481481479</v>
      </c>
      <c r="I447" s="34">
        <v>3.1863425925925927E-2</v>
      </c>
      <c r="J447" s="35">
        <v>0.12060807850696575</v>
      </c>
      <c r="K447" s="33" t="s">
        <v>665</v>
      </c>
      <c r="L447" s="33" t="s">
        <v>100</v>
      </c>
    </row>
    <row r="448" spans="1:12" x14ac:dyDescent="0.25">
      <c r="A448" s="32">
        <v>46239</v>
      </c>
      <c r="B448" s="33" t="s">
        <v>32</v>
      </c>
      <c r="C448" s="33" t="s">
        <v>555</v>
      </c>
      <c r="D448" s="33" t="s">
        <v>32</v>
      </c>
      <c r="E448">
        <v>43</v>
      </c>
      <c r="F448" s="34">
        <v>0.16351851851851851</v>
      </c>
      <c r="G448" s="34">
        <v>3.8027562446167093E-3</v>
      </c>
      <c r="H448" s="34">
        <v>0.25171296296296297</v>
      </c>
      <c r="I448" s="34">
        <v>4.6006944444444448E-2</v>
      </c>
      <c r="J448" s="35">
        <v>0.18277542762552879</v>
      </c>
      <c r="K448" s="33" t="s">
        <v>128</v>
      </c>
      <c r="L448" s="33" t="s">
        <v>233</v>
      </c>
    </row>
    <row r="449" spans="1:12" x14ac:dyDescent="0.25">
      <c r="A449" s="32">
        <v>46239</v>
      </c>
      <c r="B449" s="33" t="s">
        <v>32</v>
      </c>
      <c r="C449" s="33" t="s">
        <v>522</v>
      </c>
      <c r="D449" s="33" t="s">
        <v>147</v>
      </c>
      <c r="E449">
        <v>8</v>
      </c>
      <c r="F449" s="34">
        <v>4.791666666666667E-2</v>
      </c>
      <c r="G449" s="34">
        <v>5.9895833333333337E-3</v>
      </c>
      <c r="H449" s="34">
        <v>0.2638888888888889</v>
      </c>
      <c r="I449" s="34">
        <v>3.9027777777777779E-2</v>
      </c>
      <c r="J449" s="35">
        <v>0.14789473684210527</v>
      </c>
      <c r="K449" s="33" t="s">
        <v>178</v>
      </c>
      <c r="L449" s="33" t="s">
        <v>146</v>
      </c>
    </row>
    <row r="450" spans="1:12" x14ac:dyDescent="0.25">
      <c r="A450" s="32">
        <v>46239</v>
      </c>
      <c r="B450" s="33" t="s">
        <v>32</v>
      </c>
      <c r="C450" s="33" t="s">
        <v>531</v>
      </c>
      <c r="D450" s="33" t="s">
        <v>32</v>
      </c>
      <c r="E450">
        <v>4</v>
      </c>
      <c r="F450" s="34">
        <v>3.3599537037037039E-2</v>
      </c>
      <c r="G450" s="34">
        <v>8.3998842592592597E-3</v>
      </c>
      <c r="H450" s="34">
        <v>0.25738425925925928</v>
      </c>
      <c r="I450" s="34">
        <v>0.23697916666666666</v>
      </c>
      <c r="J450" s="35">
        <v>0.92072128788560115</v>
      </c>
      <c r="K450" s="33" t="s">
        <v>266</v>
      </c>
      <c r="L450" s="33" t="s">
        <v>233</v>
      </c>
    </row>
    <row r="451" spans="1:12" x14ac:dyDescent="0.25">
      <c r="A451" s="32">
        <v>46239</v>
      </c>
      <c r="B451" s="33" t="s">
        <v>32</v>
      </c>
      <c r="C451" s="33" t="s">
        <v>523</v>
      </c>
      <c r="D451" s="33" t="s">
        <v>147</v>
      </c>
      <c r="E451">
        <v>11</v>
      </c>
      <c r="F451" s="34">
        <v>4.3194444444444445E-2</v>
      </c>
      <c r="G451" s="34">
        <v>3.9267676767676769E-3</v>
      </c>
      <c r="H451" s="34">
        <v>0.32966435185185183</v>
      </c>
      <c r="I451" s="34">
        <v>5.4050925925925926E-2</v>
      </c>
      <c r="J451" s="35">
        <v>0.16395744830249623</v>
      </c>
      <c r="K451" s="33" t="s">
        <v>180</v>
      </c>
      <c r="L451" s="33" t="s">
        <v>146</v>
      </c>
    </row>
    <row r="452" spans="1:12" x14ac:dyDescent="0.25">
      <c r="A452" s="32">
        <v>46239</v>
      </c>
      <c r="B452" s="33" t="s">
        <v>32</v>
      </c>
      <c r="C452" s="33" t="s">
        <v>566</v>
      </c>
      <c r="D452" s="33" t="s">
        <v>147</v>
      </c>
      <c r="E452">
        <v>5</v>
      </c>
      <c r="F452" s="34">
        <v>2.5902777777777778E-2</v>
      </c>
      <c r="G452" s="34">
        <v>5.1805555555555554E-3</v>
      </c>
      <c r="H452" s="34">
        <v>0.24853009259259259</v>
      </c>
      <c r="I452" s="34">
        <v>2.7511574074074074E-2</v>
      </c>
      <c r="J452" s="35">
        <v>0.11069715456619941</v>
      </c>
      <c r="K452" s="33" t="s">
        <v>207</v>
      </c>
      <c r="L452" s="33" t="s">
        <v>274</v>
      </c>
    </row>
    <row r="453" spans="1:12" x14ac:dyDescent="0.25">
      <c r="A453" s="32">
        <v>46239</v>
      </c>
      <c r="B453" s="33" t="s">
        <v>32</v>
      </c>
      <c r="C453" s="33" t="s">
        <v>510</v>
      </c>
      <c r="D453" s="33" t="s">
        <v>32</v>
      </c>
      <c r="E453">
        <v>39</v>
      </c>
      <c r="F453" s="34">
        <v>0.25423611111111111</v>
      </c>
      <c r="G453" s="34">
        <v>6.5188746438746437E-3</v>
      </c>
      <c r="H453" s="34">
        <v>0.26583333333333331</v>
      </c>
      <c r="I453" s="34">
        <v>3.1944444444444442E-2</v>
      </c>
      <c r="J453" s="35">
        <v>0.12016718913270638</v>
      </c>
      <c r="K453" s="33" t="s">
        <v>60</v>
      </c>
      <c r="L453" s="33" t="s">
        <v>100</v>
      </c>
    </row>
    <row r="454" spans="1:12" x14ac:dyDescent="0.25">
      <c r="A454" s="32">
        <v>46239</v>
      </c>
      <c r="B454" s="33" t="s">
        <v>32</v>
      </c>
      <c r="C454" s="33" t="s">
        <v>524</v>
      </c>
      <c r="D454" s="33" t="s">
        <v>147</v>
      </c>
      <c r="E454">
        <v>9</v>
      </c>
      <c r="F454" s="34">
        <v>1.8993055555555555E-2</v>
      </c>
      <c r="G454" s="34">
        <v>2.1103395061728395E-3</v>
      </c>
      <c r="H454" s="34">
        <v>0.29920138888888886</v>
      </c>
      <c r="I454" s="34">
        <v>4.1365740740740738E-2</v>
      </c>
      <c r="J454" s="35">
        <v>0.1382538393098913</v>
      </c>
      <c r="K454" s="33" t="s">
        <v>501</v>
      </c>
      <c r="L454" s="33" t="s">
        <v>274</v>
      </c>
    </row>
    <row r="455" spans="1:12" x14ac:dyDescent="0.25">
      <c r="A455" s="32">
        <v>46239</v>
      </c>
      <c r="B455" s="33" t="s">
        <v>32</v>
      </c>
      <c r="C455" s="33" t="s">
        <v>669</v>
      </c>
      <c r="D455" s="33" t="s">
        <v>32</v>
      </c>
      <c r="E455">
        <v>21</v>
      </c>
      <c r="F455" s="34">
        <v>9.0983796296296299E-2</v>
      </c>
      <c r="G455" s="34">
        <v>4.3325617283950617E-3</v>
      </c>
      <c r="H455" s="34">
        <v>0.22640046296296296</v>
      </c>
      <c r="I455" s="34">
        <v>7.946759259259259E-2</v>
      </c>
      <c r="J455" s="35">
        <v>0.35100454986963858</v>
      </c>
      <c r="K455" s="33" t="s">
        <v>668</v>
      </c>
      <c r="L455" s="33" t="s">
        <v>233</v>
      </c>
    </row>
    <row r="456" spans="1:12" x14ac:dyDescent="0.25">
      <c r="A456" s="32">
        <v>46239</v>
      </c>
      <c r="B456" s="33" t="s">
        <v>32</v>
      </c>
      <c r="C456" s="33" t="s">
        <v>670</v>
      </c>
      <c r="D456" s="33" t="s">
        <v>32</v>
      </c>
      <c r="E456">
        <v>27</v>
      </c>
      <c r="F456" s="34">
        <v>0.20034722222222223</v>
      </c>
      <c r="G456" s="34">
        <v>7.4202674897119346E-3</v>
      </c>
      <c r="H456" s="34">
        <v>0.26175925925925925</v>
      </c>
      <c r="I456" s="34">
        <v>5.859953703703704E-2</v>
      </c>
      <c r="J456" s="35">
        <v>0.22386805801202692</v>
      </c>
      <c r="K456" s="33" t="s">
        <v>744</v>
      </c>
      <c r="L456" s="33" t="s">
        <v>100</v>
      </c>
    </row>
    <row r="457" spans="1:12" x14ac:dyDescent="0.25">
      <c r="A457" s="32">
        <v>46239</v>
      </c>
      <c r="B457" s="33" t="s">
        <v>32</v>
      </c>
      <c r="C457" s="33" t="s">
        <v>306</v>
      </c>
      <c r="D457" s="33" t="s">
        <v>32</v>
      </c>
      <c r="E457">
        <v>46</v>
      </c>
      <c r="F457" s="34">
        <v>0.27462962962962961</v>
      </c>
      <c r="G457" s="34">
        <v>5.9702093397745572E-3</v>
      </c>
      <c r="H457" s="34">
        <v>0.26266203703703705</v>
      </c>
      <c r="I457" s="34">
        <v>4.2604166666666665E-2</v>
      </c>
      <c r="J457" s="35">
        <v>0.1622014629417467</v>
      </c>
      <c r="K457" s="33" t="s">
        <v>305</v>
      </c>
      <c r="L457" s="33" t="s">
        <v>100</v>
      </c>
    </row>
    <row r="458" spans="1:12" x14ac:dyDescent="0.25">
      <c r="A458" s="32">
        <v>46239</v>
      </c>
      <c r="B458" s="33" t="s">
        <v>32</v>
      </c>
      <c r="C458" s="33" t="s">
        <v>532</v>
      </c>
      <c r="D458" s="33" t="s">
        <v>32</v>
      </c>
      <c r="E458">
        <v>26</v>
      </c>
      <c r="F458" s="34">
        <v>8.835648148148148E-2</v>
      </c>
      <c r="G458" s="34">
        <v>3.3983262108262108E-3</v>
      </c>
      <c r="H458" s="34">
        <v>0.24767361111111111</v>
      </c>
      <c r="I458" s="34">
        <v>9.2175925925925925E-2</v>
      </c>
      <c r="J458" s="35">
        <v>0.37216692368802279</v>
      </c>
      <c r="K458" s="33" t="s">
        <v>276</v>
      </c>
      <c r="L458" s="33" t="s">
        <v>233</v>
      </c>
    </row>
    <row r="459" spans="1:12" x14ac:dyDescent="0.25">
      <c r="A459" s="32">
        <v>46239</v>
      </c>
      <c r="B459" s="33" t="s">
        <v>32</v>
      </c>
      <c r="C459" s="33" t="s">
        <v>533</v>
      </c>
      <c r="D459" s="33" t="s">
        <v>32</v>
      </c>
      <c r="E459">
        <v>24</v>
      </c>
      <c r="F459" s="34">
        <v>0.15878472222222223</v>
      </c>
      <c r="G459" s="34">
        <v>6.6160300925925926E-3</v>
      </c>
      <c r="H459" s="34">
        <v>0.26526620370370368</v>
      </c>
      <c r="I459" s="34">
        <v>3.6249999999999998E-2</v>
      </c>
      <c r="J459" s="35">
        <v>0.13665517692744011</v>
      </c>
      <c r="K459" s="33" t="s">
        <v>278</v>
      </c>
      <c r="L459" s="33" t="s">
        <v>233</v>
      </c>
    </row>
    <row r="460" spans="1:12" x14ac:dyDescent="0.25">
      <c r="A460" s="32">
        <v>46239</v>
      </c>
      <c r="B460" s="33" t="s">
        <v>32</v>
      </c>
      <c r="C460" s="33" t="s">
        <v>511</v>
      </c>
      <c r="D460" s="33" t="s">
        <v>80</v>
      </c>
      <c r="E460">
        <v>6</v>
      </c>
      <c r="F460" s="34">
        <v>9.479166666666667E-3</v>
      </c>
      <c r="G460" s="34">
        <v>1.5798611111111111E-3</v>
      </c>
      <c r="H460" s="34">
        <v>0.23947916666666666</v>
      </c>
      <c r="I460" s="34">
        <v>2.2893518518518518E-2</v>
      </c>
      <c r="J460" s="35">
        <v>9.5597119520564502E-2</v>
      </c>
      <c r="K460" s="33" t="s">
        <v>313</v>
      </c>
      <c r="L460" s="33" t="s">
        <v>78</v>
      </c>
    </row>
    <row r="461" spans="1:12" x14ac:dyDescent="0.25">
      <c r="A461" s="32">
        <v>46239</v>
      </c>
      <c r="B461" s="33" t="s">
        <v>32</v>
      </c>
      <c r="C461" s="33" t="s">
        <v>534</v>
      </c>
      <c r="D461" s="33" t="s">
        <v>32</v>
      </c>
      <c r="E461">
        <v>39</v>
      </c>
      <c r="F461" s="34">
        <v>0.13907407407407407</v>
      </c>
      <c r="G461" s="34">
        <v>3.5660018993352327E-3</v>
      </c>
      <c r="H461" s="34">
        <v>0.25849537037037035</v>
      </c>
      <c r="I461" s="34">
        <v>3.667824074074074E-2</v>
      </c>
      <c r="J461" s="35">
        <v>0.14189128682725891</v>
      </c>
      <c r="K461" s="33" t="s">
        <v>280</v>
      </c>
      <c r="L461" s="33" t="s">
        <v>233</v>
      </c>
    </row>
    <row r="462" spans="1:12" x14ac:dyDescent="0.25">
      <c r="A462" s="32">
        <v>46239</v>
      </c>
      <c r="B462" s="33" t="s">
        <v>32</v>
      </c>
      <c r="C462" s="33" t="s">
        <v>535</v>
      </c>
      <c r="D462" s="33" t="s">
        <v>32</v>
      </c>
      <c r="E462">
        <v>30</v>
      </c>
      <c r="F462" s="34">
        <v>6.267361111111111E-2</v>
      </c>
      <c r="G462" s="34">
        <v>2.0891203703703705E-3</v>
      </c>
      <c r="H462" s="34">
        <v>0.23754629629629628</v>
      </c>
      <c r="I462" s="34">
        <v>8.1215277777777775E-2</v>
      </c>
      <c r="J462" s="35">
        <v>0.34189241863184566</v>
      </c>
      <c r="K462" s="33" t="s">
        <v>282</v>
      </c>
      <c r="L462" s="33" t="s">
        <v>233</v>
      </c>
    </row>
    <row r="463" spans="1:12" x14ac:dyDescent="0.25">
      <c r="A463" s="32">
        <v>46239</v>
      </c>
      <c r="B463" s="33" t="s">
        <v>32</v>
      </c>
      <c r="C463" s="33" t="s">
        <v>557</v>
      </c>
      <c r="D463" s="33" t="s">
        <v>147</v>
      </c>
      <c r="E463">
        <v>4</v>
      </c>
      <c r="F463" s="34">
        <v>2.6875E-2</v>
      </c>
      <c r="G463" s="34">
        <v>6.7187499999999999E-3</v>
      </c>
      <c r="H463" s="34">
        <v>0.26290509259259259</v>
      </c>
      <c r="I463" s="34">
        <v>3.5648148148148151E-2</v>
      </c>
      <c r="J463" s="35">
        <v>0.13559322033898305</v>
      </c>
      <c r="K463" s="33" t="s">
        <v>227</v>
      </c>
      <c r="L463" s="33" t="s">
        <v>146</v>
      </c>
    </row>
    <row r="464" spans="1:12" x14ac:dyDescent="0.25">
      <c r="A464" s="32">
        <v>46239</v>
      </c>
      <c r="B464" s="33" t="s">
        <v>32</v>
      </c>
      <c r="C464" s="33" t="s">
        <v>678</v>
      </c>
      <c r="D464" s="33" t="s">
        <v>147</v>
      </c>
      <c r="E464">
        <v>10</v>
      </c>
      <c r="F464" s="34">
        <v>4.9675925925925929E-2</v>
      </c>
      <c r="G464" s="34">
        <v>4.9675925925925929E-3</v>
      </c>
      <c r="H464" s="34">
        <v>0.26020833333333332</v>
      </c>
      <c r="I464" s="34">
        <v>4.4652777777777777E-2</v>
      </c>
      <c r="J464" s="35">
        <v>0.17160394982652791</v>
      </c>
      <c r="K464" s="33" t="s">
        <v>677</v>
      </c>
      <c r="L464" s="33" t="s">
        <v>274</v>
      </c>
    </row>
    <row r="465" spans="1:12" x14ac:dyDescent="0.25">
      <c r="A465" s="32">
        <v>46239</v>
      </c>
      <c r="B465" s="33" t="s">
        <v>32</v>
      </c>
      <c r="C465" s="33" t="s">
        <v>680</v>
      </c>
      <c r="D465" s="33" t="s">
        <v>147</v>
      </c>
      <c r="E465">
        <v>9</v>
      </c>
      <c r="F465" s="34">
        <v>1.9884259259259258E-2</v>
      </c>
      <c r="G465" s="34">
        <v>2.2093621399176954E-3</v>
      </c>
      <c r="H465" s="34">
        <v>0.25871527777777775</v>
      </c>
      <c r="I465" s="34">
        <v>7.121527777777778E-2</v>
      </c>
      <c r="J465" s="35">
        <v>0.27526506509193399</v>
      </c>
      <c r="K465" s="33" t="s">
        <v>679</v>
      </c>
      <c r="L465" s="33" t="s">
        <v>274</v>
      </c>
    </row>
    <row r="466" spans="1:12" x14ac:dyDescent="0.25">
      <c r="A466" s="32">
        <v>46239</v>
      </c>
      <c r="B466" s="33" t="s">
        <v>600</v>
      </c>
      <c r="C466" s="33" t="s">
        <v>545</v>
      </c>
      <c r="D466" s="33" t="s">
        <v>600</v>
      </c>
      <c r="E466">
        <v>32</v>
      </c>
      <c r="F466" s="34">
        <v>7.4652777777777776E-2</v>
      </c>
      <c r="G466" s="34">
        <v>2.3328993055555555E-3</v>
      </c>
      <c r="H466" s="34">
        <v>0.24052083333333332</v>
      </c>
      <c r="I466" s="34">
        <v>4.6956018518518522E-2</v>
      </c>
      <c r="J466" s="35">
        <v>0.19522640873875177</v>
      </c>
      <c r="K466" s="33" t="s">
        <v>201</v>
      </c>
      <c r="L466" s="33" t="s">
        <v>601</v>
      </c>
    </row>
    <row r="467" spans="1:12" x14ac:dyDescent="0.25">
      <c r="A467" s="32">
        <v>46239</v>
      </c>
      <c r="B467" s="33" t="s">
        <v>600</v>
      </c>
      <c r="C467" s="33" t="s">
        <v>543</v>
      </c>
      <c r="D467" s="33" t="s">
        <v>600</v>
      </c>
      <c r="E467">
        <v>29</v>
      </c>
      <c r="F467" s="34">
        <v>0.10622685185185185</v>
      </c>
      <c r="G467" s="34">
        <v>3.6629948914431673E-3</v>
      </c>
      <c r="H467" s="34">
        <v>0.24886574074074075</v>
      </c>
      <c r="I467" s="34">
        <v>0.12047453703703703</v>
      </c>
      <c r="J467" s="35">
        <v>0.48409450283694538</v>
      </c>
      <c r="K467" s="33" t="s">
        <v>293</v>
      </c>
      <c r="L467" s="33" t="s">
        <v>104</v>
      </c>
    </row>
    <row r="468" spans="1:12" x14ac:dyDescent="0.25">
      <c r="A468" s="32">
        <v>46240</v>
      </c>
      <c r="B468" s="33" t="s">
        <v>147</v>
      </c>
      <c r="C468" s="33" t="s">
        <v>563</v>
      </c>
      <c r="D468" s="33" t="s">
        <v>147</v>
      </c>
      <c r="E468">
        <v>12</v>
      </c>
      <c r="F468" s="34">
        <v>4.386574074074074E-2</v>
      </c>
      <c r="G468" s="34">
        <v>3.6554783950617283E-3</v>
      </c>
      <c r="H468" s="34">
        <v>0.26275462962962964</v>
      </c>
      <c r="I468" s="34">
        <v>2.9374999999999998E-2</v>
      </c>
      <c r="J468" s="35">
        <v>0.11179631750506562</v>
      </c>
      <c r="K468" s="33" t="s">
        <v>193</v>
      </c>
      <c r="L468" s="33" t="s">
        <v>274</v>
      </c>
    </row>
    <row r="469" spans="1:12" x14ac:dyDescent="0.25">
      <c r="A469" s="32">
        <v>46240</v>
      </c>
      <c r="B469" s="33" t="s">
        <v>147</v>
      </c>
      <c r="C469" s="33" t="s">
        <v>515</v>
      </c>
      <c r="D469" s="33" t="s">
        <v>147</v>
      </c>
      <c r="E469">
        <v>12</v>
      </c>
      <c r="F469" s="34">
        <v>3.0613425925925926E-2</v>
      </c>
      <c r="G469" s="34">
        <v>2.551118827160494E-3</v>
      </c>
      <c r="H469" s="34">
        <v>0.26295138888888892</v>
      </c>
      <c r="I469" s="34">
        <v>4.2013888888888892E-2</v>
      </c>
      <c r="J469" s="35">
        <v>0.15977815924996699</v>
      </c>
      <c r="K469" s="33" t="s">
        <v>154</v>
      </c>
      <c r="L469" s="33" t="s">
        <v>146</v>
      </c>
    </row>
    <row r="470" spans="1:12" x14ac:dyDescent="0.25">
      <c r="A470" s="32">
        <v>46240</v>
      </c>
      <c r="B470" s="33" t="s">
        <v>147</v>
      </c>
      <c r="C470" s="33" t="s">
        <v>516</v>
      </c>
      <c r="D470" s="33" t="s">
        <v>147</v>
      </c>
      <c r="E470">
        <v>13</v>
      </c>
      <c r="F470" s="34">
        <v>5.1608796296296298E-2</v>
      </c>
      <c r="G470" s="34">
        <v>3.9699074074074072E-3</v>
      </c>
      <c r="H470" s="34">
        <v>0.27407407407407408</v>
      </c>
      <c r="I470" s="34">
        <v>4.8032407407407406E-2</v>
      </c>
      <c r="J470" s="35">
        <v>0.17525337837837837</v>
      </c>
      <c r="K470" s="33" t="s">
        <v>156</v>
      </c>
      <c r="L470" s="33" t="s">
        <v>146</v>
      </c>
    </row>
    <row r="471" spans="1:12" x14ac:dyDescent="0.25">
      <c r="A471" s="32">
        <v>46240</v>
      </c>
      <c r="B471" s="33" t="s">
        <v>147</v>
      </c>
      <c r="C471" s="33" t="s">
        <v>544</v>
      </c>
      <c r="D471" s="33" t="s">
        <v>147</v>
      </c>
      <c r="E471">
        <v>11</v>
      </c>
      <c r="F471" s="34">
        <v>2.9537037037037039E-2</v>
      </c>
      <c r="G471" s="34">
        <v>2.6851851851851854E-3</v>
      </c>
      <c r="H471" s="34">
        <v>0.25135416666666666</v>
      </c>
      <c r="I471" s="34">
        <v>5.662037037037037E-2</v>
      </c>
      <c r="J471" s="35">
        <v>0.22526131601970806</v>
      </c>
      <c r="K471" s="33" t="s">
        <v>160</v>
      </c>
      <c r="L471" s="33" t="s">
        <v>146</v>
      </c>
    </row>
    <row r="472" spans="1:12" x14ac:dyDescent="0.25">
      <c r="A472" s="32">
        <v>46240</v>
      </c>
      <c r="B472" s="33" t="s">
        <v>147</v>
      </c>
      <c r="C472" s="33" t="s">
        <v>517</v>
      </c>
      <c r="D472" s="33" t="s">
        <v>147</v>
      </c>
      <c r="E472">
        <v>9</v>
      </c>
      <c r="F472" s="34">
        <v>3.439814814814815E-2</v>
      </c>
      <c r="G472" s="34">
        <v>3.82201646090535E-3</v>
      </c>
      <c r="H472" s="34">
        <v>0.31574074074074077</v>
      </c>
      <c r="I472" s="34">
        <v>0.10319444444444445</v>
      </c>
      <c r="J472" s="35">
        <v>0.32683284457478007</v>
      </c>
      <c r="K472" s="33" t="s">
        <v>499</v>
      </c>
      <c r="L472" s="33" t="s">
        <v>146</v>
      </c>
    </row>
    <row r="473" spans="1:12" x14ac:dyDescent="0.25">
      <c r="A473" s="32">
        <v>46240</v>
      </c>
      <c r="B473" s="33" t="s">
        <v>147</v>
      </c>
      <c r="C473" s="33" t="s">
        <v>518</v>
      </c>
      <c r="D473" s="33" t="s">
        <v>147</v>
      </c>
      <c r="E473">
        <v>15</v>
      </c>
      <c r="F473" s="34">
        <v>5.1273148148148151E-2</v>
      </c>
      <c r="G473" s="34">
        <v>3.4182098765432102E-3</v>
      </c>
      <c r="H473" s="34">
        <v>0.26591435185185186</v>
      </c>
      <c r="I473" s="34">
        <v>3.1678240740740743E-2</v>
      </c>
      <c r="J473" s="35">
        <v>0.11912948857453755</v>
      </c>
      <c r="K473" s="33" t="s">
        <v>500</v>
      </c>
      <c r="L473" s="33" t="s">
        <v>274</v>
      </c>
    </row>
    <row r="474" spans="1:12" x14ac:dyDescent="0.25">
      <c r="A474" s="32">
        <v>46240</v>
      </c>
      <c r="B474" s="33" t="s">
        <v>147</v>
      </c>
      <c r="C474" s="33" t="s">
        <v>519</v>
      </c>
      <c r="D474" s="33" t="s">
        <v>147</v>
      </c>
      <c r="E474">
        <v>15</v>
      </c>
      <c r="F474" s="34">
        <v>3.3113425925925928E-2</v>
      </c>
      <c r="G474" s="34">
        <v>2.207561728395062E-3</v>
      </c>
      <c r="H474" s="34">
        <v>0.26527777777777778</v>
      </c>
      <c r="I474" s="34">
        <v>4.8877314814814818E-2</v>
      </c>
      <c r="J474" s="35">
        <v>0.18424956369982548</v>
      </c>
      <c r="K474" s="33" t="s">
        <v>164</v>
      </c>
      <c r="L474" s="33" t="s">
        <v>146</v>
      </c>
    </row>
    <row r="475" spans="1:12" x14ac:dyDescent="0.25">
      <c r="A475" s="32">
        <v>46240</v>
      </c>
      <c r="B475" s="33" t="s">
        <v>147</v>
      </c>
      <c r="C475" s="33" t="s">
        <v>167</v>
      </c>
      <c r="D475" s="33" t="s">
        <v>147</v>
      </c>
      <c r="E475">
        <v>10</v>
      </c>
      <c r="F475" s="34">
        <v>4.1863425925925929E-2</v>
      </c>
      <c r="G475" s="34">
        <v>4.1863425925925931E-3</v>
      </c>
      <c r="H475" s="34">
        <v>0.25585648148148149</v>
      </c>
      <c r="I475" s="34">
        <v>4.4236111111111108E-2</v>
      </c>
      <c r="J475" s="35">
        <v>0.17289423685877137</v>
      </c>
      <c r="K475" s="33" t="s">
        <v>166</v>
      </c>
      <c r="L475" s="33" t="s">
        <v>146</v>
      </c>
    </row>
    <row r="476" spans="1:12" x14ac:dyDescent="0.25">
      <c r="A476" s="32">
        <v>46240</v>
      </c>
      <c r="B476" s="33" t="s">
        <v>147</v>
      </c>
      <c r="C476" s="33" t="s">
        <v>658</v>
      </c>
      <c r="D476" s="33" t="s">
        <v>147</v>
      </c>
      <c r="E476">
        <v>11</v>
      </c>
      <c r="F476" s="34">
        <v>4.4849537037037035E-2</v>
      </c>
      <c r="G476" s="34">
        <v>4.0772306397306394E-3</v>
      </c>
      <c r="H476" s="34">
        <v>0.25738425925925928</v>
      </c>
      <c r="I476" s="34">
        <v>5.7905092592592591E-2</v>
      </c>
      <c r="J476" s="35">
        <v>0.22497526756003236</v>
      </c>
      <c r="K476" s="33" t="s">
        <v>657</v>
      </c>
      <c r="L476" s="33" t="s">
        <v>274</v>
      </c>
    </row>
    <row r="477" spans="1:12" x14ac:dyDescent="0.25">
      <c r="A477" s="32">
        <v>46240</v>
      </c>
      <c r="B477" s="33" t="s">
        <v>147</v>
      </c>
      <c r="C477" s="33" t="s">
        <v>520</v>
      </c>
      <c r="D477" s="33" t="s">
        <v>147</v>
      </c>
      <c r="E477">
        <v>9</v>
      </c>
      <c r="F477" s="34">
        <v>4.704861111111111E-2</v>
      </c>
      <c r="G477" s="34">
        <v>5.2276234567901238E-3</v>
      </c>
      <c r="H477" s="34">
        <v>0.26665509259259257</v>
      </c>
      <c r="I477" s="34">
        <v>4.2268518518518518E-2</v>
      </c>
      <c r="J477" s="35">
        <v>0.15851382438473893</v>
      </c>
      <c r="K477" s="33" t="s">
        <v>168</v>
      </c>
      <c r="L477" s="33" t="s">
        <v>274</v>
      </c>
    </row>
    <row r="478" spans="1:12" x14ac:dyDescent="0.25">
      <c r="A478" s="32">
        <v>46240</v>
      </c>
      <c r="B478" s="33" t="s">
        <v>147</v>
      </c>
      <c r="C478" s="33" t="s">
        <v>521</v>
      </c>
      <c r="D478" s="33" t="s">
        <v>147</v>
      </c>
      <c r="E478">
        <v>10</v>
      </c>
      <c r="F478" s="34">
        <v>4.8113425925925928E-2</v>
      </c>
      <c r="G478" s="34">
        <v>4.8113425925925928E-3</v>
      </c>
      <c r="H478" s="34">
        <v>0.26866898148148149</v>
      </c>
      <c r="I478" s="34">
        <v>4.5416666666666668E-2</v>
      </c>
      <c r="J478" s="35">
        <v>0.16904320854693491</v>
      </c>
      <c r="K478" s="33" t="s">
        <v>170</v>
      </c>
      <c r="L478" s="33" t="s">
        <v>146</v>
      </c>
    </row>
    <row r="479" spans="1:12" x14ac:dyDescent="0.25">
      <c r="A479" s="32">
        <v>46240</v>
      </c>
      <c r="B479" s="33" t="s">
        <v>147</v>
      </c>
      <c r="C479" s="33" t="s">
        <v>633</v>
      </c>
      <c r="D479" s="33" t="s">
        <v>147</v>
      </c>
      <c r="E479">
        <v>5</v>
      </c>
      <c r="F479" s="34">
        <v>2.7708333333333335E-2</v>
      </c>
      <c r="G479" s="34">
        <v>5.541666666666667E-3</v>
      </c>
      <c r="H479" s="34">
        <v>0.26104166666666667</v>
      </c>
      <c r="I479" s="34">
        <v>9.3344907407407404E-2</v>
      </c>
      <c r="J479" s="35">
        <v>0.35758623747450563</v>
      </c>
      <c r="K479" s="33" t="s">
        <v>606</v>
      </c>
      <c r="L479" s="33" t="s">
        <v>146</v>
      </c>
    </row>
    <row r="480" spans="1:12" x14ac:dyDescent="0.25">
      <c r="A480" s="32">
        <v>46240</v>
      </c>
      <c r="B480" s="33" t="s">
        <v>147</v>
      </c>
      <c r="C480" s="33" t="s">
        <v>522</v>
      </c>
      <c r="D480" s="33" t="s">
        <v>147</v>
      </c>
      <c r="E480">
        <v>7</v>
      </c>
      <c r="F480" s="34">
        <v>2.8506944444444446E-2</v>
      </c>
      <c r="G480" s="34">
        <v>4.0724206349206354E-3</v>
      </c>
      <c r="H480" s="34">
        <v>0.18013888888888888</v>
      </c>
      <c r="I480" s="34">
        <v>2.7719907407407408E-2</v>
      </c>
      <c r="J480" s="35">
        <v>0.15388075044975585</v>
      </c>
      <c r="K480" s="33" t="s">
        <v>178</v>
      </c>
      <c r="L480" s="33" t="s">
        <v>146</v>
      </c>
    </row>
    <row r="481" spans="1:12" x14ac:dyDescent="0.25">
      <c r="A481" s="32">
        <v>46240</v>
      </c>
      <c r="B481" s="33" t="s">
        <v>147</v>
      </c>
      <c r="C481" s="33" t="s">
        <v>523</v>
      </c>
      <c r="D481" s="33" t="s">
        <v>147</v>
      </c>
      <c r="E481">
        <v>11</v>
      </c>
      <c r="F481" s="34">
        <v>5.1064814814814813E-2</v>
      </c>
      <c r="G481" s="34">
        <v>4.6422558922558921E-3</v>
      </c>
      <c r="H481" s="34">
        <v>0.32967592592592593</v>
      </c>
      <c r="I481" s="34">
        <v>5.3587962962962962E-2</v>
      </c>
      <c r="J481" s="35">
        <v>0.16254739502878809</v>
      </c>
      <c r="K481" s="33" t="s">
        <v>180</v>
      </c>
      <c r="L481" s="33" t="s">
        <v>146</v>
      </c>
    </row>
    <row r="482" spans="1:12" x14ac:dyDescent="0.25">
      <c r="A482" s="32">
        <v>46240</v>
      </c>
      <c r="B482" s="33" t="s">
        <v>147</v>
      </c>
      <c r="C482" s="33" t="s">
        <v>566</v>
      </c>
      <c r="D482" s="33" t="s">
        <v>147</v>
      </c>
      <c r="E482">
        <v>9</v>
      </c>
      <c r="F482" s="34">
        <v>5.3935185185185183E-2</v>
      </c>
      <c r="G482" s="34">
        <v>5.9927983539094648E-3</v>
      </c>
      <c r="H482" s="34">
        <v>0.25874999999999998</v>
      </c>
      <c r="I482" s="34">
        <v>3.6041666666666666E-2</v>
      </c>
      <c r="J482" s="35">
        <v>0.13929146537842191</v>
      </c>
      <c r="K482" s="33" t="s">
        <v>207</v>
      </c>
      <c r="L482" s="33" t="s">
        <v>274</v>
      </c>
    </row>
    <row r="483" spans="1:12" x14ac:dyDescent="0.25">
      <c r="A483" s="32">
        <v>46240</v>
      </c>
      <c r="B483" s="33" t="s">
        <v>147</v>
      </c>
      <c r="C483" s="33" t="s">
        <v>524</v>
      </c>
      <c r="D483" s="33" t="s">
        <v>147</v>
      </c>
      <c r="E483">
        <v>18</v>
      </c>
      <c r="F483" s="34">
        <v>5.0694444444444445E-2</v>
      </c>
      <c r="G483" s="34">
        <v>2.816358024691358E-3</v>
      </c>
      <c r="H483" s="34">
        <v>0.29332175925925924</v>
      </c>
      <c r="I483" s="34">
        <v>4.3472222222222225E-2</v>
      </c>
      <c r="J483" s="35">
        <v>0.14820660537426511</v>
      </c>
      <c r="K483" s="33" t="s">
        <v>501</v>
      </c>
      <c r="L483" s="33" t="s">
        <v>274</v>
      </c>
    </row>
    <row r="484" spans="1:12" x14ac:dyDescent="0.25">
      <c r="A484" s="32">
        <v>46240</v>
      </c>
      <c r="B484" s="33" t="s">
        <v>147</v>
      </c>
      <c r="C484" s="33" t="s">
        <v>557</v>
      </c>
      <c r="D484" s="33" t="s">
        <v>147</v>
      </c>
      <c r="E484">
        <v>8</v>
      </c>
      <c r="F484" s="34">
        <v>2.8738425925925924E-2</v>
      </c>
      <c r="G484" s="34">
        <v>3.5923032407407405E-3</v>
      </c>
      <c r="H484" s="34">
        <v>0.27112268518518517</v>
      </c>
      <c r="I484" s="34">
        <v>3.9467592592592596E-2</v>
      </c>
      <c r="J484" s="35">
        <v>0.14557097118463183</v>
      </c>
      <c r="K484" s="33" t="s">
        <v>227</v>
      </c>
      <c r="L484" s="33" t="s">
        <v>146</v>
      </c>
    </row>
    <row r="485" spans="1:12" x14ac:dyDescent="0.25">
      <c r="A485" s="32">
        <v>46240</v>
      </c>
      <c r="B485" s="33" t="s">
        <v>147</v>
      </c>
      <c r="C485" s="33" t="s">
        <v>678</v>
      </c>
      <c r="D485" s="33" t="s">
        <v>147</v>
      </c>
      <c r="E485">
        <v>16</v>
      </c>
      <c r="F485" s="34">
        <v>6.1874999999999999E-2</v>
      </c>
      <c r="G485" s="34">
        <v>3.8671875E-3</v>
      </c>
      <c r="H485" s="34">
        <v>0.26119212962962962</v>
      </c>
      <c r="I485" s="34">
        <v>3.9687500000000001E-2</v>
      </c>
      <c r="J485" s="35">
        <v>0.15194753400983738</v>
      </c>
      <c r="K485" s="33" t="s">
        <v>677</v>
      </c>
      <c r="L485" s="33" t="s">
        <v>274</v>
      </c>
    </row>
    <row r="486" spans="1:12" x14ac:dyDescent="0.25">
      <c r="A486" s="32">
        <v>46240</v>
      </c>
      <c r="B486" s="33" t="s">
        <v>147</v>
      </c>
      <c r="C486" s="33" t="s">
        <v>680</v>
      </c>
      <c r="D486" s="33" t="s">
        <v>147</v>
      </c>
      <c r="E486">
        <v>9</v>
      </c>
      <c r="F486" s="34">
        <v>2.4756944444444446E-2</v>
      </c>
      <c r="G486" s="34">
        <v>2.7507716049382717E-3</v>
      </c>
      <c r="H486" s="34">
        <v>0.25793981481481482</v>
      </c>
      <c r="I486" s="34">
        <v>6.7407407407407402E-2</v>
      </c>
      <c r="J486" s="35">
        <v>0.26132998294893656</v>
      </c>
      <c r="K486" s="33" t="s">
        <v>679</v>
      </c>
      <c r="L486" s="33" t="s">
        <v>274</v>
      </c>
    </row>
    <row r="487" spans="1:12" x14ac:dyDescent="0.25">
      <c r="A487" s="32">
        <v>46240</v>
      </c>
      <c r="B487" s="33" t="s">
        <v>105</v>
      </c>
      <c r="C487" s="33" t="s">
        <v>513</v>
      </c>
      <c r="D487" s="33" t="s">
        <v>105</v>
      </c>
      <c r="E487">
        <v>16</v>
      </c>
      <c r="F487" s="34">
        <v>0.22996527777777778</v>
      </c>
      <c r="G487" s="34">
        <v>1.4372829861111111E-2</v>
      </c>
      <c r="H487" s="34">
        <v>0.25288194444444445</v>
      </c>
      <c r="I487" s="34">
        <v>5.3946759259259257E-2</v>
      </c>
      <c r="J487" s="35">
        <v>0.21332784109112543</v>
      </c>
      <c r="K487" s="33" t="s">
        <v>148</v>
      </c>
      <c r="L487" s="33" t="s">
        <v>104</v>
      </c>
    </row>
    <row r="488" spans="1:12" x14ac:dyDescent="0.25">
      <c r="A488" s="32">
        <v>46240</v>
      </c>
      <c r="B488" s="33" t="s">
        <v>105</v>
      </c>
      <c r="C488" s="33" t="s">
        <v>569</v>
      </c>
      <c r="D488" s="33" t="s">
        <v>105</v>
      </c>
      <c r="E488">
        <v>21</v>
      </c>
      <c r="F488" s="34">
        <v>0.20946759259259259</v>
      </c>
      <c r="G488" s="34">
        <v>9.9746472663139324E-3</v>
      </c>
      <c r="H488" s="34">
        <v>0.24484953703703705</v>
      </c>
      <c r="I488" s="34">
        <v>5.6921296296296296E-2</v>
      </c>
      <c r="J488" s="35">
        <v>0.23247459229496573</v>
      </c>
      <c r="K488" s="33" t="s">
        <v>493</v>
      </c>
      <c r="L488" s="33" t="s">
        <v>104</v>
      </c>
    </row>
    <row r="489" spans="1:12" x14ac:dyDescent="0.25">
      <c r="A489" s="32">
        <v>46240</v>
      </c>
      <c r="B489" s="33" t="s">
        <v>105</v>
      </c>
      <c r="C489" s="33" t="s">
        <v>631</v>
      </c>
      <c r="D489" s="33" t="s">
        <v>105</v>
      </c>
      <c r="E489">
        <v>4</v>
      </c>
      <c r="F489" s="34">
        <v>9.6805555555555561E-2</v>
      </c>
      <c r="G489" s="34">
        <v>2.420138888888889E-2</v>
      </c>
      <c r="H489" s="34">
        <v>0.12072916666666667</v>
      </c>
      <c r="I489" s="34">
        <v>8.5520833333333338E-2</v>
      </c>
      <c r="J489" s="35">
        <v>0.70836928386540121</v>
      </c>
      <c r="K489" s="33" t="s">
        <v>608</v>
      </c>
      <c r="L489" s="33" t="s">
        <v>601</v>
      </c>
    </row>
    <row r="490" spans="1:12" x14ac:dyDescent="0.25">
      <c r="A490" s="32">
        <v>46240</v>
      </c>
      <c r="B490" s="33" t="s">
        <v>105</v>
      </c>
      <c r="C490" s="33" t="s">
        <v>564</v>
      </c>
      <c r="D490" s="33" t="s">
        <v>105</v>
      </c>
      <c r="E490">
        <v>7</v>
      </c>
      <c r="F490" s="34">
        <v>0.13116898148148148</v>
      </c>
      <c r="G490" s="34">
        <v>1.8738425925925926E-2</v>
      </c>
      <c r="H490" s="34">
        <v>0.23768518518518519</v>
      </c>
      <c r="I490" s="34">
        <v>0.16650462962962964</v>
      </c>
      <c r="J490" s="35">
        <v>0.70052590572652906</v>
      </c>
      <c r="K490" s="33" t="s">
        <v>197</v>
      </c>
      <c r="L490" s="33" t="s">
        <v>601</v>
      </c>
    </row>
    <row r="491" spans="1:12" x14ac:dyDescent="0.25">
      <c r="A491" s="32">
        <v>46240</v>
      </c>
      <c r="B491" s="33" t="s">
        <v>105</v>
      </c>
      <c r="C491" s="33" t="s">
        <v>682</v>
      </c>
      <c r="D491" s="33" t="s">
        <v>105</v>
      </c>
      <c r="E491">
        <v>5</v>
      </c>
      <c r="F491" s="34">
        <v>8.8819444444444451E-2</v>
      </c>
      <c r="G491" s="34">
        <v>1.7763888888888892E-2</v>
      </c>
      <c r="H491" s="34">
        <v>0.20659722222222221</v>
      </c>
      <c r="I491" s="34">
        <v>0.15886574074074075</v>
      </c>
      <c r="J491" s="35">
        <v>0.76896358543417376</v>
      </c>
      <c r="K491" s="33" t="s">
        <v>681</v>
      </c>
      <c r="L491" s="33" t="s">
        <v>601</v>
      </c>
    </row>
    <row r="492" spans="1:12" x14ac:dyDescent="0.25">
      <c r="A492" s="32">
        <v>46240</v>
      </c>
      <c r="B492" s="33" t="s">
        <v>105</v>
      </c>
      <c r="C492" s="33" t="s">
        <v>570</v>
      </c>
      <c r="D492" s="33" t="s">
        <v>105</v>
      </c>
      <c r="E492">
        <v>10</v>
      </c>
      <c r="F492" s="34">
        <v>0.19586805555555556</v>
      </c>
      <c r="G492" s="34">
        <v>1.9586805555555555E-2</v>
      </c>
      <c r="H492" s="34">
        <v>0.24159722222222221</v>
      </c>
      <c r="I492" s="34">
        <v>8.1122685185185187E-2</v>
      </c>
      <c r="J492" s="35">
        <v>0.33577656414678547</v>
      </c>
      <c r="K492" s="33" t="s">
        <v>112</v>
      </c>
      <c r="L492" s="33" t="s">
        <v>104</v>
      </c>
    </row>
    <row r="493" spans="1:12" x14ac:dyDescent="0.25">
      <c r="A493" s="32">
        <v>46240</v>
      </c>
      <c r="B493" s="33" t="s">
        <v>105</v>
      </c>
      <c r="C493" s="33" t="s">
        <v>537</v>
      </c>
      <c r="D493" s="33" t="s">
        <v>105</v>
      </c>
      <c r="E493">
        <v>14</v>
      </c>
      <c r="F493" s="34">
        <v>0.22571759259259258</v>
      </c>
      <c r="G493" s="34">
        <v>1.6122685185185184E-2</v>
      </c>
      <c r="H493" s="34">
        <v>0.25206018518518519</v>
      </c>
      <c r="I493" s="34">
        <v>8.0694444444444444E-2</v>
      </c>
      <c r="J493" s="35">
        <v>0.32013959041234274</v>
      </c>
      <c r="K493" s="33" t="s">
        <v>42</v>
      </c>
      <c r="L493" s="33" t="s">
        <v>104</v>
      </c>
    </row>
    <row r="494" spans="1:12" x14ac:dyDescent="0.25">
      <c r="A494" s="32">
        <v>46240</v>
      </c>
      <c r="B494" s="33" t="s">
        <v>105</v>
      </c>
      <c r="C494" s="33" t="s">
        <v>541</v>
      </c>
      <c r="D494" s="33" t="s">
        <v>105</v>
      </c>
      <c r="E494">
        <v>9</v>
      </c>
      <c r="F494" s="34">
        <v>0.11665509259259259</v>
      </c>
      <c r="G494" s="34">
        <v>1.296167695473251E-2</v>
      </c>
      <c r="H494" s="34">
        <v>0.20105324074074074</v>
      </c>
      <c r="I494" s="34">
        <v>0.1193287037037037</v>
      </c>
      <c r="J494" s="35">
        <v>0.59351793218582694</v>
      </c>
      <c r="K494" s="33" t="s">
        <v>114</v>
      </c>
      <c r="L494" s="33" t="s">
        <v>104</v>
      </c>
    </row>
    <row r="495" spans="1:12" x14ac:dyDescent="0.25">
      <c r="A495" s="32">
        <v>46240</v>
      </c>
      <c r="B495" s="33" t="s">
        <v>105</v>
      </c>
      <c r="C495" s="33" t="s">
        <v>632</v>
      </c>
      <c r="D495" s="33" t="s">
        <v>105</v>
      </c>
      <c r="E495">
        <v>6</v>
      </c>
      <c r="F495" s="34">
        <v>6.9675925925925933E-2</v>
      </c>
      <c r="G495" s="34">
        <v>1.1612654320987655E-2</v>
      </c>
      <c r="H495" s="34">
        <v>0.17937500000000001</v>
      </c>
      <c r="I495" s="34">
        <v>0.13824074074074075</v>
      </c>
      <c r="J495" s="35">
        <v>0.77068008775325847</v>
      </c>
      <c r="K495" s="33" t="s">
        <v>609</v>
      </c>
      <c r="L495" s="33" t="s">
        <v>601</v>
      </c>
    </row>
    <row r="496" spans="1:12" x14ac:dyDescent="0.25">
      <c r="A496" s="32">
        <v>46240</v>
      </c>
      <c r="B496" s="33" t="s">
        <v>105</v>
      </c>
      <c r="C496" s="33" t="s">
        <v>542</v>
      </c>
      <c r="D496" s="33" t="s">
        <v>105</v>
      </c>
      <c r="E496">
        <v>3</v>
      </c>
      <c r="F496" s="34">
        <v>0.13769675925925925</v>
      </c>
      <c r="G496" s="34">
        <v>4.5898919753086416E-2</v>
      </c>
      <c r="H496" s="34">
        <v>0.23534722222222224</v>
      </c>
      <c r="I496" s="34">
        <v>0.10256944444444445</v>
      </c>
      <c r="J496" s="35">
        <v>0.43582177633520214</v>
      </c>
      <c r="K496" s="33" t="s">
        <v>287</v>
      </c>
      <c r="L496" s="33" t="s">
        <v>104</v>
      </c>
    </row>
    <row r="497" spans="1:12" x14ac:dyDescent="0.25">
      <c r="A497" s="32">
        <v>46240</v>
      </c>
      <c r="B497" s="33" t="s">
        <v>105</v>
      </c>
      <c r="C497" s="33" t="s">
        <v>650</v>
      </c>
      <c r="D497" s="33" t="s">
        <v>105</v>
      </c>
      <c r="E497">
        <v>12</v>
      </c>
      <c r="F497" s="34">
        <v>0.18118055555555557</v>
      </c>
      <c r="G497" s="34">
        <v>1.509837962962963E-2</v>
      </c>
      <c r="H497" s="34">
        <v>0.25472222222222224</v>
      </c>
      <c r="I497" s="34">
        <v>9.1076388888888887E-2</v>
      </c>
      <c r="J497" s="35">
        <v>0.35755179934569242</v>
      </c>
      <c r="K497" s="33" t="s">
        <v>649</v>
      </c>
      <c r="L497" s="33" t="s">
        <v>104</v>
      </c>
    </row>
    <row r="498" spans="1:12" x14ac:dyDescent="0.25">
      <c r="A498" s="32">
        <v>46240</v>
      </c>
      <c r="B498" s="33" t="s">
        <v>105</v>
      </c>
      <c r="C498" s="33" t="s">
        <v>559</v>
      </c>
      <c r="D498" s="33" t="s">
        <v>105</v>
      </c>
      <c r="E498">
        <v>13</v>
      </c>
      <c r="F498" s="34">
        <v>0.18</v>
      </c>
      <c r="G498" s="34">
        <v>1.3846153846153845E-2</v>
      </c>
      <c r="H498" s="34">
        <v>0.24560185185185185</v>
      </c>
      <c r="I498" s="34">
        <v>8.0289351851851848E-2</v>
      </c>
      <c r="J498" s="35">
        <v>0.32690857681432611</v>
      </c>
      <c r="K498" s="33" t="s">
        <v>289</v>
      </c>
      <c r="L498" s="33" t="s">
        <v>104</v>
      </c>
    </row>
    <row r="499" spans="1:12" x14ac:dyDescent="0.25">
      <c r="A499" s="32">
        <v>46240</v>
      </c>
      <c r="B499" s="33" t="s">
        <v>105</v>
      </c>
      <c r="C499" s="33" t="s">
        <v>634</v>
      </c>
      <c r="D499" s="33" t="s">
        <v>105</v>
      </c>
      <c r="E499">
        <v>6</v>
      </c>
      <c r="F499" s="34">
        <v>6.7581018518518512E-2</v>
      </c>
      <c r="G499" s="34">
        <v>1.1263503086419753E-2</v>
      </c>
      <c r="H499" s="34">
        <v>0.15190972222222221</v>
      </c>
      <c r="I499" s="34">
        <v>0.11814814814814815</v>
      </c>
      <c r="J499" s="35">
        <v>0.77775238095238108</v>
      </c>
      <c r="K499" s="33" t="s">
        <v>612</v>
      </c>
      <c r="L499" s="33" t="s">
        <v>601</v>
      </c>
    </row>
    <row r="500" spans="1:12" x14ac:dyDescent="0.25">
      <c r="A500" s="32">
        <v>46240</v>
      </c>
      <c r="B500" s="33" t="s">
        <v>105</v>
      </c>
      <c r="C500" s="33" t="s">
        <v>565</v>
      </c>
      <c r="D500" s="33" t="s">
        <v>105</v>
      </c>
      <c r="E500">
        <v>11</v>
      </c>
      <c r="F500" s="34">
        <v>0.11013888888888888</v>
      </c>
      <c r="G500" s="34">
        <v>1.0012626262626263E-2</v>
      </c>
      <c r="H500" s="34">
        <v>0.21916666666666668</v>
      </c>
      <c r="I500" s="34">
        <v>0.1657986111111111</v>
      </c>
      <c r="J500" s="35">
        <v>0.75649556400506968</v>
      </c>
      <c r="K500" s="33" t="s">
        <v>203</v>
      </c>
      <c r="L500" s="33" t="s">
        <v>601</v>
      </c>
    </row>
    <row r="501" spans="1:12" x14ac:dyDescent="0.25">
      <c r="A501" s="32">
        <v>46240</v>
      </c>
      <c r="B501" s="33" t="s">
        <v>105</v>
      </c>
      <c r="C501" s="33" t="s">
        <v>667</v>
      </c>
      <c r="D501" s="33" t="s">
        <v>105</v>
      </c>
      <c r="E501">
        <v>14</v>
      </c>
      <c r="F501" s="34">
        <v>0.12921296296296297</v>
      </c>
      <c r="G501" s="34">
        <v>9.2294973544973548E-3</v>
      </c>
      <c r="H501" s="34">
        <v>0.19383101851851853</v>
      </c>
      <c r="I501" s="34">
        <v>0.10277777777777777</v>
      </c>
      <c r="J501" s="35">
        <v>0.5302442228458828</v>
      </c>
      <c r="K501" s="33" t="s">
        <v>297</v>
      </c>
      <c r="L501" s="33" t="s">
        <v>104</v>
      </c>
    </row>
    <row r="502" spans="1:12" x14ac:dyDescent="0.25">
      <c r="A502" s="32">
        <v>46240</v>
      </c>
      <c r="B502" s="33" t="s">
        <v>105</v>
      </c>
      <c r="C502" s="33" t="s">
        <v>635</v>
      </c>
      <c r="D502" s="33" t="s">
        <v>105</v>
      </c>
      <c r="E502">
        <v>5</v>
      </c>
      <c r="F502" s="34">
        <v>8.7800925925925921E-2</v>
      </c>
      <c r="G502" s="34">
        <v>1.7560185185185186E-2</v>
      </c>
      <c r="H502" s="34">
        <v>0.16318287037037038</v>
      </c>
      <c r="I502" s="34">
        <v>0.11612268518518519</v>
      </c>
      <c r="J502" s="35">
        <v>0.71161075253564077</v>
      </c>
      <c r="K502" s="33" t="s">
        <v>614</v>
      </c>
      <c r="L502" s="33" t="s">
        <v>601</v>
      </c>
    </row>
    <row r="503" spans="1:12" x14ac:dyDescent="0.25">
      <c r="A503" s="32">
        <v>46240</v>
      </c>
      <c r="B503" s="33" t="s">
        <v>105</v>
      </c>
      <c r="C503" s="33" t="s">
        <v>636</v>
      </c>
      <c r="D503" s="33" t="s">
        <v>105</v>
      </c>
      <c r="E503">
        <v>8</v>
      </c>
      <c r="F503" s="34">
        <v>9.4872685185185185E-2</v>
      </c>
      <c r="G503" s="34">
        <v>1.1859085648148148E-2</v>
      </c>
      <c r="H503" s="34">
        <v>0.20555555555555555</v>
      </c>
      <c r="I503" s="34">
        <v>0.15952546296296297</v>
      </c>
      <c r="J503" s="35">
        <v>0.77606981981981982</v>
      </c>
      <c r="K503" s="33" t="s">
        <v>615</v>
      </c>
      <c r="L503" s="33" t="s">
        <v>601</v>
      </c>
    </row>
    <row r="504" spans="1:12" x14ac:dyDescent="0.25">
      <c r="A504" s="32">
        <v>46240</v>
      </c>
      <c r="B504" s="33" t="s">
        <v>105</v>
      </c>
      <c r="C504" s="33" t="s">
        <v>637</v>
      </c>
      <c r="D504" s="33" t="s">
        <v>105</v>
      </c>
      <c r="E504">
        <v>3</v>
      </c>
      <c r="F504" s="34">
        <v>5.271990740740741E-2</v>
      </c>
      <c r="G504" s="34">
        <v>1.7573302469135802E-2</v>
      </c>
      <c r="H504" s="34">
        <v>0.17353009259259258</v>
      </c>
      <c r="I504" s="34">
        <v>0.13847222222222222</v>
      </c>
      <c r="J504" s="35">
        <v>0.79797238711398655</v>
      </c>
      <c r="K504" s="33" t="s">
        <v>616</v>
      </c>
      <c r="L504" s="33" t="s">
        <v>601</v>
      </c>
    </row>
    <row r="505" spans="1:12" x14ac:dyDescent="0.25">
      <c r="A505" s="32">
        <v>46240</v>
      </c>
      <c r="B505" s="33" t="s">
        <v>105</v>
      </c>
      <c r="C505" s="33" t="s">
        <v>567</v>
      </c>
      <c r="D505" s="33" t="s">
        <v>105</v>
      </c>
      <c r="E505">
        <v>8</v>
      </c>
      <c r="F505" s="34">
        <v>0.11120370370370371</v>
      </c>
      <c r="G505" s="34">
        <v>1.3900462962962963E-2</v>
      </c>
      <c r="H505" s="34">
        <v>0.24238425925925927</v>
      </c>
      <c r="I505" s="34">
        <v>0.17417824074074073</v>
      </c>
      <c r="J505" s="35">
        <v>0.71860376277337401</v>
      </c>
      <c r="K505" s="33" t="s">
        <v>209</v>
      </c>
      <c r="L505" s="33" t="s">
        <v>601</v>
      </c>
    </row>
    <row r="506" spans="1:12" x14ac:dyDescent="0.25">
      <c r="A506" s="32">
        <v>46240</v>
      </c>
      <c r="B506" s="33" t="s">
        <v>105</v>
      </c>
      <c r="C506" s="33" t="s">
        <v>512</v>
      </c>
      <c r="D506" s="33" t="s">
        <v>105</v>
      </c>
      <c r="E506">
        <v>8</v>
      </c>
      <c r="F506" s="34">
        <v>0.12006944444444445</v>
      </c>
      <c r="G506" s="34">
        <v>1.5008680555555556E-2</v>
      </c>
      <c r="H506" s="34">
        <v>0.19821759259259258</v>
      </c>
      <c r="I506" s="34">
        <v>0.10583333333333333</v>
      </c>
      <c r="J506" s="35">
        <v>0.53392502627583793</v>
      </c>
      <c r="K506" s="33" t="s">
        <v>132</v>
      </c>
      <c r="L506" s="33" t="s">
        <v>104</v>
      </c>
    </row>
    <row r="507" spans="1:12" x14ac:dyDescent="0.25">
      <c r="A507" s="32">
        <v>46240</v>
      </c>
      <c r="B507" s="33" t="s">
        <v>105</v>
      </c>
      <c r="C507" s="33" t="s">
        <v>560</v>
      </c>
      <c r="D507" s="33" t="s">
        <v>105</v>
      </c>
      <c r="E507">
        <v>10</v>
      </c>
      <c r="F507" s="34">
        <v>0.11749999999999999</v>
      </c>
      <c r="G507" s="34">
        <v>1.175E-2</v>
      </c>
      <c r="H507" s="34">
        <v>0.2066087962962963</v>
      </c>
      <c r="I507" s="34">
        <v>8.7175925925925921E-2</v>
      </c>
      <c r="J507" s="35">
        <v>0.42193714637835411</v>
      </c>
      <c r="K507" s="33" t="s">
        <v>134</v>
      </c>
      <c r="L507" s="33" t="s">
        <v>104</v>
      </c>
    </row>
    <row r="508" spans="1:12" x14ac:dyDescent="0.25">
      <c r="A508" s="32">
        <v>46240</v>
      </c>
      <c r="B508" s="33" t="s">
        <v>105</v>
      </c>
      <c r="C508" s="33" t="s">
        <v>546</v>
      </c>
      <c r="D508" s="33" t="s">
        <v>105</v>
      </c>
      <c r="E508">
        <v>11</v>
      </c>
      <c r="F508" s="34">
        <v>0.21534722222222222</v>
      </c>
      <c r="G508" s="34">
        <v>1.9577020202020203E-2</v>
      </c>
      <c r="H508" s="34">
        <v>0.25754629629629627</v>
      </c>
      <c r="I508" s="34">
        <v>5.6539351851851855E-2</v>
      </c>
      <c r="J508" s="35">
        <v>0.21953082868955603</v>
      </c>
      <c r="K508" s="33" t="s">
        <v>211</v>
      </c>
      <c r="L508" s="33" t="s">
        <v>104</v>
      </c>
    </row>
    <row r="509" spans="1:12" x14ac:dyDescent="0.25">
      <c r="A509" s="32">
        <v>46240</v>
      </c>
      <c r="B509" s="33" t="s">
        <v>105</v>
      </c>
      <c r="C509" s="33" t="s">
        <v>638</v>
      </c>
      <c r="D509" s="33" t="s">
        <v>105</v>
      </c>
      <c r="E509">
        <v>9</v>
      </c>
      <c r="F509" s="34">
        <v>0.1363425925925926</v>
      </c>
      <c r="G509" s="34">
        <v>1.514917695473251E-2</v>
      </c>
      <c r="H509" s="34">
        <v>0.24222222222222223</v>
      </c>
      <c r="I509" s="34">
        <v>0.18047453703703703</v>
      </c>
      <c r="J509" s="35">
        <v>0.7450783639143731</v>
      </c>
      <c r="K509" s="33" t="s">
        <v>617</v>
      </c>
      <c r="L509" s="33" t="s">
        <v>601</v>
      </c>
    </row>
    <row r="510" spans="1:12" x14ac:dyDescent="0.25">
      <c r="A510" s="32">
        <v>46240</v>
      </c>
      <c r="B510" s="33" t="s">
        <v>105</v>
      </c>
      <c r="C510" s="33" t="s">
        <v>561</v>
      </c>
      <c r="D510" s="33" t="s">
        <v>105</v>
      </c>
      <c r="E510">
        <v>13</v>
      </c>
      <c r="F510" s="34">
        <v>0.13700231481481481</v>
      </c>
      <c r="G510" s="34">
        <v>1.0538639601139601E-2</v>
      </c>
      <c r="H510" s="34">
        <v>0.20869212962962963</v>
      </c>
      <c r="I510" s="34">
        <v>0.10810185185185185</v>
      </c>
      <c r="J510" s="35">
        <v>0.51799678331761967</v>
      </c>
      <c r="K510" s="33" t="s">
        <v>136</v>
      </c>
      <c r="L510" s="33" t="s">
        <v>104</v>
      </c>
    </row>
    <row r="511" spans="1:12" x14ac:dyDescent="0.25">
      <c r="A511" s="32">
        <v>46240</v>
      </c>
      <c r="B511" s="33" t="s">
        <v>105</v>
      </c>
      <c r="C511" s="33" t="s">
        <v>639</v>
      </c>
      <c r="D511" s="33" t="s">
        <v>105</v>
      </c>
      <c r="E511">
        <v>13</v>
      </c>
      <c r="F511" s="34">
        <v>0.14197916666666666</v>
      </c>
      <c r="G511" s="34">
        <v>1.0921474358974358E-2</v>
      </c>
      <c r="H511" s="34">
        <v>0.15361111111111111</v>
      </c>
      <c r="I511" s="34">
        <v>9.6342592592592591E-2</v>
      </c>
      <c r="J511" s="35">
        <v>0.62718505123568413</v>
      </c>
      <c r="K511" s="33" t="s">
        <v>618</v>
      </c>
      <c r="L511" s="33" t="s">
        <v>601</v>
      </c>
    </row>
    <row r="512" spans="1:12" x14ac:dyDescent="0.25">
      <c r="A512" s="32">
        <v>46240</v>
      </c>
      <c r="B512" s="33" t="s">
        <v>105</v>
      </c>
      <c r="C512" s="33" t="s">
        <v>572</v>
      </c>
      <c r="D512" s="33" t="s">
        <v>105</v>
      </c>
      <c r="E512">
        <v>6</v>
      </c>
      <c r="F512" s="34">
        <v>6.5254629629629635E-2</v>
      </c>
      <c r="G512" s="34">
        <v>1.0875771604938272E-2</v>
      </c>
      <c r="H512" s="34">
        <v>0.1854976851851852</v>
      </c>
      <c r="I512" s="34">
        <v>0.14928240740740742</v>
      </c>
      <c r="J512" s="35">
        <v>0.8047669557621514</v>
      </c>
      <c r="K512" s="33" t="s">
        <v>213</v>
      </c>
      <c r="L512" s="33" t="s">
        <v>601</v>
      </c>
    </row>
    <row r="513" spans="1:12" x14ac:dyDescent="0.25">
      <c r="A513" s="32">
        <v>46240</v>
      </c>
      <c r="B513" s="33" t="s">
        <v>105</v>
      </c>
      <c r="C513" s="33" t="s">
        <v>640</v>
      </c>
      <c r="D513" s="33" t="s">
        <v>105</v>
      </c>
      <c r="E513">
        <v>9</v>
      </c>
      <c r="F513" s="34">
        <v>0.12177083333333333</v>
      </c>
      <c r="G513" s="34">
        <v>1.3530092592592592E-2</v>
      </c>
      <c r="H513" s="34">
        <v>0.23290509259259259</v>
      </c>
      <c r="I513" s="34">
        <v>0.17903935185185185</v>
      </c>
      <c r="J513" s="35">
        <v>0.76872235750136664</v>
      </c>
      <c r="K513" s="33" t="s">
        <v>619</v>
      </c>
      <c r="L513" s="33" t="s">
        <v>601</v>
      </c>
    </row>
    <row r="514" spans="1:12" x14ac:dyDescent="0.25">
      <c r="A514" s="32">
        <v>46240</v>
      </c>
      <c r="B514" s="33" t="s">
        <v>105</v>
      </c>
      <c r="C514" s="33" t="s">
        <v>548</v>
      </c>
      <c r="D514" s="33" t="s">
        <v>105</v>
      </c>
      <c r="E514">
        <v>13</v>
      </c>
      <c r="F514" s="34">
        <v>0.17394675925925926</v>
      </c>
      <c r="G514" s="34">
        <v>1.3380519943019944E-2</v>
      </c>
      <c r="H514" s="34">
        <v>0.24310185185185185</v>
      </c>
      <c r="I514" s="34">
        <v>8.8611111111111113E-2</v>
      </c>
      <c r="J514" s="35">
        <v>0.36450199961912016</v>
      </c>
      <c r="K514" s="33" t="s">
        <v>219</v>
      </c>
      <c r="L514" s="33" t="s">
        <v>104</v>
      </c>
    </row>
    <row r="515" spans="1:12" x14ac:dyDescent="0.25">
      <c r="A515" s="32">
        <v>46240</v>
      </c>
      <c r="B515" s="33" t="s">
        <v>105</v>
      </c>
      <c r="C515" s="33" t="s">
        <v>641</v>
      </c>
      <c r="D515" s="33" t="s">
        <v>105</v>
      </c>
      <c r="E515">
        <v>6</v>
      </c>
      <c r="F515" s="34">
        <v>6.7025462962962967E-2</v>
      </c>
      <c r="G515" s="34">
        <v>1.1170910493827161E-2</v>
      </c>
      <c r="H515" s="34">
        <v>0.18834490740740742</v>
      </c>
      <c r="I515" s="34">
        <v>0.13704861111111111</v>
      </c>
      <c r="J515" s="35">
        <v>0.72764702267559755</v>
      </c>
      <c r="K515" s="33" t="s">
        <v>620</v>
      </c>
      <c r="L515" s="33" t="s">
        <v>601</v>
      </c>
    </row>
    <row r="516" spans="1:12" x14ac:dyDescent="0.25">
      <c r="A516" s="32">
        <v>46240</v>
      </c>
      <c r="B516" s="33" t="s">
        <v>105</v>
      </c>
      <c r="C516" s="33" t="s">
        <v>556</v>
      </c>
      <c r="D516" s="33" t="s">
        <v>105</v>
      </c>
      <c r="E516">
        <v>14</v>
      </c>
      <c r="F516" s="34">
        <v>0.17629629629629628</v>
      </c>
      <c r="G516" s="34">
        <v>1.2592592592592591E-2</v>
      </c>
      <c r="H516" s="34">
        <v>0.22865740740740742</v>
      </c>
      <c r="I516" s="34">
        <v>7.8391203703703699E-2</v>
      </c>
      <c r="J516" s="35">
        <v>0.3428325571978133</v>
      </c>
      <c r="K516" s="33" t="s">
        <v>138</v>
      </c>
      <c r="L516" s="33" t="s">
        <v>104</v>
      </c>
    </row>
    <row r="517" spans="1:12" x14ac:dyDescent="0.25">
      <c r="A517" s="32">
        <v>46240</v>
      </c>
      <c r="B517" s="33" t="s">
        <v>105</v>
      </c>
      <c r="C517" s="33" t="s">
        <v>674</v>
      </c>
      <c r="D517" s="33" t="s">
        <v>105</v>
      </c>
      <c r="E517">
        <v>11</v>
      </c>
      <c r="F517" s="34">
        <v>0.11052083333333333</v>
      </c>
      <c r="G517" s="34">
        <v>1.0047348484848485E-2</v>
      </c>
      <c r="H517" s="34">
        <v>0.20656250000000001</v>
      </c>
      <c r="I517" s="34">
        <v>0.13935185185185187</v>
      </c>
      <c r="J517" s="35">
        <v>0.67462318596963078</v>
      </c>
      <c r="K517" s="33" t="s">
        <v>673</v>
      </c>
      <c r="L517" s="33" t="s">
        <v>104</v>
      </c>
    </row>
    <row r="518" spans="1:12" x14ac:dyDescent="0.25">
      <c r="A518" s="32">
        <v>46240</v>
      </c>
      <c r="B518" s="33" t="s">
        <v>105</v>
      </c>
      <c r="C518" s="33" t="s">
        <v>549</v>
      </c>
      <c r="D518" s="33" t="s">
        <v>105</v>
      </c>
      <c r="E518">
        <v>10</v>
      </c>
      <c r="F518" s="34">
        <v>0.16640046296296296</v>
      </c>
      <c r="G518" s="34">
        <v>1.6640046296296295E-2</v>
      </c>
      <c r="H518" s="34">
        <v>0.21964120370370371</v>
      </c>
      <c r="I518" s="34">
        <v>9.5150462962962964E-2</v>
      </c>
      <c r="J518" s="35">
        <v>0.43320862096221741</v>
      </c>
      <c r="K518" s="33" t="s">
        <v>225</v>
      </c>
      <c r="L518" s="33" t="s">
        <v>601</v>
      </c>
    </row>
    <row r="519" spans="1:12" x14ac:dyDescent="0.25">
      <c r="A519" s="32">
        <v>46240</v>
      </c>
      <c r="B519" s="33" t="s">
        <v>105</v>
      </c>
      <c r="C519" s="33" t="s">
        <v>571</v>
      </c>
      <c r="D519" s="33" t="s">
        <v>105</v>
      </c>
      <c r="E519">
        <v>13</v>
      </c>
      <c r="F519" s="34">
        <v>0.19384259259259259</v>
      </c>
      <c r="G519" s="34">
        <v>1.4910968660968662E-2</v>
      </c>
      <c r="H519" s="34">
        <v>0.25855324074074076</v>
      </c>
      <c r="I519" s="34">
        <v>5.5925925925925928E-2</v>
      </c>
      <c r="J519" s="35">
        <v>0.21630332602175567</v>
      </c>
      <c r="K519" s="33" t="s">
        <v>299</v>
      </c>
      <c r="L519" s="33" t="s">
        <v>104</v>
      </c>
    </row>
    <row r="520" spans="1:12" x14ac:dyDescent="0.25">
      <c r="A520" s="32">
        <v>46240</v>
      </c>
      <c r="B520" s="33" t="s">
        <v>105</v>
      </c>
      <c r="C520" s="33" t="s">
        <v>676</v>
      </c>
      <c r="D520" s="33" t="s">
        <v>105</v>
      </c>
      <c r="E520">
        <v>10</v>
      </c>
      <c r="F520" s="34">
        <v>0.23190972222222223</v>
      </c>
      <c r="G520" s="34">
        <v>2.3190972222222224E-2</v>
      </c>
      <c r="H520" s="34">
        <v>0.2686574074074074</v>
      </c>
      <c r="I520" s="34">
        <v>5.872685185185185E-2</v>
      </c>
      <c r="J520" s="35">
        <v>0.21859383077718422</v>
      </c>
      <c r="K520" s="33" t="s">
        <v>675</v>
      </c>
      <c r="L520" s="33" t="s">
        <v>104</v>
      </c>
    </row>
    <row r="521" spans="1:12" x14ac:dyDescent="0.25">
      <c r="A521" s="32">
        <v>46240</v>
      </c>
      <c r="B521" s="33" t="s">
        <v>32</v>
      </c>
      <c r="C521" s="33" t="s">
        <v>644</v>
      </c>
      <c r="D521" s="33" t="s">
        <v>32</v>
      </c>
      <c r="E521">
        <v>17</v>
      </c>
      <c r="F521" s="34">
        <v>0.13548611111111111</v>
      </c>
      <c r="G521" s="34">
        <v>7.9697712418300651E-3</v>
      </c>
      <c r="H521" s="34">
        <v>0.27319444444444446</v>
      </c>
      <c r="I521" s="34">
        <v>4.7997685185185185E-2</v>
      </c>
      <c r="J521" s="35">
        <v>0.17569056092187763</v>
      </c>
      <c r="K521" s="33" t="s">
        <v>643</v>
      </c>
      <c r="L521" s="33" t="s">
        <v>233</v>
      </c>
    </row>
    <row r="522" spans="1:12" x14ac:dyDescent="0.25">
      <c r="A522" s="32">
        <v>46240</v>
      </c>
      <c r="B522" s="33" t="s">
        <v>32</v>
      </c>
      <c r="C522" s="33" t="s">
        <v>563</v>
      </c>
      <c r="D522" s="33" t="s">
        <v>147</v>
      </c>
      <c r="E522">
        <v>4</v>
      </c>
      <c r="F522" s="34">
        <v>4.5023148148148145E-2</v>
      </c>
      <c r="G522" s="34">
        <v>1.1255787037037036E-2</v>
      </c>
      <c r="H522" s="34">
        <v>0.26275462962962964</v>
      </c>
      <c r="I522" s="34">
        <v>2.9374999999999998E-2</v>
      </c>
      <c r="J522" s="35">
        <v>0.11179631750506562</v>
      </c>
      <c r="K522" s="33" t="s">
        <v>193</v>
      </c>
      <c r="L522" s="33" t="s">
        <v>274</v>
      </c>
    </row>
    <row r="523" spans="1:12" x14ac:dyDescent="0.25">
      <c r="A523" s="32">
        <v>46240</v>
      </c>
      <c r="B523" s="33" t="s">
        <v>32</v>
      </c>
      <c r="C523" s="33" t="s">
        <v>550</v>
      </c>
      <c r="D523" s="33" t="s">
        <v>32</v>
      </c>
      <c r="E523">
        <v>12</v>
      </c>
      <c r="F523" s="34">
        <v>4.7442129629629633E-2</v>
      </c>
      <c r="G523" s="34">
        <v>3.9535108024691358E-3</v>
      </c>
      <c r="H523" s="34">
        <v>8.1574074074074077E-2</v>
      </c>
      <c r="I523" s="34">
        <v>3.4953703703703705E-3</v>
      </c>
      <c r="J523" s="35">
        <v>4.2849035187287172E-2</v>
      </c>
      <c r="K523" s="33" t="s">
        <v>234</v>
      </c>
      <c r="L523" s="33" t="s">
        <v>233</v>
      </c>
    </row>
    <row r="524" spans="1:12" x14ac:dyDescent="0.25">
      <c r="A524" s="32">
        <v>46240</v>
      </c>
      <c r="B524" s="33" t="s">
        <v>32</v>
      </c>
      <c r="C524" s="33" t="s">
        <v>505</v>
      </c>
      <c r="D524" s="33" t="s">
        <v>32</v>
      </c>
      <c r="E524">
        <v>21</v>
      </c>
      <c r="F524" s="34">
        <v>7.4270833333333328E-2</v>
      </c>
      <c r="G524" s="34">
        <v>3.5367063492063489E-3</v>
      </c>
      <c r="H524" s="34">
        <v>0.23069444444444445</v>
      </c>
      <c r="I524" s="34">
        <v>8.9756944444444445E-2</v>
      </c>
      <c r="J524" s="35">
        <v>0.38907284768211919</v>
      </c>
      <c r="K524" s="33" t="s">
        <v>34</v>
      </c>
      <c r="L524" s="33" t="s">
        <v>233</v>
      </c>
    </row>
    <row r="525" spans="1:12" x14ac:dyDescent="0.25">
      <c r="A525" s="32">
        <v>46240</v>
      </c>
      <c r="B525" s="33" t="s">
        <v>32</v>
      </c>
      <c r="C525" s="33" t="s">
        <v>551</v>
      </c>
      <c r="D525" s="33" t="s">
        <v>32</v>
      </c>
      <c r="E525">
        <v>5</v>
      </c>
      <c r="F525" s="34">
        <v>9.8263888888888897E-3</v>
      </c>
      <c r="G525" s="34">
        <v>1.965277777777778E-3</v>
      </c>
      <c r="H525" s="34">
        <v>0.23019675925925925</v>
      </c>
      <c r="I525" s="34">
        <v>0.20246527777777779</v>
      </c>
      <c r="J525" s="35">
        <v>0.87953139926592594</v>
      </c>
      <c r="K525" s="33" t="s">
        <v>236</v>
      </c>
      <c r="L525" s="33" t="s">
        <v>233</v>
      </c>
    </row>
    <row r="526" spans="1:12" x14ac:dyDescent="0.25">
      <c r="A526" s="32">
        <v>46240</v>
      </c>
      <c r="B526" s="33" t="s">
        <v>32</v>
      </c>
      <c r="C526" s="33" t="s">
        <v>526</v>
      </c>
      <c r="D526" s="33" t="s">
        <v>32</v>
      </c>
      <c r="E526">
        <v>3</v>
      </c>
      <c r="F526" s="34">
        <v>1.0358796296296297E-2</v>
      </c>
      <c r="G526" s="34">
        <v>3.4529320987654322E-3</v>
      </c>
      <c r="H526" s="34">
        <v>0.21092592592592593</v>
      </c>
      <c r="I526" s="34">
        <v>0.18531249999999999</v>
      </c>
      <c r="J526" s="35">
        <v>0.87856672519754164</v>
      </c>
      <c r="K526" s="33" t="s">
        <v>238</v>
      </c>
      <c r="L526" s="33" t="s">
        <v>233</v>
      </c>
    </row>
    <row r="527" spans="1:12" x14ac:dyDescent="0.25">
      <c r="A527" s="32">
        <v>46240</v>
      </c>
      <c r="B527" s="33" t="s">
        <v>32</v>
      </c>
      <c r="C527" s="33" t="s">
        <v>536</v>
      </c>
      <c r="D527" s="33" t="s">
        <v>32</v>
      </c>
      <c r="E527">
        <v>3</v>
      </c>
      <c r="F527" s="34">
        <v>1.4282407407407407E-2</v>
      </c>
      <c r="G527" s="34">
        <v>4.760802469135802E-3</v>
      </c>
      <c r="H527" s="34">
        <v>0.23379629629629631</v>
      </c>
      <c r="I527" s="34">
        <v>0.21539351851851851</v>
      </c>
      <c r="J527" s="35">
        <v>0.92128712871287122</v>
      </c>
      <c r="K527" s="33" t="s">
        <v>38</v>
      </c>
      <c r="L527" s="33" t="s">
        <v>100</v>
      </c>
    </row>
    <row r="528" spans="1:12" x14ac:dyDescent="0.25">
      <c r="A528" s="32">
        <v>46240</v>
      </c>
      <c r="B528" s="33" t="s">
        <v>32</v>
      </c>
      <c r="C528" s="33" t="s">
        <v>515</v>
      </c>
      <c r="D528" s="33" t="s">
        <v>147</v>
      </c>
      <c r="E528">
        <v>8</v>
      </c>
      <c r="F528" s="34">
        <v>1.653935185185185E-2</v>
      </c>
      <c r="G528" s="34">
        <v>2.0674189814814813E-3</v>
      </c>
      <c r="H528" s="34">
        <v>0.26295138888888892</v>
      </c>
      <c r="I528" s="34">
        <v>4.2013888888888892E-2</v>
      </c>
      <c r="J528" s="35">
        <v>0.15977815924996699</v>
      </c>
      <c r="K528" s="33" t="s">
        <v>154</v>
      </c>
      <c r="L528" s="33" t="s">
        <v>146</v>
      </c>
    </row>
    <row r="529" spans="1:12" x14ac:dyDescent="0.25">
      <c r="A529" s="32">
        <v>46240</v>
      </c>
      <c r="B529" s="33" t="s">
        <v>32</v>
      </c>
      <c r="C529" s="33" t="s">
        <v>516</v>
      </c>
      <c r="D529" s="33" t="s">
        <v>147</v>
      </c>
      <c r="E529">
        <v>8</v>
      </c>
      <c r="F529" s="34">
        <v>2.3969907407407409E-2</v>
      </c>
      <c r="G529" s="34">
        <v>2.9962384259259261E-3</v>
      </c>
      <c r="H529" s="34">
        <v>0.27407407407407408</v>
      </c>
      <c r="I529" s="34">
        <v>4.8032407407407406E-2</v>
      </c>
      <c r="J529" s="35">
        <v>0.17525337837837837</v>
      </c>
      <c r="K529" s="33" t="s">
        <v>156</v>
      </c>
      <c r="L529" s="33" t="s">
        <v>146</v>
      </c>
    </row>
    <row r="530" spans="1:12" x14ac:dyDescent="0.25">
      <c r="A530" s="32">
        <v>46240</v>
      </c>
      <c r="B530" s="33" t="s">
        <v>32</v>
      </c>
      <c r="C530" s="33" t="s">
        <v>506</v>
      </c>
      <c r="D530" s="33" t="s">
        <v>32</v>
      </c>
      <c r="E530">
        <v>30</v>
      </c>
      <c r="F530" s="34">
        <v>0.16190972222222222</v>
      </c>
      <c r="G530" s="34">
        <v>5.3969907407407404E-3</v>
      </c>
      <c r="H530" s="34">
        <v>0.26027777777777777</v>
      </c>
      <c r="I530" s="34">
        <v>5.1909722222222225E-2</v>
      </c>
      <c r="J530" s="35">
        <v>0.19943970117395945</v>
      </c>
      <c r="K530" s="33" t="s">
        <v>44</v>
      </c>
      <c r="L530" s="33" t="s">
        <v>100</v>
      </c>
    </row>
    <row r="531" spans="1:12" x14ac:dyDescent="0.25">
      <c r="A531" s="32">
        <v>46240</v>
      </c>
      <c r="B531" s="33" t="s">
        <v>32</v>
      </c>
      <c r="C531" s="33" t="s">
        <v>527</v>
      </c>
      <c r="D531" s="33" t="s">
        <v>32</v>
      </c>
      <c r="E531">
        <v>1</v>
      </c>
      <c r="F531" s="34">
        <v>3.2754629629629631E-3</v>
      </c>
      <c r="G531" s="34">
        <v>3.2754629629629631E-3</v>
      </c>
      <c r="H531" s="34">
        <v>0.24113425925925927</v>
      </c>
      <c r="I531" s="34">
        <v>0.22750000000000001</v>
      </c>
      <c r="J531" s="35">
        <v>0.94345780935010082</v>
      </c>
      <c r="K531" s="33" t="s">
        <v>240</v>
      </c>
      <c r="L531" s="33" t="s">
        <v>233</v>
      </c>
    </row>
    <row r="532" spans="1:12" x14ac:dyDescent="0.25">
      <c r="A532" s="32">
        <v>46240</v>
      </c>
      <c r="B532" s="33" t="s">
        <v>32</v>
      </c>
      <c r="C532" s="33" t="s">
        <v>646</v>
      </c>
      <c r="D532" s="33" t="s">
        <v>32</v>
      </c>
      <c r="E532">
        <v>29</v>
      </c>
      <c r="F532" s="34">
        <v>0.20215277777777776</v>
      </c>
      <c r="G532" s="34">
        <v>6.9707854406130263E-3</v>
      </c>
      <c r="H532" s="34">
        <v>0.2645601851851852</v>
      </c>
      <c r="I532" s="34">
        <v>3.1504629629629632E-2</v>
      </c>
      <c r="J532" s="35">
        <v>0.11908303438621053</v>
      </c>
      <c r="K532" s="33" t="s">
        <v>645</v>
      </c>
      <c r="L532" s="33" t="s">
        <v>100</v>
      </c>
    </row>
    <row r="533" spans="1:12" x14ac:dyDescent="0.25">
      <c r="A533" s="32">
        <v>46240</v>
      </c>
      <c r="B533" s="33" t="s">
        <v>32</v>
      </c>
      <c r="C533" s="33" t="s">
        <v>544</v>
      </c>
      <c r="D533" s="33" t="s">
        <v>147</v>
      </c>
      <c r="E533">
        <v>5</v>
      </c>
      <c r="F533" s="34">
        <v>1.7881944444444443E-2</v>
      </c>
      <c r="G533" s="34">
        <v>3.5763888888888885E-3</v>
      </c>
      <c r="H533" s="34">
        <v>0.25135416666666666</v>
      </c>
      <c r="I533" s="34">
        <v>5.662037037037037E-2</v>
      </c>
      <c r="J533" s="35">
        <v>0.22526131601970806</v>
      </c>
      <c r="K533" s="33" t="s">
        <v>160</v>
      </c>
      <c r="L533" s="33" t="s">
        <v>146</v>
      </c>
    </row>
    <row r="534" spans="1:12" x14ac:dyDescent="0.25">
      <c r="A534" s="32">
        <v>46240</v>
      </c>
      <c r="B534" s="33" t="s">
        <v>32</v>
      </c>
      <c r="C534" s="33" t="s">
        <v>558</v>
      </c>
      <c r="D534" s="33" t="s">
        <v>32</v>
      </c>
      <c r="E534">
        <v>26</v>
      </c>
      <c r="F534" s="34">
        <v>7.4664351851851857E-2</v>
      </c>
      <c r="G534" s="34">
        <v>2.8717058404558408E-3</v>
      </c>
      <c r="H534" s="34">
        <v>0.23315972222222223</v>
      </c>
      <c r="I534" s="34">
        <v>0.10174768518518519</v>
      </c>
      <c r="J534" s="35">
        <v>0.43638620004964013</v>
      </c>
      <c r="K534" s="33" t="s">
        <v>120</v>
      </c>
      <c r="L534" s="33" t="s">
        <v>233</v>
      </c>
    </row>
    <row r="535" spans="1:12" x14ac:dyDescent="0.25">
      <c r="A535" s="32">
        <v>46240</v>
      </c>
      <c r="B535" s="33" t="s">
        <v>32</v>
      </c>
      <c r="C535" s="33" t="s">
        <v>507</v>
      </c>
      <c r="D535" s="33" t="s">
        <v>32</v>
      </c>
      <c r="E535">
        <v>30</v>
      </c>
      <c r="F535" s="34">
        <v>0.15489583333333334</v>
      </c>
      <c r="G535" s="34">
        <v>5.1631944444444451E-3</v>
      </c>
      <c r="H535" s="34">
        <v>0.28113425925925928</v>
      </c>
      <c r="I535" s="34">
        <v>4.2997685185185187E-2</v>
      </c>
      <c r="J535" s="35">
        <v>0.15294359818855496</v>
      </c>
      <c r="K535" s="33" t="s">
        <v>46</v>
      </c>
      <c r="L535" s="33" t="s">
        <v>100</v>
      </c>
    </row>
    <row r="536" spans="1:12" x14ac:dyDescent="0.25">
      <c r="A536" s="32">
        <v>46240</v>
      </c>
      <c r="B536" s="33" t="s">
        <v>32</v>
      </c>
      <c r="C536" s="33" t="s">
        <v>517</v>
      </c>
      <c r="D536" s="33" t="s">
        <v>147</v>
      </c>
      <c r="E536">
        <v>8</v>
      </c>
      <c r="F536" s="34">
        <v>2.0648148148148148E-2</v>
      </c>
      <c r="G536" s="34">
        <v>2.5810185185185185E-3</v>
      </c>
      <c r="H536" s="34">
        <v>0.31574074074074077</v>
      </c>
      <c r="I536" s="34">
        <v>0.10319444444444445</v>
      </c>
      <c r="J536" s="35">
        <v>0.32683284457478007</v>
      </c>
      <c r="K536" s="33" t="s">
        <v>499</v>
      </c>
      <c r="L536" s="33" t="s">
        <v>146</v>
      </c>
    </row>
    <row r="537" spans="1:12" x14ac:dyDescent="0.25">
      <c r="A537" s="32">
        <v>46240</v>
      </c>
      <c r="B537" s="33" t="s">
        <v>32</v>
      </c>
      <c r="C537" s="33" t="s">
        <v>648</v>
      </c>
      <c r="D537" s="33" t="s">
        <v>32</v>
      </c>
      <c r="E537">
        <v>15</v>
      </c>
      <c r="F537" s="34">
        <v>5.707175925925926E-2</v>
      </c>
      <c r="G537" s="34">
        <v>3.8047839506172841E-3</v>
      </c>
      <c r="H537" s="34">
        <v>0.12560185185185185</v>
      </c>
      <c r="I537" s="34">
        <v>1.9375E-2</v>
      </c>
      <c r="J537" s="35">
        <v>0.15425727976409878</v>
      </c>
      <c r="K537" s="33" t="s">
        <v>647</v>
      </c>
      <c r="L537" s="33" t="s">
        <v>233</v>
      </c>
    </row>
    <row r="538" spans="1:12" x14ac:dyDescent="0.25">
      <c r="A538" s="32">
        <v>46240</v>
      </c>
      <c r="B538" s="33" t="s">
        <v>32</v>
      </c>
      <c r="C538" s="33" t="s">
        <v>652</v>
      </c>
      <c r="D538" s="33" t="s">
        <v>32</v>
      </c>
      <c r="E538">
        <v>30</v>
      </c>
      <c r="F538" s="34">
        <v>0.18190972222222221</v>
      </c>
      <c r="G538" s="34">
        <v>6.0636574074074074E-3</v>
      </c>
      <c r="H538" s="34">
        <v>0.26396990740740739</v>
      </c>
      <c r="I538" s="34">
        <v>4.611111111111111E-2</v>
      </c>
      <c r="J538" s="35">
        <v>0.17468321129477793</v>
      </c>
      <c r="K538" s="33" t="s">
        <v>651</v>
      </c>
      <c r="L538" s="33" t="s">
        <v>100</v>
      </c>
    </row>
    <row r="539" spans="1:12" x14ac:dyDescent="0.25">
      <c r="A539" s="32">
        <v>46240</v>
      </c>
      <c r="B539" s="33" t="s">
        <v>32</v>
      </c>
      <c r="C539" s="33" t="s">
        <v>568</v>
      </c>
      <c r="D539" s="33" t="s">
        <v>32</v>
      </c>
      <c r="E539">
        <v>19</v>
      </c>
      <c r="F539" s="34">
        <v>7.8472222222222221E-2</v>
      </c>
      <c r="G539" s="34">
        <v>4.1301169590643276E-3</v>
      </c>
      <c r="H539" s="34">
        <v>0.22508101851851853</v>
      </c>
      <c r="I539" s="34">
        <v>8.6504629629629626E-2</v>
      </c>
      <c r="J539" s="35">
        <v>0.38432663135702161</v>
      </c>
      <c r="K539" s="33" t="s">
        <v>246</v>
      </c>
      <c r="L539" s="33" t="s">
        <v>233</v>
      </c>
    </row>
    <row r="540" spans="1:12" x14ac:dyDescent="0.25">
      <c r="A540" s="32">
        <v>46240</v>
      </c>
      <c r="B540" s="33" t="s">
        <v>32</v>
      </c>
      <c r="C540" s="33" t="s">
        <v>508</v>
      </c>
      <c r="D540" s="33" t="s">
        <v>32</v>
      </c>
      <c r="E540">
        <v>32</v>
      </c>
      <c r="F540" s="34">
        <v>0.13071759259259258</v>
      </c>
      <c r="G540" s="34">
        <v>4.0849247685185181E-3</v>
      </c>
      <c r="H540" s="34">
        <v>0.26571759259259259</v>
      </c>
      <c r="I540" s="34">
        <v>5.9421296296296298E-2</v>
      </c>
      <c r="J540" s="35">
        <v>0.22362575137207075</v>
      </c>
      <c r="K540" s="33" t="s">
        <v>48</v>
      </c>
      <c r="L540" s="33" t="s">
        <v>100</v>
      </c>
    </row>
    <row r="541" spans="1:12" x14ac:dyDescent="0.25">
      <c r="A541" s="32">
        <v>46240</v>
      </c>
      <c r="B541" s="33" t="s">
        <v>32</v>
      </c>
      <c r="C541" s="33" t="s">
        <v>538</v>
      </c>
      <c r="D541" s="33" t="s">
        <v>32</v>
      </c>
      <c r="E541">
        <v>5</v>
      </c>
      <c r="F541" s="34">
        <v>5.8159722222222224E-2</v>
      </c>
      <c r="G541" s="34">
        <v>1.1631944444444445E-2</v>
      </c>
      <c r="H541" s="34">
        <v>0.20140046296296296</v>
      </c>
      <c r="I541" s="34">
        <v>0.16903935185185184</v>
      </c>
      <c r="J541" s="35">
        <v>0.83931957933452095</v>
      </c>
      <c r="K541" s="33" t="s">
        <v>50</v>
      </c>
      <c r="L541" s="33" t="s">
        <v>100</v>
      </c>
    </row>
    <row r="542" spans="1:12" x14ac:dyDescent="0.25">
      <c r="A542" s="32">
        <v>46240</v>
      </c>
      <c r="B542" s="33" t="s">
        <v>32</v>
      </c>
      <c r="C542" s="33" t="s">
        <v>603</v>
      </c>
      <c r="D542" s="33" t="s">
        <v>32</v>
      </c>
      <c r="E542">
        <v>29</v>
      </c>
      <c r="F542" s="34">
        <v>0.19902777777777778</v>
      </c>
      <c r="G542" s="34">
        <v>6.8630268199233718E-3</v>
      </c>
      <c r="H542" s="34">
        <v>0.28152777777777777</v>
      </c>
      <c r="I542" s="34">
        <v>9.0509259259259258E-3</v>
      </c>
      <c r="J542" s="35">
        <v>3.2149317546456176E-2</v>
      </c>
      <c r="K542" s="33" t="s">
        <v>242</v>
      </c>
      <c r="L542" s="33" t="s">
        <v>233</v>
      </c>
    </row>
    <row r="543" spans="1:12" x14ac:dyDescent="0.25">
      <c r="A543" s="32">
        <v>46240</v>
      </c>
      <c r="B543" s="33" t="s">
        <v>32</v>
      </c>
      <c r="C543" s="33" t="s">
        <v>518</v>
      </c>
      <c r="D543" s="33" t="s">
        <v>147</v>
      </c>
      <c r="E543">
        <v>7</v>
      </c>
      <c r="F543" s="34">
        <v>3.982638888888889E-2</v>
      </c>
      <c r="G543" s="34">
        <v>5.6894841269841271E-3</v>
      </c>
      <c r="H543" s="34">
        <v>0.26591435185185186</v>
      </c>
      <c r="I543" s="34">
        <v>3.1678240740740743E-2</v>
      </c>
      <c r="J543" s="35">
        <v>0.11912948857453755</v>
      </c>
      <c r="K543" s="33" t="s">
        <v>500</v>
      </c>
      <c r="L543" s="33" t="s">
        <v>274</v>
      </c>
    </row>
    <row r="544" spans="1:12" x14ac:dyDescent="0.25">
      <c r="A544" s="32">
        <v>46240</v>
      </c>
      <c r="B544" s="33" t="s">
        <v>32</v>
      </c>
      <c r="C544" s="33" t="s">
        <v>684</v>
      </c>
      <c r="D544" s="33" t="s">
        <v>32</v>
      </c>
      <c r="E544">
        <v>35</v>
      </c>
      <c r="F544" s="34">
        <v>0.16804398148148147</v>
      </c>
      <c r="G544" s="34">
        <v>4.8012566137566135E-3</v>
      </c>
      <c r="H544" s="34">
        <v>0.26429398148148148</v>
      </c>
      <c r="I544" s="34">
        <v>5.4722222222222221E-2</v>
      </c>
      <c r="J544" s="35">
        <v>0.20705058024961681</v>
      </c>
      <c r="K544" s="33" t="s">
        <v>683</v>
      </c>
      <c r="L544" s="33" t="s">
        <v>233</v>
      </c>
    </row>
    <row r="545" spans="1:12" x14ac:dyDescent="0.25">
      <c r="A545" s="32">
        <v>46240</v>
      </c>
      <c r="B545" s="33" t="s">
        <v>32</v>
      </c>
      <c r="C545" s="33" t="s">
        <v>654</v>
      </c>
      <c r="D545" s="33" t="s">
        <v>32</v>
      </c>
      <c r="E545">
        <v>25</v>
      </c>
      <c r="F545" s="34">
        <v>0.16787037037037036</v>
      </c>
      <c r="G545" s="34">
        <v>6.714814814814815E-3</v>
      </c>
      <c r="H545" s="34">
        <v>0.2555324074074074</v>
      </c>
      <c r="I545" s="34">
        <v>4.6273148148148147E-2</v>
      </c>
      <c r="J545" s="35">
        <v>0.18108524322855332</v>
      </c>
      <c r="K545" s="33" t="s">
        <v>653</v>
      </c>
      <c r="L545" s="33" t="s">
        <v>100</v>
      </c>
    </row>
    <row r="546" spans="1:12" x14ac:dyDescent="0.25">
      <c r="A546" s="32">
        <v>46240</v>
      </c>
      <c r="B546" s="33" t="s">
        <v>32</v>
      </c>
      <c r="C546" s="33" t="s">
        <v>509</v>
      </c>
      <c r="D546" s="33" t="s">
        <v>32</v>
      </c>
      <c r="E546">
        <v>9</v>
      </c>
      <c r="F546" s="34">
        <v>4.3807870370370372E-2</v>
      </c>
      <c r="G546" s="34">
        <v>4.8675411522633751E-3</v>
      </c>
      <c r="H546" s="34">
        <v>0.26063657407407409</v>
      </c>
      <c r="I546" s="34">
        <v>0.21311342592592591</v>
      </c>
      <c r="J546" s="35">
        <v>0.81766508281895278</v>
      </c>
      <c r="K546" s="33" t="s">
        <v>52</v>
      </c>
      <c r="L546" s="33" t="s">
        <v>100</v>
      </c>
    </row>
    <row r="547" spans="1:12" x14ac:dyDescent="0.25">
      <c r="A547" s="32">
        <v>46240</v>
      </c>
      <c r="B547" s="33" t="s">
        <v>32</v>
      </c>
      <c r="C547" s="33" t="s">
        <v>519</v>
      </c>
      <c r="D547" s="33" t="s">
        <v>147</v>
      </c>
      <c r="E547">
        <v>5</v>
      </c>
      <c r="F547" s="34">
        <v>1.650462962962963E-2</v>
      </c>
      <c r="G547" s="34">
        <v>3.3009259259259259E-3</v>
      </c>
      <c r="H547" s="34">
        <v>0.26527777777777778</v>
      </c>
      <c r="I547" s="34">
        <v>4.8877314814814818E-2</v>
      </c>
      <c r="J547" s="35">
        <v>0.18424956369982548</v>
      </c>
      <c r="K547" s="33" t="s">
        <v>164</v>
      </c>
      <c r="L547" s="33" t="s">
        <v>146</v>
      </c>
    </row>
    <row r="548" spans="1:12" x14ac:dyDescent="0.25">
      <c r="A548" s="32">
        <v>46240</v>
      </c>
      <c r="B548" s="33" t="s">
        <v>32</v>
      </c>
      <c r="C548" s="33" t="s">
        <v>656</v>
      </c>
      <c r="D548" s="33" t="s">
        <v>32</v>
      </c>
      <c r="E548">
        <v>19</v>
      </c>
      <c r="F548" s="34">
        <v>0.1700925925925926</v>
      </c>
      <c r="G548" s="34">
        <v>8.9522417153996107E-3</v>
      </c>
      <c r="H548" s="34">
        <v>0.26155092592592594</v>
      </c>
      <c r="I548" s="34">
        <v>4.0497685185185185E-2</v>
      </c>
      <c r="J548" s="35">
        <v>0.15483671121338172</v>
      </c>
      <c r="K548" s="33" t="s">
        <v>655</v>
      </c>
      <c r="L548" s="33" t="s">
        <v>100</v>
      </c>
    </row>
    <row r="549" spans="1:12" x14ac:dyDescent="0.25">
      <c r="A549" s="32">
        <v>46240</v>
      </c>
      <c r="B549" s="33" t="s">
        <v>32</v>
      </c>
      <c r="C549" s="33" t="s">
        <v>167</v>
      </c>
      <c r="D549" s="33" t="s">
        <v>147</v>
      </c>
      <c r="E549">
        <v>4</v>
      </c>
      <c r="F549" s="34">
        <v>1.369212962962963E-2</v>
      </c>
      <c r="G549" s="34">
        <v>3.4230324074074076E-3</v>
      </c>
      <c r="H549" s="34">
        <v>0.25585648148148149</v>
      </c>
      <c r="I549" s="34">
        <v>4.4236111111111108E-2</v>
      </c>
      <c r="J549" s="35">
        <v>0.17289423685877137</v>
      </c>
      <c r="K549" s="33" t="s">
        <v>166</v>
      </c>
      <c r="L549" s="33" t="s">
        <v>146</v>
      </c>
    </row>
    <row r="550" spans="1:12" x14ac:dyDescent="0.25">
      <c r="A550" s="32">
        <v>46240</v>
      </c>
      <c r="B550" s="33" t="s">
        <v>32</v>
      </c>
      <c r="C550" s="33" t="s">
        <v>658</v>
      </c>
      <c r="D550" s="33" t="s">
        <v>147</v>
      </c>
      <c r="E550">
        <v>3</v>
      </c>
      <c r="F550" s="34">
        <v>2.045138888888889E-2</v>
      </c>
      <c r="G550" s="34">
        <v>6.8171296296296304E-3</v>
      </c>
      <c r="H550" s="34">
        <v>0.25738425925925928</v>
      </c>
      <c r="I550" s="34">
        <v>5.7905092592592591E-2</v>
      </c>
      <c r="J550" s="35">
        <v>0.22497526756003236</v>
      </c>
      <c r="K550" s="33" t="s">
        <v>657</v>
      </c>
      <c r="L550" s="33" t="s">
        <v>274</v>
      </c>
    </row>
    <row r="551" spans="1:12" x14ac:dyDescent="0.25">
      <c r="A551" s="32">
        <v>46240</v>
      </c>
      <c r="B551" s="33" t="s">
        <v>32</v>
      </c>
      <c r="C551" s="33" t="s">
        <v>660</v>
      </c>
      <c r="D551" s="33" t="s">
        <v>32</v>
      </c>
      <c r="E551">
        <v>4</v>
      </c>
      <c r="F551" s="34">
        <v>1.5902777777777776E-2</v>
      </c>
      <c r="G551" s="34">
        <v>3.975694444444444E-3</v>
      </c>
      <c r="H551" s="34">
        <v>0.22734953703703703</v>
      </c>
      <c r="I551" s="34">
        <v>0.20755787037037038</v>
      </c>
      <c r="J551" s="35">
        <v>0.912946087664817</v>
      </c>
      <c r="K551" s="33" t="s">
        <v>659</v>
      </c>
      <c r="L551" s="33" t="s">
        <v>100</v>
      </c>
    </row>
    <row r="552" spans="1:12" x14ac:dyDescent="0.25">
      <c r="A552" s="32">
        <v>46240</v>
      </c>
      <c r="B552" s="33" t="s">
        <v>32</v>
      </c>
      <c r="C552" s="33" t="s">
        <v>528</v>
      </c>
      <c r="D552" s="33" t="s">
        <v>32</v>
      </c>
      <c r="E552">
        <v>18</v>
      </c>
      <c r="F552" s="34">
        <v>7.1597222222222229E-2</v>
      </c>
      <c r="G552" s="34">
        <v>3.9776234567901235E-3</v>
      </c>
      <c r="H552" s="34">
        <v>0.23624999999999999</v>
      </c>
      <c r="I552" s="34">
        <v>9.7812499999999997E-2</v>
      </c>
      <c r="J552" s="35">
        <v>0.41402116402116401</v>
      </c>
      <c r="K552" s="33" t="s">
        <v>254</v>
      </c>
      <c r="L552" s="33" t="s">
        <v>233</v>
      </c>
    </row>
    <row r="553" spans="1:12" x14ac:dyDescent="0.25">
      <c r="A553" s="32">
        <v>46240</v>
      </c>
      <c r="B553" s="33" t="s">
        <v>32</v>
      </c>
      <c r="C553" s="33" t="s">
        <v>520</v>
      </c>
      <c r="D553" s="33" t="s">
        <v>147</v>
      </c>
      <c r="E553">
        <v>7</v>
      </c>
      <c r="F553" s="34">
        <v>2.3657407407407408E-2</v>
      </c>
      <c r="G553" s="34">
        <v>3.3796296296296296E-3</v>
      </c>
      <c r="H553" s="34">
        <v>0.26665509259259257</v>
      </c>
      <c r="I553" s="34">
        <v>4.2268518518518518E-2</v>
      </c>
      <c r="J553" s="35">
        <v>0.15851382438473893</v>
      </c>
      <c r="K553" s="33" t="s">
        <v>168</v>
      </c>
      <c r="L553" s="33" t="s">
        <v>274</v>
      </c>
    </row>
    <row r="554" spans="1:12" x14ac:dyDescent="0.25">
      <c r="A554" s="32">
        <v>46240</v>
      </c>
      <c r="B554" s="33" t="s">
        <v>32</v>
      </c>
      <c r="C554" s="33" t="s">
        <v>521</v>
      </c>
      <c r="D554" s="33" t="s">
        <v>147</v>
      </c>
      <c r="E554">
        <v>6</v>
      </c>
      <c r="F554" s="34">
        <v>3.8206018518518521E-2</v>
      </c>
      <c r="G554" s="34">
        <v>6.3676697530864199E-3</v>
      </c>
      <c r="H554" s="34">
        <v>0.26866898148148149</v>
      </c>
      <c r="I554" s="34">
        <v>4.5416666666666668E-2</v>
      </c>
      <c r="J554" s="35">
        <v>0.16904320854693491</v>
      </c>
      <c r="K554" s="33" t="s">
        <v>170</v>
      </c>
      <c r="L554" s="33" t="s">
        <v>146</v>
      </c>
    </row>
    <row r="555" spans="1:12" x14ac:dyDescent="0.25">
      <c r="A555" s="32">
        <v>46240</v>
      </c>
      <c r="B555" s="33" t="s">
        <v>32</v>
      </c>
      <c r="C555" s="33" t="s">
        <v>633</v>
      </c>
      <c r="D555" s="33" t="s">
        <v>147</v>
      </c>
      <c r="E555">
        <v>4</v>
      </c>
      <c r="F555" s="34">
        <v>1.7071759259259259E-2</v>
      </c>
      <c r="G555" s="34">
        <v>4.2679398148148147E-3</v>
      </c>
      <c r="H555" s="34">
        <v>0.26104166666666667</v>
      </c>
      <c r="I555" s="34">
        <v>9.3344907407407404E-2</v>
      </c>
      <c r="J555" s="35">
        <v>0.35758623747450563</v>
      </c>
      <c r="K555" s="33" t="s">
        <v>606</v>
      </c>
      <c r="L555" s="33" t="s">
        <v>146</v>
      </c>
    </row>
    <row r="556" spans="1:12" x14ac:dyDescent="0.25">
      <c r="A556" s="32">
        <v>46240</v>
      </c>
      <c r="B556" s="33" t="s">
        <v>32</v>
      </c>
      <c r="C556" s="33" t="s">
        <v>529</v>
      </c>
      <c r="D556" s="33" t="s">
        <v>32</v>
      </c>
      <c r="E556">
        <v>22</v>
      </c>
      <c r="F556" s="34">
        <v>0.13625000000000001</v>
      </c>
      <c r="G556" s="34">
        <v>6.193181818181819E-3</v>
      </c>
      <c r="H556" s="34">
        <v>0.25362268518518516</v>
      </c>
      <c r="I556" s="34">
        <v>4.9733796296296297E-2</v>
      </c>
      <c r="J556" s="35">
        <v>0.19609364304294258</v>
      </c>
      <c r="K556" s="33" t="s">
        <v>256</v>
      </c>
      <c r="L556" s="33" t="s">
        <v>233</v>
      </c>
    </row>
    <row r="557" spans="1:12" x14ac:dyDescent="0.25">
      <c r="A557" s="32">
        <v>46240</v>
      </c>
      <c r="B557" s="33" t="s">
        <v>32</v>
      </c>
      <c r="C557" s="33" t="s">
        <v>554</v>
      </c>
      <c r="D557" s="33" t="s">
        <v>32</v>
      </c>
      <c r="E557">
        <v>7</v>
      </c>
      <c r="F557" s="34">
        <v>1.4560185185185185E-2</v>
      </c>
      <c r="G557" s="34">
        <v>2.0800264550264549E-3</v>
      </c>
      <c r="H557" s="34">
        <v>0.24543981481481481</v>
      </c>
      <c r="I557" s="34">
        <v>0.21430555555555555</v>
      </c>
      <c r="J557" s="35">
        <v>0.87314910874280871</v>
      </c>
      <c r="K557" s="33" t="s">
        <v>258</v>
      </c>
      <c r="L557" s="33" t="s">
        <v>233</v>
      </c>
    </row>
    <row r="558" spans="1:12" x14ac:dyDescent="0.25">
      <c r="A558" s="32">
        <v>46240</v>
      </c>
      <c r="B558" s="33" t="s">
        <v>32</v>
      </c>
      <c r="C558" s="33" t="s">
        <v>662</v>
      </c>
      <c r="D558" s="33" t="s">
        <v>32</v>
      </c>
      <c r="E558">
        <v>22</v>
      </c>
      <c r="F558" s="34">
        <v>0.1909837962962963</v>
      </c>
      <c r="G558" s="34">
        <v>8.6810816498316505E-3</v>
      </c>
      <c r="H558" s="34">
        <v>0.25885416666666666</v>
      </c>
      <c r="I558" s="34">
        <v>3.9710648148148148E-2</v>
      </c>
      <c r="J558" s="35">
        <v>0.15340934495864073</v>
      </c>
      <c r="K558" s="33" t="s">
        <v>661</v>
      </c>
      <c r="L558" s="33" t="s">
        <v>100</v>
      </c>
    </row>
    <row r="559" spans="1:12" x14ac:dyDescent="0.25">
      <c r="A559" s="32">
        <v>46240</v>
      </c>
      <c r="B559" s="33" t="s">
        <v>32</v>
      </c>
      <c r="C559" s="33" t="s">
        <v>664</v>
      </c>
      <c r="D559" s="33" t="s">
        <v>32</v>
      </c>
      <c r="E559">
        <v>20</v>
      </c>
      <c r="F559" s="34">
        <v>0.16780092592592594</v>
      </c>
      <c r="G559" s="34">
        <v>8.3900462962962965E-3</v>
      </c>
      <c r="H559" s="34">
        <v>0.25194444444444447</v>
      </c>
      <c r="I559" s="34">
        <v>3.5648148148148151E-2</v>
      </c>
      <c r="J559" s="35">
        <v>0.14149209849320102</v>
      </c>
      <c r="K559" s="33" t="s">
        <v>663</v>
      </c>
      <c r="L559" s="33" t="s">
        <v>233</v>
      </c>
    </row>
    <row r="560" spans="1:12" x14ac:dyDescent="0.25">
      <c r="A560" s="32">
        <v>46240</v>
      </c>
      <c r="B560" s="33" t="s">
        <v>32</v>
      </c>
      <c r="C560" s="33" t="s">
        <v>666</v>
      </c>
      <c r="D560" s="33" t="s">
        <v>32</v>
      </c>
      <c r="E560">
        <v>38</v>
      </c>
      <c r="F560" s="34">
        <v>0.17694444444444443</v>
      </c>
      <c r="G560" s="34">
        <v>4.6564327485380114E-3</v>
      </c>
      <c r="H560" s="34">
        <v>0.26342592592592595</v>
      </c>
      <c r="I560" s="34">
        <v>4.6724537037037037E-2</v>
      </c>
      <c r="J560" s="35">
        <v>0.1773725834797891</v>
      </c>
      <c r="K560" s="33" t="s">
        <v>665</v>
      </c>
      <c r="L560" s="33" t="s">
        <v>100</v>
      </c>
    </row>
    <row r="561" spans="1:12" x14ac:dyDescent="0.25">
      <c r="A561" s="32">
        <v>46240</v>
      </c>
      <c r="B561" s="33" t="s">
        <v>32</v>
      </c>
      <c r="C561" s="33" t="s">
        <v>555</v>
      </c>
      <c r="D561" s="33" t="s">
        <v>32</v>
      </c>
      <c r="E561">
        <v>30</v>
      </c>
      <c r="F561" s="34">
        <v>0.14791666666666667</v>
      </c>
      <c r="G561" s="34">
        <v>4.9305555555555552E-3</v>
      </c>
      <c r="H561" s="34">
        <v>0.24959490740740742</v>
      </c>
      <c r="I561" s="34">
        <v>5.7615740740740738E-2</v>
      </c>
      <c r="J561" s="35">
        <v>0.23083700440528632</v>
      </c>
      <c r="K561" s="33" t="s">
        <v>128</v>
      </c>
      <c r="L561" s="33" t="s">
        <v>233</v>
      </c>
    </row>
    <row r="562" spans="1:12" x14ac:dyDescent="0.25">
      <c r="A562" s="32">
        <v>46240</v>
      </c>
      <c r="B562" s="33" t="s">
        <v>32</v>
      </c>
      <c r="C562" s="33" t="s">
        <v>522</v>
      </c>
      <c r="D562" s="33" t="s">
        <v>147</v>
      </c>
      <c r="E562">
        <v>4</v>
      </c>
      <c r="F562" s="34">
        <v>3.2881944444444443E-2</v>
      </c>
      <c r="G562" s="34">
        <v>8.2204861111111107E-3</v>
      </c>
      <c r="H562" s="34">
        <v>0.18013888888888888</v>
      </c>
      <c r="I562" s="34">
        <v>2.7719907407407408E-2</v>
      </c>
      <c r="J562" s="35">
        <v>0.15388075044975585</v>
      </c>
      <c r="K562" s="33" t="s">
        <v>178</v>
      </c>
      <c r="L562" s="33" t="s">
        <v>146</v>
      </c>
    </row>
    <row r="563" spans="1:12" x14ac:dyDescent="0.25">
      <c r="A563" s="32">
        <v>46240</v>
      </c>
      <c r="B563" s="33" t="s">
        <v>32</v>
      </c>
      <c r="C563" s="33" t="s">
        <v>531</v>
      </c>
      <c r="D563" s="33" t="s">
        <v>32</v>
      </c>
      <c r="E563">
        <v>2</v>
      </c>
      <c r="F563" s="34">
        <v>1.7569444444444443E-2</v>
      </c>
      <c r="G563" s="34">
        <v>8.7847222222222215E-3</v>
      </c>
      <c r="H563" s="34">
        <v>0.2396412037037037</v>
      </c>
      <c r="I563" s="34">
        <v>0.21649305555555556</v>
      </c>
      <c r="J563" s="35">
        <v>0.90340497464380587</v>
      </c>
      <c r="K563" s="33" t="s">
        <v>266</v>
      </c>
      <c r="L563" s="33" t="s">
        <v>233</v>
      </c>
    </row>
    <row r="564" spans="1:12" x14ac:dyDescent="0.25">
      <c r="A564" s="32">
        <v>46240</v>
      </c>
      <c r="B564" s="33" t="s">
        <v>32</v>
      </c>
      <c r="C564" s="33" t="s">
        <v>523</v>
      </c>
      <c r="D564" s="33" t="s">
        <v>147</v>
      </c>
      <c r="E564">
        <v>3</v>
      </c>
      <c r="F564" s="34">
        <v>2.8032407407407409E-2</v>
      </c>
      <c r="G564" s="34">
        <v>9.3441358024691362E-3</v>
      </c>
      <c r="H564" s="34">
        <v>0.32967592592592593</v>
      </c>
      <c r="I564" s="34">
        <v>5.3587962962962962E-2</v>
      </c>
      <c r="J564" s="35">
        <v>0.16254739502878809</v>
      </c>
      <c r="K564" s="33" t="s">
        <v>180</v>
      </c>
      <c r="L564" s="33" t="s">
        <v>146</v>
      </c>
    </row>
    <row r="565" spans="1:12" x14ac:dyDescent="0.25">
      <c r="A565" s="32">
        <v>46240</v>
      </c>
      <c r="B565" s="33" t="s">
        <v>32</v>
      </c>
      <c r="C565" s="33" t="s">
        <v>566</v>
      </c>
      <c r="D565" s="33" t="s">
        <v>147</v>
      </c>
      <c r="E565">
        <v>5</v>
      </c>
      <c r="F565" s="34">
        <v>1.7326388888888888E-2</v>
      </c>
      <c r="G565" s="34">
        <v>3.4652777777777776E-3</v>
      </c>
      <c r="H565" s="34">
        <v>0.25874999999999998</v>
      </c>
      <c r="I565" s="34">
        <v>3.6041666666666666E-2</v>
      </c>
      <c r="J565" s="35">
        <v>0.13929146537842191</v>
      </c>
      <c r="K565" s="33" t="s">
        <v>207</v>
      </c>
      <c r="L565" s="33" t="s">
        <v>274</v>
      </c>
    </row>
    <row r="566" spans="1:12" x14ac:dyDescent="0.25">
      <c r="A566" s="32">
        <v>46240</v>
      </c>
      <c r="B566" s="33" t="s">
        <v>32</v>
      </c>
      <c r="C566" s="33" t="s">
        <v>510</v>
      </c>
      <c r="D566" s="33" t="s">
        <v>32</v>
      </c>
      <c r="E566">
        <v>38</v>
      </c>
      <c r="F566" s="34">
        <v>0.20981481481481482</v>
      </c>
      <c r="G566" s="34">
        <v>5.5214424951267058E-3</v>
      </c>
      <c r="H566" s="34">
        <v>0.32087962962962963</v>
      </c>
      <c r="I566" s="34">
        <v>4.9907407407407407E-2</v>
      </c>
      <c r="J566" s="35">
        <v>0.15553311210503534</v>
      </c>
      <c r="K566" s="33" t="s">
        <v>60</v>
      </c>
      <c r="L566" s="33" t="s">
        <v>100</v>
      </c>
    </row>
    <row r="567" spans="1:12" x14ac:dyDescent="0.25">
      <c r="A567" s="32">
        <v>46240</v>
      </c>
      <c r="B567" s="33" t="s">
        <v>32</v>
      </c>
      <c r="C567" s="33" t="s">
        <v>524</v>
      </c>
      <c r="D567" s="33" t="s">
        <v>147</v>
      </c>
      <c r="E567">
        <v>6</v>
      </c>
      <c r="F567" s="34">
        <v>1.6736111111111111E-2</v>
      </c>
      <c r="G567" s="34">
        <v>2.7893518518518519E-3</v>
      </c>
      <c r="H567" s="34">
        <v>0.29332175925925924</v>
      </c>
      <c r="I567" s="34">
        <v>4.3472222222222225E-2</v>
      </c>
      <c r="J567" s="35">
        <v>0.14820660537426511</v>
      </c>
      <c r="K567" s="33" t="s">
        <v>501</v>
      </c>
      <c r="L567" s="33" t="s">
        <v>274</v>
      </c>
    </row>
    <row r="568" spans="1:12" x14ac:dyDescent="0.25">
      <c r="A568" s="32">
        <v>46240</v>
      </c>
      <c r="B568" s="33" t="s">
        <v>32</v>
      </c>
      <c r="C568" s="33" t="s">
        <v>669</v>
      </c>
      <c r="D568" s="33" t="s">
        <v>32</v>
      </c>
      <c r="E568">
        <v>33</v>
      </c>
      <c r="F568" s="34">
        <v>0.14341435185185186</v>
      </c>
      <c r="G568" s="34">
        <v>4.3458894500561169E-3</v>
      </c>
      <c r="H568" s="34">
        <v>0.26267361111111109</v>
      </c>
      <c r="I568" s="34">
        <v>4.929398148148148E-2</v>
      </c>
      <c r="J568" s="35">
        <v>0.18766248072262615</v>
      </c>
      <c r="K568" s="33" t="s">
        <v>668</v>
      </c>
      <c r="L568" s="33" t="s">
        <v>233</v>
      </c>
    </row>
    <row r="569" spans="1:12" x14ac:dyDescent="0.25">
      <c r="A569" s="32">
        <v>46240</v>
      </c>
      <c r="B569" s="33" t="s">
        <v>32</v>
      </c>
      <c r="C569" s="33" t="s">
        <v>670</v>
      </c>
      <c r="D569" s="33" t="s">
        <v>32</v>
      </c>
      <c r="E569">
        <v>27</v>
      </c>
      <c r="F569" s="34">
        <v>0.16012731481481482</v>
      </c>
      <c r="G569" s="34">
        <v>5.9306412894375863E-3</v>
      </c>
      <c r="H569" s="34">
        <v>0.25686342592592593</v>
      </c>
      <c r="I569" s="34">
        <v>4.3680555555555556E-2</v>
      </c>
      <c r="J569" s="35">
        <v>0.17005362051097192</v>
      </c>
      <c r="K569" s="33" t="s">
        <v>744</v>
      </c>
      <c r="L569" s="33" t="s">
        <v>100</v>
      </c>
    </row>
    <row r="570" spans="1:12" x14ac:dyDescent="0.25">
      <c r="A570" s="32">
        <v>46240</v>
      </c>
      <c r="B570" s="33" t="s">
        <v>32</v>
      </c>
      <c r="C570" s="33" t="s">
        <v>306</v>
      </c>
      <c r="D570" s="33" t="s">
        <v>32</v>
      </c>
      <c r="E570">
        <v>33</v>
      </c>
      <c r="F570" s="34">
        <v>0.13600694444444444</v>
      </c>
      <c r="G570" s="34">
        <v>4.1214225589225589E-3</v>
      </c>
      <c r="H570" s="34">
        <v>0.25893518518518521</v>
      </c>
      <c r="I570" s="34">
        <v>7.4548611111111107E-2</v>
      </c>
      <c r="J570" s="35">
        <v>0.28790452351153223</v>
      </c>
      <c r="K570" s="33" t="s">
        <v>305</v>
      </c>
      <c r="L570" s="33" t="s">
        <v>100</v>
      </c>
    </row>
    <row r="571" spans="1:12" x14ac:dyDescent="0.25">
      <c r="A571" s="32">
        <v>46240</v>
      </c>
      <c r="B571" s="33" t="s">
        <v>32</v>
      </c>
      <c r="C571" s="33" t="s">
        <v>532</v>
      </c>
      <c r="D571" s="33" t="s">
        <v>32</v>
      </c>
      <c r="E571">
        <v>36</v>
      </c>
      <c r="F571" s="34">
        <v>0.10686342592592593</v>
      </c>
      <c r="G571" s="34">
        <v>2.9684284979423869E-3</v>
      </c>
      <c r="H571" s="34">
        <v>0.25729166666666664</v>
      </c>
      <c r="I571" s="34">
        <v>6.3622685185185185E-2</v>
      </c>
      <c r="J571" s="35">
        <v>0.24727845254161046</v>
      </c>
      <c r="K571" s="33" t="s">
        <v>276</v>
      </c>
      <c r="L571" s="33" t="s">
        <v>233</v>
      </c>
    </row>
    <row r="572" spans="1:12" x14ac:dyDescent="0.25">
      <c r="A572" s="32">
        <v>46240</v>
      </c>
      <c r="B572" s="33" t="s">
        <v>32</v>
      </c>
      <c r="C572" s="33" t="s">
        <v>533</v>
      </c>
      <c r="D572" s="33" t="s">
        <v>32</v>
      </c>
      <c r="E572">
        <v>21</v>
      </c>
      <c r="F572" s="34">
        <v>0.1633449074074074</v>
      </c>
      <c r="G572" s="34">
        <v>7.7783289241622573E-3</v>
      </c>
      <c r="H572" s="34">
        <v>0.2799537037037037</v>
      </c>
      <c r="I572" s="34">
        <v>5.2048611111111108E-2</v>
      </c>
      <c r="J572" s="35">
        <v>0.18591863734083014</v>
      </c>
      <c r="K572" s="33" t="s">
        <v>278</v>
      </c>
      <c r="L572" s="33" t="s">
        <v>233</v>
      </c>
    </row>
    <row r="573" spans="1:12" x14ac:dyDescent="0.25">
      <c r="A573" s="32">
        <v>46240</v>
      </c>
      <c r="B573" s="33" t="s">
        <v>32</v>
      </c>
      <c r="C573" s="33" t="s">
        <v>534</v>
      </c>
      <c r="D573" s="33" t="s">
        <v>32</v>
      </c>
      <c r="E573">
        <v>27</v>
      </c>
      <c r="F573" s="34">
        <v>0.11548611111111111</v>
      </c>
      <c r="G573" s="34">
        <v>4.2772633744855969E-3</v>
      </c>
      <c r="H573" s="34">
        <v>0.26420138888888889</v>
      </c>
      <c r="I573" s="34">
        <v>7.3321759259259253E-2</v>
      </c>
      <c r="J573" s="35">
        <v>0.27752223244403557</v>
      </c>
      <c r="K573" s="33" t="s">
        <v>280</v>
      </c>
      <c r="L573" s="33" t="s">
        <v>233</v>
      </c>
    </row>
    <row r="574" spans="1:12" x14ac:dyDescent="0.25">
      <c r="A574" s="32">
        <v>46240</v>
      </c>
      <c r="B574" s="33" t="s">
        <v>32</v>
      </c>
      <c r="C574" s="33" t="s">
        <v>535</v>
      </c>
      <c r="D574" s="33" t="s">
        <v>32</v>
      </c>
      <c r="E574">
        <v>67</v>
      </c>
      <c r="F574" s="34">
        <v>0.14528935185185185</v>
      </c>
      <c r="G574" s="34">
        <v>2.1684977888336097E-3</v>
      </c>
      <c r="H574" s="34">
        <v>0.2575810185185185</v>
      </c>
      <c r="I574" s="34">
        <v>4.8796296296296296E-2</v>
      </c>
      <c r="J574" s="35">
        <v>0.18944057515165133</v>
      </c>
      <c r="K574" s="33" t="s">
        <v>282</v>
      </c>
      <c r="L574" s="33" t="s">
        <v>233</v>
      </c>
    </row>
    <row r="575" spans="1:12" x14ac:dyDescent="0.25">
      <c r="A575" s="32">
        <v>46240</v>
      </c>
      <c r="B575" s="33" t="s">
        <v>32</v>
      </c>
      <c r="C575" s="33" t="s">
        <v>557</v>
      </c>
      <c r="D575" s="33" t="s">
        <v>147</v>
      </c>
      <c r="E575">
        <v>7</v>
      </c>
      <c r="F575" s="34">
        <v>6.5081018518518524E-2</v>
      </c>
      <c r="G575" s="34">
        <v>9.2972883597883613E-3</v>
      </c>
      <c r="H575" s="34">
        <v>0.27112268518518517</v>
      </c>
      <c r="I575" s="34">
        <v>3.9467592592592596E-2</v>
      </c>
      <c r="J575" s="35">
        <v>0.14557097118463183</v>
      </c>
      <c r="K575" s="33" t="s">
        <v>227</v>
      </c>
      <c r="L575" s="33" t="s">
        <v>146</v>
      </c>
    </row>
    <row r="576" spans="1:12" x14ac:dyDescent="0.25">
      <c r="A576" s="32">
        <v>46240</v>
      </c>
      <c r="B576" s="33" t="s">
        <v>32</v>
      </c>
      <c r="C576" s="33" t="s">
        <v>678</v>
      </c>
      <c r="D576" s="33" t="s">
        <v>147</v>
      </c>
      <c r="E576">
        <v>3</v>
      </c>
      <c r="F576" s="34">
        <v>6.3773148148148148E-3</v>
      </c>
      <c r="G576" s="34">
        <v>2.1257716049382716E-3</v>
      </c>
      <c r="H576" s="34">
        <v>0.26119212962962962</v>
      </c>
      <c r="I576" s="34">
        <v>3.9687500000000001E-2</v>
      </c>
      <c r="J576" s="35">
        <v>0.15194753400983738</v>
      </c>
      <c r="K576" s="33" t="s">
        <v>677</v>
      </c>
      <c r="L576" s="33" t="s">
        <v>274</v>
      </c>
    </row>
    <row r="577" spans="1:12" x14ac:dyDescent="0.25">
      <c r="A577" s="32">
        <v>46240</v>
      </c>
      <c r="B577" s="33" t="s">
        <v>32</v>
      </c>
      <c r="C577" s="33" t="s">
        <v>680</v>
      </c>
      <c r="D577" s="33" t="s">
        <v>147</v>
      </c>
      <c r="E577">
        <v>7</v>
      </c>
      <c r="F577" s="34">
        <v>4.2476851851851849E-2</v>
      </c>
      <c r="G577" s="34">
        <v>6.068121693121693E-3</v>
      </c>
      <c r="H577" s="34">
        <v>0.25793981481481482</v>
      </c>
      <c r="I577" s="34">
        <v>6.7407407407407402E-2</v>
      </c>
      <c r="J577" s="35">
        <v>0.26132998294893656</v>
      </c>
      <c r="K577" s="33" t="s">
        <v>679</v>
      </c>
      <c r="L577" s="33" t="s">
        <v>274</v>
      </c>
    </row>
    <row r="578" spans="1:12" x14ac:dyDescent="0.25">
      <c r="A578" s="32">
        <v>46240</v>
      </c>
      <c r="B578" s="33" t="s">
        <v>600</v>
      </c>
      <c r="C578" s="33" t="s">
        <v>545</v>
      </c>
      <c r="D578" s="33" t="s">
        <v>600</v>
      </c>
      <c r="E578">
        <v>36</v>
      </c>
      <c r="F578" s="34">
        <v>8.1655092592592599E-2</v>
      </c>
      <c r="G578" s="34">
        <v>2.2681970164609056E-3</v>
      </c>
      <c r="H578" s="34">
        <v>0.25216435185185188</v>
      </c>
      <c r="I578" s="34">
        <v>6.9293981481481484E-2</v>
      </c>
      <c r="J578" s="35">
        <v>0.27479689723229445</v>
      </c>
      <c r="K578" s="33" t="s">
        <v>201</v>
      </c>
      <c r="L578" s="33" t="s">
        <v>601</v>
      </c>
    </row>
    <row r="579" spans="1:12" x14ac:dyDescent="0.25">
      <c r="A579" s="32">
        <v>46240</v>
      </c>
      <c r="B579" s="33" t="s">
        <v>600</v>
      </c>
      <c r="C579" s="33" t="s">
        <v>543</v>
      </c>
      <c r="D579" s="33" t="s">
        <v>600</v>
      </c>
      <c r="E579">
        <v>21</v>
      </c>
      <c r="F579" s="34">
        <v>5.3854166666666668E-2</v>
      </c>
      <c r="G579" s="34">
        <v>2.5644841269841269E-3</v>
      </c>
      <c r="H579" s="34">
        <v>0.24453703703703702</v>
      </c>
      <c r="I579" s="34">
        <v>0.15265046296296297</v>
      </c>
      <c r="J579" s="35">
        <v>0.62424271109428253</v>
      </c>
      <c r="K579" s="33" t="s">
        <v>293</v>
      </c>
      <c r="L579" s="33" t="s">
        <v>104</v>
      </c>
    </row>
    <row r="580" spans="1:12" x14ac:dyDescent="0.25">
      <c r="A580" s="32">
        <v>46241</v>
      </c>
      <c r="B580" s="33" t="s">
        <v>147</v>
      </c>
      <c r="C580" s="33" t="s">
        <v>563</v>
      </c>
      <c r="D580" s="33" t="s">
        <v>147</v>
      </c>
      <c r="E580">
        <v>8</v>
      </c>
      <c r="F580" s="34">
        <v>2.7534722222222221E-2</v>
      </c>
      <c r="G580" s="34">
        <v>3.4418402777777776E-3</v>
      </c>
      <c r="H580" s="34">
        <v>0.26146990740740739</v>
      </c>
      <c r="I580" s="34">
        <v>3.0034722222222223E-2</v>
      </c>
      <c r="J580" s="35">
        <v>0.11486875304324733</v>
      </c>
      <c r="K580" s="33" t="s">
        <v>193</v>
      </c>
      <c r="L580" s="33" t="s">
        <v>274</v>
      </c>
    </row>
    <row r="581" spans="1:12" x14ac:dyDescent="0.25">
      <c r="A581" s="32">
        <v>46241</v>
      </c>
      <c r="B581" s="33" t="s">
        <v>147</v>
      </c>
      <c r="C581" s="33" t="s">
        <v>515</v>
      </c>
      <c r="D581" s="33" t="s">
        <v>147</v>
      </c>
      <c r="E581">
        <v>13</v>
      </c>
      <c r="F581" s="34">
        <v>2.7083333333333334E-2</v>
      </c>
      <c r="G581" s="34">
        <v>2.0833333333333333E-3</v>
      </c>
      <c r="H581" s="34">
        <v>0.26450231481481479</v>
      </c>
      <c r="I581" s="34">
        <v>2.8530092592592593E-2</v>
      </c>
      <c r="J581" s="35">
        <v>0.10786330022316547</v>
      </c>
      <c r="K581" s="33" t="s">
        <v>154</v>
      </c>
      <c r="L581" s="33" t="s">
        <v>146</v>
      </c>
    </row>
    <row r="582" spans="1:12" x14ac:dyDescent="0.25">
      <c r="A582" s="32">
        <v>46241</v>
      </c>
      <c r="B582" s="33" t="s">
        <v>147</v>
      </c>
      <c r="C582" s="33" t="s">
        <v>516</v>
      </c>
      <c r="D582" s="33" t="s">
        <v>147</v>
      </c>
      <c r="E582">
        <v>12</v>
      </c>
      <c r="F582" s="34">
        <v>3.5474537037037034E-2</v>
      </c>
      <c r="G582" s="34">
        <v>2.9562114197530863E-3</v>
      </c>
      <c r="H582" s="34">
        <v>0.26246527777777778</v>
      </c>
      <c r="I582" s="34">
        <v>4.1400462962962965E-2</v>
      </c>
      <c r="J582" s="35">
        <v>0.15773691405388721</v>
      </c>
      <c r="K582" s="33" t="s">
        <v>156</v>
      </c>
      <c r="L582" s="33" t="s">
        <v>146</v>
      </c>
    </row>
    <row r="583" spans="1:12" x14ac:dyDescent="0.25">
      <c r="A583" s="32">
        <v>46241</v>
      </c>
      <c r="B583" s="33" t="s">
        <v>147</v>
      </c>
      <c r="C583" s="33" t="s">
        <v>544</v>
      </c>
      <c r="D583" s="33" t="s">
        <v>147</v>
      </c>
      <c r="E583">
        <v>8</v>
      </c>
      <c r="F583" s="34">
        <v>2.8217592592592593E-2</v>
      </c>
      <c r="G583" s="34">
        <v>3.5271990740740741E-3</v>
      </c>
      <c r="H583" s="34">
        <v>0.25892361111111112</v>
      </c>
      <c r="I583" s="34">
        <v>5.3634259259259257E-2</v>
      </c>
      <c r="J583" s="35">
        <v>0.20714317643377586</v>
      </c>
      <c r="K583" s="33" t="s">
        <v>160</v>
      </c>
      <c r="L583" s="33" t="s">
        <v>146</v>
      </c>
    </row>
    <row r="584" spans="1:12" x14ac:dyDescent="0.25">
      <c r="A584" s="32">
        <v>46241</v>
      </c>
      <c r="B584" s="33" t="s">
        <v>147</v>
      </c>
      <c r="C584" s="33" t="s">
        <v>517</v>
      </c>
      <c r="D584" s="33" t="s">
        <v>147</v>
      </c>
      <c r="E584">
        <v>10</v>
      </c>
      <c r="F584" s="34">
        <v>3.3969907407407407E-2</v>
      </c>
      <c r="G584" s="34">
        <v>3.3969907407407408E-3</v>
      </c>
      <c r="H584" s="34">
        <v>0.26121527777777775</v>
      </c>
      <c r="I584" s="34">
        <v>5.9768518518518519E-2</v>
      </c>
      <c r="J584" s="35">
        <v>0.22880942886259917</v>
      </c>
      <c r="K584" s="33" t="s">
        <v>499</v>
      </c>
      <c r="L584" s="33" t="s">
        <v>146</v>
      </c>
    </row>
    <row r="585" spans="1:12" x14ac:dyDescent="0.25">
      <c r="A585" s="32">
        <v>46241</v>
      </c>
      <c r="B585" s="33" t="s">
        <v>147</v>
      </c>
      <c r="C585" s="33" t="s">
        <v>518</v>
      </c>
      <c r="D585" s="33" t="s">
        <v>147</v>
      </c>
      <c r="E585">
        <v>17</v>
      </c>
      <c r="F585" s="34">
        <v>7.5775462962962961E-2</v>
      </c>
      <c r="G585" s="34">
        <v>4.4573801742919389E-3</v>
      </c>
      <c r="H585" s="34">
        <v>0.30386574074074074</v>
      </c>
      <c r="I585" s="34">
        <v>3.184027777777778E-2</v>
      </c>
      <c r="J585" s="35">
        <v>0.10478403290927098</v>
      </c>
      <c r="K585" s="33" t="s">
        <v>500</v>
      </c>
      <c r="L585" s="33" t="s">
        <v>274</v>
      </c>
    </row>
    <row r="586" spans="1:12" x14ac:dyDescent="0.25">
      <c r="A586" s="32">
        <v>46241</v>
      </c>
      <c r="B586" s="33" t="s">
        <v>147</v>
      </c>
      <c r="C586" s="33" t="s">
        <v>519</v>
      </c>
      <c r="D586" s="33" t="s">
        <v>147</v>
      </c>
      <c r="E586">
        <v>11</v>
      </c>
      <c r="F586" s="34">
        <v>2.0798611111111111E-2</v>
      </c>
      <c r="G586" s="34">
        <v>1.8907828282828283E-3</v>
      </c>
      <c r="H586" s="34">
        <v>0.21612268518518518</v>
      </c>
      <c r="I586" s="34">
        <v>3.4525462962962966E-2</v>
      </c>
      <c r="J586" s="35">
        <v>0.15974937074921011</v>
      </c>
      <c r="K586" s="33" t="s">
        <v>164</v>
      </c>
      <c r="L586" s="33" t="s">
        <v>146</v>
      </c>
    </row>
    <row r="587" spans="1:12" x14ac:dyDescent="0.25">
      <c r="A587" s="32">
        <v>46241</v>
      </c>
      <c r="B587" s="33" t="s">
        <v>147</v>
      </c>
      <c r="C587" s="33" t="s">
        <v>167</v>
      </c>
      <c r="D587" s="33" t="s">
        <v>147</v>
      </c>
      <c r="E587">
        <v>8</v>
      </c>
      <c r="F587" s="34">
        <v>2.4155092592592593E-2</v>
      </c>
      <c r="G587" s="34">
        <v>3.0193865740740741E-3</v>
      </c>
      <c r="H587" s="34">
        <v>0.25297453703703704</v>
      </c>
      <c r="I587" s="34">
        <v>2.943287037037037E-2</v>
      </c>
      <c r="J587" s="35">
        <v>0.11634716566774946</v>
      </c>
      <c r="K587" s="33" t="s">
        <v>166</v>
      </c>
      <c r="L587" s="33" t="s">
        <v>146</v>
      </c>
    </row>
    <row r="588" spans="1:12" x14ac:dyDescent="0.25">
      <c r="A588" s="32">
        <v>46241</v>
      </c>
      <c r="B588" s="33" t="s">
        <v>147</v>
      </c>
      <c r="C588" s="33" t="s">
        <v>658</v>
      </c>
      <c r="D588" s="33" t="s">
        <v>147</v>
      </c>
      <c r="E588">
        <v>11</v>
      </c>
      <c r="F588" s="34">
        <v>3.9027777777777779E-2</v>
      </c>
      <c r="G588" s="34">
        <v>3.5479797979797983E-3</v>
      </c>
      <c r="H588" s="34">
        <v>0.25527777777777777</v>
      </c>
      <c r="I588" s="34">
        <v>3.6122685185185188E-2</v>
      </c>
      <c r="J588" s="35">
        <v>0.14150344577439247</v>
      </c>
      <c r="K588" s="33" t="s">
        <v>657</v>
      </c>
      <c r="L588" s="33" t="s">
        <v>274</v>
      </c>
    </row>
    <row r="589" spans="1:12" x14ac:dyDescent="0.25">
      <c r="A589" s="32">
        <v>46241</v>
      </c>
      <c r="B589" s="33" t="s">
        <v>147</v>
      </c>
      <c r="C589" s="33" t="s">
        <v>520</v>
      </c>
      <c r="D589" s="33" t="s">
        <v>147</v>
      </c>
      <c r="E589">
        <v>14</v>
      </c>
      <c r="F589" s="34">
        <v>3.9467592592592596E-2</v>
      </c>
      <c r="G589" s="34">
        <v>2.8191137566137567E-3</v>
      </c>
      <c r="H589" s="34">
        <v>0.29096064814814815</v>
      </c>
      <c r="I589" s="34">
        <v>5.0995370370370371E-2</v>
      </c>
      <c r="J589" s="35">
        <v>0.1752655236882931</v>
      </c>
      <c r="K589" s="33" t="s">
        <v>168</v>
      </c>
      <c r="L589" s="33" t="s">
        <v>274</v>
      </c>
    </row>
    <row r="590" spans="1:12" x14ac:dyDescent="0.25">
      <c r="A590" s="32">
        <v>46241</v>
      </c>
      <c r="B590" s="33" t="s">
        <v>147</v>
      </c>
      <c r="C590" s="33" t="s">
        <v>521</v>
      </c>
      <c r="D590" s="33" t="s">
        <v>147</v>
      </c>
      <c r="E590">
        <v>12</v>
      </c>
      <c r="F590" s="34">
        <v>6.7870370370370373E-2</v>
      </c>
      <c r="G590" s="34">
        <v>5.6558641975308641E-3</v>
      </c>
      <c r="H590" s="34">
        <v>0.28391203703703705</v>
      </c>
      <c r="I590" s="34">
        <v>3.8090277777777778E-2</v>
      </c>
      <c r="J590" s="35">
        <v>0.13416225030574805</v>
      </c>
      <c r="K590" s="33" t="s">
        <v>170</v>
      </c>
      <c r="L590" s="33" t="s">
        <v>146</v>
      </c>
    </row>
    <row r="591" spans="1:12" x14ac:dyDescent="0.25">
      <c r="A591" s="32">
        <v>46241</v>
      </c>
      <c r="B591" s="33" t="s">
        <v>147</v>
      </c>
      <c r="C591" s="33" t="s">
        <v>633</v>
      </c>
      <c r="D591" s="33" t="s">
        <v>147</v>
      </c>
      <c r="E591">
        <v>4</v>
      </c>
      <c r="F591" s="34">
        <v>2.0833333333333332E-2</v>
      </c>
      <c r="G591" s="34">
        <v>5.208333333333333E-3</v>
      </c>
      <c r="H591" s="34">
        <v>0.26106481481481481</v>
      </c>
      <c r="I591" s="34">
        <v>7.6006944444444446E-2</v>
      </c>
      <c r="J591" s="35">
        <v>0.2911420464621387</v>
      </c>
      <c r="K591" s="33" t="s">
        <v>606</v>
      </c>
      <c r="L591" s="33" t="s">
        <v>146</v>
      </c>
    </row>
    <row r="592" spans="1:12" x14ac:dyDescent="0.25">
      <c r="A592" s="32">
        <v>46241</v>
      </c>
      <c r="B592" s="33" t="s">
        <v>147</v>
      </c>
      <c r="C592" s="33" t="s">
        <v>522</v>
      </c>
      <c r="D592" s="33" t="s">
        <v>147</v>
      </c>
      <c r="E592">
        <v>12</v>
      </c>
      <c r="F592" s="34">
        <v>6.0462962962962961E-2</v>
      </c>
      <c r="G592" s="34">
        <v>5.0385802469135798E-3</v>
      </c>
      <c r="H592" s="34">
        <v>0.26483796296296297</v>
      </c>
      <c r="I592" s="34">
        <v>4.0937500000000002E-2</v>
      </c>
      <c r="J592" s="35">
        <v>0.15457564898173237</v>
      </c>
      <c r="K592" s="33" t="s">
        <v>178</v>
      </c>
      <c r="L592" s="33" t="s">
        <v>146</v>
      </c>
    </row>
    <row r="593" spans="1:12" x14ac:dyDescent="0.25">
      <c r="A593" s="32">
        <v>46241</v>
      </c>
      <c r="B593" s="33" t="s">
        <v>147</v>
      </c>
      <c r="C593" s="33" t="s">
        <v>523</v>
      </c>
      <c r="D593" s="33" t="s">
        <v>147</v>
      </c>
      <c r="E593">
        <v>11</v>
      </c>
      <c r="F593" s="34">
        <v>3.6597222222222225E-2</v>
      </c>
      <c r="G593" s="34">
        <v>3.3270202020202022E-3</v>
      </c>
      <c r="H593" s="34">
        <v>0.26980324074074075</v>
      </c>
      <c r="I593" s="34">
        <v>2.8402777777777777E-2</v>
      </c>
      <c r="J593" s="35">
        <v>0.1052721890952769</v>
      </c>
      <c r="K593" s="33" t="s">
        <v>180</v>
      </c>
      <c r="L593" s="33" t="s">
        <v>146</v>
      </c>
    </row>
    <row r="594" spans="1:12" x14ac:dyDescent="0.25">
      <c r="A594" s="32">
        <v>46241</v>
      </c>
      <c r="B594" s="33" t="s">
        <v>147</v>
      </c>
      <c r="C594" s="33" t="s">
        <v>566</v>
      </c>
      <c r="D594" s="33" t="s">
        <v>147</v>
      </c>
      <c r="E594">
        <v>9</v>
      </c>
      <c r="F594" s="34">
        <v>4.2627314814814812E-2</v>
      </c>
      <c r="G594" s="34">
        <v>4.7363683127572016E-3</v>
      </c>
      <c r="H594" s="34">
        <v>0.25888888888888889</v>
      </c>
      <c r="I594" s="34">
        <v>3.6828703703703704E-2</v>
      </c>
      <c r="J594" s="35">
        <v>0.14225679542203148</v>
      </c>
      <c r="K594" s="33" t="s">
        <v>207</v>
      </c>
      <c r="L594" s="33" t="s">
        <v>274</v>
      </c>
    </row>
    <row r="595" spans="1:12" x14ac:dyDescent="0.25">
      <c r="A595" s="32">
        <v>46241</v>
      </c>
      <c r="B595" s="33" t="s">
        <v>147</v>
      </c>
      <c r="C595" s="33" t="s">
        <v>524</v>
      </c>
      <c r="D595" s="33" t="s">
        <v>147</v>
      </c>
      <c r="E595">
        <v>19</v>
      </c>
      <c r="F595" s="34">
        <v>6.1504629629629631E-2</v>
      </c>
      <c r="G595" s="34">
        <v>3.2370857699805071E-3</v>
      </c>
      <c r="H595" s="34">
        <v>0.32694444444444443</v>
      </c>
      <c r="I595" s="34">
        <v>3.1087962962962963E-2</v>
      </c>
      <c r="J595" s="35">
        <v>9.508637779665817E-2</v>
      </c>
      <c r="K595" s="33" t="s">
        <v>501</v>
      </c>
      <c r="L595" s="33" t="s">
        <v>274</v>
      </c>
    </row>
    <row r="596" spans="1:12" x14ac:dyDescent="0.25">
      <c r="A596" s="32">
        <v>46241</v>
      </c>
      <c r="B596" s="33" t="s">
        <v>147</v>
      </c>
      <c r="C596" s="33" t="s">
        <v>557</v>
      </c>
      <c r="D596" s="33" t="s">
        <v>147</v>
      </c>
      <c r="E596">
        <v>3</v>
      </c>
      <c r="F596" s="34">
        <v>8.3796296296296292E-3</v>
      </c>
      <c r="G596" s="34">
        <v>2.7932098765432096E-3</v>
      </c>
      <c r="H596" s="34">
        <v>0.26056712962962963</v>
      </c>
      <c r="I596" s="34">
        <v>4.4421296296296299E-2</v>
      </c>
      <c r="J596" s="35">
        <v>0.17047927863900858</v>
      </c>
      <c r="K596" s="33" t="s">
        <v>227</v>
      </c>
      <c r="L596" s="33" t="s">
        <v>146</v>
      </c>
    </row>
    <row r="597" spans="1:12" x14ac:dyDescent="0.25">
      <c r="A597" s="32">
        <v>46241</v>
      </c>
      <c r="B597" s="33" t="s">
        <v>147</v>
      </c>
      <c r="C597" s="33" t="s">
        <v>678</v>
      </c>
      <c r="D597" s="33" t="s">
        <v>147</v>
      </c>
      <c r="E597">
        <v>9</v>
      </c>
      <c r="F597" s="34">
        <v>2.1956018518518517E-2</v>
      </c>
      <c r="G597" s="34">
        <v>2.4395576131687243E-3</v>
      </c>
      <c r="H597" s="34">
        <v>0.2465162037037037</v>
      </c>
      <c r="I597" s="34">
        <v>3.2002314814814817E-2</v>
      </c>
      <c r="J597" s="35">
        <v>0.1298183013287009</v>
      </c>
      <c r="K597" s="33" t="s">
        <v>677</v>
      </c>
      <c r="L597" s="33" t="s">
        <v>274</v>
      </c>
    </row>
    <row r="598" spans="1:12" x14ac:dyDescent="0.25">
      <c r="A598" s="32">
        <v>46241</v>
      </c>
      <c r="B598" s="33" t="s">
        <v>105</v>
      </c>
      <c r="C598" s="33" t="s">
        <v>513</v>
      </c>
      <c r="D598" s="33" t="s">
        <v>105</v>
      </c>
      <c r="E598">
        <v>14</v>
      </c>
      <c r="F598" s="34">
        <v>0.19899305555555555</v>
      </c>
      <c r="G598" s="34">
        <v>1.4213789682539682E-2</v>
      </c>
      <c r="H598" s="34">
        <v>0.24922453703703704</v>
      </c>
      <c r="I598" s="34">
        <v>8.1967592592592592E-2</v>
      </c>
      <c r="J598" s="35">
        <v>0.32889054010123997</v>
      </c>
      <c r="K598" s="33" t="s">
        <v>148</v>
      </c>
      <c r="L598" s="33" t="s">
        <v>104</v>
      </c>
    </row>
    <row r="599" spans="1:12" x14ac:dyDescent="0.25">
      <c r="A599" s="32">
        <v>46241</v>
      </c>
      <c r="B599" s="33" t="s">
        <v>105</v>
      </c>
      <c r="C599" s="33" t="s">
        <v>631</v>
      </c>
      <c r="D599" s="33" t="s">
        <v>105</v>
      </c>
      <c r="E599">
        <v>3</v>
      </c>
      <c r="F599" s="34">
        <v>5.0081018518518518E-2</v>
      </c>
      <c r="G599" s="34">
        <v>1.6693672839506173E-2</v>
      </c>
      <c r="H599" s="34">
        <v>0.16826388888888888</v>
      </c>
      <c r="I599" s="34">
        <v>0.14812500000000001</v>
      </c>
      <c r="J599" s="35">
        <v>0.88031366075113504</v>
      </c>
      <c r="K599" s="33" t="s">
        <v>608</v>
      </c>
      <c r="L599" s="33" t="s">
        <v>601</v>
      </c>
    </row>
    <row r="600" spans="1:12" x14ac:dyDescent="0.25">
      <c r="A600" s="32">
        <v>46241</v>
      </c>
      <c r="B600" s="33" t="s">
        <v>105</v>
      </c>
      <c r="C600" s="33" t="s">
        <v>564</v>
      </c>
      <c r="D600" s="33" t="s">
        <v>105</v>
      </c>
      <c r="E600">
        <v>3</v>
      </c>
      <c r="F600" s="34">
        <v>8.5196759259259264E-2</v>
      </c>
      <c r="G600" s="34">
        <v>2.8398919753086421E-2</v>
      </c>
      <c r="H600" s="34">
        <v>0.21746527777777777</v>
      </c>
      <c r="I600" s="34">
        <v>0.17243055555555556</v>
      </c>
      <c r="J600" s="35">
        <v>0.79291074564905006</v>
      </c>
      <c r="K600" s="33" t="s">
        <v>197</v>
      </c>
      <c r="L600" s="33" t="s">
        <v>601</v>
      </c>
    </row>
    <row r="601" spans="1:12" x14ac:dyDescent="0.25">
      <c r="A601" s="32">
        <v>46241</v>
      </c>
      <c r="B601" s="33" t="s">
        <v>105</v>
      </c>
      <c r="C601" s="33" t="s">
        <v>682</v>
      </c>
      <c r="D601" s="33" t="s">
        <v>105</v>
      </c>
      <c r="E601">
        <v>2</v>
      </c>
      <c r="F601" s="34">
        <v>6.2719907407407405E-2</v>
      </c>
      <c r="G601" s="34">
        <v>3.1359953703703702E-2</v>
      </c>
      <c r="H601" s="34">
        <v>0.2376736111111111</v>
      </c>
      <c r="I601" s="34">
        <v>0.19981481481481481</v>
      </c>
      <c r="J601" s="35">
        <v>0.84071098125152177</v>
      </c>
      <c r="K601" s="33" t="s">
        <v>681</v>
      </c>
      <c r="L601" s="33" t="s">
        <v>601</v>
      </c>
    </row>
    <row r="602" spans="1:12" x14ac:dyDescent="0.25">
      <c r="A602" s="32">
        <v>46241</v>
      </c>
      <c r="B602" s="33" t="s">
        <v>105</v>
      </c>
      <c r="C602" s="33" t="s">
        <v>570</v>
      </c>
      <c r="D602" s="33" t="s">
        <v>105</v>
      </c>
      <c r="E602">
        <v>4</v>
      </c>
      <c r="F602" s="34">
        <v>9.9062499999999998E-2</v>
      </c>
      <c r="G602" s="34">
        <v>2.4765624999999999E-2</v>
      </c>
      <c r="H602" s="34">
        <v>0.18841435185185185</v>
      </c>
      <c r="I602" s="34">
        <v>0.11662037037037037</v>
      </c>
      <c r="J602" s="35">
        <v>0.61895693838687882</v>
      </c>
      <c r="K602" s="33" t="s">
        <v>112</v>
      </c>
      <c r="L602" s="33" t="s">
        <v>104</v>
      </c>
    </row>
    <row r="603" spans="1:12" x14ac:dyDescent="0.25">
      <c r="A603" s="32">
        <v>46241</v>
      </c>
      <c r="B603" s="33" t="s">
        <v>105</v>
      </c>
      <c r="C603" s="33" t="s">
        <v>537</v>
      </c>
      <c r="D603" s="33" t="s">
        <v>105</v>
      </c>
      <c r="E603">
        <v>19</v>
      </c>
      <c r="F603" s="34">
        <v>0.23311342592592593</v>
      </c>
      <c r="G603" s="34">
        <v>1.2269127680311891E-2</v>
      </c>
      <c r="H603" s="34">
        <v>0.26571759259259259</v>
      </c>
      <c r="I603" s="34">
        <v>0.10636574074074075</v>
      </c>
      <c r="J603" s="35">
        <v>0.40029619304817493</v>
      </c>
      <c r="K603" s="33" t="s">
        <v>42</v>
      </c>
      <c r="L603" s="33" t="s">
        <v>104</v>
      </c>
    </row>
    <row r="604" spans="1:12" x14ac:dyDescent="0.25">
      <c r="A604" s="32">
        <v>46241</v>
      </c>
      <c r="B604" s="33" t="s">
        <v>105</v>
      </c>
      <c r="C604" s="33" t="s">
        <v>541</v>
      </c>
      <c r="D604" s="33" t="s">
        <v>105</v>
      </c>
      <c r="E604">
        <v>12</v>
      </c>
      <c r="F604" s="34">
        <v>0.21163194444444444</v>
      </c>
      <c r="G604" s="34">
        <v>1.7635995370370371E-2</v>
      </c>
      <c r="H604" s="34">
        <v>0.23768518518518519</v>
      </c>
      <c r="I604" s="34">
        <v>0.10277777777777777</v>
      </c>
      <c r="J604" s="35">
        <v>0.43241137514608491</v>
      </c>
      <c r="K604" s="33" t="s">
        <v>114</v>
      </c>
      <c r="L604" s="33" t="s">
        <v>104</v>
      </c>
    </row>
    <row r="605" spans="1:12" x14ac:dyDescent="0.25">
      <c r="A605" s="32">
        <v>46241</v>
      </c>
      <c r="B605" s="33" t="s">
        <v>105</v>
      </c>
      <c r="C605" s="33" t="s">
        <v>632</v>
      </c>
      <c r="D605" s="33" t="s">
        <v>105</v>
      </c>
      <c r="E605">
        <v>2</v>
      </c>
      <c r="F605" s="34">
        <v>3.5451388888888886E-2</v>
      </c>
      <c r="G605" s="34">
        <v>1.7725694444444443E-2</v>
      </c>
      <c r="H605" s="34">
        <v>0.20245370370370369</v>
      </c>
      <c r="I605" s="34">
        <v>0.18765046296296295</v>
      </c>
      <c r="J605" s="35">
        <v>0.92688085982163271</v>
      </c>
      <c r="K605" s="33" t="s">
        <v>609</v>
      </c>
      <c r="L605" s="33" t="s">
        <v>601</v>
      </c>
    </row>
    <row r="606" spans="1:12" x14ac:dyDescent="0.25">
      <c r="A606" s="32">
        <v>46241</v>
      </c>
      <c r="B606" s="33" t="s">
        <v>105</v>
      </c>
      <c r="C606" s="33" t="s">
        <v>542</v>
      </c>
      <c r="D606" s="33" t="s">
        <v>105</v>
      </c>
      <c r="E606">
        <v>8</v>
      </c>
      <c r="F606" s="34">
        <v>0.12484953703703704</v>
      </c>
      <c r="G606" s="34">
        <v>1.560619212962963E-2</v>
      </c>
      <c r="H606" s="34">
        <v>0.23984953703703704</v>
      </c>
      <c r="I606" s="34">
        <v>0.12067129629629629</v>
      </c>
      <c r="J606" s="35">
        <v>0.50311248371374795</v>
      </c>
      <c r="K606" s="33" t="s">
        <v>287</v>
      </c>
      <c r="L606" s="33" t="s">
        <v>104</v>
      </c>
    </row>
    <row r="607" spans="1:12" x14ac:dyDescent="0.25">
      <c r="A607" s="32">
        <v>46241</v>
      </c>
      <c r="B607" s="33" t="s">
        <v>105</v>
      </c>
      <c r="C607" s="33" t="s">
        <v>650</v>
      </c>
      <c r="D607" s="33" t="s">
        <v>105</v>
      </c>
      <c r="E607">
        <v>4</v>
      </c>
      <c r="F607" s="34">
        <v>5.8159722222222224E-2</v>
      </c>
      <c r="G607" s="34">
        <v>1.4539930555555556E-2</v>
      </c>
      <c r="H607" s="34">
        <v>0.15743055555555555</v>
      </c>
      <c r="I607" s="34">
        <v>9.9432870370370366E-2</v>
      </c>
      <c r="J607" s="35">
        <v>0.63159829436847525</v>
      </c>
      <c r="K607" s="33" t="s">
        <v>649</v>
      </c>
      <c r="L607" s="33" t="s">
        <v>104</v>
      </c>
    </row>
    <row r="608" spans="1:12" x14ac:dyDescent="0.25">
      <c r="A608" s="32">
        <v>46241</v>
      </c>
      <c r="B608" s="33" t="s">
        <v>105</v>
      </c>
      <c r="C608" s="33" t="s">
        <v>559</v>
      </c>
      <c r="D608" s="33" t="s">
        <v>105</v>
      </c>
      <c r="E608">
        <v>11</v>
      </c>
      <c r="F608" s="34">
        <v>0.20268518518518519</v>
      </c>
      <c r="G608" s="34">
        <v>1.8425925925925925E-2</v>
      </c>
      <c r="H608" s="34">
        <v>0.23966435185185186</v>
      </c>
      <c r="I608" s="34">
        <v>9.7106481481481488E-2</v>
      </c>
      <c r="J608" s="35">
        <v>0.40517699328729417</v>
      </c>
      <c r="K608" s="33" t="s">
        <v>289</v>
      </c>
      <c r="L608" s="33" t="s">
        <v>104</v>
      </c>
    </row>
    <row r="609" spans="1:12" x14ac:dyDescent="0.25">
      <c r="A609" s="32">
        <v>46241</v>
      </c>
      <c r="B609" s="33" t="s">
        <v>105</v>
      </c>
      <c r="C609" s="33" t="s">
        <v>634</v>
      </c>
      <c r="D609" s="33" t="s">
        <v>105</v>
      </c>
      <c r="E609">
        <v>2</v>
      </c>
      <c r="F609" s="34">
        <v>2.5381944444444443E-2</v>
      </c>
      <c r="G609" s="34">
        <v>1.2690972222222222E-2</v>
      </c>
      <c r="H609" s="34">
        <v>0.2260648148148148</v>
      </c>
      <c r="I609" s="34">
        <v>0.21769675925925927</v>
      </c>
      <c r="J609" s="35">
        <v>0.96298382142125749</v>
      </c>
      <c r="K609" s="33" t="s">
        <v>612</v>
      </c>
      <c r="L609" s="33" t="s">
        <v>601</v>
      </c>
    </row>
    <row r="610" spans="1:12" x14ac:dyDescent="0.25">
      <c r="A610" s="32">
        <v>46241</v>
      </c>
      <c r="B610" s="33" t="s">
        <v>105</v>
      </c>
      <c r="C610" s="33" t="s">
        <v>565</v>
      </c>
      <c r="D610" s="33" t="s">
        <v>105</v>
      </c>
      <c r="E610">
        <v>4</v>
      </c>
      <c r="F610" s="34">
        <v>6.8530092592592587E-2</v>
      </c>
      <c r="G610" s="34">
        <v>1.7132523148148147E-2</v>
      </c>
      <c r="H610" s="34">
        <v>0.18892361111111111</v>
      </c>
      <c r="I610" s="34">
        <v>0.16268518518518518</v>
      </c>
      <c r="J610" s="35">
        <v>0.86111621638179259</v>
      </c>
      <c r="K610" s="33" t="s">
        <v>203</v>
      </c>
      <c r="L610" s="33" t="s">
        <v>601</v>
      </c>
    </row>
    <row r="611" spans="1:12" x14ac:dyDescent="0.25">
      <c r="A611" s="32">
        <v>46241</v>
      </c>
      <c r="B611" s="33" t="s">
        <v>105</v>
      </c>
      <c r="C611" s="33" t="s">
        <v>667</v>
      </c>
      <c r="D611" s="33" t="s">
        <v>105</v>
      </c>
      <c r="E611">
        <v>15</v>
      </c>
      <c r="F611" s="34">
        <v>0.18747685185185184</v>
      </c>
      <c r="G611" s="34">
        <v>1.2498456790123456E-2</v>
      </c>
      <c r="H611" s="34">
        <v>0.23950231481481482</v>
      </c>
      <c r="I611" s="34">
        <v>0.10223379629629629</v>
      </c>
      <c r="J611" s="35">
        <v>0.42685932440922048</v>
      </c>
      <c r="K611" s="33" t="s">
        <v>297</v>
      </c>
      <c r="L611" s="33" t="s">
        <v>104</v>
      </c>
    </row>
    <row r="612" spans="1:12" x14ac:dyDescent="0.25">
      <c r="A612" s="32">
        <v>46241</v>
      </c>
      <c r="B612" s="33" t="s">
        <v>105</v>
      </c>
      <c r="C612" s="33" t="s">
        <v>635</v>
      </c>
      <c r="D612" s="33" t="s">
        <v>105</v>
      </c>
      <c r="E612">
        <v>4</v>
      </c>
      <c r="F612" s="34">
        <v>9.6516203703703701E-2</v>
      </c>
      <c r="G612" s="34">
        <v>2.4129050925925925E-2</v>
      </c>
      <c r="H612" s="34">
        <v>0.21476851851851853</v>
      </c>
      <c r="I612" s="34">
        <v>0.16800925925925925</v>
      </c>
      <c r="J612" s="35">
        <v>0.78228066393619311</v>
      </c>
      <c r="K612" s="33" t="s">
        <v>614</v>
      </c>
      <c r="L612" s="33" t="s">
        <v>601</v>
      </c>
    </row>
    <row r="613" spans="1:12" x14ac:dyDescent="0.25">
      <c r="A613" s="32">
        <v>46241</v>
      </c>
      <c r="B613" s="33" t="s">
        <v>105</v>
      </c>
      <c r="C613" s="33" t="s">
        <v>636</v>
      </c>
      <c r="D613" s="33" t="s">
        <v>105</v>
      </c>
      <c r="E613">
        <v>1</v>
      </c>
      <c r="F613" s="34">
        <v>2.7291666666666665E-2</v>
      </c>
      <c r="G613" s="34">
        <v>2.7291666666666665E-2</v>
      </c>
      <c r="H613" s="34">
        <v>0.21311342592592591</v>
      </c>
      <c r="I613" s="34">
        <v>0.2053587962962963</v>
      </c>
      <c r="J613" s="35">
        <v>0.96361266496497044</v>
      </c>
      <c r="K613" s="33" t="s">
        <v>615</v>
      </c>
      <c r="L613" s="33" t="s">
        <v>601</v>
      </c>
    </row>
    <row r="614" spans="1:12" x14ac:dyDescent="0.25">
      <c r="A614" s="32">
        <v>46241</v>
      </c>
      <c r="B614" s="33" t="s">
        <v>105</v>
      </c>
      <c r="C614" s="33" t="s">
        <v>637</v>
      </c>
      <c r="D614" s="33" t="s">
        <v>105</v>
      </c>
      <c r="E614">
        <v>4</v>
      </c>
      <c r="F614" s="34">
        <v>9.0300925925925923E-2</v>
      </c>
      <c r="G614" s="34">
        <v>2.2575231481481481E-2</v>
      </c>
      <c r="H614" s="34">
        <v>0.20515046296296297</v>
      </c>
      <c r="I614" s="34">
        <v>0.16760416666666667</v>
      </c>
      <c r="J614" s="35">
        <v>0.81698166431593788</v>
      </c>
      <c r="K614" s="33" t="s">
        <v>616</v>
      </c>
      <c r="L614" s="33" t="s">
        <v>601</v>
      </c>
    </row>
    <row r="615" spans="1:12" x14ac:dyDescent="0.25">
      <c r="A615" s="32">
        <v>46241</v>
      </c>
      <c r="B615" s="33" t="s">
        <v>105</v>
      </c>
      <c r="C615" s="33" t="s">
        <v>567</v>
      </c>
      <c r="D615" s="33" t="s">
        <v>105</v>
      </c>
      <c r="E615">
        <v>3</v>
      </c>
      <c r="F615" s="34">
        <v>3.2962962962962965E-2</v>
      </c>
      <c r="G615" s="34">
        <v>1.0987654320987654E-2</v>
      </c>
      <c r="H615" s="34">
        <v>0.16893518518518519</v>
      </c>
      <c r="I615" s="34">
        <v>0.15989583333333332</v>
      </c>
      <c r="J615" s="35">
        <v>0.94649218964099746</v>
      </c>
      <c r="K615" s="33" t="s">
        <v>209</v>
      </c>
      <c r="L615" s="33" t="s">
        <v>601</v>
      </c>
    </row>
    <row r="616" spans="1:12" x14ac:dyDescent="0.25">
      <c r="A616" s="32">
        <v>46241</v>
      </c>
      <c r="B616" s="33" t="s">
        <v>105</v>
      </c>
      <c r="C616" s="33" t="s">
        <v>512</v>
      </c>
      <c r="D616" s="33" t="s">
        <v>105</v>
      </c>
      <c r="E616">
        <v>10</v>
      </c>
      <c r="F616" s="34">
        <v>0.16641203703703702</v>
      </c>
      <c r="G616" s="34">
        <v>1.6641203703703703E-2</v>
      </c>
      <c r="H616" s="34">
        <v>0.24783564814814815</v>
      </c>
      <c r="I616" s="34">
        <v>9.6944444444444444E-2</v>
      </c>
      <c r="J616" s="35">
        <v>0.39116424601877364</v>
      </c>
      <c r="K616" s="33" t="s">
        <v>132</v>
      </c>
      <c r="L616" s="33" t="s">
        <v>104</v>
      </c>
    </row>
    <row r="617" spans="1:12" x14ac:dyDescent="0.25">
      <c r="A617" s="32">
        <v>46241</v>
      </c>
      <c r="B617" s="33" t="s">
        <v>105</v>
      </c>
      <c r="C617" s="33" t="s">
        <v>560</v>
      </c>
      <c r="D617" s="33" t="s">
        <v>105</v>
      </c>
      <c r="E617">
        <v>15</v>
      </c>
      <c r="F617" s="34">
        <v>0.23128472222222221</v>
      </c>
      <c r="G617" s="34">
        <v>1.5418981481481481E-2</v>
      </c>
      <c r="H617" s="34">
        <v>0.26369212962962962</v>
      </c>
      <c r="I617" s="34">
        <v>7.3032407407407407E-2</v>
      </c>
      <c r="J617" s="35">
        <v>0.27696089189307815</v>
      </c>
      <c r="K617" s="33" t="s">
        <v>134</v>
      </c>
      <c r="L617" s="33" t="s">
        <v>104</v>
      </c>
    </row>
    <row r="618" spans="1:12" x14ac:dyDescent="0.25">
      <c r="A618" s="32">
        <v>46241</v>
      </c>
      <c r="B618" s="33" t="s">
        <v>105</v>
      </c>
      <c r="C618" s="33" t="s">
        <v>546</v>
      </c>
      <c r="D618" s="33" t="s">
        <v>105</v>
      </c>
      <c r="E618">
        <v>11</v>
      </c>
      <c r="F618" s="34">
        <v>0.21090277777777777</v>
      </c>
      <c r="G618" s="34">
        <v>1.9172979797979797E-2</v>
      </c>
      <c r="H618" s="34">
        <v>0.23671296296296296</v>
      </c>
      <c r="I618" s="34">
        <v>5.4872685185185184E-2</v>
      </c>
      <c r="J618" s="35">
        <v>0.23181106982202229</v>
      </c>
      <c r="K618" s="33" t="s">
        <v>211</v>
      </c>
      <c r="L618" s="33" t="s">
        <v>104</v>
      </c>
    </row>
    <row r="619" spans="1:12" x14ac:dyDescent="0.25">
      <c r="A619" s="32">
        <v>46241</v>
      </c>
      <c r="B619" s="33" t="s">
        <v>105</v>
      </c>
      <c r="C619" s="33" t="s">
        <v>638</v>
      </c>
      <c r="D619" s="33" t="s">
        <v>105</v>
      </c>
      <c r="E619">
        <v>2</v>
      </c>
      <c r="F619" s="34">
        <v>5.3483796296296293E-2</v>
      </c>
      <c r="G619" s="34">
        <v>2.6741898148148147E-2</v>
      </c>
      <c r="H619" s="34">
        <v>0.18886574074074075</v>
      </c>
      <c r="I619" s="34">
        <v>0.15534722222222222</v>
      </c>
      <c r="J619" s="35">
        <v>0.82252727049883556</v>
      </c>
      <c r="K619" s="33" t="s">
        <v>617</v>
      </c>
      <c r="L619" s="33" t="s">
        <v>601</v>
      </c>
    </row>
    <row r="620" spans="1:12" x14ac:dyDescent="0.25">
      <c r="A620" s="32">
        <v>46241</v>
      </c>
      <c r="B620" s="33" t="s">
        <v>105</v>
      </c>
      <c r="C620" s="33" t="s">
        <v>639</v>
      </c>
      <c r="D620" s="33" t="s">
        <v>105</v>
      </c>
      <c r="E620">
        <v>1</v>
      </c>
      <c r="F620" s="34">
        <v>1.7719907407407406E-2</v>
      </c>
      <c r="G620" s="34">
        <v>1.7719907407407406E-2</v>
      </c>
      <c r="H620" s="34">
        <v>0.11753472222222222</v>
      </c>
      <c r="I620" s="34">
        <v>0.1072337962962963</v>
      </c>
      <c r="J620" s="35">
        <v>0.91235844411619893</v>
      </c>
      <c r="K620" s="33" t="s">
        <v>618</v>
      </c>
      <c r="L620" s="33" t="s">
        <v>601</v>
      </c>
    </row>
    <row r="621" spans="1:12" x14ac:dyDescent="0.25">
      <c r="A621" s="32">
        <v>46241</v>
      </c>
      <c r="B621" s="33" t="s">
        <v>105</v>
      </c>
      <c r="C621" s="33" t="s">
        <v>572</v>
      </c>
      <c r="D621" s="33" t="s">
        <v>105</v>
      </c>
      <c r="E621">
        <v>2</v>
      </c>
      <c r="F621" s="34">
        <v>2.9756944444444444E-2</v>
      </c>
      <c r="G621" s="34">
        <v>1.4878472222222222E-2</v>
      </c>
      <c r="H621" s="34">
        <v>0.23047453703703705</v>
      </c>
      <c r="I621" s="34">
        <v>0.21258101851851852</v>
      </c>
      <c r="J621" s="35">
        <v>0.92236227590016562</v>
      </c>
      <c r="K621" s="33" t="s">
        <v>213</v>
      </c>
      <c r="L621" s="33" t="s">
        <v>601</v>
      </c>
    </row>
    <row r="622" spans="1:12" x14ac:dyDescent="0.25">
      <c r="A622" s="32">
        <v>46241</v>
      </c>
      <c r="B622" s="33" t="s">
        <v>105</v>
      </c>
      <c r="C622" s="33" t="s">
        <v>640</v>
      </c>
      <c r="D622" s="33" t="s">
        <v>105</v>
      </c>
      <c r="E622">
        <v>2</v>
      </c>
      <c r="F622" s="34">
        <v>5.4039351851851852E-2</v>
      </c>
      <c r="G622" s="34">
        <v>2.7019675925925926E-2</v>
      </c>
      <c r="H622" s="34">
        <v>0.23297453703703705</v>
      </c>
      <c r="I622" s="34">
        <v>0.20447916666666666</v>
      </c>
      <c r="J622" s="35">
        <v>0.87768890655273479</v>
      </c>
      <c r="K622" s="33" t="s">
        <v>619</v>
      </c>
      <c r="L622" s="33" t="s">
        <v>601</v>
      </c>
    </row>
    <row r="623" spans="1:12" x14ac:dyDescent="0.25">
      <c r="A623" s="32">
        <v>46241</v>
      </c>
      <c r="B623" s="33" t="s">
        <v>105</v>
      </c>
      <c r="C623" s="33" t="s">
        <v>548</v>
      </c>
      <c r="D623" s="33" t="s">
        <v>105</v>
      </c>
      <c r="E623">
        <v>12</v>
      </c>
      <c r="F623" s="34">
        <v>0.1373611111111111</v>
      </c>
      <c r="G623" s="34">
        <v>1.1446759259259259E-2</v>
      </c>
      <c r="H623" s="34">
        <v>0.21935185185185185</v>
      </c>
      <c r="I623" s="34">
        <v>7.8935185185185192E-2</v>
      </c>
      <c r="J623" s="35">
        <v>0.35985647952722671</v>
      </c>
      <c r="K623" s="33" t="s">
        <v>219</v>
      </c>
      <c r="L623" s="33" t="s">
        <v>104</v>
      </c>
    </row>
    <row r="624" spans="1:12" x14ac:dyDescent="0.25">
      <c r="A624" s="32">
        <v>46241</v>
      </c>
      <c r="B624" s="33" t="s">
        <v>105</v>
      </c>
      <c r="C624" s="33" t="s">
        <v>641</v>
      </c>
      <c r="D624" s="33" t="s">
        <v>105</v>
      </c>
      <c r="E624">
        <v>2</v>
      </c>
      <c r="F624" s="34">
        <v>3.8043981481481484E-2</v>
      </c>
      <c r="G624" s="34">
        <v>1.9021990740740742E-2</v>
      </c>
      <c r="H624" s="34">
        <v>0.18497685185185186</v>
      </c>
      <c r="I624" s="34">
        <v>0.16591435185185185</v>
      </c>
      <c r="J624" s="35">
        <v>0.89694656488549618</v>
      </c>
      <c r="K624" s="33" t="s">
        <v>620</v>
      </c>
      <c r="L624" s="33" t="s">
        <v>601</v>
      </c>
    </row>
    <row r="625" spans="1:12" x14ac:dyDescent="0.25">
      <c r="A625" s="32">
        <v>46241</v>
      </c>
      <c r="B625" s="33" t="s">
        <v>105</v>
      </c>
      <c r="C625" s="33" t="s">
        <v>556</v>
      </c>
      <c r="D625" s="33" t="s">
        <v>105</v>
      </c>
      <c r="E625">
        <v>8</v>
      </c>
      <c r="F625" s="34">
        <v>9.2557870370370374E-2</v>
      </c>
      <c r="G625" s="34">
        <v>1.1569733796296297E-2</v>
      </c>
      <c r="H625" s="34">
        <v>0.20611111111111111</v>
      </c>
      <c r="I625" s="34">
        <v>0.12923611111111111</v>
      </c>
      <c r="J625" s="35">
        <v>0.62702156334231807</v>
      </c>
      <c r="K625" s="33" t="s">
        <v>138</v>
      </c>
      <c r="L625" s="33" t="s">
        <v>104</v>
      </c>
    </row>
    <row r="626" spans="1:12" x14ac:dyDescent="0.25">
      <c r="A626" s="32">
        <v>46241</v>
      </c>
      <c r="B626" s="33" t="s">
        <v>105</v>
      </c>
      <c r="C626" s="33" t="s">
        <v>674</v>
      </c>
      <c r="D626" s="33" t="s">
        <v>105</v>
      </c>
      <c r="E626">
        <v>11</v>
      </c>
      <c r="F626" s="34">
        <v>0.16883101851851851</v>
      </c>
      <c r="G626" s="34">
        <v>1.534827441077441E-2</v>
      </c>
      <c r="H626" s="34">
        <v>0.26329861111111114</v>
      </c>
      <c r="I626" s="34">
        <v>0.14675925925925926</v>
      </c>
      <c r="J626" s="35">
        <v>0.55738713789617123</v>
      </c>
      <c r="K626" s="33" t="s">
        <v>673</v>
      </c>
      <c r="L626" s="33" t="s">
        <v>104</v>
      </c>
    </row>
    <row r="627" spans="1:12" x14ac:dyDescent="0.25">
      <c r="A627" s="32">
        <v>46241</v>
      </c>
      <c r="B627" s="33" t="s">
        <v>105</v>
      </c>
      <c r="C627" s="33" t="s">
        <v>549</v>
      </c>
      <c r="D627" s="33" t="s">
        <v>105</v>
      </c>
      <c r="E627">
        <v>5</v>
      </c>
      <c r="F627" s="34">
        <v>0.10114583333333334</v>
      </c>
      <c r="G627" s="34">
        <v>2.0229166666666666E-2</v>
      </c>
      <c r="H627" s="34">
        <v>0.20166666666666666</v>
      </c>
      <c r="I627" s="34">
        <v>0.14527777777777778</v>
      </c>
      <c r="J627" s="35">
        <v>0.72038567493112948</v>
      </c>
      <c r="K627" s="33" t="s">
        <v>225</v>
      </c>
      <c r="L627" s="33" t="s">
        <v>601</v>
      </c>
    </row>
    <row r="628" spans="1:12" x14ac:dyDescent="0.25">
      <c r="A628" s="32">
        <v>46241</v>
      </c>
      <c r="B628" s="33" t="s">
        <v>105</v>
      </c>
      <c r="C628" s="33" t="s">
        <v>571</v>
      </c>
      <c r="D628" s="33" t="s">
        <v>105</v>
      </c>
      <c r="E628">
        <v>10</v>
      </c>
      <c r="F628" s="34">
        <v>0.12685185185185185</v>
      </c>
      <c r="G628" s="34">
        <v>1.2685185185185185E-2</v>
      </c>
      <c r="H628" s="34">
        <v>0.20343749999999999</v>
      </c>
      <c r="I628" s="34">
        <v>0.12181712962962964</v>
      </c>
      <c r="J628" s="35">
        <v>0.59879387836377085</v>
      </c>
      <c r="K628" s="33" t="s">
        <v>299</v>
      </c>
      <c r="L628" s="33" t="s">
        <v>104</v>
      </c>
    </row>
    <row r="629" spans="1:12" x14ac:dyDescent="0.25">
      <c r="A629" s="32">
        <v>46241</v>
      </c>
      <c r="B629" s="33" t="s">
        <v>105</v>
      </c>
      <c r="C629" s="33" t="s">
        <v>676</v>
      </c>
      <c r="D629" s="33" t="s">
        <v>105</v>
      </c>
      <c r="E629">
        <v>6</v>
      </c>
      <c r="F629" s="34">
        <v>0.13020833333333334</v>
      </c>
      <c r="G629" s="34">
        <v>2.1701388888888892E-2</v>
      </c>
      <c r="H629" s="34">
        <v>0.22592592592592592</v>
      </c>
      <c r="I629" s="34">
        <v>0.10880787037037037</v>
      </c>
      <c r="J629" s="35">
        <v>0.48160860655737708</v>
      </c>
      <c r="K629" s="33" t="s">
        <v>675</v>
      </c>
      <c r="L629" s="33" t="s">
        <v>104</v>
      </c>
    </row>
    <row r="630" spans="1:12" x14ac:dyDescent="0.25">
      <c r="A630" s="32">
        <v>46241</v>
      </c>
      <c r="B630" s="33" t="s">
        <v>32</v>
      </c>
      <c r="C630" s="33" t="s">
        <v>644</v>
      </c>
      <c r="D630" s="33" t="s">
        <v>32</v>
      </c>
      <c r="E630">
        <v>19</v>
      </c>
      <c r="F630" s="34">
        <v>0.19067129629629628</v>
      </c>
      <c r="G630" s="34">
        <v>1.0035331384015593E-2</v>
      </c>
      <c r="H630" s="34">
        <v>0.25840277777777776</v>
      </c>
      <c r="I630" s="34">
        <v>5.3842592592592595E-2</v>
      </c>
      <c r="J630" s="35">
        <v>0.20836692645346236</v>
      </c>
      <c r="K630" s="33" t="s">
        <v>643</v>
      </c>
      <c r="L630" s="33" t="s">
        <v>233</v>
      </c>
    </row>
    <row r="631" spans="1:12" x14ac:dyDescent="0.25">
      <c r="A631" s="32">
        <v>46241</v>
      </c>
      <c r="B631" s="33" t="s">
        <v>32</v>
      </c>
      <c r="C631" s="33" t="s">
        <v>563</v>
      </c>
      <c r="D631" s="33" t="s">
        <v>147</v>
      </c>
      <c r="E631">
        <v>8</v>
      </c>
      <c r="F631" s="34">
        <v>3.8124999999999999E-2</v>
      </c>
      <c r="G631" s="34">
        <v>4.7656249999999999E-3</v>
      </c>
      <c r="H631" s="34">
        <v>0.26146990740740739</v>
      </c>
      <c r="I631" s="34">
        <v>3.0034722222222223E-2</v>
      </c>
      <c r="J631" s="35">
        <v>0.11486875304324733</v>
      </c>
      <c r="K631" s="33" t="s">
        <v>193</v>
      </c>
      <c r="L631" s="33" t="s">
        <v>274</v>
      </c>
    </row>
    <row r="632" spans="1:12" x14ac:dyDescent="0.25">
      <c r="A632" s="32">
        <v>46241</v>
      </c>
      <c r="B632" s="33" t="s">
        <v>32</v>
      </c>
      <c r="C632" s="33" t="s">
        <v>505</v>
      </c>
      <c r="D632" s="33" t="s">
        <v>32</v>
      </c>
      <c r="E632">
        <v>43</v>
      </c>
      <c r="F632" s="34">
        <v>0.15508101851851852</v>
      </c>
      <c r="G632" s="34">
        <v>3.6065353143841516E-3</v>
      </c>
      <c r="H632" s="34">
        <v>0.25189814814814815</v>
      </c>
      <c r="I632" s="34">
        <v>5.1157407407407408E-2</v>
      </c>
      <c r="J632" s="35">
        <v>0.20308766770814188</v>
      </c>
      <c r="K632" s="33" t="s">
        <v>34</v>
      </c>
      <c r="L632" s="33" t="s">
        <v>233</v>
      </c>
    </row>
    <row r="633" spans="1:12" x14ac:dyDescent="0.25">
      <c r="A633" s="32">
        <v>46241</v>
      </c>
      <c r="B633" s="33" t="s">
        <v>32</v>
      </c>
      <c r="C633" s="33" t="s">
        <v>551</v>
      </c>
      <c r="D633" s="33" t="s">
        <v>32</v>
      </c>
      <c r="E633">
        <v>3</v>
      </c>
      <c r="F633" s="34">
        <v>1.7175925925925924E-2</v>
      </c>
      <c r="G633" s="34">
        <v>5.7253086419753081E-3</v>
      </c>
      <c r="H633" s="34">
        <v>0.22586805555555556</v>
      </c>
      <c r="I633" s="34">
        <v>0.20837962962962964</v>
      </c>
      <c r="J633" s="35">
        <v>0.92257238022034338</v>
      </c>
      <c r="K633" s="33" t="s">
        <v>236</v>
      </c>
      <c r="L633" s="33" t="s">
        <v>233</v>
      </c>
    </row>
    <row r="634" spans="1:12" x14ac:dyDescent="0.25">
      <c r="A634" s="32">
        <v>46241</v>
      </c>
      <c r="B634" s="33" t="s">
        <v>32</v>
      </c>
      <c r="C634" s="33" t="s">
        <v>536</v>
      </c>
      <c r="D634" s="33" t="s">
        <v>32</v>
      </c>
      <c r="E634">
        <v>7</v>
      </c>
      <c r="F634" s="34">
        <v>7.6111111111111115E-2</v>
      </c>
      <c r="G634" s="34">
        <v>1.0873015873015873E-2</v>
      </c>
      <c r="H634" s="34">
        <v>0.24686342592592592</v>
      </c>
      <c r="I634" s="34">
        <v>0.17304398148148148</v>
      </c>
      <c r="J634" s="35">
        <v>0.70097050963476959</v>
      </c>
      <c r="K634" s="33" t="s">
        <v>38</v>
      </c>
      <c r="L634" s="33" t="s">
        <v>100</v>
      </c>
    </row>
    <row r="635" spans="1:12" x14ac:dyDescent="0.25">
      <c r="A635" s="32">
        <v>46241</v>
      </c>
      <c r="B635" s="33" t="s">
        <v>32</v>
      </c>
      <c r="C635" s="33" t="s">
        <v>515</v>
      </c>
      <c r="D635" s="33" t="s">
        <v>147</v>
      </c>
      <c r="E635">
        <v>5</v>
      </c>
      <c r="F635" s="34">
        <v>1.6446759259259258E-2</v>
      </c>
      <c r="G635" s="34">
        <v>3.2893518518518515E-3</v>
      </c>
      <c r="H635" s="34">
        <v>0.26450231481481479</v>
      </c>
      <c r="I635" s="34">
        <v>2.8530092592592593E-2</v>
      </c>
      <c r="J635" s="35">
        <v>0.10786330022316547</v>
      </c>
      <c r="K635" s="33" t="s">
        <v>154</v>
      </c>
      <c r="L635" s="33" t="s">
        <v>146</v>
      </c>
    </row>
    <row r="636" spans="1:12" x14ac:dyDescent="0.25">
      <c r="A636" s="32">
        <v>46241</v>
      </c>
      <c r="B636" s="33" t="s">
        <v>32</v>
      </c>
      <c r="C636" s="33" t="s">
        <v>516</v>
      </c>
      <c r="D636" s="33" t="s">
        <v>147</v>
      </c>
      <c r="E636">
        <v>5</v>
      </c>
      <c r="F636" s="34">
        <v>1.4039351851851851E-2</v>
      </c>
      <c r="G636" s="34">
        <v>2.8078703703703703E-3</v>
      </c>
      <c r="H636" s="34">
        <v>0.26246527777777778</v>
      </c>
      <c r="I636" s="34">
        <v>4.1400462962962965E-2</v>
      </c>
      <c r="J636" s="35">
        <v>0.15773691405388721</v>
      </c>
      <c r="K636" s="33" t="s">
        <v>156</v>
      </c>
      <c r="L636" s="33" t="s">
        <v>146</v>
      </c>
    </row>
    <row r="637" spans="1:12" x14ac:dyDescent="0.25">
      <c r="A637" s="32">
        <v>46241</v>
      </c>
      <c r="B637" s="33" t="s">
        <v>32</v>
      </c>
      <c r="C637" s="33" t="s">
        <v>506</v>
      </c>
      <c r="D637" s="33" t="s">
        <v>32</v>
      </c>
      <c r="E637">
        <v>37</v>
      </c>
      <c r="F637" s="34">
        <v>0.15623842592592593</v>
      </c>
      <c r="G637" s="34">
        <v>4.2226601601601608E-3</v>
      </c>
      <c r="H637" s="34">
        <v>0.2630439814814815</v>
      </c>
      <c r="I637" s="34">
        <v>4.3680555555555556E-2</v>
      </c>
      <c r="J637" s="35">
        <v>0.16605799269591234</v>
      </c>
      <c r="K637" s="33" t="s">
        <v>44</v>
      </c>
      <c r="L637" s="33" t="s">
        <v>100</v>
      </c>
    </row>
    <row r="638" spans="1:12" x14ac:dyDescent="0.25">
      <c r="A638" s="32">
        <v>46241</v>
      </c>
      <c r="B638" s="33" t="s">
        <v>32</v>
      </c>
      <c r="C638" s="33" t="s">
        <v>527</v>
      </c>
      <c r="D638" s="33" t="s">
        <v>32</v>
      </c>
      <c r="E638">
        <v>3</v>
      </c>
      <c r="F638" s="34">
        <v>2.0659722222222222E-2</v>
      </c>
      <c r="G638" s="34">
        <v>6.8865740740740736E-3</v>
      </c>
      <c r="H638" s="34">
        <v>0.23291666666666666</v>
      </c>
      <c r="I638" s="34">
        <v>0.21020833333333333</v>
      </c>
      <c r="J638" s="35">
        <v>0.9025044722719141</v>
      </c>
      <c r="K638" s="33" t="s">
        <v>240</v>
      </c>
      <c r="L638" s="33" t="s">
        <v>233</v>
      </c>
    </row>
    <row r="639" spans="1:12" x14ac:dyDescent="0.25">
      <c r="A639" s="32">
        <v>46241</v>
      </c>
      <c r="B639" s="33" t="s">
        <v>32</v>
      </c>
      <c r="C639" s="33" t="s">
        <v>646</v>
      </c>
      <c r="D639" s="33" t="s">
        <v>32</v>
      </c>
      <c r="E639">
        <v>36</v>
      </c>
      <c r="F639" s="34">
        <v>0.20471064814814816</v>
      </c>
      <c r="G639" s="34">
        <v>5.6864068930041157E-3</v>
      </c>
      <c r="H639" s="34">
        <v>0.26482638888888888</v>
      </c>
      <c r="I639" s="34">
        <v>3.0162037037037036E-2</v>
      </c>
      <c r="J639" s="35">
        <v>0.11389362353044011</v>
      </c>
      <c r="K639" s="33" t="s">
        <v>645</v>
      </c>
      <c r="L639" s="33" t="s">
        <v>100</v>
      </c>
    </row>
    <row r="640" spans="1:12" x14ac:dyDescent="0.25">
      <c r="A640" s="32">
        <v>46241</v>
      </c>
      <c r="B640" s="33" t="s">
        <v>32</v>
      </c>
      <c r="C640" s="33" t="s">
        <v>544</v>
      </c>
      <c r="D640" s="33" t="s">
        <v>147</v>
      </c>
      <c r="E640">
        <v>6</v>
      </c>
      <c r="F640" s="34">
        <v>1.8645833333333334E-2</v>
      </c>
      <c r="G640" s="34">
        <v>3.107638888888889E-3</v>
      </c>
      <c r="H640" s="34">
        <v>0.25892361111111112</v>
      </c>
      <c r="I640" s="34">
        <v>5.3634259259259257E-2</v>
      </c>
      <c r="J640" s="35">
        <v>0.20714317643377586</v>
      </c>
      <c r="K640" s="33" t="s">
        <v>160</v>
      </c>
      <c r="L640" s="33" t="s">
        <v>146</v>
      </c>
    </row>
    <row r="641" spans="1:12" x14ac:dyDescent="0.25">
      <c r="A641" s="32">
        <v>46241</v>
      </c>
      <c r="B641" s="33" t="s">
        <v>32</v>
      </c>
      <c r="C641" s="33" t="s">
        <v>558</v>
      </c>
      <c r="D641" s="33" t="s">
        <v>32</v>
      </c>
      <c r="E641">
        <v>46</v>
      </c>
      <c r="F641" s="34">
        <v>0.17210648148148147</v>
      </c>
      <c r="G641" s="34">
        <v>3.7414452495974234E-3</v>
      </c>
      <c r="H641" s="34">
        <v>0.26328703703703704</v>
      </c>
      <c r="I641" s="34">
        <v>6.0833333333333336E-2</v>
      </c>
      <c r="J641" s="35">
        <v>0.23105327940917883</v>
      </c>
      <c r="K641" s="33" t="s">
        <v>120</v>
      </c>
      <c r="L641" s="33" t="s">
        <v>233</v>
      </c>
    </row>
    <row r="642" spans="1:12" x14ac:dyDescent="0.25">
      <c r="A642" s="32">
        <v>46241</v>
      </c>
      <c r="B642" s="33" t="s">
        <v>32</v>
      </c>
      <c r="C642" s="33" t="s">
        <v>507</v>
      </c>
      <c r="D642" s="33" t="s">
        <v>32</v>
      </c>
      <c r="E642">
        <v>34</v>
      </c>
      <c r="F642" s="34">
        <v>0.13506944444444444</v>
      </c>
      <c r="G642" s="34">
        <v>3.9726307189542481E-3</v>
      </c>
      <c r="H642" s="34">
        <v>0.25656250000000003</v>
      </c>
      <c r="I642" s="34">
        <v>3.6736111111111108E-2</v>
      </c>
      <c r="J642" s="35">
        <v>0.14318581675463524</v>
      </c>
      <c r="K642" s="33" t="s">
        <v>46</v>
      </c>
      <c r="L642" s="33" t="s">
        <v>100</v>
      </c>
    </row>
    <row r="643" spans="1:12" x14ac:dyDescent="0.25">
      <c r="A643" s="32">
        <v>46241</v>
      </c>
      <c r="B643" s="33" t="s">
        <v>32</v>
      </c>
      <c r="C643" s="33" t="s">
        <v>517</v>
      </c>
      <c r="D643" s="33" t="s">
        <v>147</v>
      </c>
      <c r="E643">
        <v>4</v>
      </c>
      <c r="F643" s="34">
        <v>1.0231481481481482E-2</v>
      </c>
      <c r="G643" s="34">
        <v>2.5578703703703705E-3</v>
      </c>
      <c r="H643" s="34">
        <v>0.26121527777777775</v>
      </c>
      <c r="I643" s="34">
        <v>5.9768518518518519E-2</v>
      </c>
      <c r="J643" s="35">
        <v>0.22880942886259917</v>
      </c>
      <c r="K643" s="33" t="s">
        <v>499</v>
      </c>
      <c r="L643" s="33" t="s">
        <v>146</v>
      </c>
    </row>
    <row r="644" spans="1:12" x14ac:dyDescent="0.25">
      <c r="A644" s="32">
        <v>46241</v>
      </c>
      <c r="B644" s="33" t="s">
        <v>32</v>
      </c>
      <c r="C644" s="33" t="s">
        <v>648</v>
      </c>
      <c r="D644" s="33" t="s">
        <v>32</v>
      </c>
      <c r="E644">
        <v>24</v>
      </c>
      <c r="F644" s="34">
        <v>9.509259259259259E-2</v>
      </c>
      <c r="G644" s="34">
        <v>3.9621913580246909E-3</v>
      </c>
      <c r="H644" s="34">
        <v>0.24193287037037037</v>
      </c>
      <c r="I644" s="34">
        <v>8.4837962962962962E-2</v>
      </c>
      <c r="J644" s="35">
        <v>0.35066736832033679</v>
      </c>
      <c r="K644" s="33" t="s">
        <v>647</v>
      </c>
      <c r="L644" s="33" t="s">
        <v>233</v>
      </c>
    </row>
    <row r="645" spans="1:12" x14ac:dyDescent="0.25">
      <c r="A645" s="32">
        <v>46241</v>
      </c>
      <c r="B645" s="33" t="s">
        <v>32</v>
      </c>
      <c r="C645" s="33" t="s">
        <v>652</v>
      </c>
      <c r="D645" s="33" t="s">
        <v>32</v>
      </c>
      <c r="E645">
        <v>23</v>
      </c>
      <c r="F645" s="34">
        <v>0.15119212962962963</v>
      </c>
      <c r="G645" s="34">
        <v>6.5735708534621577E-3</v>
      </c>
      <c r="H645" s="34">
        <v>0.26341435185185186</v>
      </c>
      <c r="I645" s="34">
        <v>4.040509259259259E-2</v>
      </c>
      <c r="J645" s="35">
        <v>0.15338986774462848</v>
      </c>
      <c r="K645" s="33" t="s">
        <v>651</v>
      </c>
      <c r="L645" s="33" t="s">
        <v>100</v>
      </c>
    </row>
    <row r="646" spans="1:12" x14ac:dyDescent="0.25">
      <c r="A646" s="32">
        <v>46241</v>
      </c>
      <c r="B646" s="33" t="s">
        <v>32</v>
      </c>
      <c r="C646" s="33" t="s">
        <v>508</v>
      </c>
      <c r="D646" s="33" t="s">
        <v>32</v>
      </c>
      <c r="E646">
        <v>26</v>
      </c>
      <c r="F646" s="34">
        <v>0.11627314814814815</v>
      </c>
      <c r="G646" s="34">
        <v>4.4720441595441597E-3</v>
      </c>
      <c r="H646" s="34">
        <v>0.23667824074074073</v>
      </c>
      <c r="I646" s="34">
        <v>8.6967592592592596E-2</v>
      </c>
      <c r="J646" s="35">
        <v>0.36745073108709475</v>
      </c>
      <c r="K646" s="33" t="s">
        <v>48</v>
      </c>
      <c r="L646" s="33" t="s">
        <v>100</v>
      </c>
    </row>
    <row r="647" spans="1:12" x14ac:dyDescent="0.25">
      <c r="A647" s="32">
        <v>46241</v>
      </c>
      <c r="B647" s="33" t="s">
        <v>32</v>
      </c>
      <c r="C647" s="33" t="s">
        <v>538</v>
      </c>
      <c r="D647" s="33" t="s">
        <v>32</v>
      </c>
      <c r="E647">
        <v>11</v>
      </c>
      <c r="F647" s="34">
        <v>5.5879629629629626E-2</v>
      </c>
      <c r="G647" s="34">
        <v>5.0799663299663294E-3</v>
      </c>
      <c r="H647" s="34">
        <v>0.25293981481481481</v>
      </c>
      <c r="I647" s="34">
        <v>0.18201388888888889</v>
      </c>
      <c r="J647" s="35">
        <v>0.71959366706323791</v>
      </c>
      <c r="K647" s="33" t="s">
        <v>50</v>
      </c>
      <c r="L647" s="33" t="s">
        <v>100</v>
      </c>
    </row>
    <row r="648" spans="1:12" x14ac:dyDescent="0.25">
      <c r="A648" s="32">
        <v>46241</v>
      </c>
      <c r="B648" s="33" t="s">
        <v>32</v>
      </c>
      <c r="C648" s="33" t="s">
        <v>603</v>
      </c>
      <c r="D648" s="33" t="s">
        <v>32</v>
      </c>
      <c r="E648">
        <v>22</v>
      </c>
      <c r="F648" s="34">
        <v>0.14525462962962962</v>
      </c>
      <c r="G648" s="34">
        <v>6.6024831649831644E-3</v>
      </c>
      <c r="H648" s="34">
        <v>0.23620370370370369</v>
      </c>
      <c r="I648" s="34">
        <v>4.5914351851851852E-2</v>
      </c>
      <c r="J648" s="35">
        <v>0.19438455507644062</v>
      </c>
      <c r="K648" s="33" t="s">
        <v>242</v>
      </c>
      <c r="L648" s="33" t="s">
        <v>233</v>
      </c>
    </row>
    <row r="649" spans="1:12" x14ac:dyDescent="0.25">
      <c r="A649" s="32">
        <v>46241</v>
      </c>
      <c r="B649" s="33" t="s">
        <v>32</v>
      </c>
      <c r="C649" s="33" t="s">
        <v>553</v>
      </c>
      <c r="D649" s="33" t="s">
        <v>80</v>
      </c>
      <c r="E649">
        <v>1</v>
      </c>
      <c r="F649" s="34">
        <v>1.2337962962962964E-2</v>
      </c>
      <c r="G649" s="34">
        <v>1.2337962962962964E-2</v>
      </c>
      <c r="H649" s="34">
        <v>0.36711805555555554</v>
      </c>
      <c r="I649" s="34">
        <v>7.7546296296296293E-4</v>
      </c>
      <c r="J649" s="35">
        <v>2.1122986222768688E-3</v>
      </c>
      <c r="K649" s="33" t="s">
        <v>252</v>
      </c>
      <c r="L649" s="33" t="s">
        <v>78</v>
      </c>
    </row>
    <row r="650" spans="1:12" x14ac:dyDescent="0.25">
      <c r="A650" s="32">
        <v>46241</v>
      </c>
      <c r="B650" s="33" t="s">
        <v>32</v>
      </c>
      <c r="C650" s="33" t="s">
        <v>518</v>
      </c>
      <c r="D650" s="33" t="s">
        <v>147</v>
      </c>
      <c r="E650">
        <v>3</v>
      </c>
      <c r="F650" s="34">
        <v>1.1944444444444445E-2</v>
      </c>
      <c r="G650" s="34">
        <v>3.9814814814814817E-3</v>
      </c>
      <c r="H650" s="34">
        <v>0.30386574074074074</v>
      </c>
      <c r="I650" s="34">
        <v>3.184027777777778E-2</v>
      </c>
      <c r="J650" s="35">
        <v>0.10478403290927098</v>
      </c>
      <c r="K650" s="33" t="s">
        <v>500</v>
      </c>
      <c r="L650" s="33" t="s">
        <v>274</v>
      </c>
    </row>
    <row r="651" spans="1:12" x14ac:dyDescent="0.25">
      <c r="A651" s="32">
        <v>46241</v>
      </c>
      <c r="B651" s="33" t="s">
        <v>32</v>
      </c>
      <c r="C651" s="33" t="s">
        <v>654</v>
      </c>
      <c r="D651" s="33" t="s">
        <v>32</v>
      </c>
      <c r="E651">
        <v>25</v>
      </c>
      <c r="F651" s="34">
        <v>0.15476851851851853</v>
      </c>
      <c r="G651" s="34">
        <v>6.1907407407407414E-3</v>
      </c>
      <c r="H651" s="34">
        <v>0.26361111111111113</v>
      </c>
      <c r="I651" s="34">
        <v>4.0300925925925928E-2</v>
      </c>
      <c r="J651" s="35">
        <v>0.15288022479803301</v>
      </c>
      <c r="K651" s="33" t="s">
        <v>653</v>
      </c>
      <c r="L651" s="33" t="s">
        <v>100</v>
      </c>
    </row>
    <row r="652" spans="1:12" x14ac:dyDescent="0.25">
      <c r="A652" s="32">
        <v>46241</v>
      </c>
      <c r="B652" s="33" t="s">
        <v>32</v>
      </c>
      <c r="C652" s="33" t="s">
        <v>509</v>
      </c>
      <c r="D652" s="33" t="s">
        <v>32</v>
      </c>
      <c r="E652">
        <v>9</v>
      </c>
      <c r="F652" s="34">
        <v>7.1284722222222222E-2</v>
      </c>
      <c r="G652" s="34">
        <v>7.9205246913580246E-3</v>
      </c>
      <c r="H652" s="34">
        <v>0.24898148148148147</v>
      </c>
      <c r="I652" s="34">
        <v>0.18388888888888888</v>
      </c>
      <c r="J652" s="35">
        <v>0.73856452212718482</v>
      </c>
      <c r="K652" s="33" t="s">
        <v>52</v>
      </c>
      <c r="L652" s="33" t="s">
        <v>100</v>
      </c>
    </row>
    <row r="653" spans="1:12" x14ac:dyDescent="0.25">
      <c r="A653" s="32">
        <v>46241</v>
      </c>
      <c r="B653" s="33" t="s">
        <v>32</v>
      </c>
      <c r="C653" s="33" t="s">
        <v>519</v>
      </c>
      <c r="D653" s="33" t="s">
        <v>147</v>
      </c>
      <c r="E653">
        <v>9</v>
      </c>
      <c r="F653" s="34">
        <v>1.6666666666666666E-2</v>
      </c>
      <c r="G653" s="34">
        <v>1.8518518518518519E-3</v>
      </c>
      <c r="H653" s="34">
        <v>0.21612268518518518</v>
      </c>
      <c r="I653" s="34">
        <v>3.4525462962962966E-2</v>
      </c>
      <c r="J653" s="35">
        <v>0.15974937074921011</v>
      </c>
      <c r="K653" s="33" t="s">
        <v>164</v>
      </c>
      <c r="L653" s="33" t="s">
        <v>146</v>
      </c>
    </row>
    <row r="654" spans="1:12" x14ac:dyDescent="0.25">
      <c r="A654" s="32">
        <v>46241</v>
      </c>
      <c r="B654" s="33" t="s">
        <v>32</v>
      </c>
      <c r="C654" s="33" t="s">
        <v>656</v>
      </c>
      <c r="D654" s="33" t="s">
        <v>32</v>
      </c>
      <c r="E654">
        <v>30</v>
      </c>
      <c r="F654" s="34">
        <v>0.1547337962962963</v>
      </c>
      <c r="G654" s="34">
        <v>5.1577932098765432E-3</v>
      </c>
      <c r="H654" s="34">
        <v>0.26271990740740742</v>
      </c>
      <c r="I654" s="34">
        <v>3.9803240740740743E-2</v>
      </c>
      <c r="J654" s="35">
        <v>0.15150447156262392</v>
      </c>
      <c r="K654" s="33" t="s">
        <v>655</v>
      </c>
      <c r="L654" s="33" t="s">
        <v>100</v>
      </c>
    </row>
    <row r="655" spans="1:12" x14ac:dyDescent="0.25">
      <c r="A655" s="32">
        <v>46241</v>
      </c>
      <c r="B655" s="33" t="s">
        <v>32</v>
      </c>
      <c r="C655" s="33" t="s">
        <v>167</v>
      </c>
      <c r="D655" s="33" t="s">
        <v>147</v>
      </c>
      <c r="E655">
        <v>8</v>
      </c>
      <c r="F655" s="34">
        <v>2.9155092592592594E-2</v>
      </c>
      <c r="G655" s="34">
        <v>3.6443865740740742E-3</v>
      </c>
      <c r="H655" s="34">
        <v>0.25297453703703704</v>
      </c>
      <c r="I655" s="34">
        <v>2.943287037037037E-2</v>
      </c>
      <c r="J655" s="35">
        <v>0.11634716566774946</v>
      </c>
      <c r="K655" s="33" t="s">
        <v>166</v>
      </c>
      <c r="L655" s="33" t="s">
        <v>146</v>
      </c>
    </row>
    <row r="656" spans="1:12" x14ac:dyDescent="0.25">
      <c r="A656" s="32">
        <v>46241</v>
      </c>
      <c r="B656" s="33" t="s">
        <v>32</v>
      </c>
      <c r="C656" s="33" t="s">
        <v>658</v>
      </c>
      <c r="D656" s="33" t="s">
        <v>147</v>
      </c>
      <c r="E656">
        <v>10</v>
      </c>
      <c r="F656" s="34">
        <v>3.6562499999999998E-2</v>
      </c>
      <c r="G656" s="34">
        <v>3.6562499999999998E-3</v>
      </c>
      <c r="H656" s="34">
        <v>0.25527777777777777</v>
      </c>
      <c r="I656" s="34">
        <v>3.6122685185185188E-2</v>
      </c>
      <c r="J656" s="35">
        <v>0.14150344577439247</v>
      </c>
      <c r="K656" s="33" t="s">
        <v>657</v>
      </c>
      <c r="L656" s="33" t="s">
        <v>274</v>
      </c>
    </row>
    <row r="657" spans="1:12" x14ac:dyDescent="0.25">
      <c r="A657" s="32">
        <v>46241</v>
      </c>
      <c r="B657" s="33" t="s">
        <v>32</v>
      </c>
      <c r="C657" s="33" t="s">
        <v>660</v>
      </c>
      <c r="D657" s="33" t="s">
        <v>32</v>
      </c>
      <c r="E657">
        <v>1</v>
      </c>
      <c r="F657" s="34">
        <v>1.0034722222222223E-2</v>
      </c>
      <c r="G657" s="34">
        <v>1.0034722222222223E-2</v>
      </c>
      <c r="H657" s="34">
        <v>0.19149305555555557</v>
      </c>
      <c r="I657" s="34">
        <v>0.18563657407407408</v>
      </c>
      <c r="J657" s="35">
        <v>0.96941674221819274</v>
      </c>
      <c r="K657" s="33" t="s">
        <v>659</v>
      </c>
      <c r="L657" s="33" t="s">
        <v>100</v>
      </c>
    </row>
    <row r="658" spans="1:12" x14ac:dyDescent="0.25">
      <c r="A658" s="32">
        <v>46241</v>
      </c>
      <c r="B658" s="33" t="s">
        <v>32</v>
      </c>
      <c r="C658" s="33" t="s">
        <v>528</v>
      </c>
      <c r="D658" s="33" t="s">
        <v>32</v>
      </c>
      <c r="E658">
        <v>24</v>
      </c>
      <c r="F658" s="34">
        <v>0.13109953703703703</v>
      </c>
      <c r="G658" s="34">
        <v>5.4624807098765426E-3</v>
      </c>
      <c r="H658" s="34">
        <v>0.26621527777777776</v>
      </c>
      <c r="I658" s="34">
        <v>6.0057870370370373E-2</v>
      </c>
      <c r="J658" s="35">
        <v>0.22559888700491285</v>
      </c>
      <c r="K658" s="33" t="s">
        <v>254</v>
      </c>
      <c r="L658" s="33" t="s">
        <v>233</v>
      </c>
    </row>
    <row r="659" spans="1:12" x14ac:dyDescent="0.25">
      <c r="A659" s="32">
        <v>46241</v>
      </c>
      <c r="B659" s="33" t="s">
        <v>32</v>
      </c>
      <c r="C659" s="33" t="s">
        <v>520</v>
      </c>
      <c r="D659" s="33" t="s">
        <v>147</v>
      </c>
      <c r="E659">
        <v>7</v>
      </c>
      <c r="F659" s="34">
        <v>8.7962962962962968E-3</v>
      </c>
      <c r="G659" s="34">
        <v>1.2566137566137566E-3</v>
      </c>
      <c r="H659" s="34">
        <v>0.29096064814814815</v>
      </c>
      <c r="I659" s="34">
        <v>5.0995370370370371E-2</v>
      </c>
      <c r="J659" s="35">
        <v>0.1752655236882931</v>
      </c>
      <c r="K659" s="33" t="s">
        <v>168</v>
      </c>
      <c r="L659" s="33" t="s">
        <v>274</v>
      </c>
    </row>
    <row r="660" spans="1:12" x14ac:dyDescent="0.25">
      <c r="A660" s="32">
        <v>46241</v>
      </c>
      <c r="B660" s="33" t="s">
        <v>32</v>
      </c>
      <c r="C660" s="33" t="s">
        <v>521</v>
      </c>
      <c r="D660" s="33" t="s">
        <v>147</v>
      </c>
      <c r="E660">
        <v>6</v>
      </c>
      <c r="F660" s="34">
        <v>2.8217592592592593E-2</v>
      </c>
      <c r="G660" s="34">
        <v>4.7029320987654324E-3</v>
      </c>
      <c r="H660" s="34">
        <v>0.28391203703703705</v>
      </c>
      <c r="I660" s="34">
        <v>3.8090277777777778E-2</v>
      </c>
      <c r="J660" s="35">
        <v>0.13416225030574805</v>
      </c>
      <c r="K660" s="33" t="s">
        <v>170</v>
      </c>
      <c r="L660" s="33" t="s">
        <v>146</v>
      </c>
    </row>
    <row r="661" spans="1:12" x14ac:dyDescent="0.25">
      <c r="A661" s="32">
        <v>46241</v>
      </c>
      <c r="B661" s="33" t="s">
        <v>32</v>
      </c>
      <c r="C661" s="33" t="s">
        <v>633</v>
      </c>
      <c r="D661" s="33" t="s">
        <v>147</v>
      </c>
      <c r="E661">
        <v>4</v>
      </c>
      <c r="F661" s="34">
        <v>2.7418981481481482E-2</v>
      </c>
      <c r="G661" s="34">
        <v>6.8547453703703704E-3</v>
      </c>
      <c r="H661" s="34">
        <v>0.26106481481481481</v>
      </c>
      <c r="I661" s="34">
        <v>7.6006944444444446E-2</v>
      </c>
      <c r="J661" s="35">
        <v>0.2911420464621387</v>
      </c>
      <c r="K661" s="33" t="s">
        <v>606</v>
      </c>
      <c r="L661" s="33" t="s">
        <v>146</v>
      </c>
    </row>
    <row r="662" spans="1:12" x14ac:dyDescent="0.25">
      <c r="A662" s="32">
        <v>46241</v>
      </c>
      <c r="B662" s="33" t="s">
        <v>32</v>
      </c>
      <c r="C662" s="33" t="s">
        <v>529</v>
      </c>
      <c r="D662" s="33" t="s">
        <v>32</v>
      </c>
      <c r="E662">
        <v>21</v>
      </c>
      <c r="F662" s="34">
        <v>0.15937499999999999</v>
      </c>
      <c r="G662" s="34">
        <v>7.5892857142857133E-3</v>
      </c>
      <c r="H662" s="34">
        <v>0.25513888888888892</v>
      </c>
      <c r="I662" s="34">
        <v>4.2546296296296297E-2</v>
      </c>
      <c r="J662" s="35">
        <v>0.16675739430230446</v>
      </c>
      <c r="K662" s="33" t="s">
        <v>256</v>
      </c>
      <c r="L662" s="33" t="s">
        <v>233</v>
      </c>
    </row>
    <row r="663" spans="1:12" x14ac:dyDescent="0.25">
      <c r="A663" s="32">
        <v>46241</v>
      </c>
      <c r="B663" s="33" t="s">
        <v>32</v>
      </c>
      <c r="C663" s="33" t="s">
        <v>662</v>
      </c>
      <c r="D663" s="33" t="s">
        <v>32</v>
      </c>
      <c r="E663">
        <v>33</v>
      </c>
      <c r="F663" s="34">
        <v>0.14612268518518517</v>
      </c>
      <c r="G663" s="34">
        <v>4.4279601571268236E-3</v>
      </c>
      <c r="H663" s="34">
        <v>0.25923611111111111</v>
      </c>
      <c r="I663" s="34">
        <v>4.5520833333333337E-2</v>
      </c>
      <c r="J663" s="35">
        <v>0.17559603536030005</v>
      </c>
      <c r="K663" s="33" t="s">
        <v>661</v>
      </c>
      <c r="L663" s="33" t="s">
        <v>100</v>
      </c>
    </row>
    <row r="664" spans="1:12" x14ac:dyDescent="0.25">
      <c r="A664" s="32">
        <v>46241</v>
      </c>
      <c r="B664" s="33" t="s">
        <v>32</v>
      </c>
      <c r="C664" s="33" t="s">
        <v>664</v>
      </c>
      <c r="D664" s="33" t="s">
        <v>32</v>
      </c>
      <c r="E664">
        <v>6</v>
      </c>
      <c r="F664" s="34">
        <v>4.6203703703703705E-2</v>
      </c>
      <c r="G664" s="34">
        <v>7.7006172839506172E-3</v>
      </c>
      <c r="H664" s="34">
        <v>8.5370370370370374E-2</v>
      </c>
      <c r="I664" s="34">
        <v>1.4907407407407407E-2</v>
      </c>
      <c r="J664" s="35">
        <v>0.17462039045553143</v>
      </c>
      <c r="K664" s="33" t="s">
        <v>663</v>
      </c>
      <c r="L664" s="33" t="s">
        <v>233</v>
      </c>
    </row>
    <row r="665" spans="1:12" x14ac:dyDescent="0.25">
      <c r="A665" s="32">
        <v>46241</v>
      </c>
      <c r="B665" s="33" t="s">
        <v>32</v>
      </c>
      <c r="C665" s="33" t="s">
        <v>666</v>
      </c>
      <c r="D665" s="33" t="s">
        <v>32</v>
      </c>
      <c r="E665">
        <v>33</v>
      </c>
      <c r="F665" s="34">
        <v>0.17792824074074073</v>
      </c>
      <c r="G665" s="34">
        <v>5.3917648709315372E-3</v>
      </c>
      <c r="H665" s="34">
        <v>0.24976851851851853</v>
      </c>
      <c r="I665" s="34">
        <v>3.215277777777778E-2</v>
      </c>
      <c r="J665" s="35">
        <v>0.12873030583873957</v>
      </c>
      <c r="K665" s="33" t="s">
        <v>665</v>
      </c>
      <c r="L665" s="33" t="s">
        <v>100</v>
      </c>
    </row>
    <row r="666" spans="1:12" x14ac:dyDescent="0.25">
      <c r="A666" s="32">
        <v>46241</v>
      </c>
      <c r="B666" s="33" t="s">
        <v>32</v>
      </c>
      <c r="C666" s="33" t="s">
        <v>555</v>
      </c>
      <c r="D666" s="33" t="s">
        <v>32</v>
      </c>
      <c r="E666">
        <v>29</v>
      </c>
      <c r="F666" s="34">
        <v>0.14840277777777777</v>
      </c>
      <c r="G666" s="34">
        <v>5.1173371647509572E-3</v>
      </c>
      <c r="H666" s="34">
        <v>0.24497685185185186</v>
      </c>
      <c r="I666" s="34">
        <v>6.582175925925926E-2</v>
      </c>
      <c r="J666" s="35">
        <v>0.26868562789379191</v>
      </c>
      <c r="K666" s="33" t="s">
        <v>128</v>
      </c>
      <c r="L666" s="33" t="s">
        <v>233</v>
      </c>
    </row>
    <row r="667" spans="1:12" x14ac:dyDescent="0.25">
      <c r="A667" s="32">
        <v>46241</v>
      </c>
      <c r="B667" s="33" t="s">
        <v>32</v>
      </c>
      <c r="C667" s="33" t="s">
        <v>522</v>
      </c>
      <c r="D667" s="33" t="s">
        <v>147</v>
      </c>
      <c r="E667">
        <v>1</v>
      </c>
      <c r="F667" s="34">
        <v>1.6226851851851853E-2</v>
      </c>
      <c r="G667" s="34">
        <v>1.6226851851851853E-2</v>
      </c>
      <c r="H667" s="34">
        <v>0.26483796296296297</v>
      </c>
      <c r="I667" s="34">
        <v>4.0937500000000002E-2</v>
      </c>
      <c r="J667" s="35">
        <v>0.15457564898173237</v>
      </c>
      <c r="K667" s="33" t="s">
        <v>178</v>
      </c>
      <c r="L667" s="33" t="s">
        <v>146</v>
      </c>
    </row>
    <row r="668" spans="1:12" x14ac:dyDescent="0.25">
      <c r="A668" s="32">
        <v>46241</v>
      </c>
      <c r="B668" s="33" t="s">
        <v>32</v>
      </c>
      <c r="C668" s="33" t="s">
        <v>531</v>
      </c>
      <c r="D668" s="33" t="s">
        <v>32</v>
      </c>
      <c r="E668">
        <v>3</v>
      </c>
      <c r="F668" s="34">
        <v>3.9398148148148147E-2</v>
      </c>
      <c r="G668" s="34">
        <v>1.3132716049382716E-2</v>
      </c>
      <c r="H668" s="34">
        <v>0.2479976851851852</v>
      </c>
      <c r="I668" s="34">
        <v>0.22172453703703704</v>
      </c>
      <c r="J668" s="35">
        <v>0.89405889765249447</v>
      </c>
      <c r="K668" s="33" t="s">
        <v>266</v>
      </c>
      <c r="L668" s="33" t="s">
        <v>233</v>
      </c>
    </row>
    <row r="669" spans="1:12" x14ac:dyDescent="0.25">
      <c r="A669" s="32">
        <v>46241</v>
      </c>
      <c r="B669" s="33" t="s">
        <v>32</v>
      </c>
      <c r="C669" s="33" t="s">
        <v>523</v>
      </c>
      <c r="D669" s="33" t="s">
        <v>147</v>
      </c>
      <c r="E669">
        <v>5</v>
      </c>
      <c r="F669" s="34">
        <v>2.9687499999999999E-2</v>
      </c>
      <c r="G669" s="34">
        <v>5.9375000000000001E-3</v>
      </c>
      <c r="H669" s="34">
        <v>0.26980324074074075</v>
      </c>
      <c r="I669" s="34">
        <v>2.8402777777777777E-2</v>
      </c>
      <c r="J669" s="35">
        <v>0.1052721890952769</v>
      </c>
      <c r="K669" s="33" t="s">
        <v>180</v>
      </c>
      <c r="L669" s="33" t="s">
        <v>146</v>
      </c>
    </row>
    <row r="670" spans="1:12" x14ac:dyDescent="0.25">
      <c r="A670" s="32">
        <v>46241</v>
      </c>
      <c r="B670" s="33" t="s">
        <v>32</v>
      </c>
      <c r="C670" s="33" t="s">
        <v>566</v>
      </c>
      <c r="D670" s="33" t="s">
        <v>147</v>
      </c>
      <c r="E670">
        <v>8</v>
      </c>
      <c r="F670" s="34">
        <v>2.9814814814814815E-2</v>
      </c>
      <c r="G670" s="34">
        <v>3.7268518518518519E-3</v>
      </c>
      <c r="H670" s="34">
        <v>0.25888888888888889</v>
      </c>
      <c r="I670" s="34">
        <v>3.6828703703703704E-2</v>
      </c>
      <c r="J670" s="35">
        <v>0.14225679542203148</v>
      </c>
      <c r="K670" s="33" t="s">
        <v>207</v>
      </c>
      <c r="L670" s="33" t="s">
        <v>274</v>
      </c>
    </row>
    <row r="671" spans="1:12" x14ac:dyDescent="0.25">
      <c r="A671" s="32">
        <v>46241</v>
      </c>
      <c r="B671" s="33" t="s">
        <v>32</v>
      </c>
      <c r="C671" s="33" t="s">
        <v>510</v>
      </c>
      <c r="D671" s="33" t="s">
        <v>32</v>
      </c>
      <c r="E671">
        <v>32</v>
      </c>
      <c r="F671" s="34">
        <v>0.17344907407407406</v>
      </c>
      <c r="G671" s="34">
        <v>5.4202835648148144E-3</v>
      </c>
      <c r="H671" s="34">
        <v>0.26280092592592591</v>
      </c>
      <c r="I671" s="34">
        <v>4.0949074074074075E-2</v>
      </c>
      <c r="J671" s="35">
        <v>0.1558178455033912</v>
      </c>
      <c r="K671" s="33" t="s">
        <v>60</v>
      </c>
      <c r="L671" s="33" t="s">
        <v>100</v>
      </c>
    </row>
    <row r="672" spans="1:12" x14ac:dyDescent="0.25">
      <c r="A672" s="32">
        <v>46241</v>
      </c>
      <c r="B672" s="33" t="s">
        <v>32</v>
      </c>
      <c r="C672" s="33" t="s">
        <v>524</v>
      </c>
      <c r="D672" s="33" t="s">
        <v>147</v>
      </c>
      <c r="E672">
        <v>10</v>
      </c>
      <c r="F672" s="34">
        <v>1.3148148148148148E-2</v>
      </c>
      <c r="G672" s="34">
        <v>1.3148148148148149E-3</v>
      </c>
      <c r="H672" s="34">
        <v>0.32694444444444443</v>
      </c>
      <c r="I672" s="34">
        <v>3.1087962962962963E-2</v>
      </c>
      <c r="J672" s="35">
        <v>9.508637779665817E-2</v>
      </c>
      <c r="K672" s="33" t="s">
        <v>501</v>
      </c>
      <c r="L672" s="33" t="s">
        <v>274</v>
      </c>
    </row>
    <row r="673" spans="1:12" x14ac:dyDescent="0.25">
      <c r="A673" s="32">
        <v>46241</v>
      </c>
      <c r="B673" s="33" t="s">
        <v>32</v>
      </c>
      <c r="C673" s="33" t="s">
        <v>669</v>
      </c>
      <c r="D673" s="33" t="s">
        <v>32</v>
      </c>
      <c r="E673">
        <v>18</v>
      </c>
      <c r="F673" s="34">
        <v>7.8229166666666669E-2</v>
      </c>
      <c r="G673" s="34">
        <v>4.3460648148148148E-3</v>
      </c>
      <c r="H673" s="34">
        <v>0.21390046296296297</v>
      </c>
      <c r="I673" s="34">
        <v>8.729166666666667E-2</v>
      </c>
      <c r="J673" s="35">
        <v>0.40809480006493154</v>
      </c>
      <c r="K673" s="33" t="s">
        <v>668</v>
      </c>
      <c r="L673" s="33" t="s">
        <v>233</v>
      </c>
    </row>
    <row r="674" spans="1:12" x14ac:dyDescent="0.25">
      <c r="A674" s="32">
        <v>46241</v>
      </c>
      <c r="B674" s="33" t="s">
        <v>32</v>
      </c>
      <c r="C674" s="33" t="s">
        <v>670</v>
      </c>
      <c r="D674" s="33" t="s">
        <v>32</v>
      </c>
      <c r="E674">
        <v>35</v>
      </c>
      <c r="F674" s="34">
        <v>0.16211805555555556</v>
      </c>
      <c r="G674" s="34">
        <v>4.6319444444444446E-3</v>
      </c>
      <c r="H674" s="34">
        <v>0.26047453703703705</v>
      </c>
      <c r="I674" s="34">
        <v>6.3032407407407412E-2</v>
      </c>
      <c r="J674" s="35">
        <v>0.24199066874027994</v>
      </c>
      <c r="K674" s="33" t="s">
        <v>744</v>
      </c>
      <c r="L674" s="33" t="s">
        <v>100</v>
      </c>
    </row>
    <row r="675" spans="1:12" x14ac:dyDescent="0.25">
      <c r="A675" s="32">
        <v>46241</v>
      </c>
      <c r="B675" s="33" t="s">
        <v>32</v>
      </c>
      <c r="C675" s="33" t="s">
        <v>306</v>
      </c>
      <c r="D675" s="33" t="s">
        <v>32</v>
      </c>
      <c r="E675">
        <v>41</v>
      </c>
      <c r="F675" s="34">
        <v>0.14974537037037036</v>
      </c>
      <c r="G675" s="34">
        <v>3.6523261065943991E-3</v>
      </c>
      <c r="H675" s="34">
        <v>0.2608449074074074</v>
      </c>
      <c r="I675" s="34">
        <v>5.3333333333333337E-2</v>
      </c>
      <c r="J675" s="35">
        <v>0.20446377068820165</v>
      </c>
      <c r="K675" s="33" t="s">
        <v>305</v>
      </c>
      <c r="L675" s="33" t="s">
        <v>100</v>
      </c>
    </row>
    <row r="676" spans="1:12" x14ac:dyDescent="0.25">
      <c r="A676" s="32">
        <v>46241</v>
      </c>
      <c r="B676" s="33" t="s">
        <v>32</v>
      </c>
      <c r="C676" s="33" t="s">
        <v>532</v>
      </c>
      <c r="D676" s="33" t="s">
        <v>32</v>
      </c>
      <c r="E676">
        <v>35</v>
      </c>
      <c r="F676" s="34">
        <v>0.15186342592592592</v>
      </c>
      <c r="G676" s="34">
        <v>4.3389550264550259E-3</v>
      </c>
      <c r="H676" s="34">
        <v>0.26383101851851853</v>
      </c>
      <c r="I676" s="34">
        <v>6.5046296296296297E-2</v>
      </c>
      <c r="J676" s="35">
        <v>0.24654529502083788</v>
      </c>
      <c r="K676" s="33" t="s">
        <v>276</v>
      </c>
      <c r="L676" s="33" t="s">
        <v>233</v>
      </c>
    </row>
    <row r="677" spans="1:12" x14ac:dyDescent="0.25">
      <c r="A677" s="32">
        <v>46241</v>
      </c>
      <c r="B677" s="33" t="s">
        <v>32</v>
      </c>
      <c r="C677" s="33" t="s">
        <v>533</v>
      </c>
      <c r="D677" s="33" t="s">
        <v>32</v>
      </c>
      <c r="E677">
        <v>19</v>
      </c>
      <c r="F677" s="34">
        <v>0.17945601851851853</v>
      </c>
      <c r="G677" s="34">
        <v>9.445053606237817E-3</v>
      </c>
      <c r="H677" s="34">
        <v>0.26646990740740739</v>
      </c>
      <c r="I677" s="34">
        <v>3.6967592592592594E-2</v>
      </c>
      <c r="J677" s="35">
        <v>0.13873083438300832</v>
      </c>
      <c r="K677" s="33" t="s">
        <v>278</v>
      </c>
      <c r="L677" s="33" t="s">
        <v>233</v>
      </c>
    </row>
    <row r="678" spans="1:12" x14ac:dyDescent="0.25">
      <c r="A678" s="32">
        <v>46241</v>
      </c>
      <c r="B678" s="33" t="s">
        <v>32</v>
      </c>
      <c r="C678" s="33" t="s">
        <v>534</v>
      </c>
      <c r="D678" s="33" t="s">
        <v>32</v>
      </c>
      <c r="E678">
        <v>42</v>
      </c>
      <c r="F678" s="34">
        <v>0.15756944444444446</v>
      </c>
      <c r="G678" s="34">
        <v>3.7516534391534395E-3</v>
      </c>
      <c r="H678" s="34">
        <v>0.26604166666666668</v>
      </c>
      <c r="I678" s="34">
        <v>3.4270833333333334E-2</v>
      </c>
      <c r="J678" s="35">
        <v>0.12881754111198121</v>
      </c>
      <c r="K678" s="33" t="s">
        <v>280</v>
      </c>
      <c r="L678" s="33" t="s">
        <v>233</v>
      </c>
    </row>
    <row r="679" spans="1:12" x14ac:dyDescent="0.25">
      <c r="A679" s="32">
        <v>46241</v>
      </c>
      <c r="B679" s="33" t="s">
        <v>32</v>
      </c>
      <c r="C679" s="33" t="s">
        <v>535</v>
      </c>
      <c r="D679" s="33" t="s">
        <v>32</v>
      </c>
      <c r="E679">
        <v>46</v>
      </c>
      <c r="F679" s="34">
        <v>0.14251157407407408</v>
      </c>
      <c r="G679" s="34">
        <v>3.0980776972624803E-3</v>
      </c>
      <c r="H679" s="34">
        <v>0.26457175925925924</v>
      </c>
      <c r="I679" s="34">
        <v>4.3842592592592593E-2</v>
      </c>
      <c r="J679" s="35">
        <v>0.16571153593770507</v>
      </c>
      <c r="K679" s="33" t="s">
        <v>282</v>
      </c>
      <c r="L679" s="33" t="s">
        <v>233</v>
      </c>
    </row>
    <row r="680" spans="1:12" x14ac:dyDescent="0.25">
      <c r="A680" s="32">
        <v>46241</v>
      </c>
      <c r="B680" s="33" t="s">
        <v>32</v>
      </c>
      <c r="C680" s="33" t="s">
        <v>557</v>
      </c>
      <c r="D680" s="33" t="s">
        <v>147</v>
      </c>
      <c r="E680">
        <v>6</v>
      </c>
      <c r="F680" s="34">
        <v>4.7094907407407405E-2</v>
      </c>
      <c r="G680" s="34">
        <v>7.8491512345679002E-3</v>
      </c>
      <c r="H680" s="34">
        <v>0.26056712962962963</v>
      </c>
      <c r="I680" s="34">
        <v>4.4421296296296299E-2</v>
      </c>
      <c r="J680" s="35">
        <v>0.17047927863900858</v>
      </c>
      <c r="K680" s="33" t="s">
        <v>227</v>
      </c>
      <c r="L680" s="33" t="s">
        <v>146</v>
      </c>
    </row>
    <row r="681" spans="1:12" x14ac:dyDescent="0.25">
      <c r="A681" s="32">
        <v>46241</v>
      </c>
      <c r="B681" s="33" t="s">
        <v>32</v>
      </c>
      <c r="C681" s="33" t="s">
        <v>678</v>
      </c>
      <c r="D681" s="33" t="s">
        <v>147</v>
      </c>
      <c r="E681">
        <v>9</v>
      </c>
      <c r="F681" s="34">
        <v>2.8923611111111112E-2</v>
      </c>
      <c r="G681" s="34">
        <v>3.2137345679012345E-3</v>
      </c>
      <c r="H681" s="34">
        <v>0.2465162037037037</v>
      </c>
      <c r="I681" s="34">
        <v>3.2002314814814817E-2</v>
      </c>
      <c r="J681" s="35">
        <v>0.1298183013287009</v>
      </c>
      <c r="K681" s="33" t="s">
        <v>677</v>
      </c>
      <c r="L681" s="33" t="s">
        <v>274</v>
      </c>
    </row>
    <row r="682" spans="1:12" x14ac:dyDescent="0.25">
      <c r="A682" s="32">
        <v>46241</v>
      </c>
      <c r="B682" s="33" t="s">
        <v>600</v>
      </c>
      <c r="C682" s="33" t="s">
        <v>545</v>
      </c>
      <c r="D682" s="33" t="s">
        <v>600</v>
      </c>
      <c r="E682">
        <v>34</v>
      </c>
      <c r="F682" s="34">
        <v>7.5115740740740747E-2</v>
      </c>
      <c r="G682" s="34">
        <v>2.2092864923747278E-3</v>
      </c>
      <c r="H682" s="34">
        <v>0.2394212962962963</v>
      </c>
      <c r="I682" s="34">
        <v>4.9629629629629628E-2</v>
      </c>
      <c r="J682" s="35">
        <v>0.20728995455863869</v>
      </c>
      <c r="K682" s="33" t="s">
        <v>201</v>
      </c>
      <c r="L682" s="33" t="s">
        <v>601</v>
      </c>
    </row>
    <row r="683" spans="1:12" x14ac:dyDescent="0.25">
      <c r="A683" s="32">
        <v>46241</v>
      </c>
      <c r="B683" s="33" t="s">
        <v>600</v>
      </c>
      <c r="C683" s="33" t="s">
        <v>543</v>
      </c>
      <c r="D683" s="33" t="s">
        <v>600</v>
      </c>
      <c r="E683">
        <v>17</v>
      </c>
      <c r="F683" s="34">
        <v>4.5312499999999999E-2</v>
      </c>
      <c r="G683" s="34">
        <v>2.6654411764705883E-3</v>
      </c>
      <c r="H683" s="34">
        <v>0.24342592592592593</v>
      </c>
      <c r="I683" s="34">
        <v>0.1751388888888889</v>
      </c>
      <c r="J683" s="35">
        <v>0.71947508558387219</v>
      </c>
      <c r="K683" s="33" t="s">
        <v>293</v>
      </c>
      <c r="L683" s="33" t="s">
        <v>104</v>
      </c>
    </row>
    <row r="684" spans="1:12" x14ac:dyDescent="0.25">
      <c r="A684" s="32">
        <v>46242</v>
      </c>
      <c r="B684" s="33" t="s">
        <v>147</v>
      </c>
      <c r="C684" s="33" t="s">
        <v>563</v>
      </c>
      <c r="D684" s="33" t="s">
        <v>147</v>
      </c>
      <c r="E684">
        <v>3</v>
      </c>
      <c r="F684" s="34">
        <v>1.7754629629629631E-2</v>
      </c>
      <c r="G684" s="34">
        <v>5.9182098765432102E-3</v>
      </c>
      <c r="H684" s="34">
        <v>0.26427083333333334</v>
      </c>
      <c r="I684" s="34">
        <v>4.3854166666666666E-2</v>
      </c>
      <c r="J684" s="35">
        <v>0.16594402837997635</v>
      </c>
      <c r="K684" s="33" t="s">
        <v>193</v>
      </c>
      <c r="L684" s="33" t="s">
        <v>274</v>
      </c>
    </row>
    <row r="685" spans="1:12" x14ac:dyDescent="0.25">
      <c r="A685" s="32">
        <v>46242</v>
      </c>
      <c r="B685" s="33" t="s">
        <v>147</v>
      </c>
      <c r="C685" s="33" t="s">
        <v>515</v>
      </c>
      <c r="D685" s="33" t="s">
        <v>147</v>
      </c>
      <c r="E685">
        <v>8</v>
      </c>
      <c r="F685" s="34">
        <v>2.7488425925925927E-2</v>
      </c>
      <c r="G685" s="34">
        <v>3.4360532407407408E-3</v>
      </c>
      <c r="H685" s="34">
        <v>0.26405092592592594</v>
      </c>
      <c r="I685" s="34">
        <v>3.4629629629629628E-2</v>
      </c>
      <c r="J685" s="35">
        <v>0.13114754098360654</v>
      </c>
      <c r="K685" s="33" t="s">
        <v>154</v>
      </c>
      <c r="L685" s="33" t="s">
        <v>146</v>
      </c>
    </row>
    <row r="686" spans="1:12" x14ac:dyDescent="0.25">
      <c r="A686" s="32">
        <v>46242</v>
      </c>
      <c r="B686" s="33" t="s">
        <v>147</v>
      </c>
      <c r="C686" s="33" t="s">
        <v>516</v>
      </c>
      <c r="D686" s="33" t="s">
        <v>147</v>
      </c>
      <c r="E686">
        <v>7</v>
      </c>
      <c r="F686" s="34">
        <v>2.193287037037037E-2</v>
      </c>
      <c r="G686" s="34">
        <v>3.1332671957671958E-3</v>
      </c>
      <c r="H686" s="34">
        <v>0.26657407407407407</v>
      </c>
      <c r="I686" s="34">
        <v>3.8541666666666669E-2</v>
      </c>
      <c r="J686" s="35">
        <v>0.14458145189301841</v>
      </c>
      <c r="K686" s="33" t="s">
        <v>156</v>
      </c>
      <c r="L686" s="33" t="s">
        <v>146</v>
      </c>
    </row>
    <row r="687" spans="1:12" x14ac:dyDescent="0.25">
      <c r="A687" s="32">
        <v>46242</v>
      </c>
      <c r="B687" s="33" t="s">
        <v>147</v>
      </c>
      <c r="C687" s="33" t="s">
        <v>544</v>
      </c>
      <c r="D687" s="33" t="s">
        <v>147</v>
      </c>
      <c r="E687">
        <v>7</v>
      </c>
      <c r="F687" s="34">
        <v>1.6770833333333332E-2</v>
      </c>
      <c r="G687" s="34">
        <v>2.3958333333333331E-3</v>
      </c>
      <c r="H687" s="34">
        <v>0.24253472222222222</v>
      </c>
      <c r="I687" s="34">
        <v>8.7094907407407413E-2</v>
      </c>
      <c r="J687" s="35">
        <v>0.35910283941780008</v>
      </c>
      <c r="K687" s="33" t="s">
        <v>160</v>
      </c>
      <c r="L687" s="33" t="s">
        <v>146</v>
      </c>
    </row>
    <row r="688" spans="1:12" x14ac:dyDescent="0.25">
      <c r="A688" s="32">
        <v>46242</v>
      </c>
      <c r="B688" s="33" t="s">
        <v>147</v>
      </c>
      <c r="C688" s="33" t="s">
        <v>517</v>
      </c>
      <c r="D688" s="33" t="s">
        <v>147</v>
      </c>
      <c r="E688">
        <v>6</v>
      </c>
      <c r="F688" s="34">
        <v>2.6192129629629631E-2</v>
      </c>
      <c r="G688" s="34">
        <v>4.3653549382716055E-3</v>
      </c>
      <c r="H688" s="34">
        <v>0.25729166666666664</v>
      </c>
      <c r="I688" s="34">
        <v>5.2488425925925924E-2</v>
      </c>
      <c r="J688" s="35">
        <v>0.20400359874044086</v>
      </c>
      <c r="K688" s="33" t="s">
        <v>499</v>
      </c>
      <c r="L688" s="33" t="s">
        <v>146</v>
      </c>
    </row>
    <row r="689" spans="1:12" x14ac:dyDescent="0.25">
      <c r="A689" s="32">
        <v>46242</v>
      </c>
      <c r="B689" s="33" t="s">
        <v>147</v>
      </c>
      <c r="C689" s="33" t="s">
        <v>518</v>
      </c>
      <c r="D689" s="33" t="s">
        <v>147</v>
      </c>
      <c r="E689">
        <v>5</v>
      </c>
      <c r="F689" s="34">
        <v>3.0416666666666668E-2</v>
      </c>
      <c r="G689" s="34">
        <v>6.0833333333333338E-3</v>
      </c>
      <c r="H689" s="34">
        <v>0.26024305555555555</v>
      </c>
      <c r="I689" s="34">
        <v>4.1712962962962966E-2</v>
      </c>
      <c r="J689" s="35">
        <v>0.16028463420057817</v>
      </c>
      <c r="K689" s="33" t="s">
        <v>500</v>
      </c>
      <c r="L689" s="33" t="s">
        <v>274</v>
      </c>
    </row>
    <row r="690" spans="1:12" x14ac:dyDescent="0.25">
      <c r="A690" s="32">
        <v>46242</v>
      </c>
      <c r="B690" s="33" t="s">
        <v>147</v>
      </c>
      <c r="C690" s="33" t="s">
        <v>167</v>
      </c>
      <c r="D690" s="33" t="s">
        <v>147</v>
      </c>
      <c r="E690">
        <v>9</v>
      </c>
      <c r="F690" s="34">
        <v>2.1006944444444446E-2</v>
      </c>
      <c r="G690" s="34">
        <v>2.334104938271605E-3</v>
      </c>
      <c r="H690" s="34">
        <v>0.25516203703703705</v>
      </c>
      <c r="I690" s="34">
        <v>4.0069444444444442E-2</v>
      </c>
      <c r="J690" s="35">
        <v>0.15703528984849857</v>
      </c>
      <c r="K690" s="33" t="s">
        <v>166</v>
      </c>
      <c r="L690" s="33" t="s">
        <v>146</v>
      </c>
    </row>
    <row r="691" spans="1:12" x14ac:dyDescent="0.25">
      <c r="A691" s="32">
        <v>46242</v>
      </c>
      <c r="B691" s="33" t="s">
        <v>147</v>
      </c>
      <c r="C691" s="33" t="s">
        <v>658</v>
      </c>
      <c r="D691" s="33" t="s">
        <v>147</v>
      </c>
      <c r="E691">
        <v>4</v>
      </c>
      <c r="F691" s="34">
        <v>1.0185185185185186E-2</v>
      </c>
      <c r="G691" s="34">
        <v>2.5462962962962965E-3</v>
      </c>
      <c r="H691" s="34">
        <v>0.26283564814814814</v>
      </c>
      <c r="I691" s="34">
        <v>6.3368055555555552E-2</v>
      </c>
      <c r="J691" s="35">
        <v>0.24109383944691531</v>
      </c>
      <c r="K691" s="33" t="s">
        <v>657</v>
      </c>
      <c r="L691" s="33" t="s">
        <v>274</v>
      </c>
    </row>
    <row r="692" spans="1:12" x14ac:dyDescent="0.25">
      <c r="A692" s="32">
        <v>46242</v>
      </c>
      <c r="B692" s="33" t="s">
        <v>147</v>
      </c>
      <c r="C692" s="33" t="s">
        <v>520</v>
      </c>
      <c r="D692" s="33" t="s">
        <v>147</v>
      </c>
      <c r="E692">
        <v>4</v>
      </c>
      <c r="F692" s="34">
        <v>3.5567129629629629E-2</v>
      </c>
      <c r="G692" s="34">
        <v>8.8917824074074073E-3</v>
      </c>
      <c r="H692" s="34">
        <v>0.2645601851851852</v>
      </c>
      <c r="I692" s="34">
        <v>3.7465277777777778E-2</v>
      </c>
      <c r="J692" s="35">
        <v>0.1416134394960189</v>
      </c>
      <c r="K692" s="33" t="s">
        <v>168</v>
      </c>
      <c r="L692" s="33" t="s">
        <v>274</v>
      </c>
    </row>
    <row r="693" spans="1:12" x14ac:dyDescent="0.25">
      <c r="A693" s="32">
        <v>46242</v>
      </c>
      <c r="B693" s="33" t="s">
        <v>147</v>
      </c>
      <c r="C693" s="33" t="s">
        <v>521</v>
      </c>
      <c r="D693" s="33" t="s">
        <v>147</v>
      </c>
      <c r="E693">
        <v>4</v>
      </c>
      <c r="F693" s="34">
        <v>3.4618055555555555E-2</v>
      </c>
      <c r="G693" s="34">
        <v>8.6545138888888887E-3</v>
      </c>
      <c r="H693" s="34">
        <v>0.26277777777777778</v>
      </c>
      <c r="I693" s="34">
        <v>5.3252314814814815E-2</v>
      </c>
      <c r="J693" s="35">
        <v>0.20265151515151517</v>
      </c>
      <c r="K693" s="33" t="s">
        <v>170</v>
      </c>
      <c r="L693" s="33" t="s">
        <v>146</v>
      </c>
    </row>
    <row r="694" spans="1:12" x14ac:dyDescent="0.25">
      <c r="A694" s="32">
        <v>46242</v>
      </c>
      <c r="B694" s="33" t="s">
        <v>147</v>
      </c>
      <c r="C694" s="33" t="s">
        <v>633</v>
      </c>
      <c r="D694" s="33" t="s">
        <v>147</v>
      </c>
      <c r="E694">
        <v>1</v>
      </c>
      <c r="F694" s="34">
        <v>1.238425925925926E-3</v>
      </c>
      <c r="G694" s="34">
        <v>1.238425925925926E-3</v>
      </c>
      <c r="H694" s="34">
        <v>0.2618287037037037</v>
      </c>
      <c r="I694" s="34">
        <v>6.4861111111111105E-2</v>
      </c>
      <c r="J694" s="35">
        <v>0.2477234550437627</v>
      </c>
      <c r="K694" s="33" t="s">
        <v>606</v>
      </c>
      <c r="L694" s="33" t="s">
        <v>146</v>
      </c>
    </row>
    <row r="695" spans="1:12" x14ac:dyDescent="0.25">
      <c r="A695" s="32">
        <v>46242</v>
      </c>
      <c r="B695" s="33" t="s">
        <v>147</v>
      </c>
      <c r="C695" s="33" t="s">
        <v>522</v>
      </c>
      <c r="D695" s="33" t="s">
        <v>147</v>
      </c>
      <c r="E695">
        <v>5</v>
      </c>
      <c r="F695" s="34">
        <v>5.5613425925925927E-2</v>
      </c>
      <c r="G695" s="34">
        <v>1.1122685185185185E-2</v>
      </c>
      <c r="H695" s="34">
        <v>0.26156249999999998</v>
      </c>
      <c r="I695" s="34">
        <v>3.6319444444444446E-2</v>
      </c>
      <c r="J695" s="35">
        <v>0.13885570157971594</v>
      </c>
      <c r="K695" s="33" t="s">
        <v>178</v>
      </c>
      <c r="L695" s="33" t="s">
        <v>146</v>
      </c>
    </row>
    <row r="696" spans="1:12" x14ac:dyDescent="0.25">
      <c r="A696" s="32">
        <v>46242</v>
      </c>
      <c r="B696" s="33" t="s">
        <v>147</v>
      </c>
      <c r="C696" s="33" t="s">
        <v>523</v>
      </c>
      <c r="D696" s="33" t="s">
        <v>147</v>
      </c>
      <c r="E696">
        <v>6</v>
      </c>
      <c r="F696" s="34">
        <v>3.9976851851851854E-2</v>
      </c>
      <c r="G696" s="34">
        <v>6.6628086419753089E-3</v>
      </c>
      <c r="H696" s="34">
        <v>0.26144675925925925</v>
      </c>
      <c r="I696" s="34">
        <v>3.4918981481481481E-2</v>
      </c>
      <c r="J696" s="35">
        <v>0.13356058258444375</v>
      </c>
      <c r="K696" s="33" t="s">
        <v>180</v>
      </c>
      <c r="L696" s="33" t="s">
        <v>146</v>
      </c>
    </row>
    <row r="697" spans="1:12" x14ac:dyDescent="0.25">
      <c r="A697" s="32">
        <v>46242</v>
      </c>
      <c r="B697" s="33" t="s">
        <v>147</v>
      </c>
      <c r="C697" s="33" t="s">
        <v>566</v>
      </c>
      <c r="D697" s="33" t="s">
        <v>147</v>
      </c>
      <c r="E697">
        <v>4</v>
      </c>
      <c r="F697" s="34">
        <v>1.5740740740740739E-2</v>
      </c>
      <c r="G697" s="34">
        <v>3.9351851851851848E-3</v>
      </c>
      <c r="H697" s="34">
        <v>0.26001157407407405</v>
      </c>
      <c r="I697" s="34">
        <v>4.3043981481481482E-2</v>
      </c>
      <c r="J697" s="35">
        <v>0.16554640551969732</v>
      </c>
      <c r="K697" s="33" t="s">
        <v>207</v>
      </c>
      <c r="L697" s="33" t="s">
        <v>274</v>
      </c>
    </row>
    <row r="698" spans="1:12" x14ac:dyDescent="0.25">
      <c r="A698" s="32">
        <v>46242</v>
      </c>
      <c r="B698" s="33" t="s">
        <v>147</v>
      </c>
      <c r="C698" s="33" t="s">
        <v>557</v>
      </c>
      <c r="D698" s="33" t="s">
        <v>147</v>
      </c>
      <c r="E698">
        <v>3</v>
      </c>
      <c r="F698" s="34">
        <v>9.5949074074074079E-3</v>
      </c>
      <c r="G698" s="34">
        <v>3.1983024691358028E-3</v>
      </c>
      <c r="H698" s="34">
        <v>0.25780092592592591</v>
      </c>
      <c r="I698" s="34">
        <v>3.6608796296296299E-2</v>
      </c>
      <c r="J698" s="35">
        <v>0.14200413037622342</v>
      </c>
      <c r="K698" s="33" t="s">
        <v>227</v>
      </c>
      <c r="L698" s="33" t="s">
        <v>146</v>
      </c>
    </row>
    <row r="699" spans="1:12" x14ac:dyDescent="0.25">
      <c r="A699" s="32">
        <v>46242</v>
      </c>
      <c r="B699" s="33" t="s">
        <v>147</v>
      </c>
      <c r="C699" s="33" t="s">
        <v>678</v>
      </c>
      <c r="D699" s="33" t="s">
        <v>147</v>
      </c>
      <c r="E699">
        <v>5</v>
      </c>
      <c r="F699" s="34">
        <v>4.7025462962962963E-2</v>
      </c>
      <c r="G699" s="34">
        <v>9.4050925925925934E-3</v>
      </c>
      <c r="H699" s="34">
        <v>0.26234953703703706</v>
      </c>
      <c r="I699" s="34">
        <v>4.3472222222222225E-2</v>
      </c>
      <c r="J699" s="35">
        <v>0.16570344553756561</v>
      </c>
      <c r="K699" s="33" t="s">
        <v>677</v>
      </c>
      <c r="L699" s="33" t="s">
        <v>274</v>
      </c>
    </row>
    <row r="700" spans="1:12" x14ac:dyDescent="0.25">
      <c r="A700" s="32">
        <v>46242</v>
      </c>
      <c r="B700" s="33" t="s">
        <v>105</v>
      </c>
      <c r="C700" s="33" t="s">
        <v>513</v>
      </c>
      <c r="D700" s="33" t="s">
        <v>105</v>
      </c>
      <c r="E700">
        <v>3</v>
      </c>
      <c r="F700" s="34">
        <v>3.861111111111111E-2</v>
      </c>
      <c r="G700" s="34">
        <v>1.2870370370370371E-2</v>
      </c>
      <c r="H700" s="34">
        <v>0.21354166666666666</v>
      </c>
      <c r="I700" s="34">
        <v>0.14960648148148148</v>
      </c>
      <c r="J700" s="35">
        <v>0.70059620596205963</v>
      </c>
      <c r="K700" s="33" t="s">
        <v>148</v>
      </c>
      <c r="L700" s="33" t="s">
        <v>104</v>
      </c>
    </row>
    <row r="701" spans="1:12" x14ac:dyDescent="0.25">
      <c r="A701" s="32">
        <v>46242</v>
      </c>
      <c r="B701" s="33" t="s">
        <v>105</v>
      </c>
      <c r="C701" s="33" t="s">
        <v>569</v>
      </c>
      <c r="D701" s="33" t="s">
        <v>105</v>
      </c>
      <c r="E701">
        <v>5</v>
      </c>
      <c r="F701" s="34">
        <v>5.5659722222222222E-2</v>
      </c>
      <c r="G701" s="34">
        <v>1.1131944444444444E-2</v>
      </c>
      <c r="H701" s="34">
        <v>0.20672453703703703</v>
      </c>
      <c r="I701" s="34">
        <v>0.12450231481481482</v>
      </c>
      <c r="J701" s="35">
        <v>0.60226191142713181</v>
      </c>
      <c r="K701" s="33" t="s">
        <v>493</v>
      </c>
      <c r="L701" s="33" t="s">
        <v>104</v>
      </c>
    </row>
    <row r="702" spans="1:12" x14ac:dyDescent="0.25">
      <c r="A702" s="32">
        <v>46242</v>
      </c>
      <c r="B702" s="33" t="s">
        <v>105</v>
      </c>
      <c r="C702" s="33" t="s">
        <v>631</v>
      </c>
      <c r="D702" s="33" t="s">
        <v>105</v>
      </c>
      <c r="E702">
        <v>1</v>
      </c>
      <c r="F702" s="34">
        <v>1.744212962962963E-2</v>
      </c>
      <c r="G702" s="34">
        <v>1.744212962962963E-2</v>
      </c>
      <c r="H702" s="34">
        <v>0.18103009259259259</v>
      </c>
      <c r="I702" s="34">
        <v>0.17075231481481482</v>
      </c>
      <c r="J702" s="35">
        <v>0.94322613643628928</v>
      </c>
      <c r="K702" s="33" t="s">
        <v>608</v>
      </c>
      <c r="L702" s="33" t="s">
        <v>601</v>
      </c>
    </row>
    <row r="703" spans="1:12" x14ac:dyDescent="0.25">
      <c r="A703" s="32">
        <v>46242</v>
      </c>
      <c r="B703" s="33" t="s">
        <v>105</v>
      </c>
      <c r="C703" s="33" t="s">
        <v>682</v>
      </c>
      <c r="D703" s="33" t="s">
        <v>105</v>
      </c>
      <c r="E703">
        <v>1</v>
      </c>
      <c r="F703" s="34">
        <v>3.304398148148148E-2</v>
      </c>
      <c r="G703" s="34">
        <v>3.304398148148148E-2</v>
      </c>
      <c r="H703" s="34">
        <v>0.22650462962962964</v>
      </c>
      <c r="I703" s="34">
        <v>0.21402777777777779</v>
      </c>
      <c r="J703" s="35">
        <v>0.94491568727644359</v>
      </c>
      <c r="K703" s="33" t="s">
        <v>681</v>
      </c>
      <c r="L703" s="33" t="s">
        <v>601</v>
      </c>
    </row>
    <row r="704" spans="1:12" x14ac:dyDescent="0.25">
      <c r="A704" s="32">
        <v>46242</v>
      </c>
      <c r="B704" s="33" t="s">
        <v>105</v>
      </c>
      <c r="C704" s="33" t="s">
        <v>570</v>
      </c>
      <c r="D704" s="33" t="s">
        <v>105</v>
      </c>
      <c r="E704">
        <v>3</v>
      </c>
      <c r="F704" s="34">
        <v>5.2800925925925925E-2</v>
      </c>
      <c r="G704" s="34">
        <v>1.7600308641975308E-2</v>
      </c>
      <c r="H704" s="34">
        <v>0.19618055555555555</v>
      </c>
      <c r="I704" s="34">
        <v>0.12975694444444444</v>
      </c>
      <c r="J704" s="35">
        <v>0.66141592920353975</v>
      </c>
      <c r="K704" s="33" t="s">
        <v>112</v>
      </c>
      <c r="L704" s="33" t="s">
        <v>104</v>
      </c>
    </row>
    <row r="705" spans="1:12" x14ac:dyDescent="0.25">
      <c r="A705" s="32">
        <v>46242</v>
      </c>
      <c r="B705" s="33" t="s">
        <v>105</v>
      </c>
      <c r="C705" s="33" t="s">
        <v>537</v>
      </c>
      <c r="D705" s="33" t="s">
        <v>105</v>
      </c>
      <c r="E705">
        <v>3</v>
      </c>
      <c r="F705" s="34">
        <v>3.4791666666666665E-2</v>
      </c>
      <c r="G705" s="34">
        <v>1.1597222222222222E-2</v>
      </c>
      <c r="H705" s="34">
        <v>0.18864583333333335</v>
      </c>
      <c r="I705" s="34">
        <v>0.12642361111111111</v>
      </c>
      <c r="J705" s="35">
        <v>0.67016381373090372</v>
      </c>
      <c r="K705" s="33" t="s">
        <v>42</v>
      </c>
      <c r="L705" s="33" t="s">
        <v>104</v>
      </c>
    </row>
    <row r="706" spans="1:12" x14ac:dyDescent="0.25">
      <c r="A706" s="32">
        <v>46242</v>
      </c>
      <c r="B706" s="33" t="s">
        <v>105</v>
      </c>
      <c r="C706" s="33" t="s">
        <v>541</v>
      </c>
      <c r="D706" s="33" t="s">
        <v>105</v>
      </c>
      <c r="E706">
        <v>4</v>
      </c>
      <c r="F706" s="34">
        <v>4.3692129629629629E-2</v>
      </c>
      <c r="G706" s="34">
        <v>1.0923032407407407E-2</v>
      </c>
      <c r="H706" s="34">
        <v>0.12832175925925926</v>
      </c>
      <c r="I706" s="34">
        <v>5.6863425925925928E-2</v>
      </c>
      <c r="J706" s="35">
        <v>0.44313159556237036</v>
      </c>
      <c r="K706" s="33" t="s">
        <v>114</v>
      </c>
      <c r="L706" s="33" t="s">
        <v>104</v>
      </c>
    </row>
    <row r="707" spans="1:12" x14ac:dyDescent="0.25">
      <c r="A707" s="32">
        <v>46242</v>
      </c>
      <c r="B707" s="33" t="s">
        <v>105</v>
      </c>
      <c r="C707" s="33" t="s">
        <v>632</v>
      </c>
      <c r="D707" s="33" t="s">
        <v>105</v>
      </c>
      <c r="E707">
        <v>1</v>
      </c>
      <c r="F707" s="34">
        <v>2.5000000000000001E-2</v>
      </c>
      <c r="G707" s="34">
        <v>2.5000000000000001E-2</v>
      </c>
      <c r="H707" s="34">
        <v>0.16005787037037036</v>
      </c>
      <c r="I707" s="34">
        <v>0.15347222222222223</v>
      </c>
      <c r="J707" s="35">
        <v>0.95885458095306975</v>
      </c>
      <c r="K707" s="33" t="s">
        <v>609</v>
      </c>
      <c r="L707" s="33" t="s">
        <v>601</v>
      </c>
    </row>
    <row r="708" spans="1:12" x14ac:dyDescent="0.25">
      <c r="A708" s="32">
        <v>46242</v>
      </c>
      <c r="B708" s="33" t="s">
        <v>105</v>
      </c>
      <c r="C708" s="33" t="s">
        <v>542</v>
      </c>
      <c r="D708" s="33" t="s">
        <v>105</v>
      </c>
      <c r="E708">
        <v>1</v>
      </c>
      <c r="F708" s="34">
        <v>1.8738425925925926E-2</v>
      </c>
      <c r="G708" s="34">
        <v>1.8738425925925926E-2</v>
      </c>
      <c r="H708" s="34">
        <v>0.15105324074074075</v>
      </c>
      <c r="I708" s="34">
        <v>0.13662037037037036</v>
      </c>
      <c r="J708" s="35">
        <v>0.90445176614818779</v>
      </c>
      <c r="K708" s="33" t="s">
        <v>287</v>
      </c>
      <c r="L708" s="33" t="s">
        <v>104</v>
      </c>
    </row>
    <row r="709" spans="1:12" x14ac:dyDescent="0.25">
      <c r="A709" s="32">
        <v>46242</v>
      </c>
      <c r="B709" s="33" t="s">
        <v>105</v>
      </c>
      <c r="C709" s="33" t="s">
        <v>559</v>
      </c>
      <c r="D709" s="33" t="s">
        <v>105</v>
      </c>
      <c r="E709">
        <v>2</v>
      </c>
      <c r="F709" s="34">
        <v>1.2766203703703703E-2</v>
      </c>
      <c r="G709" s="34">
        <v>6.3831018518518516E-3</v>
      </c>
      <c r="H709" s="34">
        <v>0.1630324074074074</v>
      </c>
      <c r="I709" s="34">
        <v>0.11677083333333334</v>
      </c>
      <c r="J709" s="35">
        <v>0.71624307823370725</v>
      </c>
      <c r="K709" s="33" t="s">
        <v>289</v>
      </c>
      <c r="L709" s="33" t="s">
        <v>104</v>
      </c>
    </row>
    <row r="710" spans="1:12" x14ac:dyDescent="0.25">
      <c r="A710" s="32">
        <v>46242</v>
      </c>
      <c r="B710" s="33" t="s">
        <v>105</v>
      </c>
      <c r="C710" s="33" t="s">
        <v>565</v>
      </c>
      <c r="D710" s="33" t="s">
        <v>105</v>
      </c>
      <c r="E710">
        <v>1</v>
      </c>
      <c r="F710" s="34">
        <v>2.3703703703703703E-2</v>
      </c>
      <c r="G710" s="34">
        <v>2.3703703703703703E-2</v>
      </c>
      <c r="H710" s="34">
        <v>0.19206018518518519</v>
      </c>
      <c r="I710" s="34">
        <v>0.18138888888888888</v>
      </c>
      <c r="J710" s="35">
        <v>0.94443774858382534</v>
      </c>
      <c r="K710" s="33" t="s">
        <v>203</v>
      </c>
      <c r="L710" s="33" t="s">
        <v>601</v>
      </c>
    </row>
    <row r="711" spans="1:12" x14ac:dyDescent="0.25">
      <c r="A711" s="32">
        <v>46242</v>
      </c>
      <c r="B711" s="33" t="s">
        <v>105</v>
      </c>
      <c r="C711" s="33" t="s">
        <v>667</v>
      </c>
      <c r="D711" s="33" t="s">
        <v>105</v>
      </c>
      <c r="E711">
        <v>3</v>
      </c>
      <c r="F711" s="34">
        <v>3.1377314814814816E-2</v>
      </c>
      <c r="G711" s="34">
        <v>1.0459104938271605E-2</v>
      </c>
      <c r="H711" s="34">
        <v>0.20611111111111111</v>
      </c>
      <c r="I711" s="34">
        <v>0.16296296296296298</v>
      </c>
      <c r="J711" s="35">
        <v>0.79065588499550776</v>
      </c>
      <c r="K711" s="33" t="s">
        <v>297</v>
      </c>
      <c r="L711" s="33" t="s">
        <v>104</v>
      </c>
    </row>
    <row r="712" spans="1:12" x14ac:dyDescent="0.25">
      <c r="A712" s="32">
        <v>46242</v>
      </c>
      <c r="B712" s="33" t="s">
        <v>105</v>
      </c>
      <c r="C712" s="33" t="s">
        <v>635</v>
      </c>
      <c r="D712" s="33" t="s">
        <v>105</v>
      </c>
      <c r="E712">
        <v>3</v>
      </c>
      <c r="F712" s="34">
        <v>2.7650462962962963E-2</v>
      </c>
      <c r="G712" s="34">
        <v>9.2168209876543217E-3</v>
      </c>
      <c r="H712" s="34">
        <v>0.22039351851851852</v>
      </c>
      <c r="I712" s="34">
        <v>0.21817129629629631</v>
      </c>
      <c r="J712" s="35">
        <v>0.98991702552252925</v>
      </c>
      <c r="K712" s="33" t="s">
        <v>614</v>
      </c>
      <c r="L712" s="33" t="s">
        <v>601</v>
      </c>
    </row>
    <row r="713" spans="1:12" x14ac:dyDescent="0.25">
      <c r="A713" s="32">
        <v>46242</v>
      </c>
      <c r="B713" s="33" t="s">
        <v>105</v>
      </c>
      <c r="C713" s="33" t="s">
        <v>636</v>
      </c>
      <c r="D713" s="33" t="s">
        <v>105</v>
      </c>
      <c r="E713">
        <v>1</v>
      </c>
      <c r="F713" s="34">
        <v>2.3090277777777779E-2</v>
      </c>
      <c r="G713" s="34">
        <v>2.3090277777777779E-2</v>
      </c>
      <c r="H713" s="34">
        <v>0.16665509259259259</v>
      </c>
      <c r="I713" s="34">
        <v>0.16116898148148148</v>
      </c>
      <c r="J713" s="35">
        <v>0.96708104729495104</v>
      </c>
      <c r="K713" s="33" t="s">
        <v>615</v>
      </c>
      <c r="L713" s="33" t="s">
        <v>601</v>
      </c>
    </row>
    <row r="714" spans="1:12" x14ac:dyDescent="0.25">
      <c r="A714" s="32">
        <v>46242</v>
      </c>
      <c r="B714" s="33" t="s">
        <v>105</v>
      </c>
      <c r="C714" s="33" t="s">
        <v>637</v>
      </c>
      <c r="D714" s="33" t="s">
        <v>105</v>
      </c>
      <c r="E714">
        <v>1</v>
      </c>
      <c r="F714" s="34">
        <v>1.7245370370370369E-2</v>
      </c>
      <c r="G714" s="34">
        <v>1.7245370370370369E-2</v>
      </c>
      <c r="H714" s="34">
        <v>0.1749074074074074</v>
      </c>
      <c r="I714" s="34">
        <v>0.1650925925925926</v>
      </c>
      <c r="J714" s="35">
        <v>0.9438856537850715</v>
      </c>
      <c r="K714" s="33" t="s">
        <v>616</v>
      </c>
      <c r="L714" s="33" t="s">
        <v>601</v>
      </c>
    </row>
    <row r="715" spans="1:12" x14ac:dyDescent="0.25">
      <c r="A715" s="32">
        <v>46242</v>
      </c>
      <c r="B715" s="33" t="s">
        <v>105</v>
      </c>
      <c r="C715" s="33" t="s">
        <v>567</v>
      </c>
      <c r="D715" s="33" t="s">
        <v>105</v>
      </c>
      <c r="E715">
        <v>1</v>
      </c>
      <c r="F715" s="34">
        <v>2.7164351851851853E-2</v>
      </c>
      <c r="G715" s="34">
        <v>2.7164351851851853E-2</v>
      </c>
      <c r="H715" s="34">
        <v>0.20287037037037037</v>
      </c>
      <c r="I715" s="34">
        <v>0.18943287037037038</v>
      </c>
      <c r="J715" s="35">
        <v>0.93376312186216348</v>
      </c>
      <c r="K715" s="33" t="s">
        <v>209</v>
      </c>
      <c r="L715" s="33" t="s">
        <v>601</v>
      </c>
    </row>
    <row r="716" spans="1:12" x14ac:dyDescent="0.25">
      <c r="A716" s="32">
        <v>46242</v>
      </c>
      <c r="B716" s="33" t="s">
        <v>105</v>
      </c>
      <c r="C716" s="33" t="s">
        <v>512</v>
      </c>
      <c r="D716" s="33" t="s">
        <v>105</v>
      </c>
      <c r="E716">
        <v>2</v>
      </c>
      <c r="F716" s="34">
        <v>1.2511574074074074E-2</v>
      </c>
      <c r="G716" s="34">
        <v>6.2557870370370371E-3</v>
      </c>
      <c r="H716" s="34">
        <v>0.22877314814814814</v>
      </c>
      <c r="I716" s="34">
        <v>0.16876157407407408</v>
      </c>
      <c r="J716" s="35">
        <v>0.73768086613376505</v>
      </c>
      <c r="K716" s="33" t="s">
        <v>132</v>
      </c>
      <c r="L716" s="33" t="s">
        <v>104</v>
      </c>
    </row>
    <row r="717" spans="1:12" x14ac:dyDescent="0.25">
      <c r="A717" s="32">
        <v>46242</v>
      </c>
      <c r="B717" s="33" t="s">
        <v>105</v>
      </c>
      <c r="C717" s="33" t="s">
        <v>560</v>
      </c>
      <c r="D717" s="33" t="s">
        <v>105</v>
      </c>
      <c r="E717">
        <v>5</v>
      </c>
      <c r="F717" s="34">
        <v>4.884259259259259E-2</v>
      </c>
      <c r="G717" s="34">
        <v>9.7685185185185184E-3</v>
      </c>
      <c r="H717" s="34">
        <v>0.23093749999999999</v>
      </c>
      <c r="I717" s="34">
        <v>0.14900462962962963</v>
      </c>
      <c r="J717" s="35">
        <v>0.64521625820678596</v>
      </c>
      <c r="K717" s="33" t="s">
        <v>134</v>
      </c>
      <c r="L717" s="33" t="s">
        <v>104</v>
      </c>
    </row>
    <row r="718" spans="1:12" x14ac:dyDescent="0.25">
      <c r="A718" s="32">
        <v>46242</v>
      </c>
      <c r="B718" s="33" t="s">
        <v>105</v>
      </c>
      <c r="C718" s="33" t="s">
        <v>546</v>
      </c>
      <c r="D718" s="33" t="s">
        <v>105</v>
      </c>
      <c r="E718">
        <v>2</v>
      </c>
      <c r="F718" s="34">
        <v>3.8379629629629632E-2</v>
      </c>
      <c r="G718" s="34">
        <v>1.9189814814814816E-2</v>
      </c>
      <c r="H718" s="34">
        <v>0.19791666666666666</v>
      </c>
      <c r="I718" s="34">
        <v>0.13077546296296297</v>
      </c>
      <c r="J718" s="35">
        <v>0.66076023391812866</v>
      </c>
      <c r="K718" s="33" t="s">
        <v>211</v>
      </c>
      <c r="L718" s="33" t="s">
        <v>104</v>
      </c>
    </row>
    <row r="719" spans="1:12" x14ac:dyDescent="0.25">
      <c r="A719" s="32">
        <v>46242</v>
      </c>
      <c r="B719" s="33" t="s">
        <v>105</v>
      </c>
      <c r="C719" s="33" t="s">
        <v>638</v>
      </c>
      <c r="D719" s="33" t="s">
        <v>105</v>
      </c>
      <c r="E719">
        <v>1</v>
      </c>
      <c r="F719" s="34">
        <v>1.6307870370370372E-2</v>
      </c>
      <c r="G719" s="34">
        <v>1.6307870370370372E-2</v>
      </c>
      <c r="H719" s="34">
        <v>0.16059027777777779</v>
      </c>
      <c r="I719" s="34">
        <v>0.15403935185185186</v>
      </c>
      <c r="J719" s="35">
        <v>0.9592072072072072</v>
      </c>
      <c r="K719" s="33" t="s">
        <v>617</v>
      </c>
      <c r="L719" s="33" t="s">
        <v>601</v>
      </c>
    </row>
    <row r="720" spans="1:12" x14ac:dyDescent="0.25">
      <c r="A720" s="32">
        <v>46242</v>
      </c>
      <c r="B720" s="33" t="s">
        <v>105</v>
      </c>
      <c r="C720" s="33" t="s">
        <v>572</v>
      </c>
      <c r="D720" s="33" t="s">
        <v>105</v>
      </c>
      <c r="E720">
        <v>2</v>
      </c>
      <c r="F720" s="34">
        <v>3.5034722222222224E-2</v>
      </c>
      <c r="G720" s="34">
        <v>1.7517361111111112E-2</v>
      </c>
      <c r="H720" s="34">
        <v>0.23894675925925926</v>
      </c>
      <c r="I720" s="34">
        <v>0.21957175925925926</v>
      </c>
      <c r="J720" s="35">
        <v>0.91891499152337131</v>
      </c>
      <c r="K720" s="33" t="s">
        <v>213</v>
      </c>
      <c r="L720" s="33" t="s">
        <v>601</v>
      </c>
    </row>
    <row r="721" spans="1:12" x14ac:dyDescent="0.25">
      <c r="A721" s="32">
        <v>46242</v>
      </c>
      <c r="B721" s="33" t="s">
        <v>105</v>
      </c>
      <c r="C721" s="33" t="s">
        <v>548</v>
      </c>
      <c r="D721" s="33" t="s">
        <v>105</v>
      </c>
      <c r="E721">
        <v>2</v>
      </c>
      <c r="F721" s="34">
        <v>3.3020833333333333E-2</v>
      </c>
      <c r="G721" s="34">
        <v>1.6510416666666666E-2</v>
      </c>
      <c r="H721" s="34">
        <v>0.19215277777777778</v>
      </c>
      <c r="I721" s="34">
        <v>0.1582638888888889</v>
      </c>
      <c r="J721" s="35">
        <v>0.82363570654138063</v>
      </c>
      <c r="K721" s="33" t="s">
        <v>219</v>
      </c>
      <c r="L721" s="33" t="s">
        <v>104</v>
      </c>
    </row>
    <row r="722" spans="1:12" x14ac:dyDescent="0.25">
      <c r="A722" s="32">
        <v>46242</v>
      </c>
      <c r="B722" s="33" t="s">
        <v>105</v>
      </c>
      <c r="C722" s="33" t="s">
        <v>641</v>
      </c>
      <c r="D722" s="33" t="s">
        <v>105</v>
      </c>
      <c r="E722">
        <v>1</v>
      </c>
      <c r="F722" s="34">
        <v>2.8009259259259258E-2</v>
      </c>
      <c r="G722" s="34">
        <v>2.8009259259259258E-2</v>
      </c>
      <c r="H722" s="34">
        <v>0.19230324074074073</v>
      </c>
      <c r="I722" s="34">
        <v>0.17996527777777777</v>
      </c>
      <c r="J722" s="35">
        <v>0.93584110743304239</v>
      </c>
      <c r="K722" s="33" t="s">
        <v>620</v>
      </c>
      <c r="L722" s="33" t="s">
        <v>601</v>
      </c>
    </row>
    <row r="723" spans="1:12" x14ac:dyDescent="0.25">
      <c r="A723" s="32">
        <v>46242</v>
      </c>
      <c r="B723" s="33" t="s">
        <v>105</v>
      </c>
      <c r="C723" s="33" t="s">
        <v>556</v>
      </c>
      <c r="D723" s="33" t="s">
        <v>105</v>
      </c>
      <c r="E723">
        <v>4</v>
      </c>
      <c r="F723" s="34">
        <v>6.3379629629629633E-2</v>
      </c>
      <c r="G723" s="34">
        <v>1.5844907407407408E-2</v>
      </c>
      <c r="H723" s="34">
        <v>0.20349537037037038</v>
      </c>
      <c r="I723" s="34">
        <v>0.12318287037037037</v>
      </c>
      <c r="J723" s="35">
        <v>0.60533500170629051</v>
      </c>
      <c r="K723" s="33" t="s">
        <v>138</v>
      </c>
      <c r="L723" s="33" t="s">
        <v>104</v>
      </c>
    </row>
    <row r="724" spans="1:12" x14ac:dyDescent="0.25">
      <c r="A724" s="32">
        <v>46242</v>
      </c>
      <c r="B724" s="33" t="s">
        <v>105</v>
      </c>
      <c r="C724" s="33" t="s">
        <v>674</v>
      </c>
      <c r="D724" s="33" t="s">
        <v>105</v>
      </c>
      <c r="E724">
        <v>2</v>
      </c>
      <c r="F724" s="34">
        <v>1.5856481481481481E-3</v>
      </c>
      <c r="G724" s="34">
        <v>7.9282407407407405E-4</v>
      </c>
      <c r="H724" s="34">
        <v>0.22541666666666665</v>
      </c>
      <c r="I724" s="34">
        <v>0.19417824074074075</v>
      </c>
      <c r="J724" s="35">
        <v>0.86141918258369288</v>
      </c>
      <c r="K724" s="33" t="s">
        <v>673</v>
      </c>
      <c r="L724" s="33" t="s">
        <v>104</v>
      </c>
    </row>
    <row r="725" spans="1:12" x14ac:dyDescent="0.25">
      <c r="A725" s="32">
        <v>46242</v>
      </c>
      <c r="B725" s="33" t="s">
        <v>105</v>
      </c>
      <c r="C725" s="33" t="s">
        <v>549</v>
      </c>
      <c r="D725" s="33" t="s">
        <v>105</v>
      </c>
      <c r="E725">
        <v>1</v>
      </c>
      <c r="F725" s="34">
        <v>1.7199074074074075E-2</v>
      </c>
      <c r="G725" s="34">
        <v>1.7199074074074075E-2</v>
      </c>
      <c r="H725" s="34">
        <v>0.11417824074074075</v>
      </c>
      <c r="I725" s="34">
        <v>9.6087962962962958E-2</v>
      </c>
      <c r="J725" s="35">
        <v>0.84156107450582862</v>
      </c>
      <c r="K725" s="33" t="s">
        <v>225</v>
      </c>
      <c r="L725" s="33" t="s">
        <v>601</v>
      </c>
    </row>
    <row r="726" spans="1:12" x14ac:dyDescent="0.25">
      <c r="A726" s="32">
        <v>46242</v>
      </c>
      <c r="B726" s="33" t="s">
        <v>105</v>
      </c>
      <c r="C726" s="33" t="s">
        <v>571</v>
      </c>
      <c r="D726" s="33" t="s">
        <v>105</v>
      </c>
      <c r="E726">
        <v>4</v>
      </c>
      <c r="F726" s="34">
        <v>4.2465277777777775E-2</v>
      </c>
      <c r="G726" s="34">
        <v>1.0616319444444444E-2</v>
      </c>
      <c r="H726" s="34">
        <v>0.23300925925925925</v>
      </c>
      <c r="I726" s="34">
        <v>0.15592592592592591</v>
      </c>
      <c r="J726" s="35">
        <v>0.66918338962845214</v>
      </c>
      <c r="K726" s="33" t="s">
        <v>299</v>
      </c>
      <c r="L726" s="33" t="s">
        <v>104</v>
      </c>
    </row>
    <row r="727" spans="1:12" x14ac:dyDescent="0.25">
      <c r="A727" s="32">
        <v>46242</v>
      </c>
      <c r="B727" s="33" t="s">
        <v>105</v>
      </c>
      <c r="C727" s="33" t="s">
        <v>676</v>
      </c>
      <c r="D727" s="33" t="s">
        <v>105</v>
      </c>
      <c r="E727">
        <v>3</v>
      </c>
      <c r="F727" s="34">
        <v>6.0451388888888888E-2</v>
      </c>
      <c r="G727" s="34">
        <v>2.0150462962962964E-2</v>
      </c>
      <c r="H727" s="34">
        <v>0.22050925925925927</v>
      </c>
      <c r="I727" s="34">
        <v>0.1333449074074074</v>
      </c>
      <c r="J727" s="35">
        <v>0.60471341591433969</v>
      </c>
      <c r="K727" s="33" t="s">
        <v>675</v>
      </c>
      <c r="L727" s="33" t="s">
        <v>104</v>
      </c>
    </row>
    <row r="728" spans="1:12" x14ac:dyDescent="0.25">
      <c r="A728" s="32">
        <v>46242</v>
      </c>
      <c r="B728" s="33" t="s">
        <v>32</v>
      </c>
      <c r="C728" s="33" t="s">
        <v>644</v>
      </c>
      <c r="D728" s="33" t="s">
        <v>32</v>
      </c>
      <c r="E728">
        <v>11</v>
      </c>
      <c r="F728" s="34">
        <v>0.12157407407407407</v>
      </c>
      <c r="G728" s="34">
        <v>1.1052188552188551E-2</v>
      </c>
      <c r="H728" s="34">
        <v>0.25052083333333336</v>
      </c>
      <c r="I728" s="34">
        <v>3.726851851851852E-2</v>
      </c>
      <c r="J728" s="35">
        <v>0.14876414876414876</v>
      </c>
      <c r="K728" s="33" t="s">
        <v>643</v>
      </c>
      <c r="L728" s="33" t="s">
        <v>233</v>
      </c>
    </row>
    <row r="729" spans="1:12" x14ac:dyDescent="0.25">
      <c r="A729" s="32">
        <v>46242</v>
      </c>
      <c r="B729" s="33" t="s">
        <v>32</v>
      </c>
      <c r="C729" s="33" t="s">
        <v>563</v>
      </c>
      <c r="D729" s="33" t="s">
        <v>147</v>
      </c>
      <c r="E729">
        <v>3</v>
      </c>
      <c r="F729" s="34">
        <v>2.9930555555555554E-2</v>
      </c>
      <c r="G729" s="34">
        <v>9.9768518518518513E-3</v>
      </c>
      <c r="H729" s="34">
        <v>0.26427083333333334</v>
      </c>
      <c r="I729" s="34">
        <v>4.3854166666666666E-2</v>
      </c>
      <c r="J729" s="35">
        <v>0.16594402837997635</v>
      </c>
      <c r="K729" s="33" t="s">
        <v>193</v>
      </c>
      <c r="L729" s="33" t="s">
        <v>274</v>
      </c>
    </row>
    <row r="730" spans="1:12" x14ac:dyDescent="0.25">
      <c r="A730" s="32">
        <v>46242</v>
      </c>
      <c r="B730" s="33" t="s">
        <v>32</v>
      </c>
      <c r="C730" s="33" t="s">
        <v>505</v>
      </c>
      <c r="D730" s="33" t="s">
        <v>32</v>
      </c>
      <c r="E730">
        <v>17</v>
      </c>
      <c r="F730" s="34">
        <v>7.5798611111111108E-2</v>
      </c>
      <c r="G730" s="34">
        <v>4.4587418300653589E-3</v>
      </c>
      <c r="H730" s="34">
        <v>0.25503472222222223</v>
      </c>
      <c r="I730" s="34">
        <v>3.2627314814814817E-2</v>
      </c>
      <c r="J730" s="35">
        <v>0.1279328341275244</v>
      </c>
      <c r="K730" s="33" t="s">
        <v>34</v>
      </c>
      <c r="L730" s="33" t="s">
        <v>233</v>
      </c>
    </row>
    <row r="731" spans="1:12" x14ac:dyDescent="0.25">
      <c r="A731" s="32">
        <v>46242</v>
      </c>
      <c r="B731" s="33" t="s">
        <v>32</v>
      </c>
      <c r="C731" s="33" t="s">
        <v>551</v>
      </c>
      <c r="D731" s="33" t="s">
        <v>32</v>
      </c>
      <c r="E731">
        <v>8</v>
      </c>
      <c r="F731" s="34">
        <v>2.1446759259259259E-2</v>
      </c>
      <c r="G731" s="34">
        <v>2.6808449074074074E-3</v>
      </c>
      <c r="H731" s="34">
        <v>0.24789351851851851</v>
      </c>
      <c r="I731" s="34">
        <v>0.16199074074074074</v>
      </c>
      <c r="J731" s="35">
        <v>0.65346904472873291</v>
      </c>
      <c r="K731" s="33" t="s">
        <v>236</v>
      </c>
      <c r="L731" s="33" t="s">
        <v>233</v>
      </c>
    </row>
    <row r="732" spans="1:12" x14ac:dyDescent="0.25">
      <c r="A732" s="32">
        <v>46242</v>
      </c>
      <c r="B732" s="33" t="s">
        <v>32</v>
      </c>
      <c r="C732" s="33" t="s">
        <v>526</v>
      </c>
      <c r="D732" s="33" t="s">
        <v>32</v>
      </c>
      <c r="E732">
        <v>8</v>
      </c>
      <c r="F732" s="34">
        <v>2.4039351851851853E-2</v>
      </c>
      <c r="G732" s="34">
        <v>3.0049189814814817E-3</v>
      </c>
      <c r="H732" s="34">
        <v>0.24177083333333332</v>
      </c>
      <c r="I732" s="34">
        <v>0.1645949074074074</v>
      </c>
      <c r="J732" s="35">
        <v>0.68078893197376611</v>
      </c>
      <c r="K732" s="33" t="s">
        <v>238</v>
      </c>
      <c r="L732" s="33" t="s">
        <v>233</v>
      </c>
    </row>
    <row r="733" spans="1:12" x14ac:dyDescent="0.25">
      <c r="A733" s="32">
        <v>46242</v>
      </c>
      <c r="B733" s="33" t="s">
        <v>32</v>
      </c>
      <c r="C733" s="33" t="s">
        <v>536</v>
      </c>
      <c r="D733" s="33" t="s">
        <v>32</v>
      </c>
      <c r="E733">
        <v>5</v>
      </c>
      <c r="F733" s="34">
        <v>0.03</v>
      </c>
      <c r="G733" s="34">
        <v>6.0000000000000001E-3</v>
      </c>
      <c r="H733" s="34">
        <v>0.2404050925925926</v>
      </c>
      <c r="I733" s="34">
        <v>0.18733796296296296</v>
      </c>
      <c r="J733" s="35">
        <v>0.77925954455731539</v>
      </c>
      <c r="K733" s="33" t="s">
        <v>38</v>
      </c>
      <c r="L733" s="33" t="s">
        <v>100</v>
      </c>
    </row>
    <row r="734" spans="1:12" x14ac:dyDescent="0.25">
      <c r="A734" s="32">
        <v>46242</v>
      </c>
      <c r="B734" s="33" t="s">
        <v>32</v>
      </c>
      <c r="C734" s="33" t="s">
        <v>515</v>
      </c>
      <c r="D734" s="33" t="s">
        <v>147</v>
      </c>
      <c r="E734">
        <v>3</v>
      </c>
      <c r="F734" s="34">
        <v>4.5833333333333334E-3</v>
      </c>
      <c r="G734" s="34">
        <v>1.5277777777777779E-3</v>
      </c>
      <c r="H734" s="34">
        <v>0.26405092592592594</v>
      </c>
      <c r="I734" s="34">
        <v>3.4629629629629628E-2</v>
      </c>
      <c r="J734" s="35">
        <v>0.13114754098360654</v>
      </c>
      <c r="K734" s="33" t="s">
        <v>154</v>
      </c>
      <c r="L734" s="33" t="s">
        <v>146</v>
      </c>
    </row>
    <row r="735" spans="1:12" x14ac:dyDescent="0.25">
      <c r="A735" s="32">
        <v>46242</v>
      </c>
      <c r="B735" s="33" t="s">
        <v>32</v>
      </c>
      <c r="C735" s="33" t="s">
        <v>516</v>
      </c>
      <c r="D735" s="33" t="s">
        <v>147</v>
      </c>
      <c r="E735">
        <v>4</v>
      </c>
      <c r="F735" s="34">
        <v>4.6643518518518518E-3</v>
      </c>
      <c r="G735" s="34">
        <v>1.166087962962963E-3</v>
      </c>
      <c r="H735" s="34">
        <v>0.26657407407407407</v>
      </c>
      <c r="I735" s="34">
        <v>3.8541666666666669E-2</v>
      </c>
      <c r="J735" s="35">
        <v>0.14458145189301841</v>
      </c>
      <c r="K735" s="33" t="s">
        <v>156</v>
      </c>
      <c r="L735" s="33" t="s">
        <v>146</v>
      </c>
    </row>
    <row r="736" spans="1:12" x14ac:dyDescent="0.25">
      <c r="A736" s="32">
        <v>46242</v>
      </c>
      <c r="B736" s="33" t="s">
        <v>32</v>
      </c>
      <c r="C736" s="33" t="s">
        <v>506</v>
      </c>
      <c r="D736" s="33" t="s">
        <v>32</v>
      </c>
      <c r="E736">
        <v>20</v>
      </c>
      <c r="F736" s="34">
        <v>9.4687499999999994E-2</v>
      </c>
      <c r="G736" s="34">
        <v>4.7343749999999999E-3</v>
      </c>
      <c r="H736" s="34">
        <v>0.26059027777777777</v>
      </c>
      <c r="I736" s="34">
        <v>3.3113425925925928E-2</v>
      </c>
      <c r="J736" s="35">
        <v>0.12707084166111482</v>
      </c>
      <c r="K736" s="33" t="s">
        <v>44</v>
      </c>
      <c r="L736" s="33" t="s">
        <v>100</v>
      </c>
    </row>
    <row r="737" spans="1:12" x14ac:dyDescent="0.25">
      <c r="A737" s="32">
        <v>46242</v>
      </c>
      <c r="B737" s="33" t="s">
        <v>32</v>
      </c>
      <c r="C737" s="33" t="s">
        <v>527</v>
      </c>
      <c r="D737" s="33" t="s">
        <v>32</v>
      </c>
      <c r="E737">
        <v>7</v>
      </c>
      <c r="F737" s="34">
        <v>2.613425925925926E-2</v>
      </c>
      <c r="G737" s="34">
        <v>3.7334656084656087E-3</v>
      </c>
      <c r="H737" s="34">
        <v>0.22756944444444444</v>
      </c>
      <c r="I737" s="34">
        <v>0.13238425925925926</v>
      </c>
      <c r="J737" s="35">
        <v>0.58173125826467298</v>
      </c>
      <c r="K737" s="33" t="s">
        <v>240</v>
      </c>
      <c r="L737" s="33" t="s">
        <v>233</v>
      </c>
    </row>
    <row r="738" spans="1:12" x14ac:dyDescent="0.25">
      <c r="A738" s="32">
        <v>46242</v>
      </c>
      <c r="B738" s="33" t="s">
        <v>32</v>
      </c>
      <c r="C738" s="33" t="s">
        <v>646</v>
      </c>
      <c r="D738" s="33" t="s">
        <v>32</v>
      </c>
      <c r="E738">
        <v>16</v>
      </c>
      <c r="F738" s="34">
        <v>0.12783564814814816</v>
      </c>
      <c r="G738" s="34">
        <v>7.9897280092592598E-3</v>
      </c>
      <c r="H738" s="34">
        <v>0.25244212962962964</v>
      </c>
      <c r="I738" s="34">
        <v>4.3356481481481482E-2</v>
      </c>
      <c r="J738" s="35">
        <v>0.17174820044931455</v>
      </c>
      <c r="K738" s="33" t="s">
        <v>645</v>
      </c>
      <c r="L738" s="33" t="s">
        <v>100</v>
      </c>
    </row>
    <row r="739" spans="1:12" x14ac:dyDescent="0.25">
      <c r="A739" s="32">
        <v>46242</v>
      </c>
      <c r="B739" s="33" t="s">
        <v>32</v>
      </c>
      <c r="C739" s="33" t="s">
        <v>544</v>
      </c>
      <c r="D739" s="33" t="s">
        <v>147</v>
      </c>
      <c r="E739">
        <v>1</v>
      </c>
      <c r="F739" s="34">
        <v>3.0092592592592595E-4</v>
      </c>
      <c r="G739" s="34">
        <v>3.0092592592592595E-4</v>
      </c>
      <c r="H739" s="34">
        <v>0.24253472222222222</v>
      </c>
      <c r="I739" s="34">
        <v>8.7094907407407413E-2</v>
      </c>
      <c r="J739" s="35">
        <v>0.35910283941780008</v>
      </c>
      <c r="K739" s="33" t="s">
        <v>160</v>
      </c>
      <c r="L739" s="33" t="s">
        <v>146</v>
      </c>
    </row>
    <row r="740" spans="1:12" x14ac:dyDescent="0.25">
      <c r="A740" s="32">
        <v>46242</v>
      </c>
      <c r="B740" s="33" t="s">
        <v>32</v>
      </c>
      <c r="C740" s="33" t="s">
        <v>558</v>
      </c>
      <c r="D740" s="33" t="s">
        <v>32</v>
      </c>
      <c r="E740">
        <v>19</v>
      </c>
      <c r="F740" s="34">
        <v>4.8344907407407406E-2</v>
      </c>
      <c r="G740" s="34">
        <v>2.5444688109161791E-3</v>
      </c>
      <c r="H740" s="34">
        <v>0.26364583333333336</v>
      </c>
      <c r="I740" s="34">
        <v>4.87037037037037E-2</v>
      </c>
      <c r="J740" s="35">
        <v>0.18473155098994684</v>
      </c>
      <c r="K740" s="33" t="s">
        <v>120</v>
      </c>
      <c r="L740" s="33" t="s">
        <v>233</v>
      </c>
    </row>
    <row r="741" spans="1:12" x14ac:dyDescent="0.25">
      <c r="A741" s="32">
        <v>46242</v>
      </c>
      <c r="B741" s="33" t="s">
        <v>32</v>
      </c>
      <c r="C741" s="33" t="s">
        <v>507</v>
      </c>
      <c r="D741" s="33" t="s">
        <v>32</v>
      </c>
      <c r="E741">
        <v>24</v>
      </c>
      <c r="F741" s="34">
        <v>8.6944444444444449E-2</v>
      </c>
      <c r="G741" s="34">
        <v>3.6226851851851854E-3</v>
      </c>
      <c r="H741" s="34">
        <v>0.24635416666666668</v>
      </c>
      <c r="I741" s="34">
        <v>3.3935185185185186E-2</v>
      </c>
      <c r="J741" s="35">
        <v>0.13774958891237959</v>
      </c>
      <c r="K741" s="33" t="s">
        <v>46</v>
      </c>
      <c r="L741" s="33" t="s">
        <v>100</v>
      </c>
    </row>
    <row r="742" spans="1:12" x14ac:dyDescent="0.25">
      <c r="A742" s="32">
        <v>46242</v>
      </c>
      <c r="B742" s="33" t="s">
        <v>32</v>
      </c>
      <c r="C742" s="33" t="s">
        <v>517</v>
      </c>
      <c r="D742" s="33" t="s">
        <v>147</v>
      </c>
      <c r="E742">
        <v>2</v>
      </c>
      <c r="F742" s="34">
        <v>1.1226851851851851E-3</v>
      </c>
      <c r="G742" s="34">
        <v>5.6134259259259256E-4</v>
      </c>
      <c r="H742" s="34">
        <v>0.25729166666666664</v>
      </c>
      <c r="I742" s="34">
        <v>5.2488425925925924E-2</v>
      </c>
      <c r="J742" s="35">
        <v>0.20400359874044086</v>
      </c>
      <c r="K742" s="33" t="s">
        <v>499</v>
      </c>
      <c r="L742" s="33" t="s">
        <v>146</v>
      </c>
    </row>
    <row r="743" spans="1:12" x14ac:dyDescent="0.25">
      <c r="A743" s="32">
        <v>46242</v>
      </c>
      <c r="B743" s="33" t="s">
        <v>32</v>
      </c>
      <c r="C743" s="33" t="s">
        <v>648</v>
      </c>
      <c r="D743" s="33" t="s">
        <v>32</v>
      </c>
      <c r="E743">
        <v>18</v>
      </c>
      <c r="F743" s="34">
        <v>7.273148148148148E-2</v>
      </c>
      <c r="G743" s="34">
        <v>4.0406378600823046E-3</v>
      </c>
      <c r="H743" s="34">
        <v>0.26380787037037035</v>
      </c>
      <c r="I743" s="34">
        <v>4.2141203703703702E-2</v>
      </c>
      <c r="J743" s="35">
        <v>0.15974202606063265</v>
      </c>
      <c r="K743" s="33" t="s">
        <v>647</v>
      </c>
      <c r="L743" s="33" t="s">
        <v>233</v>
      </c>
    </row>
    <row r="744" spans="1:12" x14ac:dyDescent="0.25">
      <c r="A744" s="32">
        <v>46242</v>
      </c>
      <c r="B744" s="33" t="s">
        <v>32</v>
      </c>
      <c r="C744" s="33" t="s">
        <v>652</v>
      </c>
      <c r="D744" s="33" t="s">
        <v>32</v>
      </c>
      <c r="E744">
        <v>15</v>
      </c>
      <c r="F744" s="34">
        <v>0.10092592592592593</v>
      </c>
      <c r="G744" s="34">
        <v>6.7283950617283957E-3</v>
      </c>
      <c r="H744" s="34">
        <v>0.26076388888888891</v>
      </c>
      <c r="I744" s="34">
        <v>8.0416666666666664E-2</v>
      </c>
      <c r="J744" s="35">
        <v>0.30838881491344872</v>
      </c>
      <c r="K744" s="33" t="s">
        <v>651</v>
      </c>
      <c r="L744" s="33" t="s">
        <v>100</v>
      </c>
    </row>
    <row r="745" spans="1:12" x14ac:dyDescent="0.25">
      <c r="A745" s="32">
        <v>46242</v>
      </c>
      <c r="B745" s="33" t="s">
        <v>32</v>
      </c>
      <c r="C745" s="33" t="s">
        <v>568</v>
      </c>
      <c r="D745" s="33" t="s">
        <v>32</v>
      </c>
      <c r="E745">
        <v>21</v>
      </c>
      <c r="F745" s="34">
        <v>5.4293981481481485E-2</v>
      </c>
      <c r="G745" s="34">
        <v>2.5854276895943564E-3</v>
      </c>
      <c r="H745" s="34">
        <v>0.26557870370370368</v>
      </c>
      <c r="I745" s="34">
        <v>3.8229166666666668E-2</v>
      </c>
      <c r="J745" s="35">
        <v>0.14394665736947618</v>
      </c>
      <c r="K745" s="33" t="s">
        <v>246</v>
      </c>
      <c r="L745" s="33" t="s">
        <v>233</v>
      </c>
    </row>
    <row r="746" spans="1:12" x14ac:dyDescent="0.25">
      <c r="A746" s="32">
        <v>46242</v>
      </c>
      <c r="B746" s="33" t="s">
        <v>32</v>
      </c>
      <c r="C746" s="33" t="s">
        <v>508</v>
      </c>
      <c r="D746" s="33" t="s">
        <v>32</v>
      </c>
      <c r="E746">
        <v>18</v>
      </c>
      <c r="F746" s="34">
        <v>8.1099537037037039E-2</v>
      </c>
      <c r="G746" s="34">
        <v>4.5055298353909468E-3</v>
      </c>
      <c r="H746" s="34">
        <v>0.26195601851851852</v>
      </c>
      <c r="I746" s="34">
        <v>6.1076388888888888E-2</v>
      </c>
      <c r="J746" s="35">
        <v>0.23315512746874034</v>
      </c>
      <c r="K746" s="33" t="s">
        <v>48</v>
      </c>
      <c r="L746" s="33" t="s">
        <v>100</v>
      </c>
    </row>
    <row r="747" spans="1:12" x14ac:dyDescent="0.25">
      <c r="A747" s="32">
        <v>46242</v>
      </c>
      <c r="B747" s="33" t="s">
        <v>32</v>
      </c>
      <c r="C747" s="33" t="s">
        <v>538</v>
      </c>
      <c r="D747" s="33" t="s">
        <v>32</v>
      </c>
      <c r="E747">
        <v>1</v>
      </c>
      <c r="F747" s="34">
        <v>1.9907407407407408E-2</v>
      </c>
      <c r="G747" s="34">
        <v>1.9907407407407408E-2</v>
      </c>
      <c r="H747" s="34">
        <v>0.1436574074074074</v>
      </c>
      <c r="I747" s="34">
        <v>0.12428240740740741</v>
      </c>
      <c r="J747" s="35">
        <v>0.86513051885272318</v>
      </c>
      <c r="K747" s="33" t="s">
        <v>50</v>
      </c>
      <c r="L747" s="33" t="s">
        <v>100</v>
      </c>
    </row>
    <row r="748" spans="1:12" x14ac:dyDescent="0.25">
      <c r="A748" s="32">
        <v>46242</v>
      </c>
      <c r="B748" s="33" t="s">
        <v>32</v>
      </c>
      <c r="C748" s="33" t="s">
        <v>603</v>
      </c>
      <c r="D748" s="33" t="s">
        <v>32</v>
      </c>
      <c r="E748">
        <v>22</v>
      </c>
      <c r="F748" s="34">
        <v>0.1348263888888889</v>
      </c>
      <c r="G748" s="34">
        <v>6.1284722222222227E-3</v>
      </c>
      <c r="H748" s="34">
        <v>0.26996527777777779</v>
      </c>
      <c r="I748" s="34">
        <v>1.8217592592592594E-2</v>
      </c>
      <c r="J748" s="35">
        <v>6.7481243301178995E-2</v>
      </c>
      <c r="K748" s="33" t="s">
        <v>242</v>
      </c>
      <c r="L748" s="33" t="s">
        <v>233</v>
      </c>
    </row>
    <row r="749" spans="1:12" x14ac:dyDescent="0.25">
      <c r="A749" s="32">
        <v>46242</v>
      </c>
      <c r="B749" s="33" t="s">
        <v>32</v>
      </c>
      <c r="C749" s="33" t="s">
        <v>518</v>
      </c>
      <c r="D749" s="33" t="s">
        <v>147</v>
      </c>
      <c r="E749">
        <v>3</v>
      </c>
      <c r="F749" s="34">
        <v>1.207175925925926E-2</v>
      </c>
      <c r="G749" s="34">
        <v>4.0239197530864195E-3</v>
      </c>
      <c r="H749" s="34">
        <v>0.26024305555555555</v>
      </c>
      <c r="I749" s="34">
        <v>4.1712962962962966E-2</v>
      </c>
      <c r="J749" s="35">
        <v>0.16028463420057817</v>
      </c>
      <c r="K749" s="33" t="s">
        <v>500</v>
      </c>
      <c r="L749" s="33" t="s">
        <v>274</v>
      </c>
    </row>
    <row r="750" spans="1:12" x14ac:dyDescent="0.25">
      <c r="A750" s="32">
        <v>46242</v>
      </c>
      <c r="B750" s="33" t="s">
        <v>32</v>
      </c>
      <c r="C750" s="33" t="s">
        <v>684</v>
      </c>
      <c r="D750" s="33" t="s">
        <v>32</v>
      </c>
      <c r="E750">
        <v>19</v>
      </c>
      <c r="F750" s="34">
        <v>5.4884259259259258E-2</v>
      </c>
      <c r="G750" s="34">
        <v>2.8886452241715399E-3</v>
      </c>
      <c r="H750" s="34">
        <v>0.26332175925925927</v>
      </c>
      <c r="I750" s="34">
        <v>3.7222222222222219E-2</v>
      </c>
      <c r="J750" s="35">
        <v>0.14135642389345521</v>
      </c>
      <c r="K750" s="33" t="s">
        <v>683</v>
      </c>
      <c r="L750" s="33" t="s">
        <v>233</v>
      </c>
    </row>
    <row r="751" spans="1:12" x14ac:dyDescent="0.25">
      <c r="A751" s="32">
        <v>46242</v>
      </c>
      <c r="B751" s="33" t="s">
        <v>32</v>
      </c>
      <c r="C751" s="33" t="s">
        <v>654</v>
      </c>
      <c r="D751" s="33" t="s">
        <v>32</v>
      </c>
      <c r="E751">
        <v>21</v>
      </c>
      <c r="F751" s="34">
        <v>0.10456018518518519</v>
      </c>
      <c r="G751" s="34">
        <v>4.979056437389771E-3</v>
      </c>
      <c r="H751" s="34">
        <v>0.25611111111111112</v>
      </c>
      <c r="I751" s="34">
        <v>7.4606481481481482E-2</v>
      </c>
      <c r="J751" s="35">
        <v>0.29130513376717282</v>
      </c>
      <c r="K751" s="33" t="s">
        <v>653</v>
      </c>
      <c r="L751" s="33" t="s">
        <v>100</v>
      </c>
    </row>
    <row r="752" spans="1:12" x14ac:dyDescent="0.25">
      <c r="A752" s="32">
        <v>46242</v>
      </c>
      <c r="B752" s="33" t="s">
        <v>32</v>
      </c>
      <c r="C752" s="33" t="s">
        <v>656</v>
      </c>
      <c r="D752" s="33" t="s">
        <v>32</v>
      </c>
      <c r="E752">
        <v>22</v>
      </c>
      <c r="F752" s="34">
        <v>9.6701388888888892E-2</v>
      </c>
      <c r="G752" s="34">
        <v>4.3955176767676773E-3</v>
      </c>
      <c r="H752" s="34">
        <v>0.25866898148148149</v>
      </c>
      <c r="I752" s="34">
        <v>4.8020833333333332E-2</v>
      </c>
      <c r="J752" s="35">
        <v>0.18564589019642935</v>
      </c>
      <c r="K752" s="33" t="s">
        <v>655</v>
      </c>
      <c r="L752" s="33" t="s">
        <v>100</v>
      </c>
    </row>
    <row r="753" spans="1:12" x14ac:dyDescent="0.25">
      <c r="A753" s="32">
        <v>46242</v>
      </c>
      <c r="B753" s="33" t="s">
        <v>32</v>
      </c>
      <c r="C753" s="33" t="s">
        <v>167</v>
      </c>
      <c r="D753" s="33" t="s">
        <v>147</v>
      </c>
      <c r="E753">
        <v>3</v>
      </c>
      <c r="F753" s="34">
        <v>8.5995370370370375E-3</v>
      </c>
      <c r="G753" s="34">
        <v>2.8665123456790126E-3</v>
      </c>
      <c r="H753" s="34">
        <v>0.25516203703703705</v>
      </c>
      <c r="I753" s="34">
        <v>4.0069444444444442E-2</v>
      </c>
      <c r="J753" s="35">
        <v>0.15703528984849857</v>
      </c>
      <c r="K753" s="33" t="s">
        <v>166</v>
      </c>
      <c r="L753" s="33" t="s">
        <v>146</v>
      </c>
    </row>
    <row r="754" spans="1:12" x14ac:dyDescent="0.25">
      <c r="A754" s="32">
        <v>46242</v>
      </c>
      <c r="B754" s="33" t="s">
        <v>32</v>
      </c>
      <c r="C754" s="33" t="s">
        <v>658</v>
      </c>
      <c r="D754" s="33" t="s">
        <v>147</v>
      </c>
      <c r="E754">
        <v>1</v>
      </c>
      <c r="F754" s="34">
        <v>4.409722222222222E-3</v>
      </c>
      <c r="G754" s="34">
        <v>4.409722222222222E-3</v>
      </c>
      <c r="H754" s="34">
        <v>0.26283564814814814</v>
      </c>
      <c r="I754" s="34">
        <v>6.3368055555555552E-2</v>
      </c>
      <c r="J754" s="35">
        <v>0.24109383944691531</v>
      </c>
      <c r="K754" s="33" t="s">
        <v>657</v>
      </c>
      <c r="L754" s="33" t="s">
        <v>274</v>
      </c>
    </row>
    <row r="755" spans="1:12" x14ac:dyDescent="0.25">
      <c r="A755" s="32">
        <v>46242</v>
      </c>
      <c r="B755" s="33" t="s">
        <v>32</v>
      </c>
      <c r="C755" s="33" t="s">
        <v>660</v>
      </c>
      <c r="D755" s="33" t="s">
        <v>32</v>
      </c>
      <c r="E755">
        <v>1</v>
      </c>
      <c r="F755" s="34">
        <v>1.4236111111111112E-3</v>
      </c>
      <c r="G755" s="34">
        <v>1.4236111111111112E-3</v>
      </c>
      <c r="H755" s="34">
        <v>0.20329861111111111</v>
      </c>
      <c r="I755" s="34">
        <v>0.19465277777777779</v>
      </c>
      <c r="J755" s="35">
        <v>0.957472245943638</v>
      </c>
      <c r="K755" s="33" t="s">
        <v>659</v>
      </c>
      <c r="L755" s="33" t="s">
        <v>100</v>
      </c>
    </row>
    <row r="756" spans="1:12" x14ac:dyDescent="0.25">
      <c r="A756" s="32">
        <v>46242</v>
      </c>
      <c r="B756" s="33" t="s">
        <v>32</v>
      </c>
      <c r="C756" s="33" t="s">
        <v>528</v>
      </c>
      <c r="D756" s="33" t="s">
        <v>32</v>
      </c>
      <c r="E756">
        <v>13</v>
      </c>
      <c r="F756" s="34">
        <v>5.9282407407407409E-2</v>
      </c>
      <c r="G756" s="34">
        <v>4.5601851851851853E-3</v>
      </c>
      <c r="H756" s="34">
        <v>0.25268518518518518</v>
      </c>
      <c r="I756" s="34">
        <v>4.6238425925925926E-2</v>
      </c>
      <c r="J756" s="35">
        <v>0.18298827409307439</v>
      </c>
      <c r="K756" s="33" t="s">
        <v>254</v>
      </c>
      <c r="L756" s="33" t="s">
        <v>233</v>
      </c>
    </row>
    <row r="757" spans="1:12" x14ac:dyDescent="0.25">
      <c r="A757" s="32">
        <v>46242</v>
      </c>
      <c r="B757" s="33" t="s">
        <v>32</v>
      </c>
      <c r="C757" s="33" t="s">
        <v>520</v>
      </c>
      <c r="D757" s="33" t="s">
        <v>147</v>
      </c>
      <c r="E757">
        <v>5</v>
      </c>
      <c r="F757" s="34">
        <v>1.4386574074074074E-2</v>
      </c>
      <c r="G757" s="34">
        <v>2.8773148148148148E-3</v>
      </c>
      <c r="H757" s="34">
        <v>0.2645601851851852</v>
      </c>
      <c r="I757" s="34">
        <v>3.7465277777777778E-2</v>
      </c>
      <c r="J757" s="35">
        <v>0.1416134394960189</v>
      </c>
      <c r="K757" s="33" t="s">
        <v>168</v>
      </c>
      <c r="L757" s="33" t="s">
        <v>274</v>
      </c>
    </row>
    <row r="758" spans="1:12" x14ac:dyDescent="0.25">
      <c r="A758" s="32">
        <v>46242</v>
      </c>
      <c r="B758" s="33" t="s">
        <v>32</v>
      </c>
      <c r="C758" s="33" t="s">
        <v>521</v>
      </c>
      <c r="D758" s="33" t="s">
        <v>147</v>
      </c>
      <c r="E758">
        <v>4</v>
      </c>
      <c r="F758" s="34">
        <v>6.2962962962962964E-3</v>
      </c>
      <c r="G758" s="34">
        <v>1.5740740740740741E-3</v>
      </c>
      <c r="H758" s="34">
        <v>0.26277777777777778</v>
      </c>
      <c r="I758" s="34">
        <v>5.3252314814814815E-2</v>
      </c>
      <c r="J758" s="35">
        <v>0.20265151515151517</v>
      </c>
      <c r="K758" s="33" t="s">
        <v>170</v>
      </c>
      <c r="L758" s="33" t="s">
        <v>146</v>
      </c>
    </row>
    <row r="759" spans="1:12" x14ac:dyDescent="0.25">
      <c r="A759" s="32">
        <v>46242</v>
      </c>
      <c r="B759" s="33" t="s">
        <v>32</v>
      </c>
      <c r="C759" s="33" t="s">
        <v>633</v>
      </c>
      <c r="D759" s="33" t="s">
        <v>147</v>
      </c>
      <c r="E759">
        <v>4</v>
      </c>
      <c r="F759" s="34">
        <v>5.513888888888889E-2</v>
      </c>
      <c r="G759" s="34">
        <v>1.3784722222222223E-2</v>
      </c>
      <c r="H759" s="34">
        <v>0.2618287037037037</v>
      </c>
      <c r="I759" s="34">
        <v>6.4861111111111105E-2</v>
      </c>
      <c r="J759" s="35">
        <v>0.2477234550437627</v>
      </c>
      <c r="K759" s="33" t="s">
        <v>606</v>
      </c>
      <c r="L759" s="33" t="s">
        <v>146</v>
      </c>
    </row>
    <row r="760" spans="1:12" x14ac:dyDescent="0.25">
      <c r="A760" s="32">
        <v>46242</v>
      </c>
      <c r="B760" s="33" t="s">
        <v>32</v>
      </c>
      <c r="C760" s="33" t="s">
        <v>529</v>
      </c>
      <c r="D760" s="33" t="s">
        <v>32</v>
      </c>
      <c r="E760">
        <v>14</v>
      </c>
      <c r="F760" s="34">
        <v>6.643518518518518E-2</v>
      </c>
      <c r="G760" s="34">
        <v>4.7453703703703703E-3</v>
      </c>
      <c r="H760" s="34">
        <v>0.22844907407407408</v>
      </c>
      <c r="I760" s="34">
        <v>3.8877314814814816E-2</v>
      </c>
      <c r="J760" s="35">
        <v>0.17017934947816396</v>
      </c>
      <c r="K760" s="33" t="s">
        <v>256</v>
      </c>
      <c r="L760" s="33" t="s">
        <v>233</v>
      </c>
    </row>
    <row r="761" spans="1:12" x14ac:dyDescent="0.25">
      <c r="A761" s="32">
        <v>46242</v>
      </c>
      <c r="B761" s="33" t="s">
        <v>32</v>
      </c>
      <c r="C761" s="33" t="s">
        <v>554</v>
      </c>
      <c r="D761" s="33" t="s">
        <v>32</v>
      </c>
      <c r="E761">
        <v>4</v>
      </c>
      <c r="F761" s="34">
        <v>6.5729166666666672E-2</v>
      </c>
      <c r="G761" s="34">
        <v>1.6432291666666668E-2</v>
      </c>
      <c r="H761" s="34">
        <v>0.22621527777777778</v>
      </c>
      <c r="I761" s="34">
        <v>0.15033564814814815</v>
      </c>
      <c r="J761" s="35">
        <v>0.66456894346380146</v>
      </c>
      <c r="K761" s="33" t="s">
        <v>258</v>
      </c>
      <c r="L761" s="33" t="s">
        <v>233</v>
      </c>
    </row>
    <row r="762" spans="1:12" x14ac:dyDescent="0.25">
      <c r="A762" s="32">
        <v>46242</v>
      </c>
      <c r="B762" s="33" t="s">
        <v>32</v>
      </c>
      <c r="C762" s="33" t="s">
        <v>662</v>
      </c>
      <c r="D762" s="33" t="s">
        <v>32</v>
      </c>
      <c r="E762">
        <v>20</v>
      </c>
      <c r="F762" s="34">
        <v>9.7569444444444445E-2</v>
      </c>
      <c r="G762" s="34">
        <v>4.8784722222222224E-3</v>
      </c>
      <c r="H762" s="34">
        <v>0.25841435185185185</v>
      </c>
      <c r="I762" s="34">
        <v>6.6250000000000003E-2</v>
      </c>
      <c r="J762" s="35">
        <v>0.25637120974604738</v>
      </c>
      <c r="K762" s="33" t="s">
        <v>661</v>
      </c>
      <c r="L762" s="33" t="s">
        <v>100</v>
      </c>
    </row>
    <row r="763" spans="1:12" x14ac:dyDescent="0.25">
      <c r="A763" s="32">
        <v>46242</v>
      </c>
      <c r="B763" s="33" t="s">
        <v>32</v>
      </c>
      <c r="C763" s="33" t="s">
        <v>664</v>
      </c>
      <c r="D763" s="33" t="s">
        <v>32</v>
      </c>
      <c r="E763">
        <v>17</v>
      </c>
      <c r="F763" s="34">
        <v>9.5474537037037038E-2</v>
      </c>
      <c r="G763" s="34">
        <v>5.6161492374727671E-3</v>
      </c>
      <c r="H763" s="34">
        <v>0.25994212962962965</v>
      </c>
      <c r="I763" s="34">
        <v>3.1458333333333331E-2</v>
      </c>
      <c r="J763" s="35">
        <v>0.12102052629235494</v>
      </c>
      <c r="K763" s="33" t="s">
        <v>663</v>
      </c>
      <c r="L763" s="33" t="s">
        <v>233</v>
      </c>
    </row>
    <row r="764" spans="1:12" x14ac:dyDescent="0.25">
      <c r="A764" s="32">
        <v>46242</v>
      </c>
      <c r="B764" s="33" t="s">
        <v>32</v>
      </c>
      <c r="C764" s="33" t="s">
        <v>666</v>
      </c>
      <c r="D764" s="33" t="s">
        <v>32</v>
      </c>
      <c r="E764">
        <v>26</v>
      </c>
      <c r="F764" s="34">
        <v>0.14269675925925926</v>
      </c>
      <c r="G764" s="34">
        <v>5.4883368945868949E-3</v>
      </c>
      <c r="H764" s="34">
        <v>0.25166666666666665</v>
      </c>
      <c r="I764" s="34">
        <v>4.9155092592592591E-2</v>
      </c>
      <c r="J764" s="35">
        <v>0.19531824871228845</v>
      </c>
      <c r="K764" s="33" t="s">
        <v>665</v>
      </c>
      <c r="L764" s="33" t="s">
        <v>100</v>
      </c>
    </row>
    <row r="765" spans="1:12" x14ac:dyDescent="0.25">
      <c r="A765" s="32">
        <v>46242</v>
      </c>
      <c r="B765" s="33" t="s">
        <v>32</v>
      </c>
      <c r="C765" s="33" t="s">
        <v>555</v>
      </c>
      <c r="D765" s="33" t="s">
        <v>32</v>
      </c>
      <c r="E765">
        <v>17</v>
      </c>
      <c r="F765" s="34">
        <v>7.1423611111111104E-2</v>
      </c>
      <c r="G765" s="34">
        <v>4.2013888888888882E-3</v>
      </c>
      <c r="H765" s="34">
        <v>0.24747685185185186</v>
      </c>
      <c r="I765" s="34">
        <v>7.2974537037037032E-2</v>
      </c>
      <c r="J765" s="35">
        <v>0.29487419324665604</v>
      </c>
      <c r="K765" s="33" t="s">
        <v>128</v>
      </c>
      <c r="L765" s="33" t="s">
        <v>233</v>
      </c>
    </row>
    <row r="766" spans="1:12" x14ac:dyDescent="0.25">
      <c r="A766" s="32">
        <v>46242</v>
      </c>
      <c r="B766" s="33" t="s">
        <v>32</v>
      </c>
      <c r="C766" s="33" t="s">
        <v>522</v>
      </c>
      <c r="D766" s="33" t="s">
        <v>147</v>
      </c>
      <c r="E766">
        <v>2</v>
      </c>
      <c r="F766" s="34">
        <v>2.2951388888888889E-2</v>
      </c>
      <c r="G766" s="34">
        <v>1.1475694444444445E-2</v>
      </c>
      <c r="H766" s="34">
        <v>0.26156249999999998</v>
      </c>
      <c r="I766" s="34">
        <v>3.6319444444444446E-2</v>
      </c>
      <c r="J766" s="35">
        <v>0.13885570157971594</v>
      </c>
      <c r="K766" s="33" t="s">
        <v>178</v>
      </c>
      <c r="L766" s="33" t="s">
        <v>146</v>
      </c>
    </row>
    <row r="767" spans="1:12" x14ac:dyDescent="0.25">
      <c r="A767" s="32">
        <v>46242</v>
      </c>
      <c r="B767" s="33" t="s">
        <v>32</v>
      </c>
      <c r="C767" s="33" t="s">
        <v>531</v>
      </c>
      <c r="D767" s="33" t="s">
        <v>32</v>
      </c>
      <c r="E767">
        <v>7</v>
      </c>
      <c r="F767" s="34">
        <v>2.2800925925925926E-2</v>
      </c>
      <c r="G767" s="34">
        <v>3.2572751322751323E-3</v>
      </c>
      <c r="H767" s="34">
        <v>0.25298611111111113</v>
      </c>
      <c r="I767" s="34">
        <v>0.17324074074074075</v>
      </c>
      <c r="J767" s="35">
        <v>0.68478360325738863</v>
      </c>
      <c r="K767" s="33" t="s">
        <v>266</v>
      </c>
      <c r="L767" s="33" t="s">
        <v>233</v>
      </c>
    </row>
    <row r="768" spans="1:12" x14ac:dyDescent="0.25">
      <c r="A768" s="32">
        <v>46242</v>
      </c>
      <c r="B768" s="33" t="s">
        <v>32</v>
      </c>
      <c r="C768" s="33" t="s">
        <v>523</v>
      </c>
      <c r="D768" s="33" t="s">
        <v>147</v>
      </c>
      <c r="E768">
        <v>4</v>
      </c>
      <c r="F768" s="34">
        <v>2.7083333333333334E-2</v>
      </c>
      <c r="G768" s="34">
        <v>6.7708333333333336E-3</v>
      </c>
      <c r="H768" s="34">
        <v>0.26144675925925925</v>
      </c>
      <c r="I768" s="34">
        <v>3.4918981481481481E-2</v>
      </c>
      <c r="J768" s="35">
        <v>0.13356058258444375</v>
      </c>
      <c r="K768" s="33" t="s">
        <v>180</v>
      </c>
      <c r="L768" s="33" t="s">
        <v>146</v>
      </c>
    </row>
    <row r="769" spans="1:12" x14ac:dyDescent="0.25">
      <c r="A769" s="32">
        <v>46242</v>
      </c>
      <c r="B769" s="33" t="s">
        <v>32</v>
      </c>
      <c r="C769" s="33" t="s">
        <v>566</v>
      </c>
      <c r="D769" s="33" t="s">
        <v>147</v>
      </c>
      <c r="E769">
        <v>3</v>
      </c>
      <c r="F769" s="34">
        <v>4.2280092592592591E-2</v>
      </c>
      <c r="G769" s="34">
        <v>1.4093364197530864E-2</v>
      </c>
      <c r="H769" s="34">
        <v>0.26001157407407405</v>
      </c>
      <c r="I769" s="34">
        <v>4.3043981481481482E-2</v>
      </c>
      <c r="J769" s="35">
        <v>0.16554640551969732</v>
      </c>
      <c r="K769" s="33" t="s">
        <v>207</v>
      </c>
      <c r="L769" s="33" t="s">
        <v>274</v>
      </c>
    </row>
    <row r="770" spans="1:12" x14ac:dyDescent="0.25">
      <c r="A770" s="32">
        <v>46242</v>
      </c>
      <c r="B770" s="33" t="s">
        <v>32</v>
      </c>
      <c r="C770" s="33" t="s">
        <v>510</v>
      </c>
      <c r="D770" s="33" t="s">
        <v>32</v>
      </c>
      <c r="E770">
        <v>27</v>
      </c>
      <c r="F770" s="34">
        <v>0.1076388888888889</v>
      </c>
      <c r="G770" s="34">
        <v>3.9866255144032922E-3</v>
      </c>
      <c r="H770" s="34">
        <v>0.26958333333333334</v>
      </c>
      <c r="I770" s="34">
        <v>4.9548611111111113E-2</v>
      </c>
      <c r="J770" s="35">
        <v>0.18379701184956207</v>
      </c>
      <c r="K770" s="33" t="s">
        <v>60</v>
      </c>
      <c r="L770" s="33" t="s">
        <v>100</v>
      </c>
    </row>
    <row r="771" spans="1:12" x14ac:dyDescent="0.25">
      <c r="A771" s="32">
        <v>46242</v>
      </c>
      <c r="B771" s="33" t="s">
        <v>32</v>
      </c>
      <c r="C771" s="33" t="s">
        <v>669</v>
      </c>
      <c r="D771" s="33" t="s">
        <v>32</v>
      </c>
      <c r="E771">
        <v>18</v>
      </c>
      <c r="F771" s="34">
        <v>6.6087962962962959E-2</v>
      </c>
      <c r="G771" s="34">
        <v>3.6715534979423867E-3</v>
      </c>
      <c r="H771" s="34">
        <v>0.26305555555555554</v>
      </c>
      <c r="I771" s="34">
        <v>4.7256944444444442E-2</v>
      </c>
      <c r="J771" s="35">
        <v>0.17964625131995776</v>
      </c>
      <c r="K771" s="33" t="s">
        <v>668</v>
      </c>
      <c r="L771" s="33" t="s">
        <v>233</v>
      </c>
    </row>
    <row r="772" spans="1:12" x14ac:dyDescent="0.25">
      <c r="A772" s="32">
        <v>46242</v>
      </c>
      <c r="B772" s="33" t="s">
        <v>32</v>
      </c>
      <c r="C772" s="33" t="s">
        <v>670</v>
      </c>
      <c r="D772" s="33" t="s">
        <v>32</v>
      </c>
      <c r="E772">
        <v>26</v>
      </c>
      <c r="F772" s="34">
        <v>5.5717592592592589E-2</v>
      </c>
      <c r="G772" s="34">
        <v>2.1429843304843306E-3</v>
      </c>
      <c r="H772" s="34">
        <v>0.23601851851851852</v>
      </c>
      <c r="I772" s="34">
        <v>7.1770833333333339E-2</v>
      </c>
      <c r="J772" s="35">
        <v>0.3040898391526089</v>
      </c>
      <c r="K772" s="33" t="s">
        <v>744</v>
      </c>
      <c r="L772" s="33" t="s">
        <v>100</v>
      </c>
    </row>
    <row r="773" spans="1:12" x14ac:dyDescent="0.25">
      <c r="A773" s="32">
        <v>46242</v>
      </c>
      <c r="B773" s="33" t="s">
        <v>32</v>
      </c>
      <c r="C773" s="33" t="s">
        <v>306</v>
      </c>
      <c r="D773" s="33" t="s">
        <v>32</v>
      </c>
      <c r="E773">
        <v>18</v>
      </c>
      <c r="F773" s="34">
        <v>6.6446759259259261E-2</v>
      </c>
      <c r="G773" s="34">
        <v>3.6914866255144032E-3</v>
      </c>
      <c r="H773" s="34">
        <v>0.24925925925925926</v>
      </c>
      <c r="I773" s="34">
        <v>7.0798611111111118E-2</v>
      </c>
      <c r="J773" s="35">
        <v>0.28403603268945027</v>
      </c>
      <c r="K773" s="33" t="s">
        <v>305</v>
      </c>
      <c r="L773" s="33" t="s">
        <v>100</v>
      </c>
    </row>
    <row r="774" spans="1:12" x14ac:dyDescent="0.25">
      <c r="A774" s="32">
        <v>46242</v>
      </c>
      <c r="B774" s="33" t="s">
        <v>32</v>
      </c>
      <c r="C774" s="33" t="s">
        <v>532</v>
      </c>
      <c r="D774" s="33" t="s">
        <v>32</v>
      </c>
      <c r="E774">
        <v>6</v>
      </c>
      <c r="F774" s="34">
        <v>2.7534722222222221E-2</v>
      </c>
      <c r="G774" s="34">
        <v>4.5891203703703701E-3</v>
      </c>
      <c r="H774" s="34">
        <v>0.10363425925925926</v>
      </c>
      <c r="I774" s="34">
        <v>3.2708333333333332E-2</v>
      </c>
      <c r="J774" s="35">
        <v>0.31561313379495198</v>
      </c>
      <c r="K774" s="33" t="s">
        <v>276</v>
      </c>
      <c r="L774" s="33" t="s">
        <v>233</v>
      </c>
    </row>
    <row r="775" spans="1:12" x14ac:dyDescent="0.25">
      <c r="A775" s="32">
        <v>46242</v>
      </c>
      <c r="B775" s="33" t="s">
        <v>32</v>
      </c>
      <c r="C775" s="33" t="s">
        <v>533</v>
      </c>
      <c r="D775" s="33" t="s">
        <v>32</v>
      </c>
      <c r="E775">
        <v>16</v>
      </c>
      <c r="F775" s="34">
        <v>0.10398148148148148</v>
      </c>
      <c r="G775" s="34">
        <v>6.4988425925925925E-3</v>
      </c>
      <c r="H775" s="34">
        <v>0.2696412037037037</v>
      </c>
      <c r="I775" s="34">
        <v>3.2708333333333332E-2</v>
      </c>
      <c r="J775" s="35">
        <v>0.12130317208224234</v>
      </c>
      <c r="K775" s="33" t="s">
        <v>278</v>
      </c>
      <c r="L775" s="33" t="s">
        <v>233</v>
      </c>
    </row>
    <row r="776" spans="1:12" x14ac:dyDescent="0.25">
      <c r="A776" s="32">
        <v>46242</v>
      </c>
      <c r="B776" s="33" t="s">
        <v>32</v>
      </c>
      <c r="C776" s="33" t="s">
        <v>511</v>
      </c>
      <c r="D776" s="33" t="s">
        <v>80</v>
      </c>
      <c r="E776">
        <v>1</v>
      </c>
      <c r="F776" s="34">
        <v>1.6319444444444445E-2</v>
      </c>
      <c r="G776" s="34">
        <v>1.6319444444444445E-2</v>
      </c>
      <c r="H776" s="34">
        <v>0.26002314814814814</v>
      </c>
      <c r="I776" s="34">
        <v>1.6828703703703703E-2</v>
      </c>
      <c r="J776" s="35">
        <v>6.4720021365619163E-2</v>
      </c>
      <c r="K776" s="33" t="s">
        <v>313</v>
      </c>
      <c r="L776" s="33" t="s">
        <v>78</v>
      </c>
    </row>
    <row r="777" spans="1:12" x14ac:dyDescent="0.25">
      <c r="A777" s="32">
        <v>46242</v>
      </c>
      <c r="B777" s="33" t="s">
        <v>32</v>
      </c>
      <c r="C777" s="33" t="s">
        <v>535</v>
      </c>
      <c r="D777" s="33" t="s">
        <v>32</v>
      </c>
      <c r="E777">
        <v>1</v>
      </c>
      <c r="F777" s="34">
        <v>3.8310185185185183E-3</v>
      </c>
      <c r="G777" s="34">
        <v>3.8310185185185183E-3</v>
      </c>
      <c r="H777" s="34">
        <v>3.0960648148148147E-2</v>
      </c>
      <c r="I777" s="34">
        <v>4.9768518518518521E-4</v>
      </c>
      <c r="J777" s="35">
        <v>1.6074766355140189E-2</v>
      </c>
      <c r="K777" s="33" t="s">
        <v>282</v>
      </c>
      <c r="L777" s="33" t="s">
        <v>233</v>
      </c>
    </row>
    <row r="778" spans="1:12" x14ac:dyDescent="0.25">
      <c r="A778" s="32">
        <v>46242</v>
      </c>
      <c r="B778" s="33" t="s">
        <v>32</v>
      </c>
      <c r="C778" s="33" t="s">
        <v>557</v>
      </c>
      <c r="D778" s="33" t="s">
        <v>147</v>
      </c>
      <c r="E778">
        <v>5</v>
      </c>
      <c r="F778" s="34">
        <v>1.1284722222222222E-2</v>
      </c>
      <c r="G778" s="34">
        <v>2.2569444444444442E-3</v>
      </c>
      <c r="H778" s="34">
        <v>0.25780092592592591</v>
      </c>
      <c r="I778" s="34">
        <v>3.6608796296296299E-2</v>
      </c>
      <c r="J778" s="35">
        <v>0.14200413037622342</v>
      </c>
      <c r="K778" s="33" t="s">
        <v>227</v>
      </c>
      <c r="L778" s="33" t="s">
        <v>146</v>
      </c>
    </row>
    <row r="779" spans="1:12" x14ac:dyDescent="0.25">
      <c r="A779" s="32">
        <v>46242</v>
      </c>
      <c r="B779" s="33" t="s">
        <v>32</v>
      </c>
      <c r="C779" s="33" t="s">
        <v>678</v>
      </c>
      <c r="D779" s="33" t="s">
        <v>147</v>
      </c>
      <c r="E779">
        <v>4</v>
      </c>
      <c r="F779" s="34">
        <v>4.5486111111111109E-3</v>
      </c>
      <c r="G779" s="34">
        <v>1.1371527777777777E-3</v>
      </c>
      <c r="H779" s="34">
        <v>0.26234953703703706</v>
      </c>
      <c r="I779" s="34">
        <v>4.3472222222222225E-2</v>
      </c>
      <c r="J779" s="35">
        <v>0.16570344553756561</v>
      </c>
      <c r="K779" s="33" t="s">
        <v>677</v>
      </c>
      <c r="L779" s="33" t="s">
        <v>274</v>
      </c>
    </row>
    <row r="780" spans="1:12" x14ac:dyDescent="0.25">
      <c r="A780" s="32">
        <v>46242</v>
      </c>
      <c r="B780" s="33" t="s">
        <v>600</v>
      </c>
      <c r="C780" s="33" t="s">
        <v>545</v>
      </c>
      <c r="D780" s="33" t="s">
        <v>600</v>
      </c>
      <c r="E780">
        <v>19</v>
      </c>
      <c r="F780" s="34">
        <v>7.3715277777777782E-2</v>
      </c>
      <c r="G780" s="34">
        <v>3.8797514619883042E-3</v>
      </c>
      <c r="H780" s="34">
        <v>0.22131944444444446</v>
      </c>
      <c r="I780" s="34">
        <v>3.9872685185185185E-2</v>
      </c>
      <c r="J780" s="35">
        <v>0.18015897918627757</v>
      </c>
      <c r="K780" s="33" t="s">
        <v>201</v>
      </c>
      <c r="L780" s="33" t="s">
        <v>601</v>
      </c>
    </row>
    <row r="781" spans="1:12" x14ac:dyDescent="0.25">
      <c r="A781" s="32">
        <v>46242</v>
      </c>
      <c r="B781" s="33" t="s">
        <v>600</v>
      </c>
      <c r="C781" s="33" t="s">
        <v>543</v>
      </c>
      <c r="D781" s="33" t="s">
        <v>600</v>
      </c>
      <c r="E781">
        <v>35</v>
      </c>
      <c r="F781" s="34">
        <v>4.7094907407407405E-2</v>
      </c>
      <c r="G781" s="34">
        <v>1.3455687830687829E-3</v>
      </c>
      <c r="H781" s="34">
        <v>0.22918981481481482</v>
      </c>
      <c r="I781" s="34">
        <v>0.13869212962962962</v>
      </c>
      <c r="J781" s="35">
        <v>0.60514089485910505</v>
      </c>
      <c r="K781" s="33" t="s">
        <v>293</v>
      </c>
      <c r="L781" s="33" t="s">
        <v>104</v>
      </c>
    </row>
    <row r="782" spans="1:12" x14ac:dyDescent="0.25">
      <c r="A782" s="32">
        <v>46244</v>
      </c>
      <c r="B782" s="33" t="s">
        <v>147</v>
      </c>
      <c r="C782" s="33" t="s">
        <v>563</v>
      </c>
      <c r="D782" s="33" t="s">
        <v>147</v>
      </c>
      <c r="E782">
        <v>11</v>
      </c>
      <c r="F782" s="34">
        <v>4.5879629629629631E-2</v>
      </c>
      <c r="G782" s="34">
        <v>4.1708754208754214E-3</v>
      </c>
      <c r="H782" s="34">
        <v>0.26671296296296299</v>
      </c>
      <c r="I782" s="34">
        <v>2.795138888888889E-2</v>
      </c>
      <c r="J782" s="35">
        <v>0.10479951397326853</v>
      </c>
      <c r="K782" s="33" t="s">
        <v>193</v>
      </c>
      <c r="L782" s="33" t="s">
        <v>274</v>
      </c>
    </row>
    <row r="783" spans="1:12" x14ac:dyDescent="0.25">
      <c r="A783" s="32">
        <v>46244</v>
      </c>
      <c r="B783" s="33" t="s">
        <v>147</v>
      </c>
      <c r="C783" s="33" t="s">
        <v>515</v>
      </c>
      <c r="D783" s="33" t="s">
        <v>147</v>
      </c>
      <c r="E783">
        <v>18</v>
      </c>
      <c r="F783" s="34">
        <v>3.9085648148148147E-2</v>
      </c>
      <c r="G783" s="34">
        <v>2.1714248971193414E-3</v>
      </c>
      <c r="H783" s="34">
        <v>0.2628240740740741</v>
      </c>
      <c r="I783" s="34">
        <v>3.4756944444444444E-2</v>
      </c>
      <c r="J783" s="35">
        <v>0.13224414303329221</v>
      </c>
      <c r="K783" s="33" t="s">
        <v>154</v>
      </c>
      <c r="L783" s="33" t="s">
        <v>146</v>
      </c>
    </row>
    <row r="784" spans="1:12" x14ac:dyDescent="0.25">
      <c r="A784" s="32">
        <v>46244</v>
      </c>
      <c r="B784" s="33" t="s">
        <v>147</v>
      </c>
      <c r="C784" s="33" t="s">
        <v>516</v>
      </c>
      <c r="D784" s="33" t="s">
        <v>147</v>
      </c>
      <c r="E784">
        <v>17</v>
      </c>
      <c r="F784" s="34">
        <v>4.5960648148148146E-2</v>
      </c>
      <c r="G784" s="34">
        <v>2.7035675381263616E-3</v>
      </c>
      <c r="H784" s="34">
        <v>0.27464120370370371</v>
      </c>
      <c r="I784" s="34">
        <v>4.9756944444444444E-2</v>
      </c>
      <c r="J784" s="35">
        <v>0.1811707193729192</v>
      </c>
      <c r="K784" s="33" t="s">
        <v>156</v>
      </c>
      <c r="L784" s="33" t="s">
        <v>146</v>
      </c>
    </row>
    <row r="785" spans="1:12" x14ac:dyDescent="0.25">
      <c r="A785" s="32">
        <v>46244</v>
      </c>
      <c r="B785" s="33" t="s">
        <v>147</v>
      </c>
      <c r="C785" s="33" t="s">
        <v>544</v>
      </c>
      <c r="D785" s="33" t="s">
        <v>147</v>
      </c>
      <c r="E785">
        <v>19</v>
      </c>
      <c r="F785" s="34">
        <v>4.386574074074074E-2</v>
      </c>
      <c r="G785" s="34">
        <v>2.3087231968810917E-3</v>
      </c>
      <c r="H785" s="34">
        <v>0.26765046296296297</v>
      </c>
      <c r="I785" s="34">
        <v>5.2847222222222219E-2</v>
      </c>
      <c r="J785" s="35">
        <v>0.19744864864864864</v>
      </c>
      <c r="K785" s="33" t="s">
        <v>160</v>
      </c>
      <c r="L785" s="33" t="s">
        <v>146</v>
      </c>
    </row>
    <row r="786" spans="1:12" x14ac:dyDescent="0.25">
      <c r="A786" s="32">
        <v>46244</v>
      </c>
      <c r="B786" s="33" t="s">
        <v>147</v>
      </c>
      <c r="C786" s="33" t="s">
        <v>517</v>
      </c>
      <c r="D786" s="33" t="s">
        <v>147</v>
      </c>
      <c r="E786">
        <v>14</v>
      </c>
      <c r="F786" s="34">
        <v>3.9097222222222221E-2</v>
      </c>
      <c r="G786" s="34">
        <v>2.7926587301587299E-3</v>
      </c>
      <c r="H786" s="34">
        <v>0.25908564814814816</v>
      </c>
      <c r="I786" s="34">
        <v>4.3541666666666666E-2</v>
      </c>
      <c r="J786" s="35">
        <v>0.16805896805896806</v>
      </c>
      <c r="K786" s="33" t="s">
        <v>499</v>
      </c>
      <c r="L786" s="33" t="s">
        <v>146</v>
      </c>
    </row>
    <row r="787" spans="1:12" x14ac:dyDescent="0.25">
      <c r="A787" s="32">
        <v>46244</v>
      </c>
      <c r="B787" s="33" t="s">
        <v>147</v>
      </c>
      <c r="C787" s="33" t="s">
        <v>518</v>
      </c>
      <c r="D787" s="33" t="s">
        <v>147</v>
      </c>
      <c r="E787">
        <v>17</v>
      </c>
      <c r="F787" s="34">
        <v>4.2083333333333334E-2</v>
      </c>
      <c r="G787" s="34">
        <v>2.4754901960784316E-3</v>
      </c>
      <c r="H787" s="34">
        <v>0.26100694444444444</v>
      </c>
      <c r="I787" s="34">
        <v>2.6064814814814815E-2</v>
      </c>
      <c r="J787" s="35">
        <v>9.98625338122478E-2</v>
      </c>
      <c r="K787" s="33" t="s">
        <v>500</v>
      </c>
      <c r="L787" s="33" t="s">
        <v>274</v>
      </c>
    </row>
    <row r="788" spans="1:12" x14ac:dyDescent="0.25">
      <c r="A788" s="32">
        <v>46244</v>
      </c>
      <c r="B788" s="33" t="s">
        <v>147</v>
      </c>
      <c r="C788" s="33" t="s">
        <v>167</v>
      </c>
      <c r="D788" s="33" t="s">
        <v>147</v>
      </c>
      <c r="E788">
        <v>17</v>
      </c>
      <c r="F788" s="34">
        <v>2.9942129629629631E-2</v>
      </c>
      <c r="G788" s="34">
        <v>1.7613017429193901E-3</v>
      </c>
      <c r="H788" s="34">
        <v>0.25230324074074073</v>
      </c>
      <c r="I788" s="34">
        <v>4.4710648148148145E-2</v>
      </c>
      <c r="J788" s="35">
        <v>0.17720996375980549</v>
      </c>
      <c r="K788" s="33" t="s">
        <v>166</v>
      </c>
      <c r="L788" s="33" t="s">
        <v>146</v>
      </c>
    </row>
    <row r="789" spans="1:12" x14ac:dyDescent="0.25">
      <c r="A789" s="32">
        <v>46244</v>
      </c>
      <c r="B789" s="33" t="s">
        <v>147</v>
      </c>
      <c r="C789" s="33" t="s">
        <v>658</v>
      </c>
      <c r="D789" s="33" t="s">
        <v>147</v>
      </c>
      <c r="E789">
        <v>8</v>
      </c>
      <c r="F789" s="34">
        <v>2.8206018518518519E-2</v>
      </c>
      <c r="G789" s="34">
        <v>3.5257523148148149E-3</v>
      </c>
      <c r="H789" s="34">
        <v>0.26459490740740743</v>
      </c>
      <c r="I789" s="34">
        <v>3.0787037037037036E-2</v>
      </c>
      <c r="J789" s="35">
        <v>0.11635536503215081</v>
      </c>
      <c r="K789" s="33" t="s">
        <v>657</v>
      </c>
      <c r="L789" s="33" t="s">
        <v>274</v>
      </c>
    </row>
    <row r="790" spans="1:12" x14ac:dyDescent="0.25">
      <c r="A790" s="32">
        <v>46244</v>
      </c>
      <c r="B790" s="33" t="s">
        <v>147</v>
      </c>
      <c r="C790" s="33" t="s">
        <v>520</v>
      </c>
      <c r="D790" s="33" t="s">
        <v>147</v>
      </c>
      <c r="E790">
        <v>11</v>
      </c>
      <c r="F790" s="34">
        <v>1.9837962962962963E-2</v>
      </c>
      <c r="G790" s="34">
        <v>1.8034511784511785E-3</v>
      </c>
      <c r="H790" s="34">
        <v>0.26947916666666666</v>
      </c>
      <c r="I790" s="34">
        <v>3.9050925925925926E-2</v>
      </c>
      <c r="J790" s="35">
        <v>0.1449125971739037</v>
      </c>
      <c r="K790" s="33" t="s">
        <v>168</v>
      </c>
      <c r="L790" s="33" t="s">
        <v>274</v>
      </c>
    </row>
    <row r="791" spans="1:12" x14ac:dyDescent="0.25">
      <c r="A791" s="32">
        <v>46244</v>
      </c>
      <c r="B791" s="33" t="s">
        <v>147</v>
      </c>
      <c r="C791" s="33" t="s">
        <v>521</v>
      </c>
      <c r="D791" s="33" t="s">
        <v>147</v>
      </c>
      <c r="E791">
        <v>10</v>
      </c>
      <c r="F791" s="34">
        <v>5.8634259259259261E-2</v>
      </c>
      <c r="G791" s="34">
        <v>5.8634259259259264E-3</v>
      </c>
      <c r="H791" s="34">
        <v>0.25451388888888887</v>
      </c>
      <c r="I791" s="34">
        <v>4.4259259259259262E-2</v>
      </c>
      <c r="J791" s="35">
        <v>0.17389722601182359</v>
      </c>
      <c r="K791" s="33" t="s">
        <v>170</v>
      </c>
      <c r="L791" s="33" t="s">
        <v>146</v>
      </c>
    </row>
    <row r="792" spans="1:12" x14ac:dyDescent="0.25">
      <c r="A792" s="32">
        <v>46244</v>
      </c>
      <c r="B792" s="33" t="s">
        <v>147</v>
      </c>
      <c r="C792" s="33" t="s">
        <v>522</v>
      </c>
      <c r="D792" s="33" t="s">
        <v>147</v>
      </c>
      <c r="E792">
        <v>12</v>
      </c>
      <c r="F792" s="34">
        <v>0.10289351851851852</v>
      </c>
      <c r="G792" s="34">
        <v>8.5744598765432108E-3</v>
      </c>
      <c r="H792" s="34">
        <v>0.26386574074074076</v>
      </c>
      <c r="I792" s="34">
        <v>2.5300925925925925E-2</v>
      </c>
      <c r="J792" s="35">
        <v>9.5885604000350899E-2</v>
      </c>
      <c r="K792" s="33" t="s">
        <v>178</v>
      </c>
      <c r="L792" s="33" t="s">
        <v>146</v>
      </c>
    </row>
    <row r="793" spans="1:12" x14ac:dyDescent="0.25">
      <c r="A793" s="32">
        <v>46244</v>
      </c>
      <c r="B793" s="33" t="s">
        <v>147</v>
      </c>
      <c r="C793" s="33" t="s">
        <v>523</v>
      </c>
      <c r="D793" s="33" t="s">
        <v>147</v>
      </c>
      <c r="E793">
        <v>15</v>
      </c>
      <c r="F793" s="34">
        <v>6.4953703703703708E-2</v>
      </c>
      <c r="G793" s="34">
        <v>4.3302469135802473E-3</v>
      </c>
      <c r="H793" s="34">
        <v>0.32145833333333335</v>
      </c>
      <c r="I793" s="34">
        <v>3.2118055555555552E-2</v>
      </c>
      <c r="J793" s="35">
        <v>9.9913588248001714E-2</v>
      </c>
      <c r="K793" s="33" t="s">
        <v>180</v>
      </c>
      <c r="L793" s="33" t="s">
        <v>146</v>
      </c>
    </row>
    <row r="794" spans="1:12" x14ac:dyDescent="0.25">
      <c r="A794" s="32">
        <v>46244</v>
      </c>
      <c r="B794" s="33" t="s">
        <v>147</v>
      </c>
      <c r="C794" s="33" t="s">
        <v>566</v>
      </c>
      <c r="D794" s="33" t="s">
        <v>147</v>
      </c>
      <c r="E794">
        <v>10</v>
      </c>
      <c r="F794" s="34">
        <v>3.2268518518518516E-2</v>
      </c>
      <c r="G794" s="34">
        <v>3.2268518518518514E-3</v>
      </c>
      <c r="H794" s="34">
        <v>0.26521990740740742</v>
      </c>
      <c r="I794" s="34">
        <v>3.3472222222222223E-2</v>
      </c>
      <c r="J794" s="35">
        <v>0.12620554222125246</v>
      </c>
      <c r="K794" s="33" t="s">
        <v>207</v>
      </c>
      <c r="L794" s="33" t="s">
        <v>274</v>
      </c>
    </row>
    <row r="795" spans="1:12" x14ac:dyDescent="0.25">
      <c r="A795" s="32">
        <v>46244</v>
      </c>
      <c r="B795" s="33" t="s">
        <v>147</v>
      </c>
      <c r="C795" s="33" t="s">
        <v>524</v>
      </c>
      <c r="D795" s="33" t="s">
        <v>147</v>
      </c>
      <c r="E795">
        <v>15</v>
      </c>
      <c r="F795" s="34">
        <v>5.4537037037037037E-2</v>
      </c>
      <c r="G795" s="34">
        <v>3.6358024691358023E-3</v>
      </c>
      <c r="H795" s="34">
        <v>0.31214120370370368</v>
      </c>
      <c r="I795" s="34">
        <v>4.4618055555555557E-2</v>
      </c>
      <c r="J795" s="35">
        <v>0.14294189625125145</v>
      </c>
      <c r="K795" s="33" t="s">
        <v>501</v>
      </c>
      <c r="L795" s="33" t="s">
        <v>274</v>
      </c>
    </row>
    <row r="796" spans="1:12" x14ac:dyDescent="0.25">
      <c r="A796" s="32">
        <v>46244</v>
      </c>
      <c r="B796" s="33" t="s">
        <v>147</v>
      </c>
      <c r="C796" s="33" t="s">
        <v>557</v>
      </c>
      <c r="D796" s="33" t="s">
        <v>147</v>
      </c>
      <c r="E796">
        <v>7</v>
      </c>
      <c r="F796" s="34">
        <v>5.4560185185185184E-2</v>
      </c>
      <c r="G796" s="34">
        <v>7.7943121693121687E-3</v>
      </c>
      <c r="H796" s="34">
        <v>0.26619212962962963</v>
      </c>
      <c r="I796" s="34">
        <v>5.4178240740740742E-2</v>
      </c>
      <c r="J796" s="35">
        <v>0.20353058828644724</v>
      </c>
      <c r="K796" s="33" t="s">
        <v>227</v>
      </c>
      <c r="L796" s="33" t="s">
        <v>146</v>
      </c>
    </row>
    <row r="797" spans="1:12" x14ac:dyDescent="0.25">
      <c r="A797" s="32">
        <v>46244</v>
      </c>
      <c r="B797" s="33" t="s">
        <v>147</v>
      </c>
      <c r="C797" s="33" t="s">
        <v>678</v>
      </c>
      <c r="D797" s="33" t="s">
        <v>147</v>
      </c>
      <c r="E797">
        <v>12</v>
      </c>
      <c r="F797" s="34">
        <v>4.2476851851851849E-2</v>
      </c>
      <c r="G797" s="34">
        <v>3.5397376543209874E-3</v>
      </c>
      <c r="H797" s="34">
        <v>0.26354166666666667</v>
      </c>
      <c r="I797" s="34">
        <v>3.3599537037037039E-2</v>
      </c>
      <c r="J797" s="35">
        <v>0.12749231444883619</v>
      </c>
      <c r="K797" s="33" t="s">
        <v>677</v>
      </c>
      <c r="L797" s="33" t="s">
        <v>274</v>
      </c>
    </row>
    <row r="798" spans="1:12" x14ac:dyDescent="0.25">
      <c r="A798" s="32">
        <v>46244</v>
      </c>
      <c r="B798" s="33" t="s">
        <v>105</v>
      </c>
      <c r="C798" s="33" t="s">
        <v>513</v>
      </c>
      <c r="D798" s="33" t="s">
        <v>105</v>
      </c>
      <c r="E798">
        <v>7</v>
      </c>
      <c r="F798" s="34">
        <v>0.14166666666666666</v>
      </c>
      <c r="G798" s="34">
        <v>2.0238095238095239E-2</v>
      </c>
      <c r="H798" s="34">
        <v>0.23854166666666668</v>
      </c>
      <c r="I798" s="34">
        <v>0.14334490740740741</v>
      </c>
      <c r="J798" s="35">
        <v>0.60092188258127122</v>
      </c>
      <c r="K798" s="33" t="s">
        <v>148</v>
      </c>
      <c r="L798" s="33" t="s">
        <v>104</v>
      </c>
    </row>
    <row r="799" spans="1:12" x14ac:dyDescent="0.25">
      <c r="A799" s="32">
        <v>46244</v>
      </c>
      <c r="B799" s="33" t="s">
        <v>105</v>
      </c>
      <c r="C799" s="33" t="s">
        <v>569</v>
      </c>
      <c r="D799" s="33" t="s">
        <v>105</v>
      </c>
      <c r="E799">
        <v>6</v>
      </c>
      <c r="F799" s="34">
        <v>8.532407407407408E-2</v>
      </c>
      <c r="G799" s="34">
        <v>1.422067901234568E-2</v>
      </c>
      <c r="H799" s="34">
        <v>0.25368055555555558</v>
      </c>
      <c r="I799" s="34">
        <v>0.19922453703703705</v>
      </c>
      <c r="J799" s="35">
        <v>0.78533625330778356</v>
      </c>
      <c r="K799" s="33" t="s">
        <v>493</v>
      </c>
      <c r="L799" s="33" t="s">
        <v>104</v>
      </c>
    </row>
    <row r="800" spans="1:12" x14ac:dyDescent="0.25">
      <c r="A800" s="32">
        <v>46244</v>
      </c>
      <c r="B800" s="33" t="s">
        <v>105</v>
      </c>
      <c r="C800" s="33" t="s">
        <v>631</v>
      </c>
      <c r="D800" s="33" t="s">
        <v>105</v>
      </c>
      <c r="E800">
        <v>3</v>
      </c>
      <c r="F800" s="34">
        <v>8.1678240740740746E-2</v>
      </c>
      <c r="G800" s="34">
        <v>2.7226080246913583E-2</v>
      </c>
      <c r="H800" s="34">
        <v>0.21611111111111111</v>
      </c>
      <c r="I800" s="34">
        <v>0.18746527777777777</v>
      </c>
      <c r="J800" s="35">
        <v>0.86744858611825193</v>
      </c>
      <c r="K800" s="33" t="s">
        <v>608</v>
      </c>
      <c r="L800" s="33" t="s">
        <v>601</v>
      </c>
    </row>
    <row r="801" spans="1:12" x14ac:dyDescent="0.25">
      <c r="A801" s="32">
        <v>46244</v>
      </c>
      <c r="B801" s="33" t="s">
        <v>105</v>
      </c>
      <c r="C801" s="33" t="s">
        <v>564</v>
      </c>
      <c r="D801" s="33" t="s">
        <v>105</v>
      </c>
      <c r="E801">
        <v>1</v>
      </c>
      <c r="F801" s="34">
        <v>2.4236111111111111E-2</v>
      </c>
      <c r="G801" s="34">
        <v>2.4236111111111111E-2</v>
      </c>
      <c r="H801" s="34">
        <v>0.18006944444444445</v>
      </c>
      <c r="I801" s="34">
        <v>0.17141203703703703</v>
      </c>
      <c r="J801" s="35">
        <v>0.95192184085358011</v>
      </c>
      <c r="K801" s="33" t="s">
        <v>197</v>
      </c>
      <c r="L801" s="33" t="s">
        <v>601</v>
      </c>
    </row>
    <row r="802" spans="1:12" x14ac:dyDescent="0.25">
      <c r="A802" s="32">
        <v>46244</v>
      </c>
      <c r="B802" s="33" t="s">
        <v>105</v>
      </c>
      <c r="C802" s="33" t="s">
        <v>682</v>
      </c>
      <c r="D802" s="33" t="s">
        <v>105</v>
      </c>
      <c r="E802">
        <v>1</v>
      </c>
      <c r="F802" s="34">
        <v>3.9247685185185184E-2</v>
      </c>
      <c r="G802" s="34">
        <v>3.9247685185185184E-2</v>
      </c>
      <c r="H802" s="34">
        <v>0.19715277777777779</v>
      </c>
      <c r="I802" s="34">
        <v>0.17505787037037038</v>
      </c>
      <c r="J802" s="35">
        <v>0.88793002230832452</v>
      </c>
      <c r="K802" s="33" t="s">
        <v>681</v>
      </c>
      <c r="L802" s="33" t="s">
        <v>601</v>
      </c>
    </row>
    <row r="803" spans="1:12" x14ac:dyDescent="0.25">
      <c r="A803" s="32">
        <v>46244</v>
      </c>
      <c r="B803" s="33" t="s">
        <v>105</v>
      </c>
      <c r="C803" s="33" t="s">
        <v>570</v>
      </c>
      <c r="D803" s="33" t="s">
        <v>105</v>
      </c>
      <c r="E803">
        <v>5</v>
      </c>
      <c r="F803" s="34">
        <v>0.1547337962962963</v>
      </c>
      <c r="G803" s="34">
        <v>3.0946759259259261E-2</v>
      </c>
      <c r="H803" s="34">
        <v>0.2429050925925926</v>
      </c>
      <c r="I803" s="34">
        <v>0.12387731481481482</v>
      </c>
      <c r="J803" s="35">
        <v>0.50998237003859526</v>
      </c>
      <c r="K803" s="33" t="s">
        <v>112</v>
      </c>
      <c r="L803" s="33" t="s">
        <v>104</v>
      </c>
    </row>
    <row r="804" spans="1:12" x14ac:dyDescent="0.25">
      <c r="A804" s="32">
        <v>46244</v>
      </c>
      <c r="B804" s="33" t="s">
        <v>105</v>
      </c>
      <c r="C804" s="33" t="s">
        <v>541</v>
      </c>
      <c r="D804" s="33" t="s">
        <v>105</v>
      </c>
      <c r="E804">
        <v>7</v>
      </c>
      <c r="F804" s="34">
        <v>0.14543981481481483</v>
      </c>
      <c r="G804" s="34">
        <v>2.0777116402116404E-2</v>
      </c>
      <c r="H804" s="34">
        <v>0.23296296296296296</v>
      </c>
      <c r="I804" s="34">
        <v>0.13608796296296297</v>
      </c>
      <c r="J804" s="35">
        <v>0.58416136724960255</v>
      </c>
      <c r="K804" s="33" t="s">
        <v>114</v>
      </c>
      <c r="L804" s="33" t="s">
        <v>104</v>
      </c>
    </row>
    <row r="805" spans="1:12" x14ac:dyDescent="0.25">
      <c r="A805" s="32">
        <v>46244</v>
      </c>
      <c r="B805" s="33" t="s">
        <v>105</v>
      </c>
      <c r="C805" s="33" t="s">
        <v>632</v>
      </c>
      <c r="D805" s="33" t="s">
        <v>105</v>
      </c>
      <c r="E805">
        <v>2</v>
      </c>
      <c r="F805" s="34">
        <v>4.0868055555555553E-2</v>
      </c>
      <c r="G805" s="34">
        <v>2.0434027777777777E-2</v>
      </c>
      <c r="H805" s="34">
        <v>0.21304398148148149</v>
      </c>
      <c r="I805" s="34">
        <v>0.20399305555555555</v>
      </c>
      <c r="J805" s="35">
        <v>0.9575161623295485</v>
      </c>
      <c r="K805" s="33" t="s">
        <v>609</v>
      </c>
      <c r="L805" s="33" t="s">
        <v>601</v>
      </c>
    </row>
    <row r="806" spans="1:12" x14ac:dyDescent="0.25">
      <c r="A806" s="32">
        <v>46244</v>
      </c>
      <c r="B806" s="33" t="s">
        <v>105</v>
      </c>
      <c r="C806" s="33" t="s">
        <v>542</v>
      </c>
      <c r="D806" s="33" t="s">
        <v>105</v>
      </c>
      <c r="E806">
        <v>4</v>
      </c>
      <c r="F806" s="34">
        <v>8.7766203703703707E-2</v>
      </c>
      <c r="G806" s="34">
        <v>2.1941550925925927E-2</v>
      </c>
      <c r="H806" s="34">
        <v>0.24258101851851852</v>
      </c>
      <c r="I806" s="34">
        <v>0.19160879629629629</v>
      </c>
      <c r="J806" s="35">
        <v>0.78987547115797507</v>
      </c>
      <c r="K806" s="33" t="s">
        <v>287</v>
      </c>
      <c r="L806" s="33" t="s">
        <v>104</v>
      </c>
    </row>
    <row r="807" spans="1:12" x14ac:dyDescent="0.25">
      <c r="A807" s="32">
        <v>46244</v>
      </c>
      <c r="B807" s="33" t="s">
        <v>105</v>
      </c>
      <c r="C807" s="33" t="s">
        <v>650</v>
      </c>
      <c r="D807" s="33" t="s">
        <v>105</v>
      </c>
      <c r="E807">
        <v>8</v>
      </c>
      <c r="F807" s="34">
        <v>0.18138888888888888</v>
      </c>
      <c r="G807" s="34">
        <v>2.267361111111111E-2</v>
      </c>
      <c r="H807" s="34">
        <v>0.34038194444444442</v>
      </c>
      <c r="I807" s="34">
        <v>0.17054398148148148</v>
      </c>
      <c r="J807" s="35">
        <v>0.50103709748716385</v>
      </c>
      <c r="K807" s="33" t="s">
        <v>649</v>
      </c>
      <c r="L807" s="33" t="s">
        <v>104</v>
      </c>
    </row>
    <row r="808" spans="1:12" x14ac:dyDescent="0.25">
      <c r="A808" s="32">
        <v>46244</v>
      </c>
      <c r="B808" s="33" t="s">
        <v>105</v>
      </c>
      <c r="C808" s="33" t="s">
        <v>559</v>
      </c>
      <c r="D808" s="33" t="s">
        <v>105</v>
      </c>
      <c r="E808">
        <v>8</v>
      </c>
      <c r="F808" s="34">
        <v>0.14472222222222222</v>
      </c>
      <c r="G808" s="34">
        <v>1.8090277777777778E-2</v>
      </c>
      <c r="H808" s="34">
        <v>0.24024305555555556</v>
      </c>
      <c r="I808" s="34">
        <v>0.1454050925925926</v>
      </c>
      <c r="J808" s="35">
        <v>0.60524160524160531</v>
      </c>
      <c r="K808" s="33" t="s">
        <v>289</v>
      </c>
      <c r="L808" s="33" t="s">
        <v>104</v>
      </c>
    </row>
    <row r="809" spans="1:12" x14ac:dyDescent="0.25">
      <c r="A809" s="32">
        <v>46244</v>
      </c>
      <c r="B809" s="33" t="s">
        <v>105</v>
      </c>
      <c r="C809" s="33" t="s">
        <v>634</v>
      </c>
      <c r="D809" s="33" t="s">
        <v>105</v>
      </c>
      <c r="E809">
        <v>1</v>
      </c>
      <c r="F809" s="34">
        <v>3.1805555555555552E-2</v>
      </c>
      <c r="G809" s="34">
        <v>3.1805555555555552E-2</v>
      </c>
      <c r="H809" s="34">
        <v>0.19530092592592593</v>
      </c>
      <c r="I809" s="34">
        <v>0.18412037037037038</v>
      </c>
      <c r="J809" s="35">
        <v>0.94275216309114618</v>
      </c>
      <c r="K809" s="33" t="s">
        <v>612</v>
      </c>
      <c r="L809" s="33" t="s">
        <v>601</v>
      </c>
    </row>
    <row r="810" spans="1:12" x14ac:dyDescent="0.25">
      <c r="A810" s="32">
        <v>46244</v>
      </c>
      <c r="B810" s="33" t="s">
        <v>105</v>
      </c>
      <c r="C810" s="33" t="s">
        <v>565</v>
      </c>
      <c r="D810" s="33" t="s">
        <v>105</v>
      </c>
      <c r="E810">
        <v>1</v>
      </c>
      <c r="F810" s="34">
        <v>2.4502314814814814E-2</v>
      </c>
      <c r="G810" s="34">
        <v>2.4502314814814814E-2</v>
      </c>
      <c r="H810" s="34">
        <v>0.24332175925925925</v>
      </c>
      <c r="I810" s="34">
        <v>0.23430555555555554</v>
      </c>
      <c r="J810" s="35">
        <v>0.96294534557389522</v>
      </c>
      <c r="K810" s="33" t="s">
        <v>203</v>
      </c>
      <c r="L810" s="33" t="s">
        <v>601</v>
      </c>
    </row>
    <row r="811" spans="1:12" x14ac:dyDescent="0.25">
      <c r="A811" s="32">
        <v>46244</v>
      </c>
      <c r="B811" s="33" t="s">
        <v>105</v>
      </c>
      <c r="C811" s="33" t="s">
        <v>667</v>
      </c>
      <c r="D811" s="33" t="s">
        <v>105</v>
      </c>
      <c r="E811">
        <v>8</v>
      </c>
      <c r="F811" s="34">
        <v>0.13532407407407407</v>
      </c>
      <c r="G811" s="34">
        <v>1.6915509259259259E-2</v>
      </c>
      <c r="H811" s="34">
        <v>0.24731481481481482</v>
      </c>
      <c r="I811" s="34">
        <v>0.18322916666666667</v>
      </c>
      <c r="J811" s="35">
        <v>0.74087420441782104</v>
      </c>
      <c r="K811" s="33" t="s">
        <v>297</v>
      </c>
      <c r="L811" s="33" t="s">
        <v>104</v>
      </c>
    </row>
    <row r="812" spans="1:12" x14ac:dyDescent="0.25">
      <c r="A812" s="32">
        <v>46244</v>
      </c>
      <c r="B812" s="33" t="s">
        <v>105</v>
      </c>
      <c r="C812" s="33" t="s">
        <v>635</v>
      </c>
      <c r="D812" s="33" t="s">
        <v>105</v>
      </c>
      <c r="E812">
        <v>1</v>
      </c>
      <c r="F812" s="34">
        <v>3.2731481481481479E-2</v>
      </c>
      <c r="G812" s="34">
        <v>3.2731481481481479E-2</v>
      </c>
      <c r="H812" s="34">
        <v>0.18759259259259259</v>
      </c>
      <c r="I812" s="34">
        <v>0.17546296296296296</v>
      </c>
      <c r="J812" s="35">
        <v>0.93534057255676206</v>
      </c>
      <c r="K812" s="33" t="s">
        <v>614</v>
      </c>
      <c r="L812" s="33" t="s">
        <v>601</v>
      </c>
    </row>
    <row r="813" spans="1:12" x14ac:dyDescent="0.25">
      <c r="A813" s="32">
        <v>46244</v>
      </c>
      <c r="B813" s="33" t="s">
        <v>105</v>
      </c>
      <c r="C813" s="33" t="s">
        <v>636</v>
      </c>
      <c r="D813" s="33" t="s">
        <v>105</v>
      </c>
      <c r="E813">
        <v>3</v>
      </c>
      <c r="F813" s="34">
        <v>6.3148148148148148E-2</v>
      </c>
      <c r="G813" s="34">
        <v>2.1049382716049381E-2</v>
      </c>
      <c r="H813" s="34">
        <v>0.22512731481481482</v>
      </c>
      <c r="I813" s="34">
        <v>0.20373842592592592</v>
      </c>
      <c r="J813" s="35">
        <v>0.90499203125803296</v>
      </c>
      <c r="K813" s="33" t="s">
        <v>615</v>
      </c>
      <c r="L813" s="33" t="s">
        <v>601</v>
      </c>
    </row>
    <row r="814" spans="1:12" x14ac:dyDescent="0.25">
      <c r="A814" s="32">
        <v>46244</v>
      </c>
      <c r="B814" s="33" t="s">
        <v>105</v>
      </c>
      <c r="C814" s="33" t="s">
        <v>637</v>
      </c>
      <c r="D814" s="33" t="s">
        <v>105</v>
      </c>
      <c r="E814">
        <v>1</v>
      </c>
      <c r="F814" s="34">
        <v>2.9641203703703704E-2</v>
      </c>
      <c r="G814" s="34">
        <v>2.9641203703703704E-2</v>
      </c>
      <c r="H814" s="34">
        <v>0.20846064814814816</v>
      </c>
      <c r="I814" s="34">
        <v>0.19712962962962963</v>
      </c>
      <c r="J814" s="35">
        <v>0.94564432846593738</v>
      </c>
      <c r="K814" s="33" t="s">
        <v>616</v>
      </c>
      <c r="L814" s="33" t="s">
        <v>601</v>
      </c>
    </row>
    <row r="815" spans="1:12" x14ac:dyDescent="0.25">
      <c r="A815" s="32">
        <v>46244</v>
      </c>
      <c r="B815" s="33" t="s">
        <v>105</v>
      </c>
      <c r="C815" s="33" t="s">
        <v>567</v>
      </c>
      <c r="D815" s="33" t="s">
        <v>105</v>
      </c>
      <c r="E815">
        <v>1</v>
      </c>
      <c r="F815" s="34">
        <v>2.7604166666666666E-2</v>
      </c>
      <c r="G815" s="34">
        <v>2.7604166666666666E-2</v>
      </c>
      <c r="H815" s="34">
        <v>0.21016203703703704</v>
      </c>
      <c r="I815" s="34">
        <v>0.19850694444444444</v>
      </c>
      <c r="J815" s="35">
        <v>0.94454235047912771</v>
      </c>
      <c r="K815" s="33" t="s">
        <v>209</v>
      </c>
      <c r="L815" s="33" t="s">
        <v>601</v>
      </c>
    </row>
    <row r="816" spans="1:12" x14ac:dyDescent="0.25">
      <c r="A816" s="32">
        <v>46244</v>
      </c>
      <c r="B816" s="33" t="s">
        <v>105</v>
      </c>
      <c r="C816" s="33" t="s">
        <v>512</v>
      </c>
      <c r="D816" s="33" t="s">
        <v>105</v>
      </c>
      <c r="E816">
        <v>9</v>
      </c>
      <c r="F816" s="34">
        <v>0.14924768518518519</v>
      </c>
      <c r="G816" s="34">
        <v>1.6583076131687243E-2</v>
      </c>
      <c r="H816" s="34">
        <v>0.26550925925925928</v>
      </c>
      <c r="I816" s="34">
        <v>0.19828703703703704</v>
      </c>
      <c r="J816" s="35">
        <v>0.74681778552746292</v>
      </c>
      <c r="K816" s="33" t="s">
        <v>132</v>
      </c>
      <c r="L816" s="33" t="s">
        <v>104</v>
      </c>
    </row>
    <row r="817" spans="1:12" x14ac:dyDescent="0.25">
      <c r="A817" s="32">
        <v>46244</v>
      </c>
      <c r="B817" s="33" t="s">
        <v>105</v>
      </c>
      <c r="C817" s="33" t="s">
        <v>560</v>
      </c>
      <c r="D817" s="33" t="s">
        <v>105</v>
      </c>
      <c r="E817">
        <v>9</v>
      </c>
      <c r="F817" s="34">
        <v>0.18839120370370371</v>
      </c>
      <c r="G817" s="34">
        <v>2.0932355967078192E-2</v>
      </c>
      <c r="H817" s="34">
        <v>0.2630439814814815</v>
      </c>
      <c r="I817" s="34">
        <v>0.15893518518518518</v>
      </c>
      <c r="J817" s="35">
        <v>0.60421525058300696</v>
      </c>
      <c r="K817" s="33" t="s">
        <v>134</v>
      </c>
      <c r="L817" s="33" t="s">
        <v>104</v>
      </c>
    </row>
    <row r="818" spans="1:12" x14ac:dyDescent="0.25">
      <c r="A818" s="32">
        <v>46244</v>
      </c>
      <c r="B818" s="33" t="s">
        <v>105</v>
      </c>
      <c r="C818" s="33" t="s">
        <v>638</v>
      </c>
      <c r="D818" s="33" t="s">
        <v>105</v>
      </c>
      <c r="E818">
        <v>1</v>
      </c>
      <c r="F818" s="34">
        <v>3.0636574074074073E-2</v>
      </c>
      <c r="G818" s="34">
        <v>3.0636574074074073E-2</v>
      </c>
      <c r="H818" s="34">
        <v>0.19327546296296297</v>
      </c>
      <c r="I818" s="34">
        <v>0.18106481481481482</v>
      </c>
      <c r="J818" s="35">
        <v>0.93682256422540267</v>
      </c>
      <c r="K818" s="33" t="s">
        <v>617</v>
      </c>
      <c r="L818" s="33" t="s">
        <v>601</v>
      </c>
    </row>
    <row r="819" spans="1:12" x14ac:dyDescent="0.25">
      <c r="A819" s="32">
        <v>46244</v>
      </c>
      <c r="B819" s="33" t="s">
        <v>105</v>
      </c>
      <c r="C819" s="33" t="s">
        <v>639</v>
      </c>
      <c r="D819" s="33" t="s">
        <v>105</v>
      </c>
      <c r="E819">
        <v>1</v>
      </c>
      <c r="F819" s="34">
        <v>2.585648148148148E-2</v>
      </c>
      <c r="G819" s="34">
        <v>2.585648148148148E-2</v>
      </c>
      <c r="H819" s="34">
        <v>0.20300925925925925</v>
      </c>
      <c r="I819" s="34">
        <v>0.1962962962962963</v>
      </c>
      <c r="J819" s="35">
        <v>0.96693272519954399</v>
      </c>
      <c r="K819" s="33" t="s">
        <v>618</v>
      </c>
      <c r="L819" s="33" t="s">
        <v>601</v>
      </c>
    </row>
    <row r="820" spans="1:12" x14ac:dyDescent="0.25">
      <c r="A820" s="32">
        <v>46244</v>
      </c>
      <c r="B820" s="33" t="s">
        <v>105</v>
      </c>
      <c r="C820" s="33" t="s">
        <v>572</v>
      </c>
      <c r="D820" s="33" t="s">
        <v>105</v>
      </c>
      <c r="E820">
        <v>1</v>
      </c>
      <c r="F820" s="34">
        <v>2.4340277777777777E-2</v>
      </c>
      <c r="G820" s="34">
        <v>2.4340277777777777E-2</v>
      </c>
      <c r="H820" s="34">
        <v>0.22920138888888889</v>
      </c>
      <c r="I820" s="34">
        <v>0.2235300925925926</v>
      </c>
      <c r="J820" s="35">
        <v>0.97525627430187345</v>
      </c>
      <c r="K820" s="33" t="s">
        <v>213</v>
      </c>
      <c r="L820" s="33" t="s">
        <v>601</v>
      </c>
    </row>
    <row r="821" spans="1:12" x14ac:dyDescent="0.25">
      <c r="A821" s="32">
        <v>46244</v>
      </c>
      <c r="B821" s="33" t="s">
        <v>105</v>
      </c>
      <c r="C821" s="33" t="s">
        <v>640</v>
      </c>
      <c r="D821" s="33" t="s">
        <v>105</v>
      </c>
      <c r="E821">
        <v>1</v>
      </c>
      <c r="F821" s="34">
        <v>2.960648148148148E-2</v>
      </c>
      <c r="G821" s="34">
        <v>2.960648148148148E-2</v>
      </c>
      <c r="H821" s="34">
        <v>0.21048611111111112</v>
      </c>
      <c r="I821" s="34">
        <v>0.2011226851851852</v>
      </c>
      <c r="J821" s="35">
        <v>0.95551523149675577</v>
      </c>
      <c r="K821" s="33" t="s">
        <v>619</v>
      </c>
      <c r="L821" s="33" t="s">
        <v>601</v>
      </c>
    </row>
    <row r="822" spans="1:12" x14ac:dyDescent="0.25">
      <c r="A822" s="32">
        <v>46244</v>
      </c>
      <c r="B822" s="33" t="s">
        <v>105</v>
      </c>
      <c r="C822" s="33" t="s">
        <v>548</v>
      </c>
      <c r="D822" s="33" t="s">
        <v>105</v>
      </c>
      <c r="E822">
        <v>6</v>
      </c>
      <c r="F822" s="34">
        <v>0.12835648148148149</v>
      </c>
      <c r="G822" s="34">
        <v>2.1392746913580247E-2</v>
      </c>
      <c r="H822" s="34">
        <v>0.23708333333333334</v>
      </c>
      <c r="I822" s="34">
        <v>0.155</v>
      </c>
      <c r="J822" s="35">
        <v>0.65377855887521963</v>
      </c>
      <c r="K822" s="33" t="s">
        <v>219</v>
      </c>
      <c r="L822" s="33" t="s">
        <v>104</v>
      </c>
    </row>
    <row r="823" spans="1:12" x14ac:dyDescent="0.25">
      <c r="A823" s="32">
        <v>46244</v>
      </c>
      <c r="B823" s="33" t="s">
        <v>105</v>
      </c>
      <c r="C823" s="33" t="s">
        <v>641</v>
      </c>
      <c r="D823" s="33" t="s">
        <v>105</v>
      </c>
      <c r="E823">
        <v>2</v>
      </c>
      <c r="F823" s="34">
        <v>5.0509259259259261E-2</v>
      </c>
      <c r="G823" s="34">
        <v>2.525462962962963E-2</v>
      </c>
      <c r="H823" s="34">
        <v>0.18957175925925926</v>
      </c>
      <c r="I823" s="34">
        <v>0.17258101851851851</v>
      </c>
      <c r="J823" s="35">
        <v>0.91037303864704799</v>
      </c>
      <c r="K823" s="33" t="s">
        <v>620</v>
      </c>
      <c r="L823" s="33" t="s">
        <v>601</v>
      </c>
    </row>
    <row r="824" spans="1:12" x14ac:dyDescent="0.25">
      <c r="A824" s="32">
        <v>46244</v>
      </c>
      <c r="B824" s="33" t="s">
        <v>105</v>
      </c>
      <c r="C824" s="33" t="s">
        <v>556</v>
      </c>
      <c r="D824" s="33" t="s">
        <v>105</v>
      </c>
      <c r="E824">
        <v>10</v>
      </c>
      <c r="F824" s="34">
        <v>0.18060185185185185</v>
      </c>
      <c r="G824" s="34">
        <v>1.8060185185185186E-2</v>
      </c>
      <c r="H824" s="34">
        <v>0.32982638888888888</v>
      </c>
      <c r="I824" s="34">
        <v>0.16668981481481482</v>
      </c>
      <c r="J824" s="35">
        <v>0.50538653191564031</v>
      </c>
      <c r="K824" s="33" t="s">
        <v>138</v>
      </c>
      <c r="L824" s="33" t="s">
        <v>104</v>
      </c>
    </row>
    <row r="825" spans="1:12" x14ac:dyDescent="0.25">
      <c r="A825" s="32">
        <v>46244</v>
      </c>
      <c r="B825" s="33" t="s">
        <v>105</v>
      </c>
      <c r="C825" s="33" t="s">
        <v>674</v>
      </c>
      <c r="D825" s="33" t="s">
        <v>105</v>
      </c>
      <c r="E825">
        <v>9</v>
      </c>
      <c r="F825" s="34">
        <v>0.20281250000000001</v>
      </c>
      <c r="G825" s="34">
        <v>2.2534722222222223E-2</v>
      </c>
      <c r="H825" s="34">
        <v>0.29814814814814816</v>
      </c>
      <c r="I825" s="34">
        <v>0.15819444444444444</v>
      </c>
      <c r="J825" s="35">
        <v>0.53059006211180126</v>
      </c>
      <c r="K825" s="33" t="s">
        <v>673</v>
      </c>
      <c r="L825" s="33" t="s">
        <v>104</v>
      </c>
    </row>
    <row r="826" spans="1:12" x14ac:dyDescent="0.25">
      <c r="A826" s="32">
        <v>46244</v>
      </c>
      <c r="B826" s="33" t="s">
        <v>105</v>
      </c>
      <c r="C826" s="33" t="s">
        <v>549</v>
      </c>
      <c r="D826" s="33" t="s">
        <v>105</v>
      </c>
      <c r="E826">
        <v>1</v>
      </c>
      <c r="F826" s="34">
        <v>3.591435185185185E-2</v>
      </c>
      <c r="G826" s="34">
        <v>3.591435185185185E-2</v>
      </c>
      <c r="H826" s="34">
        <v>0.24085648148148148</v>
      </c>
      <c r="I826" s="34">
        <v>0.22340277777777778</v>
      </c>
      <c r="J826" s="35">
        <v>0.92753483901970213</v>
      </c>
      <c r="K826" s="33" t="s">
        <v>225</v>
      </c>
      <c r="L826" s="33" t="s">
        <v>601</v>
      </c>
    </row>
    <row r="827" spans="1:12" x14ac:dyDescent="0.25">
      <c r="A827" s="32">
        <v>46244</v>
      </c>
      <c r="B827" s="33" t="s">
        <v>105</v>
      </c>
      <c r="C827" s="33" t="s">
        <v>571</v>
      </c>
      <c r="D827" s="33" t="s">
        <v>105</v>
      </c>
      <c r="E827">
        <v>8</v>
      </c>
      <c r="F827" s="34">
        <v>0.19877314814814814</v>
      </c>
      <c r="G827" s="34">
        <v>2.4846643518518518E-2</v>
      </c>
      <c r="H827" s="34">
        <v>0.24892361111111111</v>
      </c>
      <c r="I827" s="34">
        <v>0.10586805555555556</v>
      </c>
      <c r="J827" s="35">
        <v>0.4253033895940857</v>
      </c>
      <c r="K827" s="33" t="s">
        <v>299</v>
      </c>
      <c r="L827" s="33" t="s">
        <v>104</v>
      </c>
    </row>
    <row r="828" spans="1:12" x14ac:dyDescent="0.25">
      <c r="A828" s="32">
        <v>46244</v>
      </c>
      <c r="B828" s="33" t="s">
        <v>105</v>
      </c>
      <c r="C828" s="33" t="s">
        <v>676</v>
      </c>
      <c r="D828" s="33" t="s">
        <v>105</v>
      </c>
      <c r="E828">
        <v>6</v>
      </c>
      <c r="F828" s="34">
        <v>0.19896990740740741</v>
      </c>
      <c r="G828" s="34">
        <v>3.31616512345679E-2</v>
      </c>
      <c r="H828" s="34">
        <v>0.20166666666666666</v>
      </c>
      <c r="I828" s="34">
        <v>9.3854166666666669E-2</v>
      </c>
      <c r="J828" s="35">
        <v>0.46539256198347112</v>
      </c>
      <c r="K828" s="33" t="s">
        <v>675</v>
      </c>
      <c r="L828" s="33" t="s">
        <v>104</v>
      </c>
    </row>
    <row r="829" spans="1:12" x14ac:dyDescent="0.25">
      <c r="A829" s="32">
        <v>46244</v>
      </c>
      <c r="B829" s="33" t="s">
        <v>32</v>
      </c>
      <c r="C829" s="33" t="s">
        <v>562</v>
      </c>
      <c r="D829" s="33" t="s">
        <v>80</v>
      </c>
      <c r="E829">
        <v>2</v>
      </c>
      <c r="F829" s="34">
        <v>6.1921296296296299E-3</v>
      </c>
      <c r="G829" s="34">
        <v>3.0960648148148149E-3</v>
      </c>
      <c r="H829" s="34">
        <v>0.26806712962962964</v>
      </c>
      <c r="I829" s="34">
        <v>3.9386574074074074E-2</v>
      </c>
      <c r="J829" s="35">
        <v>0.14692802556020895</v>
      </c>
      <c r="K829" s="33" t="s">
        <v>186</v>
      </c>
      <c r="L829" s="33" t="s">
        <v>78</v>
      </c>
    </row>
    <row r="830" spans="1:12" x14ac:dyDescent="0.25">
      <c r="A830" s="32">
        <v>46244</v>
      </c>
      <c r="B830" s="33" t="s">
        <v>32</v>
      </c>
      <c r="C830" s="33" t="s">
        <v>644</v>
      </c>
      <c r="D830" s="33" t="s">
        <v>32</v>
      </c>
      <c r="E830">
        <v>20</v>
      </c>
      <c r="F830" s="34">
        <v>0.16665509259259259</v>
      </c>
      <c r="G830" s="34">
        <v>8.3327546296296292E-3</v>
      </c>
      <c r="H830" s="34">
        <v>0.25575231481481481</v>
      </c>
      <c r="I830" s="34">
        <v>3.5347222222222224E-2</v>
      </c>
      <c r="J830" s="35">
        <v>0.13820880662533377</v>
      </c>
      <c r="K830" s="33" t="s">
        <v>643</v>
      </c>
      <c r="L830" s="33" t="s">
        <v>233</v>
      </c>
    </row>
    <row r="831" spans="1:12" x14ac:dyDescent="0.25">
      <c r="A831" s="32">
        <v>46244</v>
      </c>
      <c r="B831" s="33" t="s">
        <v>32</v>
      </c>
      <c r="C831" s="33" t="s">
        <v>563</v>
      </c>
      <c r="D831" s="33" t="s">
        <v>147</v>
      </c>
      <c r="E831">
        <v>7</v>
      </c>
      <c r="F831" s="34">
        <v>1.8668981481481481E-2</v>
      </c>
      <c r="G831" s="34">
        <v>2.6669973544973546E-3</v>
      </c>
      <c r="H831" s="34">
        <v>0.26671296296296299</v>
      </c>
      <c r="I831" s="34">
        <v>2.795138888888889E-2</v>
      </c>
      <c r="J831" s="35">
        <v>0.10479951397326853</v>
      </c>
      <c r="K831" s="33" t="s">
        <v>193</v>
      </c>
      <c r="L831" s="33" t="s">
        <v>274</v>
      </c>
    </row>
    <row r="832" spans="1:12" x14ac:dyDescent="0.25">
      <c r="A832" s="32">
        <v>46244</v>
      </c>
      <c r="B832" s="33" t="s">
        <v>32</v>
      </c>
      <c r="C832" s="33" t="s">
        <v>525</v>
      </c>
      <c r="D832" s="33" t="s">
        <v>32</v>
      </c>
      <c r="E832">
        <v>41</v>
      </c>
      <c r="F832" s="34">
        <v>0.13798611111111111</v>
      </c>
      <c r="G832" s="34">
        <v>3.3655149051490516E-3</v>
      </c>
      <c r="H832" s="34">
        <v>0.2628125</v>
      </c>
      <c r="I832" s="34">
        <v>4.7881944444444442E-2</v>
      </c>
      <c r="J832" s="35">
        <v>0.18219051393843308</v>
      </c>
      <c r="K832" s="33" t="s">
        <v>231</v>
      </c>
      <c r="L832" s="33" t="s">
        <v>233</v>
      </c>
    </row>
    <row r="833" spans="1:12" x14ac:dyDescent="0.25">
      <c r="A833" s="32">
        <v>46244</v>
      </c>
      <c r="B833" s="33" t="s">
        <v>32</v>
      </c>
      <c r="C833" s="33" t="s">
        <v>550</v>
      </c>
      <c r="D833" s="33" t="s">
        <v>32</v>
      </c>
      <c r="E833">
        <v>32</v>
      </c>
      <c r="F833" s="34">
        <v>0.1514699074074074</v>
      </c>
      <c r="G833" s="34">
        <v>4.7334346064814813E-3</v>
      </c>
      <c r="H833" s="34">
        <v>0.26538194444444446</v>
      </c>
      <c r="I833" s="34">
        <v>3.9849537037037037E-2</v>
      </c>
      <c r="J833" s="35">
        <v>0.15015918705569364</v>
      </c>
      <c r="K833" s="33" t="s">
        <v>234</v>
      </c>
      <c r="L833" s="33" t="s">
        <v>233</v>
      </c>
    </row>
    <row r="834" spans="1:12" x14ac:dyDescent="0.25">
      <c r="A834" s="32">
        <v>46244</v>
      </c>
      <c r="B834" s="33" t="s">
        <v>32</v>
      </c>
      <c r="C834" s="33" t="s">
        <v>505</v>
      </c>
      <c r="D834" s="33" t="s">
        <v>32</v>
      </c>
      <c r="E834">
        <v>38</v>
      </c>
      <c r="F834" s="34">
        <v>0.14078703703703704</v>
      </c>
      <c r="G834" s="34">
        <v>3.7049220272904484E-3</v>
      </c>
      <c r="H834" s="34">
        <v>0.26442129629629629</v>
      </c>
      <c r="I834" s="34">
        <v>3.5844907407407409E-2</v>
      </c>
      <c r="J834" s="35">
        <v>0.13555983541976716</v>
      </c>
      <c r="K834" s="33" t="s">
        <v>34</v>
      </c>
      <c r="L834" s="33" t="s">
        <v>233</v>
      </c>
    </row>
    <row r="835" spans="1:12" x14ac:dyDescent="0.25">
      <c r="A835" s="32">
        <v>46244</v>
      </c>
      <c r="B835" s="33" t="s">
        <v>32</v>
      </c>
      <c r="C835" s="33" t="s">
        <v>551</v>
      </c>
      <c r="D835" s="33" t="s">
        <v>32</v>
      </c>
      <c r="E835">
        <v>3</v>
      </c>
      <c r="F835" s="34">
        <v>1.0300925925925926E-3</v>
      </c>
      <c r="G835" s="34">
        <v>3.433641975308642E-4</v>
      </c>
      <c r="H835" s="34">
        <v>0.25321759259259258</v>
      </c>
      <c r="I835" s="34">
        <v>0.24899305555555556</v>
      </c>
      <c r="J835" s="35">
        <v>0.98331657372703185</v>
      </c>
      <c r="K835" s="33" t="s">
        <v>236</v>
      </c>
      <c r="L835" s="33" t="s">
        <v>233</v>
      </c>
    </row>
    <row r="836" spans="1:12" x14ac:dyDescent="0.25">
      <c r="A836" s="32">
        <v>46244</v>
      </c>
      <c r="B836" s="33" t="s">
        <v>32</v>
      </c>
      <c r="C836" s="33" t="s">
        <v>536</v>
      </c>
      <c r="D836" s="33" t="s">
        <v>32</v>
      </c>
      <c r="E836">
        <v>4</v>
      </c>
      <c r="F836" s="34">
        <v>1.744212962962963E-2</v>
      </c>
      <c r="G836" s="34">
        <v>4.3605324074074076E-3</v>
      </c>
      <c r="H836" s="34">
        <v>0.25114583333333335</v>
      </c>
      <c r="I836" s="34">
        <v>0.23752314814814815</v>
      </c>
      <c r="J836" s="35">
        <v>0.94575786902622239</v>
      </c>
      <c r="K836" s="33" t="s">
        <v>38</v>
      </c>
      <c r="L836" s="33" t="s">
        <v>100</v>
      </c>
    </row>
    <row r="837" spans="1:12" x14ac:dyDescent="0.25">
      <c r="A837" s="32">
        <v>46244</v>
      </c>
      <c r="B837" s="33" t="s">
        <v>32</v>
      </c>
      <c r="C837" s="33" t="s">
        <v>515</v>
      </c>
      <c r="D837" s="33" t="s">
        <v>147</v>
      </c>
      <c r="E837">
        <v>11</v>
      </c>
      <c r="F837" s="34">
        <v>1.6689814814814814E-2</v>
      </c>
      <c r="G837" s="34">
        <v>1.5172558922558921E-3</v>
      </c>
      <c r="H837" s="34">
        <v>0.2628240740740741</v>
      </c>
      <c r="I837" s="34">
        <v>3.4756944444444444E-2</v>
      </c>
      <c r="J837" s="35">
        <v>0.13224414303329221</v>
      </c>
      <c r="K837" s="33" t="s">
        <v>154</v>
      </c>
      <c r="L837" s="33" t="s">
        <v>146</v>
      </c>
    </row>
    <row r="838" spans="1:12" x14ac:dyDescent="0.25">
      <c r="A838" s="32">
        <v>46244</v>
      </c>
      <c r="B838" s="33" t="s">
        <v>32</v>
      </c>
      <c r="C838" s="33" t="s">
        <v>516</v>
      </c>
      <c r="D838" s="33" t="s">
        <v>147</v>
      </c>
      <c r="E838">
        <v>10</v>
      </c>
      <c r="F838" s="34">
        <v>1.1828703703703704E-2</v>
      </c>
      <c r="G838" s="34">
        <v>1.1828703703703704E-3</v>
      </c>
      <c r="H838" s="34">
        <v>0.27464120370370371</v>
      </c>
      <c r="I838" s="34">
        <v>4.9756944444444444E-2</v>
      </c>
      <c r="J838" s="35">
        <v>0.1811707193729192</v>
      </c>
      <c r="K838" s="33" t="s">
        <v>156</v>
      </c>
      <c r="L838" s="33" t="s">
        <v>146</v>
      </c>
    </row>
    <row r="839" spans="1:12" x14ac:dyDescent="0.25">
      <c r="A839" s="32">
        <v>46244</v>
      </c>
      <c r="B839" s="33" t="s">
        <v>32</v>
      </c>
      <c r="C839" s="33" t="s">
        <v>506</v>
      </c>
      <c r="D839" s="33" t="s">
        <v>32</v>
      </c>
      <c r="E839">
        <v>33</v>
      </c>
      <c r="F839" s="34">
        <v>0.16623842592592591</v>
      </c>
      <c r="G839" s="34">
        <v>5.0375280583613916E-3</v>
      </c>
      <c r="H839" s="34">
        <v>0.26233796296296297</v>
      </c>
      <c r="I839" s="34">
        <v>3.9120370370370368E-2</v>
      </c>
      <c r="J839" s="35">
        <v>0.1491220330009706</v>
      </c>
      <c r="K839" s="33" t="s">
        <v>44</v>
      </c>
      <c r="L839" s="33" t="s">
        <v>100</v>
      </c>
    </row>
    <row r="840" spans="1:12" x14ac:dyDescent="0.25">
      <c r="A840" s="32">
        <v>46244</v>
      </c>
      <c r="B840" s="33" t="s">
        <v>32</v>
      </c>
      <c r="C840" s="33" t="s">
        <v>646</v>
      </c>
      <c r="D840" s="33" t="s">
        <v>32</v>
      </c>
      <c r="E840">
        <v>43</v>
      </c>
      <c r="F840" s="34">
        <v>0.17996527777777777</v>
      </c>
      <c r="G840" s="34">
        <v>4.1852390180878553E-3</v>
      </c>
      <c r="H840" s="34">
        <v>0.26349537037037035</v>
      </c>
      <c r="I840" s="34">
        <v>3.4386574074074076E-2</v>
      </c>
      <c r="J840" s="35">
        <v>0.13050162523060707</v>
      </c>
      <c r="K840" s="33" t="s">
        <v>645</v>
      </c>
      <c r="L840" s="33" t="s">
        <v>100</v>
      </c>
    </row>
    <row r="841" spans="1:12" x14ac:dyDescent="0.25">
      <c r="A841" s="32">
        <v>46244</v>
      </c>
      <c r="B841" s="33" t="s">
        <v>32</v>
      </c>
      <c r="C841" s="33" t="s">
        <v>544</v>
      </c>
      <c r="D841" s="33" t="s">
        <v>147</v>
      </c>
      <c r="E841">
        <v>10</v>
      </c>
      <c r="F841" s="34">
        <v>1.2719907407407407E-2</v>
      </c>
      <c r="G841" s="34">
        <v>1.2719907407407406E-3</v>
      </c>
      <c r="H841" s="34">
        <v>0.26765046296296297</v>
      </c>
      <c r="I841" s="34">
        <v>5.2847222222222219E-2</v>
      </c>
      <c r="J841" s="35">
        <v>0.19744864864864864</v>
      </c>
      <c r="K841" s="33" t="s">
        <v>160</v>
      </c>
      <c r="L841" s="33" t="s">
        <v>146</v>
      </c>
    </row>
    <row r="842" spans="1:12" x14ac:dyDescent="0.25">
      <c r="A842" s="32">
        <v>46244</v>
      </c>
      <c r="B842" s="33" t="s">
        <v>32</v>
      </c>
      <c r="C842" s="33" t="s">
        <v>558</v>
      </c>
      <c r="D842" s="33" t="s">
        <v>32</v>
      </c>
      <c r="E842">
        <v>48</v>
      </c>
      <c r="F842" s="34">
        <v>0.13994212962962962</v>
      </c>
      <c r="G842" s="34">
        <v>2.9154610339506173E-3</v>
      </c>
      <c r="H842" s="34">
        <v>0.25944444444444442</v>
      </c>
      <c r="I842" s="34">
        <v>3.5046296296296298E-2</v>
      </c>
      <c r="J842" s="35">
        <v>0.13508208422555321</v>
      </c>
      <c r="K842" s="33" t="s">
        <v>120</v>
      </c>
      <c r="L842" s="33" t="s">
        <v>233</v>
      </c>
    </row>
    <row r="843" spans="1:12" x14ac:dyDescent="0.25">
      <c r="A843" s="32">
        <v>46244</v>
      </c>
      <c r="B843" s="33" t="s">
        <v>32</v>
      </c>
      <c r="C843" s="33" t="s">
        <v>507</v>
      </c>
      <c r="D843" s="33" t="s">
        <v>32</v>
      </c>
      <c r="E843">
        <v>44</v>
      </c>
      <c r="F843" s="34">
        <v>0.17393518518518519</v>
      </c>
      <c r="G843" s="34">
        <v>3.9530723905723906E-3</v>
      </c>
      <c r="H843" s="34">
        <v>0.26416666666666666</v>
      </c>
      <c r="I843" s="34">
        <v>3.4884259259259261E-2</v>
      </c>
      <c r="J843" s="35">
        <v>0.13205397826848933</v>
      </c>
      <c r="K843" s="33" t="s">
        <v>46</v>
      </c>
      <c r="L843" s="33" t="s">
        <v>100</v>
      </c>
    </row>
    <row r="844" spans="1:12" x14ac:dyDescent="0.25">
      <c r="A844" s="32">
        <v>46244</v>
      </c>
      <c r="B844" s="33" t="s">
        <v>32</v>
      </c>
      <c r="C844" s="33" t="s">
        <v>517</v>
      </c>
      <c r="D844" s="33" t="s">
        <v>147</v>
      </c>
      <c r="E844">
        <v>10</v>
      </c>
      <c r="F844" s="34">
        <v>3.4953703703703702E-2</v>
      </c>
      <c r="G844" s="34">
        <v>3.49537037037037E-3</v>
      </c>
      <c r="H844" s="34">
        <v>0.25908564814814816</v>
      </c>
      <c r="I844" s="34">
        <v>4.3541666666666666E-2</v>
      </c>
      <c r="J844" s="35">
        <v>0.16805896805896806</v>
      </c>
      <c r="K844" s="33" t="s">
        <v>499</v>
      </c>
      <c r="L844" s="33" t="s">
        <v>146</v>
      </c>
    </row>
    <row r="845" spans="1:12" x14ac:dyDescent="0.25">
      <c r="A845" s="32">
        <v>46244</v>
      </c>
      <c r="B845" s="33" t="s">
        <v>32</v>
      </c>
      <c r="C845" s="33" t="s">
        <v>648</v>
      </c>
      <c r="D845" s="33" t="s">
        <v>32</v>
      </c>
      <c r="E845">
        <v>33</v>
      </c>
      <c r="F845" s="34">
        <v>0.14221064814814816</v>
      </c>
      <c r="G845" s="34">
        <v>4.3094135802469137E-3</v>
      </c>
      <c r="H845" s="34">
        <v>0.26017361111111109</v>
      </c>
      <c r="I845" s="34">
        <v>4.2060185185185187E-2</v>
      </c>
      <c r="J845" s="35">
        <v>0.16166199564037548</v>
      </c>
      <c r="K845" s="33" t="s">
        <v>647</v>
      </c>
      <c r="L845" s="33" t="s">
        <v>233</v>
      </c>
    </row>
    <row r="846" spans="1:12" x14ac:dyDescent="0.25">
      <c r="A846" s="32">
        <v>46244</v>
      </c>
      <c r="B846" s="33" t="s">
        <v>32</v>
      </c>
      <c r="C846" s="33" t="s">
        <v>650</v>
      </c>
      <c r="D846" s="33" t="s">
        <v>105</v>
      </c>
      <c r="E846">
        <v>10</v>
      </c>
      <c r="F846" s="34">
        <v>4.0740740740740744E-2</v>
      </c>
      <c r="G846" s="34">
        <v>4.0740740740740746E-3</v>
      </c>
      <c r="H846" s="34">
        <v>0.34038194444444442</v>
      </c>
      <c r="I846" s="34">
        <v>0.17054398148148148</v>
      </c>
      <c r="J846" s="35">
        <v>0.50103709748716385</v>
      </c>
      <c r="K846" s="33" t="s">
        <v>649</v>
      </c>
      <c r="L846" s="33" t="s">
        <v>104</v>
      </c>
    </row>
    <row r="847" spans="1:12" x14ac:dyDescent="0.25">
      <c r="A847" s="32">
        <v>46244</v>
      </c>
      <c r="B847" s="33" t="s">
        <v>32</v>
      </c>
      <c r="C847" s="33" t="s">
        <v>568</v>
      </c>
      <c r="D847" s="33" t="s">
        <v>32</v>
      </c>
      <c r="E847">
        <v>40</v>
      </c>
      <c r="F847" s="34">
        <v>0.20607638888888888</v>
      </c>
      <c r="G847" s="34">
        <v>5.1519097222222218E-3</v>
      </c>
      <c r="H847" s="34">
        <v>0.3556597222222222</v>
      </c>
      <c r="I847" s="34">
        <v>4.6990740740740743E-2</v>
      </c>
      <c r="J847" s="35">
        <v>0.13212275049627389</v>
      </c>
      <c r="K847" s="33" t="s">
        <v>246</v>
      </c>
      <c r="L847" s="33" t="s">
        <v>233</v>
      </c>
    </row>
    <row r="848" spans="1:12" x14ac:dyDescent="0.25">
      <c r="A848" s="32">
        <v>46244</v>
      </c>
      <c r="B848" s="33" t="s">
        <v>32</v>
      </c>
      <c r="C848" s="33" t="s">
        <v>538</v>
      </c>
      <c r="D848" s="33" t="s">
        <v>32</v>
      </c>
      <c r="E848">
        <v>7</v>
      </c>
      <c r="F848" s="34">
        <v>1.7465277777777777E-2</v>
      </c>
      <c r="G848" s="34">
        <v>2.4950396825396824E-3</v>
      </c>
      <c r="H848" s="34">
        <v>0.24403935185185185</v>
      </c>
      <c r="I848" s="34">
        <v>0.22443287037037038</v>
      </c>
      <c r="J848" s="35">
        <v>0.91965852501778522</v>
      </c>
      <c r="K848" s="33" t="s">
        <v>50</v>
      </c>
      <c r="L848" s="33" t="s">
        <v>100</v>
      </c>
    </row>
    <row r="849" spans="1:12" x14ac:dyDescent="0.25">
      <c r="A849" s="32">
        <v>46244</v>
      </c>
      <c r="B849" s="33" t="s">
        <v>32</v>
      </c>
      <c r="C849" s="33" t="s">
        <v>603</v>
      </c>
      <c r="D849" s="33" t="s">
        <v>32</v>
      </c>
      <c r="E849">
        <v>28</v>
      </c>
      <c r="F849" s="34">
        <v>0.15961805555555555</v>
      </c>
      <c r="G849" s="34">
        <v>5.7006448412698415E-3</v>
      </c>
      <c r="H849" s="34">
        <v>0.26511574074074074</v>
      </c>
      <c r="I849" s="34">
        <v>1.5196759259259259E-2</v>
      </c>
      <c r="J849" s="35">
        <v>5.7321225879682178E-2</v>
      </c>
      <c r="K849" s="33" t="s">
        <v>242</v>
      </c>
      <c r="L849" s="33" t="s">
        <v>233</v>
      </c>
    </row>
    <row r="850" spans="1:12" x14ac:dyDescent="0.25">
      <c r="A850" s="32">
        <v>46244</v>
      </c>
      <c r="B850" s="33" t="s">
        <v>32</v>
      </c>
      <c r="C850" s="33" t="s">
        <v>249</v>
      </c>
      <c r="D850" s="33" t="s">
        <v>80</v>
      </c>
      <c r="E850">
        <v>1</v>
      </c>
      <c r="F850" s="34">
        <v>3.7870370370370374E-2</v>
      </c>
      <c r="G850" s="34">
        <v>3.7870370370370374E-2</v>
      </c>
      <c r="H850" s="34">
        <v>0.29121527777777778</v>
      </c>
      <c r="I850" s="34">
        <v>3.1944444444444446E-3</v>
      </c>
      <c r="J850" s="35">
        <v>1.0969357338738524E-2</v>
      </c>
      <c r="K850" s="33" t="s">
        <v>248</v>
      </c>
      <c r="L850" s="33" t="s">
        <v>78</v>
      </c>
    </row>
    <row r="851" spans="1:12" x14ac:dyDescent="0.25">
      <c r="A851" s="32">
        <v>46244</v>
      </c>
      <c r="B851" s="33" t="s">
        <v>32</v>
      </c>
      <c r="C851" s="33" t="s">
        <v>518</v>
      </c>
      <c r="D851" s="33" t="s">
        <v>147</v>
      </c>
      <c r="E851">
        <v>6</v>
      </c>
      <c r="F851" s="34">
        <v>2.5949074074074076E-2</v>
      </c>
      <c r="G851" s="34">
        <v>4.3248456790123463E-3</v>
      </c>
      <c r="H851" s="34">
        <v>0.26100694444444444</v>
      </c>
      <c r="I851" s="34">
        <v>2.6064814814814815E-2</v>
      </c>
      <c r="J851" s="35">
        <v>9.98625338122478E-2</v>
      </c>
      <c r="K851" s="33" t="s">
        <v>500</v>
      </c>
      <c r="L851" s="33" t="s">
        <v>274</v>
      </c>
    </row>
    <row r="852" spans="1:12" x14ac:dyDescent="0.25">
      <c r="A852" s="32">
        <v>46244</v>
      </c>
      <c r="B852" s="33" t="s">
        <v>32</v>
      </c>
      <c r="C852" s="33" t="s">
        <v>684</v>
      </c>
      <c r="D852" s="33" t="s">
        <v>32</v>
      </c>
      <c r="E852">
        <v>30</v>
      </c>
      <c r="F852" s="34">
        <v>0.14435185185185184</v>
      </c>
      <c r="G852" s="34">
        <v>4.8117283950617285E-3</v>
      </c>
      <c r="H852" s="34">
        <v>0.25524305555555554</v>
      </c>
      <c r="I852" s="34">
        <v>4.445601851851852E-2</v>
      </c>
      <c r="J852" s="35">
        <v>0.17417131456037729</v>
      </c>
      <c r="K852" s="33" t="s">
        <v>683</v>
      </c>
      <c r="L852" s="33" t="s">
        <v>233</v>
      </c>
    </row>
    <row r="853" spans="1:12" x14ac:dyDescent="0.25">
      <c r="A853" s="32">
        <v>46244</v>
      </c>
      <c r="B853" s="33" t="s">
        <v>32</v>
      </c>
      <c r="C853" s="33" t="s">
        <v>654</v>
      </c>
      <c r="D853" s="33" t="s">
        <v>32</v>
      </c>
      <c r="E853">
        <v>41</v>
      </c>
      <c r="F853" s="34">
        <v>0.1519212962962963</v>
      </c>
      <c r="G853" s="34">
        <v>3.7053974706413731E-3</v>
      </c>
      <c r="H853" s="34">
        <v>0.25082175925925926</v>
      </c>
      <c r="I853" s="34">
        <v>3.6701388888888888E-2</v>
      </c>
      <c r="J853" s="35">
        <v>0.14632458123759862</v>
      </c>
      <c r="K853" s="33" t="s">
        <v>653</v>
      </c>
      <c r="L853" s="33" t="s">
        <v>100</v>
      </c>
    </row>
    <row r="854" spans="1:12" x14ac:dyDescent="0.25">
      <c r="A854" s="32">
        <v>46244</v>
      </c>
      <c r="B854" s="33" t="s">
        <v>32</v>
      </c>
      <c r="C854" s="33" t="s">
        <v>509</v>
      </c>
      <c r="D854" s="33" t="s">
        <v>32</v>
      </c>
      <c r="E854">
        <v>7</v>
      </c>
      <c r="F854" s="34">
        <v>3.9745370370370368E-2</v>
      </c>
      <c r="G854" s="34">
        <v>5.6779100529100526E-3</v>
      </c>
      <c r="H854" s="34">
        <v>0.25140046296296298</v>
      </c>
      <c r="I854" s="34">
        <v>0.21981481481481482</v>
      </c>
      <c r="J854" s="35">
        <v>0.87436121725519078</v>
      </c>
      <c r="K854" s="33" t="s">
        <v>52</v>
      </c>
      <c r="L854" s="33" t="s">
        <v>100</v>
      </c>
    </row>
    <row r="855" spans="1:12" x14ac:dyDescent="0.25">
      <c r="A855" s="32">
        <v>46244</v>
      </c>
      <c r="B855" s="33" t="s">
        <v>32</v>
      </c>
      <c r="C855" s="33" t="s">
        <v>656</v>
      </c>
      <c r="D855" s="33" t="s">
        <v>32</v>
      </c>
      <c r="E855">
        <v>35</v>
      </c>
      <c r="F855" s="34">
        <v>0.16173611111111111</v>
      </c>
      <c r="G855" s="34">
        <v>4.6210317460317462E-3</v>
      </c>
      <c r="H855" s="34">
        <v>0.26194444444444442</v>
      </c>
      <c r="I855" s="34">
        <v>3.3113425925925928E-2</v>
      </c>
      <c r="J855" s="35">
        <v>0.1264139271827501</v>
      </c>
      <c r="K855" s="33" t="s">
        <v>655</v>
      </c>
      <c r="L855" s="33" t="s">
        <v>100</v>
      </c>
    </row>
    <row r="856" spans="1:12" x14ac:dyDescent="0.25">
      <c r="A856" s="32">
        <v>46244</v>
      </c>
      <c r="B856" s="33" t="s">
        <v>32</v>
      </c>
      <c r="C856" s="33" t="s">
        <v>167</v>
      </c>
      <c r="D856" s="33" t="s">
        <v>147</v>
      </c>
      <c r="E856">
        <v>14</v>
      </c>
      <c r="F856" s="34">
        <v>1.9050925925925926E-2</v>
      </c>
      <c r="G856" s="34">
        <v>1.3607804232804233E-3</v>
      </c>
      <c r="H856" s="34">
        <v>0.25230324074074073</v>
      </c>
      <c r="I856" s="34">
        <v>4.4710648148148145E-2</v>
      </c>
      <c r="J856" s="35">
        <v>0.17720996375980549</v>
      </c>
      <c r="K856" s="33" t="s">
        <v>166</v>
      </c>
      <c r="L856" s="33" t="s">
        <v>146</v>
      </c>
    </row>
    <row r="857" spans="1:12" x14ac:dyDescent="0.25">
      <c r="A857" s="32">
        <v>46244</v>
      </c>
      <c r="B857" s="33" t="s">
        <v>32</v>
      </c>
      <c r="C857" s="33" t="s">
        <v>658</v>
      </c>
      <c r="D857" s="33" t="s">
        <v>147</v>
      </c>
      <c r="E857">
        <v>10</v>
      </c>
      <c r="F857" s="34">
        <v>5.6782407407407406E-2</v>
      </c>
      <c r="G857" s="34">
        <v>5.6782407407407406E-3</v>
      </c>
      <c r="H857" s="34">
        <v>0.26459490740740743</v>
      </c>
      <c r="I857" s="34">
        <v>3.0787037037037036E-2</v>
      </c>
      <c r="J857" s="35">
        <v>0.11635536503215081</v>
      </c>
      <c r="K857" s="33" t="s">
        <v>657</v>
      </c>
      <c r="L857" s="33" t="s">
        <v>274</v>
      </c>
    </row>
    <row r="858" spans="1:12" x14ac:dyDescent="0.25">
      <c r="A858" s="32">
        <v>46244</v>
      </c>
      <c r="B858" s="33" t="s">
        <v>32</v>
      </c>
      <c r="C858" s="33" t="s">
        <v>660</v>
      </c>
      <c r="D858" s="33" t="s">
        <v>32</v>
      </c>
      <c r="E858">
        <v>5</v>
      </c>
      <c r="F858" s="34">
        <v>3.6736111111111108E-2</v>
      </c>
      <c r="G858" s="34">
        <v>7.347222222222222E-3</v>
      </c>
      <c r="H858" s="34">
        <v>0.22777777777777777</v>
      </c>
      <c r="I858" s="34">
        <v>0.19533564814814816</v>
      </c>
      <c r="J858" s="35">
        <v>0.8575711382113822</v>
      </c>
      <c r="K858" s="33" t="s">
        <v>659</v>
      </c>
      <c r="L858" s="33" t="s">
        <v>100</v>
      </c>
    </row>
    <row r="859" spans="1:12" x14ac:dyDescent="0.25">
      <c r="A859" s="32">
        <v>46244</v>
      </c>
      <c r="B859" s="33" t="s">
        <v>32</v>
      </c>
      <c r="C859" s="33" t="s">
        <v>528</v>
      </c>
      <c r="D859" s="33" t="s">
        <v>32</v>
      </c>
      <c r="E859">
        <v>26</v>
      </c>
      <c r="F859" s="34">
        <v>0.12406250000000001</v>
      </c>
      <c r="G859" s="34">
        <v>4.771634615384616E-3</v>
      </c>
      <c r="H859" s="34">
        <v>0.2682060185185185</v>
      </c>
      <c r="I859" s="34">
        <v>5.3229166666666668E-2</v>
      </c>
      <c r="J859" s="35">
        <v>0.19846372934018039</v>
      </c>
      <c r="K859" s="33" t="s">
        <v>254</v>
      </c>
      <c r="L859" s="33" t="s">
        <v>233</v>
      </c>
    </row>
    <row r="860" spans="1:12" x14ac:dyDescent="0.25">
      <c r="A860" s="32">
        <v>46244</v>
      </c>
      <c r="B860" s="33" t="s">
        <v>32</v>
      </c>
      <c r="C860" s="33" t="s">
        <v>520</v>
      </c>
      <c r="D860" s="33" t="s">
        <v>147</v>
      </c>
      <c r="E860">
        <v>12</v>
      </c>
      <c r="F860" s="34">
        <v>4.3657407407407409E-2</v>
      </c>
      <c r="G860" s="34">
        <v>3.6381172839506175E-3</v>
      </c>
      <c r="H860" s="34">
        <v>0.26947916666666666</v>
      </c>
      <c r="I860" s="34">
        <v>3.9050925925925926E-2</v>
      </c>
      <c r="J860" s="35">
        <v>0.1449125971739037</v>
      </c>
      <c r="K860" s="33" t="s">
        <v>168</v>
      </c>
      <c r="L860" s="33" t="s">
        <v>274</v>
      </c>
    </row>
    <row r="861" spans="1:12" x14ac:dyDescent="0.25">
      <c r="A861" s="32">
        <v>46244</v>
      </c>
      <c r="B861" s="33" t="s">
        <v>32</v>
      </c>
      <c r="C861" s="33" t="s">
        <v>521</v>
      </c>
      <c r="D861" s="33" t="s">
        <v>147</v>
      </c>
      <c r="E861">
        <v>8</v>
      </c>
      <c r="F861" s="34">
        <v>4.2997685185185187E-2</v>
      </c>
      <c r="G861" s="34">
        <v>5.3747106481481484E-3</v>
      </c>
      <c r="H861" s="34">
        <v>0.25451388888888887</v>
      </c>
      <c r="I861" s="34">
        <v>4.4259259259259262E-2</v>
      </c>
      <c r="J861" s="35">
        <v>0.17389722601182359</v>
      </c>
      <c r="K861" s="33" t="s">
        <v>170</v>
      </c>
      <c r="L861" s="33" t="s">
        <v>146</v>
      </c>
    </row>
    <row r="862" spans="1:12" x14ac:dyDescent="0.25">
      <c r="A862" s="32">
        <v>46244</v>
      </c>
      <c r="B862" s="33" t="s">
        <v>32</v>
      </c>
      <c r="C862" s="33" t="s">
        <v>529</v>
      </c>
      <c r="D862" s="33" t="s">
        <v>32</v>
      </c>
      <c r="E862">
        <v>27</v>
      </c>
      <c r="F862" s="34">
        <v>7.1006944444444442E-2</v>
      </c>
      <c r="G862" s="34">
        <v>2.6298868312757202E-3</v>
      </c>
      <c r="H862" s="34">
        <v>0.24931712962962962</v>
      </c>
      <c r="I862" s="34">
        <v>7.0567129629629632E-2</v>
      </c>
      <c r="J862" s="35">
        <v>0.28304164152082079</v>
      </c>
      <c r="K862" s="33" t="s">
        <v>256</v>
      </c>
      <c r="L862" s="33" t="s">
        <v>233</v>
      </c>
    </row>
    <row r="863" spans="1:12" x14ac:dyDescent="0.25">
      <c r="A863" s="32">
        <v>46244</v>
      </c>
      <c r="B863" s="33" t="s">
        <v>32</v>
      </c>
      <c r="C863" s="33" t="s">
        <v>554</v>
      </c>
      <c r="D863" s="33" t="s">
        <v>32</v>
      </c>
      <c r="E863">
        <v>4</v>
      </c>
      <c r="F863" s="34">
        <v>1.5671296296296298E-2</v>
      </c>
      <c r="G863" s="34">
        <v>3.9178240740740744E-3</v>
      </c>
      <c r="H863" s="34">
        <v>0.24201388888888889</v>
      </c>
      <c r="I863" s="34">
        <v>0.21930555555555556</v>
      </c>
      <c r="J863" s="35">
        <v>0.90616929698708748</v>
      </c>
      <c r="K863" s="33" t="s">
        <v>258</v>
      </c>
      <c r="L863" s="33" t="s">
        <v>233</v>
      </c>
    </row>
    <row r="864" spans="1:12" x14ac:dyDescent="0.25">
      <c r="A864" s="32">
        <v>46244</v>
      </c>
      <c r="B864" s="33" t="s">
        <v>32</v>
      </c>
      <c r="C864" s="33" t="s">
        <v>662</v>
      </c>
      <c r="D864" s="33" t="s">
        <v>32</v>
      </c>
      <c r="E864">
        <v>45</v>
      </c>
      <c r="F864" s="34">
        <v>0.15459490740740742</v>
      </c>
      <c r="G864" s="34">
        <v>3.4354423868312761E-3</v>
      </c>
      <c r="H864" s="34">
        <v>0.26120370370370372</v>
      </c>
      <c r="I864" s="34">
        <v>4.4224537037037034E-2</v>
      </c>
      <c r="J864" s="35">
        <v>0.16931052818149592</v>
      </c>
      <c r="K864" s="33" t="s">
        <v>661</v>
      </c>
      <c r="L864" s="33" t="s">
        <v>100</v>
      </c>
    </row>
    <row r="865" spans="1:12" x14ac:dyDescent="0.25">
      <c r="A865" s="32">
        <v>46244</v>
      </c>
      <c r="B865" s="33" t="s">
        <v>32</v>
      </c>
      <c r="C865" s="33" t="s">
        <v>664</v>
      </c>
      <c r="D865" s="33" t="s">
        <v>32</v>
      </c>
      <c r="E865">
        <v>22</v>
      </c>
      <c r="F865" s="34">
        <v>0.15608796296296296</v>
      </c>
      <c r="G865" s="34">
        <v>7.0949074074074074E-3</v>
      </c>
      <c r="H865" s="34">
        <v>0.25586805555555553</v>
      </c>
      <c r="I865" s="34">
        <v>4.0972222222222222E-2</v>
      </c>
      <c r="J865" s="35">
        <v>0.16013027547835529</v>
      </c>
      <c r="K865" s="33" t="s">
        <v>663</v>
      </c>
      <c r="L865" s="33" t="s">
        <v>233</v>
      </c>
    </row>
    <row r="866" spans="1:12" x14ac:dyDescent="0.25">
      <c r="A866" s="32">
        <v>46244</v>
      </c>
      <c r="B866" s="33" t="s">
        <v>32</v>
      </c>
      <c r="C866" s="33" t="s">
        <v>666</v>
      </c>
      <c r="D866" s="33" t="s">
        <v>32</v>
      </c>
      <c r="E866">
        <v>41</v>
      </c>
      <c r="F866" s="34">
        <v>0.1733912037037037</v>
      </c>
      <c r="G866" s="34">
        <v>4.2290537488708221E-3</v>
      </c>
      <c r="H866" s="34">
        <v>0.25532407407407409</v>
      </c>
      <c r="I866" s="34">
        <v>2.2395833333333334E-2</v>
      </c>
      <c r="J866" s="35">
        <v>8.7715321849501357E-2</v>
      </c>
      <c r="K866" s="33" t="s">
        <v>665</v>
      </c>
      <c r="L866" s="33" t="s">
        <v>100</v>
      </c>
    </row>
    <row r="867" spans="1:12" x14ac:dyDescent="0.25">
      <c r="A867" s="32">
        <v>46244</v>
      </c>
      <c r="B867" s="33" t="s">
        <v>32</v>
      </c>
      <c r="C867" s="33" t="s">
        <v>555</v>
      </c>
      <c r="D867" s="33" t="s">
        <v>32</v>
      </c>
      <c r="E867">
        <v>34</v>
      </c>
      <c r="F867" s="34">
        <v>0.13476851851851851</v>
      </c>
      <c r="G867" s="34">
        <v>3.9637799564270146E-3</v>
      </c>
      <c r="H867" s="34">
        <v>0.25048611111111113</v>
      </c>
      <c r="I867" s="34">
        <v>5.7604166666666665E-2</v>
      </c>
      <c r="J867" s="35">
        <v>0.22996950374272246</v>
      </c>
      <c r="K867" s="33" t="s">
        <v>128</v>
      </c>
      <c r="L867" s="33" t="s">
        <v>233</v>
      </c>
    </row>
    <row r="868" spans="1:12" x14ac:dyDescent="0.25">
      <c r="A868" s="32">
        <v>46244</v>
      </c>
      <c r="B868" s="33" t="s">
        <v>32</v>
      </c>
      <c r="C868" s="33" t="s">
        <v>522</v>
      </c>
      <c r="D868" s="33" t="s">
        <v>147</v>
      </c>
      <c r="E868">
        <v>5</v>
      </c>
      <c r="F868" s="34">
        <v>2.826388888888889E-2</v>
      </c>
      <c r="G868" s="34">
        <v>5.6527777777777783E-3</v>
      </c>
      <c r="H868" s="34">
        <v>0.26386574074074076</v>
      </c>
      <c r="I868" s="34">
        <v>2.5300925925925925E-2</v>
      </c>
      <c r="J868" s="35">
        <v>9.5885604000350899E-2</v>
      </c>
      <c r="K868" s="33" t="s">
        <v>178</v>
      </c>
      <c r="L868" s="33" t="s">
        <v>146</v>
      </c>
    </row>
    <row r="869" spans="1:12" x14ac:dyDescent="0.25">
      <c r="A869" s="32">
        <v>46244</v>
      </c>
      <c r="B869" s="33" t="s">
        <v>32</v>
      </c>
      <c r="C869" s="33" t="s">
        <v>523</v>
      </c>
      <c r="D869" s="33" t="s">
        <v>147</v>
      </c>
      <c r="E869">
        <v>13</v>
      </c>
      <c r="F869" s="34">
        <v>2.9849537037037036E-2</v>
      </c>
      <c r="G869" s="34">
        <v>2.2961182336182335E-3</v>
      </c>
      <c r="H869" s="34">
        <v>0.32145833333333335</v>
      </c>
      <c r="I869" s="34">
        <v>3.2118055555555552E-2</v>
      </c>
      <c r="J869" s="35">
        <v>9.9913588248001714E-2</v>
      </c>
      <c r="K869" s="33" t="s">
        <v>180</v>
      </c>
      <c r="L869" s="33" t="s">
        <v>146</v>
      </c>
    </row>
    <row r="870" spans="1:12" x14ac:dyDescent="0.25">
      <c r="A870" s="32">
        <v>46244</v>
      </c>
      <c r="B870" s="33" t="s">
        <v>32</v>
      </c>
      <c r="C870" s="33" t="s">
        <v>566</v>
      </c>
      <c r="D870" s="33" t="s">
        <v>147</v>
      </c>
      <c r="E870">
        <v>8</v>
      </c>
      <c r="F870" s="34">
        <v>2.3136574074074073E-2</v>
      </c>
      <c r="G870" s="34">
        <v>2.8920717592592592E-3</v>
      </c>
      <c r="H870" s="34">
        <v>0.26521990740740742</v>
      </c>
      <c r="I870" s="34">
        <v>3.3472222222222223E-2</v>
      </c>
      <c r="J870" s="35">
        <v>0.12620554222125246</v>
      </c>
      <c r="K870" s="33" t="s">
        <v>207</v>
      </c>
      <c r="L870" s="33" t="s">
        <v>274</v>
      </c>
    </row>
    <row r="871" spans="1:12" x14ac:dyDescent="0.25">
      <c r="A871" s="32">
        <v>46244</v>
      </c>
      <c r="B871" s="33" t="s">
        <v>32</v>
      </c>
      <c r="C871" s="33" t="s">
        <v>510</v>
      </c>
      <c r="D871" s="33" t="s">
        <v>32</v>
      </c>
      <c r="E871">
        <v>23</v>
      </c>
      <c r="F871" s="34">
        <v>0.1072337962962963</v>
      </c>
      <c r="G871" s="34">
        <v>4.6623389694041865E-3</v>
      </c>
      <c r="H871" s="34">
        <v>0.11918981481481482</v>
      </c>
      <c r="I871" s="34">
        <v>1.2222222222222223E-2</v>
      </c>
      <c r="J871" s="35">
        <v>0.10254418333657021</v>
      </c>
      <c r="K871" s="33" t="s">
        <v>60</v>
      </c>
      <c r="L871" s="33" t="s">
        <v>100</v>
      </c>
    </row>
    <row r="872" spans="1:12" x14ac:dyDescent="0.25">
      <c r="A872" s="32">
        <v>46244</v>
      </c>
      <c r="B872" s="33" t="s">
        <v>32</v>
      </c>
      <c r="C872" s="33" t="s">
        <v>524</v>
      </c>
      <c r="D872" s="33" t="s">
        <v>147</v>
      </c>
      <c r="E872">
        <v>6</v>
      </c>
      <c r="F872" s="34">
        <v>1.9351851851851853E-2</v>
      </c>
      <c r="G872" s="34">
        <v>3.2253086419753089E-3</v>
      </c>
      <c r="H872" s="34">
        <v>0.31214120370370368</v>
      </c>
      <c r="I872" s="34">
        <v>4.4618055555555557E-2</v>
      </c>
      <c r="J872" s="35">
        <v>0.14294189625125145</v>
      </c>
      <c r="K872" s="33" t="s">
        <v>501</v>
      </c>
      <c r="L872" s="33" t="s">
        <v>274</v>
      </c>
    </row>
    <row r="873" spans="1:12" x14ac:dyDescent="0.25">
      <c r="A873" s="32">
        <v>46244</v>
      </c>
      <c r="B873" s="33" t="s">
        <v>32</v>
      </c>
      <c r="C873" s="33" t="s">
        <v>669</v>
      </c>
      <c r="D873" s="33" t="s">
        <v>32</v>
      </c>
      <c r="E873">
        <v>37</v>
      </c>
      <c r="F873" s="34">
        <v>0.15172453703703703</v>
      </c>
      <c r="G873" s="34">
        <v>4.1006631631631627E-3</v>
      </c>
      <c r="H873" s="34">
        <v>0.25564814814814812</v>
      </c>
      <c r="I873" s="34">
        <v>3.6597222222222225E-2</v>
      </c>
      <c r="J873" s="35">
        <v>0.14315465411082945</v>
      </c>
      <c r="K873" s="33" t="s">
        <v>668</v>
      </c>
      <c r="L873" s="33" t="s">
        <v>233</v>
      </c>
    </row>
    <row r="874" spans="1:12" x14ac:dyDescent="0.25">
      <c r="A874" s="32">
        <v>46244</v>
      </c>
      <c r="B874" s="33" t="s">
        <v>32</v>
      </c>
      <c r="C874" s="33" t="s">
        <v>670</v>
      </c>
      <c r="D874" s="33" t="s">
        <v>32</v>
      </c>
      <c r="E874">
        <v>35</v>
      </c>
      <c r="F874" s="34">
        <v>0.13523148148148148</v>
      </c>
      <c r="G874" s="34">
        <v>3.8637566137566135E-3</v>
      </c>
      <c r="H874" s="34">
        <v>0.2581134259259259</v>
      </c>
      <c r="I874" s="34">
        <v>5.7615740740740738E-2</v>
      </c>
      <c r="J874" s="35">
        <v>0.22321868974485451</v>
      </c>
      <c r="K874" s="33" t="s">
        <v>744</v>
      </c>
      <c r="L874" s="33" t="s">
        <v>100</v>
      </c>
    </row>
    <row r="875" spans="1:12" x14ac:dyDescent="0.25">
      <c r="A875" s="32">
        <v>46244</v>
      </c>
      <c r="B875" s="33" t="s">
        <v>32</v>
      </c>
      <c r="C875" s="33" t="s">
        <v>306</v>
      </c>
      <c r="D875" s="33" t="s">
        <v>32</v>
      </c>
      <c r="E875">
        <v>46</v>
      </c>
      <c r="F875" s="34">
        <v>0.1332986111111111</v>
      </c>
      <c r="G875" s="34">
        <v>2.8977958937198068E-3</v>
      </c>
      <c r="H875" s="34">
        <v>0.2603240740740741</v>
      </c>
      <c r="I875" s="34">
        <v>5.8125000000000003E-2</v>
      </c>
      <c r="J875" s="35">
        <v>0.22327938822692511</v>
      </c>
      <c r="K875" s="33" t="s">
        <v>305</v>
      </c>
      <c r="L875" s="33" t="s">
        <v>100</v>
      </c>
    </row>
    <row r="876" spans="1:12" x14ac:dyDescent="0.25">
      <c r="A876" s="32">
        <v>46244</v>
      </c>
      <c r="B876" s="33" t="s">
        <v>32</v>
      </c>
      <c r="C876" s="33" t="s">
        <v>556</v>
      </c>
      <c r="D876" s="33" t="s">
        <v>105</v>
      </c>
      <c r="E876">
        <v>10</v>
      </c>
      <c r="F876" s="34">
        <v>5.6354166666666664E-2</v>
      </c>
      <c r="G876" s="34">
        <v>5.6354166666666662E-3</v>
      </c>
      <c r="H876" s="34">
        <v>0.32982638888888888</v>
      </c>
      <c r="I876" s="34">
        <v>0.16668981481481482</v>
      </c>
      <c r="J876" s="35">
        <v>0.50538653191564031</v>
      </c>
      <c r="K876" s="33" t="s">
        <v>138</v>
      </c>
      <c r="L876" s="33" t="s">
        <v>104</v>
      </c>
    </row>
    <row r="877" spans="1:12" x14ac:dyDescent="0.25">
      <c r="A877" s="32">
        <v>46244</v>
      </c>
      <c r="B877" s="33" t="s">
        <v>32</v>
      </c>
      <c r="C877" s="33" t="s">
        <v>532</v>
      </c>
      <c r="D877" s="33" t="s">
        <v>32</v>
      </c>
      <c r="E877">
        <v>44</v>
      </c>
      <c r="F877" s="34">
        <v>0.10769675925925926</v>
      </c>
      <c r="G877" s="34">
        <v>2.4476536195286195E-3</v>
      </c>
      <c r="H877" s="34">
        <v>0.25979166666666664</v>
      </c>
      <c r="I877" s="34">
        <v>5.1562499999999997E-2</v>
      </c>
      <c r="J877" s="35">
        <v>0.19847634322373697</v>
      </c>
      <c r="K877" s="33" t="s">
        <v>276</v>
      </c>
      <c r="L877" s="33" t="s">
        <v>233</v>
      </c>
    </row>
    <row r="878" spans="1:12" x14ac:dyDescent="0.25">
      <c r="A878" s="32">
        <v>46244</v>
      </c>
      <c r="B878" s="33" t="s">
        <v>32</v>
      </c>
      <c r="C878" s="33" t="s">
        <v>533</v>
      </c>
      <c r="D878" s="33" t="s">
        <v>32</v>
      </c>
      <c r="E878">
        <v>26</v>
      </c>
      <c r="F878" s="34">
        <v>0.12795138888888888</v>
      </c>
      <c r="G878" s="34">
        <v>4.9212072649572648E-3</v>
      </c>
      <c r="H878" s="34">
        <v>0.26537037037037037</v>
      </c>
      <c r="I878" s="34">
        <v>3.8356481481481484E-2</v>
      </c>
      <c r="J878" s="35">
        <v>0.14453942777390091</v>
      </c>
      <c r="K878" s="33" t="s">
        <v>278</v>
      </c>
      <c r="L878" s="33" t="s">
        <v>233</v>
      </c>
    </row>
    <row r="879" spans="1:12" x14ac:dyDescent="0.25">
      <c r="A879" s="32">
        <v>46244</v>
      </c>
      <c r="B879" s="33" t="s">
        <v>32</v>
      </c>
      <c r="C879" s="33" t="s">
        <v>511</v>
      </c>
      <c r="D879" s="33" t="s">
        <v>80</v>
      </c>
      <c r="E879">
        <v>4</v>
      </c>
      <c r="F879" s="34">
        <v>7.9629629629629634E-3</v>
      </c>
      <c r="G879" s="34">
        <v>1.9907407407407408E-3</v>
      </c>
      <c r="H879" s="34">
        <v>0.2389236111111111</v>
      </c>
      <c r="I879" s="34">
        <v>3.1192129629629629E-2</v>
      </c>
      <c r="J879" s="35">
        <v>0.13055272973889454</v>
      </c>
      <c r="K879" s="33" t="s">
        <v>313</v>
      </c>
      <c r="L879" s="33" t="s">
        <v>78</v>
      </c>
    </row>
    <row r="880" spans="1:12" x14ac:dyDescent="0.25">
      <c r="A880" s="32">
        <v>46244</v>
      </c>
      <c r="B880" s="33" t="s">
        <v>32</v>
      </c>
      <c r="C880" s="33" t="s">
        <v>674</v>
      </c>
      <c r="D880" s="33" t="s">
        <v>105</v>
      </c>
      <c r="E880">
        <v>8</v>
      </c>
      <c r="F880" s="34">
        <v>2.5983796296296297E-2</v>
      </c>
      <c r="G880" s="34">
        <v>3.2479745370370371E-3</v>
      </c>
      <c r="H880" s="34">
        <v>0.29814814814814816</v>
      </c>
      <c r="I880" s="34">
        <v>0.15819444444444444</v>
      </c>
      <c r="J880" s="35">
        <v>0.53059006211180126</v>
      </c>
      <c r="K880" s="33" t="s">
        <v>673</v>
      </c>
      <c r="L880" s="33" t="s">
        <v>104</v>
      </c>
    </row>
    <row r="881" spans="1:12" x14ac:dyDescent="0.25">
      <c r="A881" s="32">
        <v>46244</v>
      </c>
      <c r="B881" s="33" t="s">
        <v>32</v>
      </c>
      <c r="C881" s="33" t="s">
        <v>534</v>
      </c>
      <c r="D881" s="33" t="s">
        <v>32</v>
      </c>
      <c r="E881">
        <v>3</v>
      </c>
      <c r="F881" s="34">
        <v>6.2037037037037035E-3</v>
      </c>
      <c r="G881" s="34">
        <v>2.0679012345679012E-3</v>
      </c>
      <c r="H881" s="34">
        <v>4.6759259259259257E-2</v>
      </c>
      <c r="I881" s="34">
        <v>5.5439814814814813E-3</v>
      </c>
      <c r="J881" s="35">
        <v>0.11856435643564357</v>
      </c>
      <c r="K881" s="33" t="s">
        <v>280</v>
      </c>
      <c r="L881" s="33" t="s">
        <v>233</v>
      </c>
    </row>
    <row r="882" spans="1:12" x14ac:dyDescent="0.25">
      <c r="A882" s="32">
        <v>46244</v>
      </c>
      <c r="B882" s="33" t="s">
        <v>32</v>
      </c>
      <c r="C882" s="33" t="s">
        <v>557</v>
      </c>
      <c r="D882" s="33" t="s">
        <v>147</v>
      </c>
      <c r="E882">
        <v>7</v>
      </c>
      <c r="F882" s="34">
        <v>2.0300925925925927E-2</v>
      </c>
      <c r="G882" s="34">
        <v>2.9001322751322752E-3</v>
      </c>
      <c r="H882" s="34">
        <v>0.26619212962962963</v>
      </c>
      <c r="I882" s="34">
        <v>5.4178240740740742E-2</v>
      </c>
      <c r="J882" s="35">
        <v>0.20353058828644724</v>
      </c>
      <c r="K882" s="33" t="s">
        <v>227</v>
      </c>
      <c r="L882" s="33" t="s">
        <v>146</v>
      </c>
    </row>
    <row r="883" spans="1:12" x14ac:dyDescent="0.25">
      <c r="A883" s="32">
        <v>46244</v>
      </c>
      <c r="B883" s="33" t="s">
        <v>32</v>
      </c>
      <c r="C883" s="33" t="s">
        <v>678</v>
      </c>
      <c r="D883" s="33" t="s">
        <v>147</v>
      </c>
      <c r="E883">
        <v>6</v>
      </c>
      <c r="F883" s="34">
        <v>3.5682870370370372E-2</v>
      </c>
      <c r="G883" s="34">
        <v>5.947145061728395E-3</v>
      </c>
      <c r="H883" s="34">
        <v>0.26354166666666667</v>
      </c>
      <c r="I883" s="34">
        <v>3.3599537037037039E-2</v>
      </c>
      <c r="J883" s="35">
        <v>0.12749231444883619</v>
      </c>
      <c r="K883" s="33" t="s">
        <v>677</v>
      </c>
      <c r="L883" s="33" t="s">
        <v>274</v>
      </c>
    </row>
    <row r="884" spans="1:12" x14ac:dyDescent="0.25">
      <c r="A884" s="32">
        <v>46244</v>
      </c>
      <c r="B884" s="33" t="s">
        <v>600</v>
      </c>
      <c r="C884" s="33" t="s">
        <v>545</v>
      </c>
      <c r="D884" s="33" t="s">
        <v>600</v>
      </c>
      <c r="E884">
        <v>23</v>
      </c>
      <c r="F884" s="34">
        <v>7.6516203703703697E-2</v>
      </c>
      <c r="G884" s="34">
        <v>3.3267914653784215E-3</v>
      </c>
      <c r="H884" s="34">
        <v>0.2444212962962963</v>
      </c>
      <c r="I884" s="34">
        <v>6.958333333333333E-2</v>
      </c>
      <c r="J884" s="35">
        <v>0.28468604981532342</v>
      </c>
      <c r="K884" s="33" t="s">
        <v>201</v>
      </c>
      <c r="L884" s="33" t="s">
        <v>601</v>
      </c>
    </row>
    <row r="885" spans="1:12" x14ac:dyDescent="0.25">
      <c r="A885" s="32">
        <v>46244</v>
      </c>
      <c r="B885" s="33" t="s">
        <v>600</v>
      </c>
      <c r="C885" s="33" t="s">
        <v>543</v>
      </c>
      <c r="D885" s="33" t="s">
        <v>600</v>
      </c>
      <c r="E885">
        <v>53</v>
      </c>
      <c r="F885" s="34">
        <v>8.9907407407407408E-2</v>
      </c>
      <c r="G885" s="34">
        <v>1.696366177498253E-3</v>
      </c>
      <c r="H885" s="34">
        <v>0.26197916666666665</v>
      </c>
      <c r="I885" s="34">
        <v>0.1152662037037037</v>
      </c>
      <c r="J885" s="35">
        <v>0.439982328252706</v>
      </c>
      <c r="K885" s="33" t="s">
        <v>293</v>
      </c>
      <c r="L885" s="33" t="s">
        <v>104</v>
      </c>
    </row>
    <row r="886" spans="1:12" x14ac:dyDescent="0.25">
      <c r="A886" s="32">
        <v>46245</v>
      </c>
      <c r="B886" s="33" t="s">
        <v>147</v>
      </c>
      <c r="C886" s="33" t="s">
        <v>563</v>
      </c>
      <c r="D886" s="33" t="s">
        <v>147</v>
      </c>
      <c r="E886">
        <v>13</v>
      </c>
      <c r="F886" s="34">
        <v>5.4849537037037037E-2</v>
      </c>
      <c r="G886" s="34">
        <v>4.2191951566951571E-3</v>
      </c>
      <c r="H886" s="34">
        <v>0.25124999999999997</v>
      </c>
      <c r="I886" s="34">
        <v>4.0914351851851855E-2</v>
      </c>
      <c r="J886" s="35">
        <v>0.16284319145015666</v>
      </c>
      <c r="K886" s="33" t="s">
        <v>193</v>
      </c>
      <c r="L886" s="33" t="s">
        <v>274</v>
      </c>
    </row>
    <row r="887" spans="1:12" x14ac:dyDescent="0.25">
      <c r="A887" s="32">
        <v>46245</v>
      </c>
      <c r="B887" s="33" t="s">
        <v>147</v>
      </c>
      <c r="C887" s="33" t="s">
        <v>514</v>
      </c>
      <c r="D887" s="33" t="s">
        <v>147</v>
      </c>
      <c r="E887">
        <v>15</v>
      </c>
      <c r="F887" s="34">
        <v>3.318287037037037E-2</v>
      </c>
      <c r="G887" s="34">
        <v>2.2121913580246911E-3</v>
      </c>
      <c r="H887" s="34">
        <v>0.26234953703703706</v>
      </c>
      <c r="I887" s="34">
        <v>3.1435185185185184E-2</v>
      </c>
      <c r="J887" s="35">
        <v>0.11982176732695106</v>
      </c>
      <c r="K887" s="33" t="s">
        <v>150</v>
      </c>
      <c r="L887" s="33" t="s">
        <v>146</v>
      </c>
    </row>
    <row r="888" spans="1:12" x14ac:dyDescent="0.25">
      <c r="A888" s="32">
        <v>46245</v>
      </c>
      <c r="B888" s="33" t="s">
        <v>147</v>
      </c>
      <c r="C888" s="33" t="s">
        <v>515</v>
      </c>
      <c r="D888" s="33" t="s">
        <v>147</v>
      </c>
      <c r="E888">
        <v>9</v>
      </c>
      <c r="F888" s="34">
        <v>2.5219907407407406E-2</v>
      </c>
      <c r="G888" s="34">
        <v>2.8022119341563783E-3</v>
      </c>
      <c r="H888" s="34">
        <v>0.26498842592592592</v>
      </c>
      <c r="I888" s="34">
        <v>2.7569444444444445E-2</v>
      </c>
      <c r="J888" s="35">
        <v>0.10404018344616729</v>
      </c>
      <c r="K888" s="33" t="s">
        <v>154</v>
      </c>
      <c r="L888" s="33" t="s">
        <v>146</v>
      </c>
    </row>
    <row r="889" spans="1:12" x14ac:dyDescent="0.25">
      <c r="A889" s="32">
        <v>46245</v>
      </c>
      <c r="B889" s="33" t="s">
        <v>147</v>
      </c>
      <c r="C889" s="33" t="s">
        <v>516</v>
      </c>
      <c r="D889" s="33" t="s">
        <v>147</v>
      </c>
      <c r="E889">
        <v>7</v>
      </c>
      <c r="F889" s="34">
        <v>1.9259259259259261E-2</v>
      </c>
      <c r="G889" s="34">
        <v>2.7513227513227515E-3</v>
      </c>
      <c r="H889" s="34">
        <v>0.27025462962962965</v>
      </c>
      <c r="I889" s="34">
        <v>4.2696759259259261E-2</v>
      </c>
      <c r="J889" s="35">
        <v>0.15798715203426122</v>
      </c>
      <c r="K889" s="33" t="s">
        <v>156</v>
      </c>
      <c r="L889" s="33" t="s">
        <v>146</v>
      </c>
    </row>
    <row r="890" spans="1:12" x14ac:dyDescent="0.25">
      <c r="A890" s="32">
        <v>46245</v>
      </c>
      <c r="B890" s="33" t="s">
        <v>147</v>
      </c>
      <c r="C890" s="33" t="s">
        <v>544</v>
      </c>
      <c r="D890" s="33" t="s">
        <v>147</v>
      </c>
      <c r="E890">
        <v>6</v>
      </c>
      <c r="F890" s="34">
        <v>1.361111111111111E-2</v>
      </c>
      <c r="G890" s="34">
        <v>2.2685185185185182E-3</v>
      </c>
      <c r="H890" s="34">
        <v>0.26090277777777776</v>
      </c>
      <c r="I890" s="34">
        <v>5.7326388888888892E-2</v>
      </c>
      <c r="J890" s="35">
        <v>0.2197231833910035</v>
      </c>
      <c r="K890" s="33" t="s">
        <v>160</v>
      </c>
      <c r="L890" s="33" t="s">
        <v>146</v>
      </c>
    </row>
    <row r="891" spans="1:12" x14ac:dyDescent="0.25">
      <c r="A891" s="32">
        <v>46245</v>
      </c>
      <c r="B891" s="33" t="s">
        <v>147</v>
      </c>
      <c r="C891" s="33" t="s">
        <v>517</v>
      </c>
      <c r="D891" s="33" t="s">
        <v>147</v>
      </c>
      <c r="E891">
        <v>9</v>
      </c>
      <c r="F891" s="34">
        <v>3.2476851851851854E-2</v>
      </c>
      <c r="G891" s="34">
        <v>3.6085390946502061E-3</v>
      </c>
      <c r="H891" s="34">
        <v>0.24568287037037037</v>
      </c>
      <c r="I891" s="34">
        <v>7.5023148148148144E-2</v>
      </c>
      <c r="J891" s="35">
        <v>0.30536580769774341</v>
      </c>
      <c r="K891" s="33" t="s">
        <v>499</v>
      </c>
      <c r="L891" s="33" t="s">
        <v>146</v>
      </c>
    </row>
    <row r="892" spans="1:12" x14ac:dyDescent="0.25">
      <c r="A892" s="32">
        <v>46245</v>
      </c>
      <c r="B892" s="33" t="s">
        <v>147</v>
      </c>
      <c r="C892" s="33" t="s">
        <v>518</v>
      </c>
      <c r="D892" s="33" t="s">
        <v>147</v>
      </c>
      <c r="E892">
        <v>10</v>
      </c>
      <c r="F892" s="34">
        <v>4.6099537037037036E-2</v>
      </c>
      <c r="G892" s="34">
        <v>4.6099537037037038E-3</v>
      </c>
      <c r="H892" s="34">
        <v>0.26149305555555558</v>
      </c>
      <c r="I892" s="34">
        <v>3.1759259259259258E-2</v>
      </c>
      <c r="J892" s="35">
        <v>0.12145354755897843</v>
      </c>
      <c r="K892" s="33" t="s">
        <v>500</v>
      </c>
      <c r="L892" s="33" t="s">
        <v>274</v>
      </c>
    </row>
    <row r="893" spans="1:12" x14ac:dyDescent="0.25">
      <c r="A893" s="32">
        <v>46245</v>
      </c>
      <c r="B893" s="33" t="s">
        <v>147</v>
      </c>
      <c r="C893" s="33" t="s">
        <v>167</v>
      </c>
      <c r="D893" s="33" t="s">
        <v>147</v>
      </c>
      <c r="E893">
        <v>11</v>
      </c>
      <c r="F893" s="34">
        <v>3.3865740740740738E-2</v>
      </c>
      <c r="G893" s="34">
        <v>3.0787037037037033E-3</v>
      </c>
      <c r="H893" s="34">
        <v>0.2354050925925926</v>
      </c>
      <c r="I893" s="34">
        <v>7.5543981481481476E-2</v>
      </c>
      <c r="J893" s="35">
        <v>0.32091056590786171</v>
      </c>
      <c r="K893" s="33" t="s">
        <v>166</v>
      </c>
      <c r="L893" s="33" t="s">
        <v>146</v>
      </c>
    </row>
    <row r="894" spans="1:12" x14ac:dyDescent="0.25">
      <c r="A894" s="32">
        <v>46245</v>
      </c>
      <c r="B894" s="33" t="s">
        <v>147</v>
      </c>
      <c r="C894" s="33" t="s">
        <v>658</v>
      </c>
      <c r="D894" s="33" t="s">
        <v>147</v>
      </c>
      <c r="E894">
        <v>14</v>
      </c>
      <c r="F894" s="34">
        <v>6.4120370370370369E-2</v>
      </c>
      <c r="G894" s="34">
        <v>4.5800264550264549E-3</v>
      </c>
      <c r="H894" s="34">
        <v>0.26653935185185185</v>
      </c>
      <c r="I894" s="34">
        <v>3.3761574074074076E-2</v>
      </c>
      <c r="J894" s="35">
        <v>0.12666637717660342</v>
      </c>
      <c r="K894" s="33" t="s">
        <v>657</v>
      </c>
      <c r="L894" s="33" t="s">
        <v>274</v>
      </c>
    </row>
    <row r="895" spans="1:12" x14ac:dyDescent="0.25">
      <c r="A895" s="32">
        <v>46245</v>
      </c>
      <c r="B895" s="33" t="s">
        <v>147</v>
      </c>
      <c r="C895" s="33" t="s">
        <v>520</v>
      </c>
      <c r="D895" s="33" t="s">
        <v>147</v>
      </c>
      <c r="E895">
        <v>11</v>
      </c>
      <c r="F895" s="34">
        <v>4.2453703703703702E-2</v>
      </c>
      <c r="G895" s="34">
        <v>3.8594276094276094E-3</v>
      </c>
      <c r="H895" s="34">
        <v>0.26971064814814816</v>
      </c>
      <c r="I895" s="34">
        <v>4.6342592592592595E-2</v>
      </c>
      <c r="J895" s="35">
        <v>0.17182337038149595</v>
      </c>
      <c r="K895" s="33" t="s">
        <v>168</v>
      </c>
      <c r="L895" s="33" t="s">
        <v>274</v>
      </c>
    </row>
    <row r="896" spans="1:12" x14ac:dyDescent="0.25">
      <c r="A896" s="32">
        <v>46245</v>
      </c>
      <c r="B896" s="33" t="s">
        <v>147</v>
      </c>
      <c r="C896" s="33" t="s">
        <v>521</v>
      </c>
      <c r="D896" s="33" t="s">
        <v>147</v>
      </c>
      <c r="E896">
        <v>9</v>
      </c>
      <c r="F896" s="34">
        <v>5.3437499999999999E-2</v>
      </c>
      <c r="G896" s="34">
        <v>5.9375000000000001E-3</v>
      </c>
      <c r="H896" s="34">
        <v>0.27398148148148149</v>
      </c>
      <c r="I896" s="34">
        <v>3.3171296296296296E-2</v>
      </c>
      <c r="J896" s="35">
        <v>0.12107130787428184</v>
      </c>
      <c r="K896" s="33" t="s">
        <v>170</v>
      </c>
      <c r="L896" s="33" t="s">
        <v>146</v>
      </c>
    </row>
    <row r="897" spans="1:12" x14ac:dyDescent="0.25">
      <c r="A897" s="32">
        <v>46245</v>
      </c>
      <c r="B897" s="33" t="s">
        <v>147</v>
      </c>
      <c r="C897" s="33" t="s">
        <v>633</v>
      </c>
      <c r="D897" s="33" t="s">
        <v>147</v>
      </c>
      <c r="E897">
        <v>5</v>
      </c>
      <c r="F897" s="34">
        <v>2.1539351851851851E-2</v>
      </c>
      <c r="G897" s="34">
        <v>4.3078703703703699E-3</v>
      </c>
      <c r="H897" s="34">
        <v>0.26225694444444442</v>
      </c>
      <c r="I897" s="34">
        <v>9.7592592592592592E-2</v>
      </c>
      <c r="J897" s="35">
        <v>0.37212586610176973</v>
      </c>
      <c r="K897" s="33" t="s">
        <v>606</v>
      </c>
      <c r="L897" s="33" t="s">
        <v>146</v>
      </c>
    </row>
    <row r="898" spans="1:12" x14ac:dyDescent="0.25">
      <c r="A898" s="32">
        <v>46245</v>
      </c>
      <c r="B898" s="33" t="s">
        <v>147</v>
      </c>
      <c r="C898" s="33" t="s">
        <v>522</v>
      </c>
      <c r="D898" s="33" t="s">
        <v>147</v>
      </c>
      <c r="E898">
        <v>9</v>
      </c>
      <c r="F898" s="34">
        <v>3.6261574074074071E-2</v>
      </c>
      <c r="G898" s="34">
        <v>4.0290637860082301E-3</v>
      </c>
      <c r="H898" s="34">
        <v>0.26142361111111112</v>
      </c>
      <c r="I898" s="34">
        <v>3.6238425925925924E-2</v>
      </c>
      <c r="J898" s="35">
        <v>0.13861955992385</v>
      </c>
      <c r="K898" s="33" t="s">
        <v>178</v>
      </c>
      <c r="L898" s="33" t="s">
        <v>146</v>
      </c>
    </row>
    <row r="899" spans="1:12" x14ac:dyDescent="0.25">
      <c r="A899" s="32">
        <v>46245</v>
      </c>
      <c r="B899" s="33" t="s">
        <v>147</v>
      </c>
      <c r="C899" s="33" t="s">
        <v>523</v>
      </c>
      <c r="D899" s="33" t="s">
        <v>147</v>
      </c>
      <c r="E899">
        <v>8</v>
      </c>
      <c r="F899" s="34">
        <v>3.5787037037037034E-2</v>
      </c>
      <c r="G899" s="34">
        <v>4.4733796296296292E-3</v>
      </c>
      <c r="H899" s="34">
        <v>0.31408564814814816</v>
      </c>
      <c r="I899" s="34">
        <v>3.502314814814815E-2</v>
      </c>
      <c r="J899" s="35">
        <v>0.1115082728378229</v>
      </c>
      <c r="K899" s="33" t="s">
        <v>180</v>
      </c>
      <c r="L899" s="33" t="s">
        <v>146</v>
      </c>
    </row>
    <row r="900" spans="1:12" x14ac:dyDescent="0.25">
      <c r="A900" s="32">
        <v>46245</v>
      </c>
      <c r="B900" s="33" t="s">
        <v>147</v>
      </c>
      <c r="C900" s="33" t="s">
        <v>566</v>
      </c>
      <c r="D900" s="33" t="s">
        <v>147</v>
      </c>
      <c r="E900">
        <v>20</v>
      </c>
      <c r="F900" s="34">
        <v>7.4328703703703702E-2</v>
      </c>
      <c r="G900" s="34">
        <v>3.716435185185185E-3</v>
      </c>
      <c r="H900" s="34">
        <v>0.26</v>
      </c>
      <c r="I900" s="34">
        <v>3.2361111111111111E-2</v>
      </c>
      <c r="J900" s="35">
        <v>0.12446581196581197</v>
      </c>
      <c r="K900" s="33" t="s">
        <v>207</v>
      </c>
      <c r="L900" s="33" t="s">
        <v>274</v>
      </c>
    </row>
    <row r="901" spans="1:12" x14ac:dyDescent="0.25">
      <c r="A901" s="32">
        <v>46245</v>
      </c>
      <c r="B901" s="33" t="s">
        <v>147</v>
      </c>
      <c r="C901" s="33" t="s">
        <v>524</v>
      </c>
      <c r="D901" s="33" t="s">
        <v>147</v>
      </c>
      <c r="E901">
        <v>13</v>
      </c>
      <c r="F901" s="34">
        <v>4.130787037037037E-2</v>
      </c>
      <c r="G901" s="34">
        <v>3.1775284900284898E-3</v>
      </c>
      <c r="H901" s="34">
        <v>0.27166666666666667</v>
      </c>
      <c r="I901" s="34">
        <v>3.484953703703704E-2</v>
      </c>
      <c r="J901" s="35">
        <v>0.12828050443081118</v>
      </c>
      <c r="K901" s="33" t="s">
        <v>501</v>
      </c>
      <c r="L901" s="33" t="s">
        <v>274</v>
      </c>
    </row>
    <row r="902" spans="1:12" x14ac:dyDescent="0.25">
      <c r="A902" s="32">
        <v>46245</v>
      </c>
      <c r="B902" s="33" t="s">
        <v>147</v>
      </c>
      <c r="C902" s="33" t="s">
        <v>557</v>
      </c>
      <c r="D902" s="33" t="s">
        <v>147</v>
      </c>
      <c r="E902">
        <v>7</v>
      </c>
      <c r="F902" s="34">
        <v>3.7037037037037035E-2</v>
      </c>
      <c r="G902" s="34">
        <v>5.2910052910052907E-3</v>
      </c>
      <c r="H902" s="34">
        <v>0.27598379629629627</v>
      </c>
      <c r="I902" s="34">
        <v>4.1678240740740738E-2</v>
      </c>
      <c r="J902" s="35">
        <v>0.15101698469280772</v>
      </c>
      <c r="K902" s="33" t="s">
        <v>227</v>
      </c>
      <c r="L902" s="33" t="s">
        <v>146</v>
      </c>
    </row>
    <row r="903" spans="1:12" x14ac:dyDescent="0.25">
      <c r="A903" s="32">
        <v>46245</v>
      </c>
      <c r="B903" s="33" t="s">
        <v>147</v>
      </c>
      <c r="C903" s="33" t="s">
        <v>678</v>
      </c>
      <c r="D903" s="33" t="s">
        <v>147</v>
      </c>
      <c r="E903">
        <v>16</v>
      </c>
      <c r="F903" s="34">
        <v>5.4895833333333331E-2</v>
      </c>
      <c r="G903" s="34">
        <v>3.4309895833333332E-3</v>
      </c>
      <c r="H903" s="34">
        <v>0.27055555555555555</v>
      </c>
      <c r="I903" s="34">
        <v>4.1643518518518517E-2</v>
      </c>
      <c r="J903" s="35">
        <v>0.15391854893908283</v>
      </c>
      <c r="K903" s="33" t="s">
        <v>677</v>
      </c>
      <c r="L903" s="33" t="s">
        <v>274</v>
      </c>
    </row>
    <row r="904" spans="1:12" x14ac:dyDescent="0.25">
      <c r="A904" s="32">
        <v>46245</v>
      </c>
      <c r="B904" s="33" t="s">
        <v>105</v>
      </c>
      <c r="C904" s="33" t="s">
        <v>513</v>
      </c>
      <c r="D904" s="33" t="s">
        <v>105</v>
      </c>
      <c r="E904">
        <v>5</v>
      </c>
      <c r="F904" s="34">
        <v>7.8981481481481486E-2</v>
      </c>
      <c r="G904" s="34">
        <v>1.5796296296296298E-2</v>
      </c>
      <c r="H904" s="34">
        <v>0.23407407407407407</v>
      </c>
      <c r="I904" s="34">
        <v>0.13819444444444445</v>
      </c>
      <c r="J904" s="35">
        <v>0.59038765822784811</v>
      </c>
      <c r="K904" s="33" t="s">
        <v>148</v>
      </c>
      <c r="L904" s="33" t="s">
        <v>104</v>
      </c>
    </row>
    <row r="905" spans="1:12" x14ac:dyDescent="0.25">
      <c r="A905" s="32">
        <v>46245</v>
      </c>
      <c r="B905" s="33" t="s">
        <v>105</v>
      </c>
      <c r="C905" s="33" t="s">
        <v>569</v>
      </c>
      <c r="D905" s="33" t="s">
        <v>105</v>
      </c>
      <c r="E905">
        <v>7</v>
      </c>
      <c r="F905" s="34">
        <v>9.7766203703703702E-2</v>
      </c>
      <c r="G905" s="34">
        <v>1.3966600529100528E-2</v>
      </c>
      <c r="H905" s="34">
        <v>0.23118055555555556</v>
      </c>
      <c r="I905" s="34">
        <v>0.13428240740740741</v>
      </c>
      <c r="J905" s="35">
        <v>0.5808551116451387</v>
      </c>
      <c r="K905" s="33" t="s">
        <v>493</v>
      </c>
      <c r="L905" s="33" t="s">
        <v>104</v>
      </c>
    </row>
    <row r="906" spans="1:12" x14ac:dyDescent="0.25">
      <c r="A906" s="32">
        <v>46245</v>
      </c>
      <c r="B906" s="33" t="s">
        <v>105</v>
      </c>
      <c r="C906" s="33" t="s">
        <v>631</v>
      </c>
      <c r="D906" s="33" t="s">
        <v>105</v>
      </c>
      <c r="E906">
        <v>3</v>
      </c>
      <c r="F906" s="34">
        <v>6.9363425925925926E-2</v>
      </c>
      <c r="G906" s="34">
        <v>2.3121141975308641E-2</v>
      </c>
      <c r="H906" s="34">
        <v>0.23406250000000001</v>
      </c>
      <c r="I906" s="34">
        <v>0.20949074074074073</v>
      </c>
      <c r="J906" s="35">
        <v>0.89502052118874542</v>
      </c>
      <c r="K906" s="33" t="s">
        <v>608</v>
      </c>
      <c r="L906" s="33" t="s">
        <v>601</v>
      </c>
    </row>
    <row r="907" spans="1:12" x14ac:dyDescent="0.25">
      <c r="A907" s="32">
        <v>46245</v>
      </c>
      <c r="B907" s="33" t="s">
        <v>105</v>
      </c>
      <c r="C907" s="33" t="s">
        <v>564</v>
      </c>
      <c r="D907" s="33" t="s">
        <v>105</v>
      </c>
      <c r="E907">
        <v>2</v>
      </c>
      <c r="F907" s="34">
        <v>5.8067129629629628E-2</v>
      </c>
      <c r="G907" s="34">
        <v>2.9033564814814814E-2</v>
      </c>
      <c r="H907" s="34">
        <v>0.17856481481481482</v>
      </c>
      <c r="I907" s="34">
        <v>0.15525462962962963</v>
      </c>
      <c r="J907" s="35">
        <v>0.86945812807881773</v>
      </c>
      <c r="K907" s="33" t="s">
        <v>197</v>
      </c>
      <c r="L907" s="33" t="s">
        <v>601</v>
      </c>
    </row>
    <row r="908" spans="1:12" x14ac:dyDescent="0.25">
      <c r="A908" s="32">
        <v>46245</v>
      </c>
      <c r="B908" s="33" t="s">
        <v>105</v>
      </c>
      <c r="C908" s="33" t="s">
        <v>682</v>
      </c>
      <c r="D908" s="33" t="s">
        <v>105</v>
      </c>
      <c r="E908">
        <v>2</v>
      </c>
      <c r="F908" s="34">
        <v>8.5405092592592588E-2</v>
      </c>
      <c r="G908" s="34">
        <v>4.2702546296296294E-2</v>
      </c>
      <c r="H908" s="34">
        <v>0.23373842592592592</v>
      </c>
      <c r="I908" s="34">
        <v>0.14782407407407408</v>
      </c>
      <c r="J908" s="35">
        <v>0.63243377073533058</v>
      </c>
      <c r="K908" s="33" t="s">
        <v>681</v>
      </c>
      <c r="L908" s="33" t="s">
        <v>601</v>
      </c>
    </row>
    <row r="909" spans="1:12" x14ac:dyDescent="0.25">
      <c r="A909" s="32">
        <v>46245</v>
      </c>
      <c r="B909" s="33" t="s">
        <v>105</v>
      </c>
      <c r="C909" s="33" t="s">
        <v>570</v>
      </c>
      <c r="D909" s="33" t="s">
        <v>105</v>
      </c>
      <c r="E909">
        <v>5</v>
      </c>
      <c r="F909" s="34">
        <v>9.8460648148148144E-2</v>
      </c>
      <c r="G909" s="34">
        <v>1.9692129629629629E-2</v>
      </c>
      <c r="H909" s="34">
        <v>0.23469907407407409</v>
      </c>
      <c r="I909" s="34">
        <v>0.14082175925925927</v>
      </c>
      <c r="J909" s="35">
        <v>0.60000986290561198</v>
      </c>
      <c r="K909" s="33" t="s">
        <v>112</v>
      </c>
      <c r="L909" s="33" t="s">
        <v>104</v>
      </c>
    </row>
    <row r="910" spans="1:12" x14ac:dyDescent="0.25">
      <c r="A910" s="32">
        <v>46245</v>
      </c>
      <c r="B910" s="33" t="s">
        <v>105</v>
      </c>
      <c r="C910" s="33" t="s">
        <v>537</v>
      </c>
      <c r="D910" s="33" t="s">
        <v>105</v>
      </c>
      <c r="E910">
        <v>9</v>
      </c>
      <c r="F910" s="34">
        <v>0.1228125</v>
      </c>
      <c r="G910" s="34">
        <v>1.3645833333333334E-2</v>
      </c>
      <c r="H910" s="34">
        <v>0.23618055555555556</v>
      </c>
      <c r="I910" s="34">
        <v>0.17106481481481481</v>
      </c>
      <c r="J910" s="35">
        <v>0.72429677545819848</v>
      </c>
      <c r="K910" s="33" t="s">
        <v>42</v>
      </c>
      <c r="L910" s="33" t="s">
        <v>104</v>
      </c>
    </row>
    <row r="911" spans="1:12" x14ac:dyDescent="0.25">
      <c r="A911" s="32">
        <v>46245</v>
      </c>
      <c r="B911" s="33" t="s">
        <v>105</v>
      </c>
      <c r="C911" s="33" t="s">
        <v>541</v>
      </c>
      <c r="D911" s="33" t="s">
        <v>105</v>
      </c>
      <c r="E911">
        <v>6</v>
      </c>
      <c r="F911" s="34">
        <v>0.10204861111111112</v>
      </c>
      <c r="G911" s="34">
        <v>1.7008101851851854E-2</v>
      </c>
      <c r="H911" s="34">
        <v>0.2492476851851852</v>
      </c>
      <c r="I911" s="34">
        <v>0.17921296296296296</v>
      </c>
      <c r="J911" s="35">
        <v>0.71901555607151146</v>
      </c>
      <c r="K911" s="33" t="s">
        <v>114</v>
      </c>
      <c r="L911" s="33" t="s">
        <v>104</v>
      </c>
    </row>
    <row r="912" spans="1:12" x14ac:dyDescent="0.25">
      <c r="A912" s="32">
        <v>46245</v>
      </c>
      <c r="B912" s="33" t="s">
        <v>105</v>
      </c>
      <c r="C912" s="33" t="s">
        <v>632</v>
      </c>
      <c r="D912" s="33" t="s">
        <v>105</v>
      </c>
      <c r="E912">
        <v>2</v>
      </c>
      <c r="F912" s="34">
        <v>6.8831018518518514E-2</v>
      </c>
      <c r="G912" s="34">
        <v>3.4415509259259257E-2</v>
      </c>
      <c r="H912" s="34">
        <v>0.21865740740740741</v>
      </c>
      <c r="I912" s="34">
        <v>0.18550925925925926</v>
      </c>
      <c r="J912" s="35">
        <v>0.84840143976286264</v>
      </c>
      <c r="K912" s="33" t="s">
        <v>609</v>
      </c>
      <c r="L912" s="33" t="s">
        <v>601</v>
      </c>
    </row>
    <row r="913" spans="1:12" x14ac:dyDescent="0.25">
      <c r="A913" s="32">
        <v>46245</v>
      </c>
      <c r="B913" s="33" t="s">
        <v>105</v>
      </c>
      <c r="C913" s="33" t="s">
        <v>650</v>
      </c>
      <c r="D913" s="33" t="s">
        <v>105</v>
      </c>
      <c r="E913">
        <v>6</v>
      </c>
      <c r="F913" s="34">
        <v>9.6701388888888892E-2</v>
      </c>
      <c r="G913" s="34">
        <v>1.6116898148148148E-2</v>
      </c>
      <c r="H913" s="34">
        <v>0.25480324074074073</v>
      </c>
      <c r="I913" s="34">
        <v>0.15319444444444444</v>
      </c>
      <c r="J913" s="35">
        <v>0.60122643652055419</v>
      </c>
      <c r="K913" s="33" t="s">
        <v>649</v>
      </c>
      <c r="L913" s="33" t="s">
        <v>104</v>
      </c>
    </row>
    <row r="914" spans="1:12" x14ac:dyDescent="0.25">
      <c r="A914" s="32">
        <v>46245</v>
      </c>
      <c r="B914" s="33" t="s">
        <v>105</v>
      </c>
      <c r="C914" s="33" t="s">
        <v>559</v>
      </c>
      <c r="D914" s="33" t="s">
        <v>105</v>
      </c>
      <c r="E914">
        <v>5</v>
      </c>
      <c r="F914" s="34">
        <v>8.9525462962962959E-2</v>
      </c>
      <c r="G914" s="34">
        <v>1.7905092592592591E-2</v>
      </c>
      <c r="H914" s="34">
        <v>0.20771990740740739</v>
      </c>
      <c r="I914" s="34">
        <v>0.14141203703703703</v>
      </c>
      <c r="J914" s="35">
        <v>0.68078230344904445</v>
      </c>
      <c r="K914" s="33" t="s">
        <v>289</v>
      </c>
      <c r="L914" s="33" t="s">
        <v>104</v>
      </c>
    </row>
    <row r="915" spans="1:12" x14ac:dyDescent="0.25">
      <c r="A915" s="32">
        <v>46245</v>
      </c>
      <c r="B915" s="33" t="s">
        <v>105</v>
      </c>
      <c r="C915" s="33" t="s">
        <v>634</v>
      </c>
      <c r="D915" s="33" t="s">
        <v>105</v>
      </c>
      <c r="E915">
        <v>1</v>
      </c>
      <c r="F915" s="34">
        <v>2.4594907407407409E-2</v>
      </c>
      <c r="G915" s="34">
        <v>2.4594907407407409E-2</v>
      </c>
      <c r="H915" s="34">
        <v>0.23844907407407406</v>
      </c>
      <c r="I915" s="34">
        <v>0.22055555555555556</v>
      </c>
      <c r="J915" s="35">
        <v>0.92495874186972149</v>
      </c>
      <c r="K915" s="33" t="s">
        <v>612</v>
      </c>
      <c r="L915" s="33" t="s">
        <v>601</v>
      </c>
    </row>
    <row r="916" spans="1:12" x14ac:dyDescent="0.25">
      <c r="A916" s="32">
        <v>46245</v>
      </c>
      <c r="B916" s="33" t="s">
        <v>105</v>
      </c>
      <c r="C916" s="33" t="s">
        <v>565</v>
      </c>
      <c r="D916" s="33" t="s">
        <v>105</v>
      </c>
      <c r="E916">
        <v>1</v>
      </c>
      <c r="F916" s="34">
        <v>2.2465277777777778E-2</v>
      </c>
      <c r="G916" s="34">
        <v>2.2465277777777778E-2</v>
      </c>
      <c r="H916" s="34">
        <v>0.18732638888888889</v>
      </c>
      <c r="I916" s="34">
        <v>0.15702546296296296</v>
      </c>
      <c r="J916" s="35">
        <v>0.83824528884769844</v>
      </c>
      <c r="K916" s="33" t="s">
        <v>203</v>
      </c>
      <c r="L916" s="33" t="s">
        <v>601</v>
      </c>
    </row>
    <row r="917" spans="1:12" x14ac:dyDescent="0.25">
      <c r="A917" s="32">
        <v>46245</v>
      </c>
      <c r="B917" s="33" t="s">
        <v>105</v>
      </c>
      <c r="C917" s="33" t="s">
        <v>667</v>
      </c>
      <c r="D917" s="33" t="s">
        <v>105</v>
      </c>
      <c r="E917">
        <v>9</v>
      </c>
      <c r="F917" s="34">
        <v>0.1207175925925926</v>
      </c>
      <c r="G917" s="34">
        <v>1.34130658436214E-2</v>
      </c>
      <c r="H917" s="34">
        <v>0.2300925925925926</v>
      </c>
      <c r="I917" s="34">
        <v>0.14802083333333332</v>
      </c>
      <c r="J917" s="35">
        <v>0.64330985915492955</v>
      </c>
      <c r="K917" s="33" t="s">
        <v>297</v>
      </c>
      <c r="L917" s="33" t="s">
        <v>104</v>
      </c>
    </row>
    <row r="918" spans="1:12" x14ac:dyDescent="0.25">
      <c r="A918" s="32">
        <v>46245</v>
      </c>
      <c r="B918" s="33" t="s">
        <v>105</v>
      </c>
      <c r="C918" s="33" t="s">
        <v>635</v>
      </c>
      <c r="D918" s="33" t="s">
        <v>105</v>
      </c>
      <c r="E918">
        <v>3</v>
      </c>
      <c r="F918" s="34">
        <v>7.4826388888888887E-2</v>
      </c>
      <c r="G918" s="34">
        <v>2.494212962962963E-2</v>
      </c>
      <c r="H918" s="34">
        <v>0.21465277777777778</v>
      </c>
      <c r="I918" s="34">
        <v>0.15942129629629628</v>
      </c>
      <c r="J918" s="35">
        <v>0.74269384233797042</v>
      </c>
      <c r="K918" s="33" t="s">
        <v>614</v>
      </c>
      <c r="L918" s="33" t="s">
        <v>601</v>
      </c>
    </row>
    <row r="919" spans="1:12" x14ac:dyDescent="0.25">
      <c r="A919" s="32">
        <v>46245</v>
      </c>
      <c r="B919" s="33" t="s">
        <v>105</v>
      </c>
      <c r="C919" s="33" t="s">
        <v>636</v>
      </c>
      <c r="D919" s="33" t="s">
        <v>105</v>
      </c>
      <c r="E919">
        <v>2</v>
      </c>
      <c r="F919" s="34">
        <v>3.3113425925925928E-2</v>
      </c>
      <c r="G919" s="34">
        <v>1.6556712962962964E-2</v>
      </c>
      <c r="H919" s="34">
        <v>0.19876157407407408</v>
      </c>
      <c r="I919" s="34">
        <v>0.17444444444444446</v>
      </c>
      <c r="J919" s="35">
        <v>0.87765678681651438</v>
      </c>
      <c r="K919" s="33" t="s">
        <v>615</v>
      </c>
      <c r="L919" s="33" t="s">
        <v>601</v>
      </c>
    </row>
    <row r="920" spans="1:12" x14ac:dyDescent="0.25">
      <c r="A920" s="32">
        <v>46245</v>
      </c>
      <c r="B920" s="33" t="s">
        <v>105</v>
      </c>
      <c r="C920" s="33" t="s">
        <v>637</v>
      </c>
      <c r="D920" s="33" t="s">
        <v>105</v>
      </c>
      <c r="E920">
        <v>2</v>
      </c>
      <c r="F920" s="34">
        <v>5.4837962962962963E-2</v>
      </c>
      <c r="G920" s="34">
        <v>2.7418981481481482E-2</v>
      </c>
      <c r="H920" s="34">
        <v>0.22685185185185186</v>
      </c>
      <c r="I920" s="34">
        <v>0.20548611111111112</v>
      </c>
      <c r="J920" s="35">
        <v>0.90581632653061228</v>
      </c>
      <c r="K920" s="33" t="s">
        <v>616</v>
      </c>
      <c r="L920" s="33" t="s">
        <v>601</v>
      </c>
    </row>
    <row r="921" spans="1:12" x14ac:dyDescent="0.25">
      <c r="A921" s="32">
        <v>46245</v>
      </c>
      <c r="B921" s="33" t="s">
        <v>105</v>
      </c>
      <c r="C921" s="33" t="s">
        <v>567</v>
      </c>
      <c r="D921" s="33" t="s">
        <v>105</v>
      </c>
      <c r="E921">
        <v>2</v>
      </c>
      <c r="F921" s="34">
        <v>6.8437499999999998E-2</v>
      </c>
      <c r="G921" s="34">
        <v>3.4218749999999999E-2</v>
      </c>
      <c r="H921" s="34">
        <v>0.23480324074074074</v>
      </c>
      <c r="I921" s="34">
        <v>0.19642361111111112</v>
      </c>
      <c r="J921" s="35">
        <v>0.83654557105535565</v>
      </c>
      <c r="K921" s="33" t="s">
        <v>209</v>
      </c>
      <c r="L921" s="33" t="s">
        <v>601</v>
      </c>
    </row>
    <row r="922" spans="1:12" x14ac:dyDescent="0.25">
      <c r="A922" s="32">
        <v>46245</v>
      </c>
      <c r="B922" s="33" t="s">
        <v>105</v>
      </c>
      <c r="C922" s="33" t="s">
        <v>512</v>
      </c>
      <c r="D922" s="33" t="s">
        <v>105</v>
      </c>
      <c r="E922">
        <v>8</v>
      </c>
      <c r="F922" s="34">
        <v>0.10751157407407408</v>
      </c>
      <c r="G922" s="34">
        <v>1.343894675925926E-2</v>
      </c>
      <c r="H922" s="34">
        <v>0.25024305555555554</v>
      </c>
      <c r="I922" s="34">
        <v>0.1411574074074074</v>
      </c>
      <c r="J922" s="35">
        <v>0.56408121733499839</v>
      </c>
      <c r="K922" s="33" t="s">
        <v>132</v>
      </c>
      <c r="L922" s="33" t="s">
        <v>104</v>
      </c>
    </row>
    <row r="923" spans="1:12" x14ac:dyDescent="0.25">
      <c r="A923" s="32">
        <v>46245</v>
      </c>
      <c r="B923" s="33" t="s">
        <v>105</v>
      </c>
      <c r="C923" s="33" t="s">
        <v>560</v>
      </c>
      <c r="D923" s="33" t="s">
        <v>105</v>
      </c>
      <c r="E923">
        <v>6</v>
      </c>
      <c r="F923" s="34">
        <v>8.7499999999999994E-2</v>
      </c>
      <c r="G923" s="34">
        <v>1.4583333333333332E-2</v>
      </c>
      <c r="H923" s="34">
        <v>0.26297453703703705</v>
      </c>
      <c r="I923" s="34">
        <v>0.16138888888888889</v>
      </c>
      <c r="J923" s="35">
        <v>0.61370538268562125</v>
      </c>
      <c r="K923" s="33" t="s">
        <v>134</v>
      </c>
      <c r="L923" s="33" t="s">
        <v>104</v>
      </c>
    </row>
    <row r="924" spans="1:12" x14ac:dyDescent="0.25">
      <c r="A924" s="32">
        <v>46245</v>
      </c>
      <c r="B924" s="33" t="s">
        <v>105</v>
      </c>
      <c r="C924" s="33" t="s">
        <v>546</v>
      </c>
      <c r="D924" s="33" t="s">
        <v>105</v>
      </c>
      <c r="E924">
        <v>8</v>
      </c>
      <c r="F924" s="34">
        <v>0.13574074074074075</v>
      </c>
      <c r="G924" s="34">
        <v>1.6967592592592593E-2</v>
      </c>
      <c r="H924" s="34">
        <v>0.2217824074074074</v>
      </c>
      <c r="I924" s="34">
        <v>8.9340277777777782E-2</v>
      </c>
      <c r="J924" s="35">
        <v>0.40282851476881332</v>
      </c>
      <c r="K924" s="33" t="s">
        <v>211</v>
      </c>
      <c r="L924" s="33" t="s">
        <v>104</v>
      </c>
    </row>
    <row r="925" spans="1:12" x14ac:dyDescent="0.25">
      <c r="A925" s="32">
        <v>46245</v>
      </c>
      <c r="B925" s="33" t="s">
        <v>105</v>
      </c>
      <c r="C925" s="33" t="s">
        <v>638</v>
      </c>
      <c r="D925" s="33" t="s">
        <v>105</v>
      </c>
      <c r="E925">
        <v>1</v>
      </c>
      <c r="F925" s="34">
        <v>2.9074074074074075E-2</v>
      </c>
      <c r="G925" s="34">
        <v>2.9074074074074075E-2</v>
      </c>
      <c r="H925" s="34">
        <v>0.23505787037037038</v>
      </c>
      <c r="I925" s="34">
        <v>0.21524305555555556</v>
      </c>
      <c r="J925" s="35">
        <v>0.9157023979516471</v>
      </c>
      <c r="K925" s="33" t="s">
        <v>617</v>
      </c>
      <c r="L925" s="33" t="s">
        <v>601</v>
      </c>
    </row>
    <row r="926" spans="1:12" x14ac:dyDescent="0.25">
      <c r="A926" s="32">
        <v>46245</v>
      </c>
      <c r="B926" s="33" t="s">
        <v>105</v>
      </c>
      <c r="C926" s="33" t="s">
        <v>639</v>
      </c>
      <c r="D926" s="33" t="s">
        <v>105</v>
      </c>
      <c r="E926">
        <v>3</v>
      </c>
      <c r="F926" s="34">
        <v>7.5671296296296292E-2</v>
      </c>
      <c r="G926" s="34">
        <v>2.5223765432098765E-2</v>
      </c>
      <c r="H926" s="34">
        <v>0.21516203703703704</v>
      </c>
      <c r="I926" s="34">
        <v>0.18054398148148149</v>
      </c>
      <c r="J926" s="35">
        <v>0.83910704679935455</v>
      </c>
      <c r="K926" s="33" t="s">
        <v>618</v>
      </c>
      <c r="L926" s="33" t="s">
        <v>601</v>
      </c>
    </row>
    <row r="927" spans="1:12" x14ac:dyDescent="0.25">
      <c r="A927" s="32">
        <v>46245</v>
      </c>
      <c r="B927" s="33" t="s">
        <v>105</v>
      </c>
      <c r="C927" s="33" t="s">
        <v>572</v>
      </c>
      <c r="D927" s="33" t="s">
        <v>105</v>
      </c>
      <c r="E927">
        <v>3</v>
      </c>
      <c r="F927" s="34">
        <v>6.4062499999999994E-2</v>
      </c>
      <c r="G927" s="34">
        <v>2.1354166666666664E-2</v>
      </c>
      <c r="H927" s="34">
        <v>0.25072916666666667</v>
      </c>
      <c r="I927" s="34">
        <v>0.22990740740740739</v>
      </c>
      <c r="J927" s="35">
        <v>0.91695517702995888</v>
      </c>
      <c r="K927" s="33" t="s">
        <v>213</v>
      </c>
      <c r="L927" s="33" t="s">
        <v>601</v>
      </c>
    </row>
    <row r="928" spans="1:12" x14ac:dyDescent="0.25">
      <c r="A928" s="32">
        <v>46245</v>
      </c>
      <c r="B928" s="33" t="s">
        <v>105</v>
      </c>
      <c r="C928" s="33" t="s">
        <v>640</v>
      </c>
      <c r="D928" s="33" t="s">
        <v>105</v>
      </c>
      <c r="E928">
        <v>2</v>
      </c>
      <c r="F928" s="34">
        <v>5.7175925925925929E-2</v>
      </c>
      <c r="G928" s="34">
        <v>2.8587962962962964E-2</v>
      </c>
      <c r="H928" s="34">
        <v>0.2069212962962963</v>
      </c>
      <c r="I928" s="34">
        <v>0.17898148148148149</v>
      </c>
      <c r="J928" s="35">
        <v>0.86497371070589557</v>
      </c>
      <c r="K928" s="33" t="s">
        <v>619</v>
      </c>
      <c r="L928" s="33" t="s">
        <v>601</v>
      </c>
    </row>
    <row r="929" spans="1:12" x14ac:dyDescent="0.25">
      <c r="A929" s="32">
        <v>46245</v>
      </c>
      <c r="B929" s="33" t="s">
        <v>105</v>
      </c>
      <c r="C929" s="33" t="s">
        <v>548</v>
      </c>
      <c r="D929" s="33" t="s">
        <v>105</v>
      </c>
      <c r="E929">
        <v>6</v>
      </c>
      <c r="F929" s="34">
        <v>5.5023148148148147E-2</v>
      </c>
      <c r="G929" s="34">
        <v>9.170524691358024E-3</v>
      </c>
      <c r="H929" s="34">
        <v>0.24577546296296296</v>
      </c>
      <c r="I929" s="34">
        <v>0.19929398148148147</v>
      </c>
      <c r="J929" s="35">
        <v>0.81087826701200849</v>
      </c>
      <c r="K929" s="33" t="s">
        <v>219</v>
      </c>
      <c r="L929" s="33" t="s">
        <v>104</v>
      </c>
    </row>
    <row r="930" spans="1:12" x14ac:dyDescent="0.25">
      <c r="A930" s="32">
        <v>46245</v>
      </c>
      <c r="B930" s="33" t="s">
        <v>105</v>
      </c>
      <c r="C930" s="33" t="s">
        <v>641</v>
      </c>
      <c r="D930" s="33" t="s">
        <v>105</v>
      </c>
      <c r="E930">
        <v>2</v>
      </c>
      <c r="F930" s="34">
        <v>5.2175925925925924E-2</v>
      </c>
      <c r="G930" s="34">
        <v>2.6087962962962962E-2</v>
      </c>
      <c r="H930" s="34">
        <v>0.21076388888888889</v>
      </c>
      <c r="I930" s="34">
        <v>0.1698611111111111</v>
      </c>
      <c r="J930" s="35">
        <v>0.80593080724876431</v>
      </c>
      <c r="K930" s="33" t="s">
        <v>620</v>
      </c>
      <c r="L930" s="33" t="s">
        <v>601</v>
      </c>
    </row>
    <row r="931" spans="1:12" x14ac:dyDescent="0.25">
      <c r="A931" s="32">
        <v>46245</v>
      </c>
      <c r="B931" s="33" t="s">
        <v>105</v>
      </c>
      <c r="C931" s="33" t="s">
        <v>556</v>
      </c>
      <c r="D931" s="33" t="s">
        <v>105</v>
      </c>
      <c r="E931">
        <v>7</v>
      </c>
      <c r="F931" s="34">
        <v>8.5277777777777772E-2</v>
      </c>
      <c r="G931" s="34">
        <v>1.2182539682539682E-2</v>
      </c>
      <c r="H931" s="34">
        <v>0.24711805555555555</v>
      </c>
      <c r="I931" s="34">
        <v>0.13974537037037038</v>
      </c>
      <c r="J931" s="35">
        <v>0.56550044494403073</v>
      </c>
      <c r="K931" s="33" t="s">
        <v>138</v>
      </c>
      <c r="L931" s="33" t="s">
        <v>104</v>
      </c>
    </row>
    <row r="932" spans="1:12" x14ac:dyDescent="0.25">
      <c r="A932" s="32">
        <v>46245</v>
      </c>
      <c r="B932" s="33" t="s">
        <v>105</v>
      </c>
      <c r="C932" s="33" t="s">
        <v>674</v>
      </c>
      <c r="D932" s="33" t="s">
        <v>105</v>
      </c>
      <c r="E932">
        <v>5</v>
      </c>
      <c r="F932" s="34">
        <v>7.8321759259259258E-2</v>
      </c>
      <c r="G932" s="34">
        <v>1.5664351851851853E-2</v>
      </c>
      <c r="H932" s="34">
        <v>0.25062499999999999</v>
      </c>
      <c r="I932" s="34">
        <v>0.14555555555555555</v>
      </c>
      <c r="J932" s="35">
        <v>0.58077029648101963</v>
      </c>
      <c r="K932" s="33" t="s">
        <v>673</v>
      </c>
      <c r="L932" s="33" t="s">
        <v>104</v>
      </c>
    </row>
    <row r="933" spans="1:12" x14ac:dyDescent="0.25">
      <c r="A933" s="32">
        <v>46245</v>
      </c>
      <c r="B933" s="33" t="s">
        <v>105</v>
      </c>
      <c r="C933" s="33" t="s">
        <v>571</v>
      </c>
      <c r="D933" s="33" t="s">
        <v>105</v>
      </c>
      <c r="E933">
        <v>7</v>
      </c>
      <c r="F933" s="34">
        <v>8.5925925925925919E-2</v>
      </c>
      <c r="G933" s="34">
        <v>1.2275132275132274E-2</v>
      </c>
      <c r="H933" s="34">
        <v>0.25829861111111113</v>
      </c>
      <c r="I933" s="34">
        <v>0.15620370370370371</v>
      </c>
      <c r="J933" s="35">
        <v>0.60474078057086522</v>
      </c>
      <c r="K933" s="33" t="s">
        <v>299</v>
      </c>
      <c r="L933" s="33" t="s">
        <v>104</v>
      </c>
    </row>
    <row r="934" spans="1:12" x14ac:dyDescent="0.25">
      <c r="A934" s="32">
        <v>46245</v>
      </c>
      <c r="B934" s="33" t="s">
        <v>105</v>
      </c>
      <c r="C934" s="33" t="s">
        <v>676</v>
      </c>
      <c r="D934" s="33" t="s">
        <v>105</v>
      </c>
      <c r="E934">
        <v>5</v>
      </c>
      <c r="F934" s="34">
        <v>0.10912037037037037</v>
      </c>
      <c r="G934" s="34">
        <v>2.1824074074074072E-2</v>
      </c>
      <c r="H934" s="34">
        <v>0.25800925925925927</v>
      </c>
      <c r="I934" s="34">
        <v>0.12406250000000001</v>
      </c>
      <c r="J934" s="35">
        <v>0.48084514624080388</v>
      </c>
      <c r="K934" s="33" t="s">
        <v>675</v>
      </c>
      <c r="L934" s="33" t="s">
        <v>104</v>
      </c>
    </row>
    <row r="935" spans="1:12" x14ac:dyDescent="0.25">
      <c r="A935" s="32">
        <v>46245</v>
      </c>
      <c r="B935" s="33" t="s">
        <v>32</v>
      </c>
      <c r="C935" s="33" t="s">
        <v>562</v>
      </c>
      <c r="D935" s="33" t="s">
        <v>80</v>
      </c>
      <c r="E935">
        <v>1</v>
      </c>
      <c r="F935" s="34">
        <v>2.0023148148148148E-2</v>
      </c>
      <c r="G935" s="34">
        <v>2.0023148148148148E-2</v>
      </c>
      <c r="H935" s="34">
        <v>0.26798611111111109</v>
      </c>
      <c r="I935" s="34">
        <v>4.8240740740740744E-2</v>
      </c>
      <c r="J935" s="35">
        <v>0.18001209294290405</v>
      </c>
      <c r="K935" s="33" t="s">
        <v>186</v>
      </c>
      <c r="L935" s="33" t="s">
        <v>78</v>
      </c>
    </row>
    <row r="936" spans="1:12" x14ac:dyDescent="0.25">
      <c r="A936" s="32">
        <v>46245</v>
      </c>
      <c r="B936" s="33" t="s">
        <v>32</v>
      </c>
      <c r="C936" s="33" t="s">
        <v>644</v>
      </c>
      <c r="D936" s="33" t="s">
        <v>32</v>
      </c>
      <c r="E936">
        <v>16</v>
      </c>
      <c r="F936" s="34">
        <v>0.11626157407407407</v>
      </c>
      <c r="G936" s="34">
        <v>7.2663483796296295E-3</v>
      </c>
      <c r="H936" s="34">
        <v>0.25136574074074075</v>
      </c>
      <c r="I936" s="34">
        <v>3.6759259259259262E-2</v>
      </c>
      <c r="J936" s="35">
        <v>0.14623814347545816</v>
      </c>
      <c r="K936" s="33" t="s">
        <v>643</v>
      </c>
      <c r="L936" s="33" t="s">
        <v>233</v>
      </c>
    </row>
    <row r="937" spans="1:12" x14ac:dyDescent="0.25">
      <c r="A937" s="32">
        <v>46245</v>
      </c>
      <c r="B937" s="33" t="s">
        <v>32</v>
      </c>
      <c r="C937" s="33" t="s">
        <v>563</v>
      </c>
      <c r="D937" s="33" t="s">
        <v>147</v>
      </c>
      <c r="E937">
        <v>6</v>
      </c>
      <c r="F937" s="34">
        <v>3.1307870370370368E-2</v>
      </c>
      <c r="G937" s="34">
        <v>5.217978395061728E-3</v>
      </c>
      <c r="H937" s="34">
        <v>0.25124999999999997</v>
      </c>
      <c r="I937" s="34">
        <v>4.0914351851851855E-2</v>
      </c>
      <c r="J937" s="35">
        <v>0.16284319145015666</v>
      </c>
      <c r="K937" s="33" t="s">
        <v>193</v>
      </c>
      <c r="L937" s="33" t="s">
        <v>274</v>
      </c>
    </row>
    <row r="938" spans="1:12" x14ac:dyDescent="0.25">
      <c r="A938" s="32">
        <v>46245</v>
      </c>
      <c r="B938" s="33" t="s">
        <v>32</v>
      </c>
      <c r="C938" s="33" t="s">
        <v>525</v>
      </c>
      <c r="D938" s="33" t="s">
        <v>32</v>
      </c>
      <c r="E938">
        <v>27</v>
      </c>
      <c r="F938" s="34">
        <v>0.12085648148148148</v>
      </c>
      <c r="G938" s="34">
        <v>4.4761659807956104E-3</v>
      </c>
      <c r="H938" s="34">
        <v>0.25710648148148146</v>
      </c>
      <c r="I938" s="34">
        <v>2.9791666666666668E-2</v>
      </c>
      <c r="J938" s="35">
        <v>0.11587287296299632</v>
      </c>
      <c r="K938" s="33" t="s">
        <v>231</v>
      </c>
      <c r="L938" s="33" t="s">
        <v>233</v>
      </c>
    </row>
    <row r="939" spans="1:12" x14ac:dyDescent="0.25">
      <c r="A939" s="32">
        <v>46245</v>
      </c>
      <c r="B939" s="33" t="s">
        <v>32</v>
      </c>
      <c r="C939" s="33" t="s">
        <v>550</v>
      </c>
      <c r="D939" s="33" t="s">
        <v>32</v>
      </c>
      <c r="E939">
        <v>36</v>
      </c>
      <c r="F939" s="34">
        <v>9.2824074074074073E-2</v>
      </c>
      <c r="G939" s="34">
        <v>2.5784465020576132E-3</v>
      </c>
      <c r="H939" s="34">
        <v>0.26188657407407406</v>
      </c>
      <c r="I939" s="34">
        <v>3.6620370370370373E-2</v>
      </c>
      <c r="J939" s="35">
        <v>0.13983294294427012</v>
      </c>
      <c r="K939" s="33" t="s">
        <v>234</v>
      </c>
      <c r="L939" s="33" t="s">
        <v>233</v>
      </c>
    </row>
    <row r="940" spans="1:12" x14ac:dyDescent="0.25">
      <c r="A940" s="32">
        <v>46245</v>
      </c>
      <c r="B940" s="33" t="s">
        <v>32</v>
      </c>
      <c r="C940" s="33" t="s">
        <v>505</v>
      </c>
      <c r="D940" s="33" t="s">
        <v>32</v>
      </c>
      <c r="E940">
        <v>32</v>
      </c>
      <c r="F940" s="34">
        <v>0.10459490740740741</v>
      </c>
      <c r="G940" s="34">
        <v>3.2685908564814817E-3</v>
      </c>
      <c r="H940" s="34">
        <v>0.26040509259259259</v>
      </c>
      <c r="I940" s="34">
        <v>3.215277777777778E-2</v>
      </c>
      <c r="J940" s="35">
        <v>0.12347215431796969</v>
      </c>
      <c r="K940" s="33" t="s">
        <v>34</v>
      </c>
      <c r="L940" s="33" t="s">
        <v>233</v>
      </c>
    </row>
    <row r="941" spans="1:12" x14ac:dyDescent="0.25">
      <c r="A941" s="32">
        <v>46245</v>
      </c>
      <c r="B941" s="33" t="s">
        <v>32</v>
      </c>
      <c r="C941" s="33" t="s">
        <v>631</v>
      </c>
      <c r="D941" s="33" t="s">
        <v>105</v>
      </c>
      <c r="E941">
        <v>1</v>
      </c>
      <c r="F941" s="34">
        <v>9.0509259259259258E-3</v>
      </c>
      <c r="G941" s="34">
        <v>9.0509259259259258E-3</v>
      </c>
      <c r="H941" s="34">
        <v>0.23406250000000001</v>
      </c>
      <c r="I941" s="34">
        <v>0.20949074074074073</v>
      </c>
      <c r="J941" s="35">
        <v>0.89502052118874542</v>
      </c>
      <c r="K941" s="33" t="s">
        <v>608</v>
      </c>
      <c r="L941" s="33" t="s">
        <v>601</v>
      </c>
    </row>
    <row r="942" spans="1:12" x14ac:dyDescent="0.25">
      <c r="A942" s="32">
        <v>46245</v>
      </c>
      <c r="B942" s="33" t="s">
        <v>32</v>
      </c>
      <c r="C942" s="33" t="s">
        <v>514</v>
      </c>
      <c r="D942" s="33" t="s">
        <v>147</v>
      </c>
      <c r="E942">
        <v>3</v>
      </c>
      <c r="F942" s="34">
        <v>7.5231481481481477E-3</v>
      </c>
      <c r="G942" s="34">
        <v>2.5077160493827159E-3</v>
      </c>
      <c r="H942" s="34">
        <v>0.26234953703703706</v>
      </c>
      <c r="I942" s="34">
        <v>3.1435185185185184E-2</v>
      </c>
      <c r="J942" s="35">
        <v>0.11982176732695106</v>
      </c>
      <c r="K942" s="33" t="s">
        <v>150</v>
      </c>
      <c r="L942" s="33" t="s">
        <v>146</v>
      </c>
    </row>
    <row r="943" spans="1:12" x14ac:dyDescent="0.25">
      <c r="A943" s="32">
        <v>46245</v>
      </c>
      <c r="B943" s="33" t="s">
        <v>32</v>
      </c>
      <c r="C943" s="33" t="s">
        <v>682</v>
      </c>
      <c r="D943" s="33" t="s">
        <v>105</v>
      </c>
      <c r="E943">
        <v>1</v>
      </c>
      <c r="F943" s="34">
        <v>4.0312500000000001E-2</v>
      </c>
      <c r="G943" s="34">
        <v>4.0312500000000001E-2</v>
      </c>
      <c r="H943" s="34">
        <v>0.23373842592592592</v>
      </c>
      <c r="I943" s="34">
        <v>0.14782407407407408</v>
      </c>
      <c r="J943" s="35">
        <v>0.63243377073533058</v>
      </c>
      <c r="K943" s="33" t="s">
        <v>681</v>
      </c>
      <c r="L943" s="33" t="s">
        <v>601</v>
      </c>
    </row>
    <row r="944" spans="1:12" x14ac:dyDescent="0.25">
      <c r="A944" s="32">
        <v>46245</v>
      </c>
      <c r="B944" s="33" t="s">
        <v>32</v>
      </c>
      <c r="C944" s="33" t="s">
        <v>515</v>
      </c>
      <c r="D944" s="33" t="s">
        <v>147</v>
      </c>
      <c r="E944">
        <v>5</v>
      </c>
      <c r="F944" s="34">
        <v>6.030092592592593E-3</v>
      </c>
      <c r="G944" s="34">
        <v>1.2060185185185186E-3</v>
      </c>
      <c r="H944" s="34">
        <v>0.26498842592592592</v>
      </c>
      <c r="I944" s="34">
        <v>2.7569444444444445E-2</v>
      </c>
      <c r="J944" s="35">
        <v>0.10404018344616729</v>
      </c>
      <c r="K944" s="33" t="s">
        <v>154</v>
      </c>
      <c r="L944" s="33" t="s">
        <v>146</v>
      </c>
    </row>
    <row r="945" spans="1:12" x14ac:dyDescent="0.25">
      <c r="A945" s="32">
        <v>46245</v>
      </c>
      <c r="B945" s="33" t="s">
        <v>32</v>
      </c>
      <c r="C945" s="33" t="s">
        <v>516</v>
      </c>
      <c r="D945" s="33" t="s">
        <v>147</v>
      </c>
      <c r="E945">
        <v>5</v>
      </c>
      <c r="F945" s="34">
        <v>1.3993055555555555E-2</v>
      </c>
      <c r="G945" s="34">
        <v>2.7986111111111111E-3</v>
      </c>
      <c r="H945" s="34">
        <v>0.27025462962962965</v>
      </c>
      <c r="I945" s="34">
        <v>4.2696759259259261E-2</v>
      </c>
      <c r="J945" s="35">
        <v>0.15798715203426122</v>
      </c>
      <c r="K945" s="33" t="s">
        <v>156</v>
      </c>
      <c r="L945" s="33" t="s">
        <v>146</v>
      </c>
    </row>
    <row r="946" spans="1:12" x14ac:dyDescent="0.25">
      <c r="A946" s="32">
        <v>46245</v>
      </c>
      <c r="B946" s="33" t="s">
        <v>32</v>
      </c>
      <c r="C946" s="33" t="s">
        <v>506</v>
      </c>
      <c r="D946" s="33" t="s">
        <v>32</v>
      </c>
      <c r="E946">
        <v>29</v>
      </c>
      <c r="F946" s="34">
        <v>0.17787037037037037</v>
      </c>
      <c r="G946" s="34">
        <v>6.1334610472541509E-3</v>
      </c>
      <c r="H946" s="34">
        <v>0.25689814814814815</v>
      </c>
      <c r="I946" s="34">
        <v>4.4259259259259262E-2</v>
      </c>
      <c r="J946" s="35">
        <v>0.17228329428725897</v>
      </c>
      <c r="K946" s="33" t="s">
        <v>44</v>
      </c>
      <c r="L946" s="33" t="s">
        <v>100</v>
      </c>
    </row>
    <row r="947" spans="1:12" x14ac:dyDescent="0.25">
      <c r="A947" s="32">
        <v>46245</v>
      </c>
      <c r="B947" s="33" t="s">
        <v>32</v>
      </c>
      <c r="C947" s="33" t="s">
        <v>498</v>
      </c>
      <c r="D947" s="33" t="s">
        <v>80</v>
      </c>
      <c r="E947">
        <v>1</v>
      </c>
      <c r="F947" s="34">
        <v>1.0185185185185184E-3</v>
      </c>
      <c r="G947" s="34">
        <v>1.0185185185185184E-3</v>
      </c>
      <c r="H947" s="34">
        <v>0.34302083333333333</v>
      </c>
      <c r="I947" s="34">
        <v>6.1701388888888889E-2</v>
      </c>
      <c r="J947" s="35">
        <v>0.17987650571920236</v>
      </c>
      <c r="K947" s="33" t="s">
        <v>497</v>
      </c>
      <c r="L947" s="33" t="s">
        <v>78</v>
      </c>
    </row>
    <row r="948" spans="1:12" x14ac:dyDescent="0.25">
      <c r="A948" s="32">
        <v>46245</v>
      </c>
      <c r="B948" s="33" t="s">
        <v>32</v>
      </c>
      <c r="C948" s="33" t="s">
        <v>310</v>
      </c>
      <c r="D948" s="33" t="s">
        <v>80</v>
      </c>
      <c r="E948">
        <v>1</v>
      </c>
      <c r="F948" s="34">
        <v>1.1608796296296296E-2</v>
      </c>
      <c r="G948" s="34">
        <v>1.1608796296296296E-2</v>
      </c>
      <c r="H948" s="34">
        <v>0.34250000000000003</v>
      </c>
      <c r="I948" s="34">
        <v>5.7986111111111113E-2</v>
      </c>
      <c r="J948" s="35">
        <v>0.16930251419302514</v>
      </c>
      <c r="K948" s="33" t="s">
        <v>309</v>
      </c>
      <c r="L948" s="33" t="s">
        <v>78</v>
      </c>
    </row>
    <row r="949" spans="1:12" x14ac:dyDescent="0.25">
      <c r="A949" s="32">
        <v>46245</v>
      </c>
      <c r="B949" s="33" t="s">
        <v>32</v>
      </c>
      <c r="C949" s="33" t="s">
        <v>646</v>
      </c>
      <c r="D949" s="33" t="s">
        <v>32</v>
      </c>
      <c r="E949">
        <v>33</v>
      </c>
      <c r="F949" s="34">
        <v>0.19530092592592593</v>
      </c>
      <c r="G949" s="34">
        <v>5.9182098765432102E-3</v>
      </c>
      <c r="H949" s="34">
        <v>0.26010416666666669</v>
      </c>
      <c r="I949" s="34">
        <v>4.1134259259259259E-2</v>
      </c>
      <c r="J949" s="35">
        <v>0.15814532995149733</v>
      </c>
      <c r="K949" s="33" t="s">
        <v>645</v>
      </c>
      <c r="L949" s="33" t="s">
        <v>100</v>
      </c>
    </row>
    <row r="950" spans="1:12" x14ac:dyDescent="0.25">
      <c r="A950" s="32">
        <v>46245</v>
      </c>
      <c r="B950" s="33" t="s">
        <v>32</v>
      </c>
      <c r="C950" s="33" t="s">
        <v>544</v>
      </c>
      <c r="D950" s="33" t="s">
        <v>147</v>
      </c>
      <c r="E950">
        <v>8</v>
      </c>
      <c r="F950" s="34">
        <v>2.4687500000000001E-2</v>
      </c>
      <c r="G950" s="34">
        <v>3.0859375000000001E-3</v>
      </c>
      <c r="H950" s="34">
        <v>0.26090277777777776</v>
      </c>
      <c r="I950" s="34">
        <v>5.7326388888888892E-2</v>
      </c>
      <c r="J950" s="35">
        <v>0.2197231833910035</v>
      </c>
      <c r="K950" s="33" t="s">
        <v>160</v>
      </c>
      <c r="L950" s="33" t="s">
        <v>146</v>
      </c>
    </row>
    <row r="951" spans="1:12" x14ac:dyDescent="0.25">
      <c r="A951" s="32">
        <v>46245</v>
      </c>
      <c r="B951" s="33" t="s">
        <v>32</v>
      </c>
      <c r="C951" s="33" t="s">
        <v>558</v>
      </c>
      <c r="D951" s="33" t="s">
        <v>32</v>
      </c>
      <c r="E951">
        <v>33</v>
      </c>
      <c r="F951" s="34">
        <v>9.8217592592592592E-2</v>
      </c>
      <c r="G951" s="34">
        <v>2.976290684624018E-3</v>
      </c>
      <c r="H951" s="34">
        <v>0.26130787037037034</v>
      </c>
      <c r="I951" s="34">
        <v>3.2604166666666663E-2</v>
      </c>
      <c r="J951" s="35">
        <v>0.12477299906984984</v>
      </c>
      <c r="K951" s="33" t="s">
        <v>120</v>
      </c>
      <c r="L951" s="33" t="s">
        <v>233</v>
      </c>
    </row>
    <row r="952" spans="1:12" x14ac:dyDescent="0.25">
      <c r="A952" s="32">
        <v>46245</v>
      </c>
      <c r="B952" s="33" t="s">
        <v>32</v>
      </c>
      <c r="C952" s="33" t="s">
        <v>507</v>
      </c>
      <c r="D952" s="33" t="s">
        <v>32</v>
      </c>
      <c r="E952">
        <v>35</v>
      </c>
      <c r="F952" s="34">
        <v>0.19304398148148147</v>
      </c>
      <c r="G952" s="34">
        <v>5.5155423280423277E-3</v>
      </c>
      <c r="H952" s="34">
        <v>0.26310185185185186</v>
      </c>
      <c r="I952" s="34">
        <v>3.8518518518518521E-2</v>
      </c>
      <c r="J952" s="35">
        <v>0.14640154847791659</v>
      </c>
      <c r="K952" s="33" t="s">
        <v>46</v>
      </c>
      <c r="L952" s="33" t="s">
        <v>100</v>
      </c>
    </row>
    <row r="953" spans="1:12" x14ac:dyDescent="0.25">
      <c r="A953" s="32">
        <v>46245</v>
      </c>
      <c r="B953" s="33" t="s">
        <v>32</v>
      </c>
      <c r="C953" s="33" t="s">
        <v>517</v>
      </c>
      <c r="D953" s="33" t="s">
        <v>147</v>
      </c>
      <c r="E953">
        <v>1</v>
      </c>
      <c r="F953" s="34">
        <v>7.2106481481481483E-3</v>
      </c>
      <c r="G953" s="34">
        <v>7.2106481481481483E-3</v>
      </c>
      <c r="H953" s="34">
        <v>0.24568287037037037</v>
      </c>
      <c r="I953" s="34">
        <v>7.5023148148148144E-2</v>
      </c>
      <c r="J953" s="35">
        <v>0.30536580769774341</v>
      </c>
      <c r="K953" s="33" t="s">
        <v>499</v>
      </c>
      <c r="L953" s="33" t="s">
        <v>146</v>
      </c>
    </row>
    <row r="954" spans="1:12" x14ac:dyDescent="0.25">
      <c r="A954" s="32">
        <v>46245</v>
      </c>
      <c r="B954" s="33" t="s">
        <v>32</v>
      </c>
      <c r="C954" s="33" t="s">
        <v>648</v>
      </c>
      <c r="D954" s="33" t="s">
        <v>32</v>
      </c>
      <c r="E954">
        <v>32</v>
      </c>
      <c r="F954" s="34">
        <v>8.2430555555555562E-2</v>
      </c>
      <c r="G954" s="34">
        <v>2.5759548611111113E-3</v>
      </c>
      <c r="H954" s="34">
        <v>0.26373842592592595</v>
      </c>
      <c r="I954" s="34">
        <v>3.7592592592592594E-2</v>
      </c>
      <c r="J954" s="35">
        <v>0.14253741168209944</v>
      </c>
      <c r="K954" s="33" t="s">
        <v>647</v>
      </c>
      <c r="L954" s="33" t="s">
        <v>233</v>
      </c>
    </row>
    <row r="955" spans="1:12" x14ac:dyDescent="0.25">
      <c r="A955" s="32">
        <v>46245</v>
      </c>
      <c r="B955" s="33" t="s">
        <v>32</v>
      </c>
      <c r="C955" s="33" t="s">
        <v>652</v>
      </c>
      <c r="D955" s="33" t="s">
        <v>32</v>
      </c>
      <c r="E955">
        <v>26</v>
      </c>
      <c r="F955" s="34">
        <v>0.16525462962962964</v>
      </c>
      <c r="G955" s="34">
        <v>6.3559472934472941E-3</v>
      </c>
      <c r="H955" s="34">
        <v>0.26221064814814815</v>
      </c>
      <c r="I955" s="34">
        <v>4.4814814814814814E-2</v>
      </c>
      <c r="J955" s="35">
        <v>0.17091149856543808</v>
      </c>
      <c r="K955" s="33" t="s">
        <v>651</v>
      </c>
      <c r="L955" s="33" t="s">
        <v>100</v>
      </c>
    </row>
    <row r="956" spans="1:12" x14ac:dyDescent="0.25">
      <c r="A956" s="32">
        <v>46245</v>
      </c>
      <c r="B956" s="33" t="s">
        <v>32</v>
      </c>
      <c r="C956" s="33" t="s">
        <v>568</v>
      </c>
      <c r="D956" s="33" t="s">
        <v>32</v>
      </c>
      <c r="E956">
        <v>47</v>
      </c>
      <c r="F956" s="34">
        <v>0.1632986111111111</v>
      </c>
      <c r="G956" s="34">
        <v>3.4744385342789594E-3</v>
      </c>
      <c r="H956" s="34">
        <v>0.34641203703703705</v>
      </c>
      <c r="I956" s="34">
        <v>3.8796296296296294E-2</v>
      </c>
      <c r="J956" s="35">
        <v>0.11199465419311726</v>
      </c>
      <c r="K956" s="33" t="s">
        <v>246</v>
      </c>
      <c r="L956" s="33" t="s">
        <v>233</v>
      </c>
    </row>
    <row r="957" spans="1:12" x14ac:dyDescent="0.25">
      <c r="A957" s="32">
        <v>46245</v>
      </c>
      <c r="B957" s="33" t="s">
        <v>32</v>
      </c>
      <c r="C957" s="33" t="s">
        <v>508</v>
      </c>
      <c r="D957" s="33" t="s">
        <v>32</v>
      </c>
      <c r="E957">
        <v>43</v>
      </c>
      <c r="F957" s="34">
        <v>0.15912037037037038</v>
      </c>
      <c r="G957" s="34">
        <v>3.7004737295434974E-3</v>
      </c>
      <c r="H957" s="34">
        <v>0.25725694444444447</v>
      </c>
      <c r="I957" s="34">
        <v>5.6122685185185185E-2</v>
      </c>
      <c r="J957" s="35">
        <v>0.21815809600935795</v>
      </c>
      <c r="K957" s="33" t="s">
        <v>48</v>
      </c>
      <c r="L957" s="33" t="s">
        <v>100</v>
      </c>
    </row>
    <row r="958" spans="1:12" x14ac:dyDescent="0.25">
      <c r="A958" s="32">
        <v>46245</v>
      </c>
      <c r="B958" s="33" t="s">
        <v>32</v>
      </c>
      <c r="C958" s="33" t="s">
        <v>538</v>
      </c>
      <c r="D958" s="33" t="s">
        <v>32</v>
      </c>
      <c r="E958">
        <v>5</v>
      </c>
      <c r="F958" s="34">
        <v>5.4722222222222221E-2</v>
      </c>
      <c r="G958" s="34">
        <v>1.0944444444444444E-2</v>
      </c>
      <c r="H958" s="34">
        <v>0.21496527777777777</v>
      </c>
      <c r="I958" s="34">
        <v>0.19378472222222223</v>
      </c>
      <c r="J958" s="35">
        <v>0.90146987562590863</v>
      </c>
      <c r="K958" s="33" t="s">
        <v>50</v>
      </c>
      <c r="L958" s="33" t="s">
        <v>100</v>
      </c>
    </row>
    <row r="959" spans="1:12" x14ac:dyDescent="0.25">
      <c r="A959" s="32">
        <v>46245</v>
      </c>
      <c r="B959" s="33" t="s">
        <v>32</v>
      </c>
      <c r="C959" s="33" t="s">
        <v>603</v>
      </c>
      <c r="D959" s="33" t="s">
        <v>32</v>
      </c>
      <c r="E959">
        <v>25</v>
      </c>
      <c r="F959" s="34">
        <v>0.12487268518518518</v>
      </c>
      <c r="G959" s="34">
        <v>4.9949074074074071E-3</v>
      </c>
      <c r="H959" s="34">
        <v>0.27013888888888887</v>
      </c>
      <c r="I959" s="34">
        <v>3.1215277777777779E-2</v>
      </c>
      <c r="J959" s="35">
        <v>0.11555269922879179</v>
      </c>
      <c r="K959" s="33" t="s">
        <v>242</v>
      </c>
      <c r="L959" s="33" t="s">
        <v>233</v>
      </c>
    </row>
    <row r="960" spans="1:12" x14ac:dyDescent="0.25">
      <c r="A960" s="32">
        <v>46245</v>
      </c>
      <c r="B960" s="33" t="s">
        <v>32</v>
      </c>
      <c r="C960" s="33" t="s">
        <v>553</v>
      </c>
      <c r="D960" s="33" t="s">
        <v>80</v>
      </c>
      <c r="E960">
        <v>1</v>
      </c>
      <c r="F960" s="34">
        <v>7.1064814814814819E-3</v>
      </c>
      <c r="G960" s="34">
        <v>7.1064814814814819E-3</v>
      </c>
      <c r="H960" s="34">
        <v>0.55401620370370375</v>
      </c>
      <c r="I960" s="34">
        <v>1.5856481481481481E-3</v>
      </c>
      <c r="J960" s="35">
        <v>2.862097060605427E-3</v>
      </c>
      <c r="K960" s="33" t="s">
        <v>252</v>
      </c>
      <c r="L960" s="33" t="s">
        <v>78</v>
      </c>
    </row>
    <row r="961" spans="1:12" x14ac:dyDescent="0.25">
      <c r="A961" s="32">
        <v>46245</v>
      </c>
      <c r="B961" s="33" t="s">
        <v>32</v>
      </c>
      <c r="C961" s="33" t="s">
        <v>518</v>
      </c>
      <c r="D961" s="33" t="s">
        <v>147</v>
      </c>
      <c r="E961">
        <v>8</v>
      </c>
      <c r="F961" s="34">
        <v>3.2638888888888891E-2</v>
      </c>
      <c r="G961" s="34">
        <v>4.0798611111111114E-3</v>
      </c>
      <c r="H961" s="34">
        <v>0.26149305555555558</v>
      </c>
      <c r="I961" s="34">
        <v>3.1759259259259258E-2</v>
      </c>
      <c r="J961" s="35">
        <v>0.12145354755897843</v>
      </c>
      <c r="K961" s="33" t="s">
        <v>500</v>
      </c>
      <c r="L961" s="33" t="s">
        <v>274</v>
      </c>
    </row>
    <row r="962" spans="1:12" x14ac:dyDescent="0.25">
      <c r="A962" s="32">
        <v>46245</v>
      </c>
      <c r="B962" s="33" t="s">
        <v>32</v>
      </c>
      <c r="C962" s="33" t="s">
        <v>684</v>
      </c>
      <c r="D962" s="33" t="s">
        <v>32</v>
      </c>
      <c r="E962">
        <v>27</v>
      </c>
      <c r="F962" s="34">
        <v>0.1082638888888889</v>
      </c>
      <c r="G962" s="34">
        <v>4.0097736625514403E-3</v>
      </c>
      <c r="H962" s="34">
        <v>0.26393518518518516</v>
      </c>
      <c r="I962" s="34">
        <v>5.1076388888888886E-2</v>
      </c>
      <c r="J962" s="35">
        <v>0.19351868093316962</v>
      </c>
      <c r="K962" s="33" t="s">
        <v>683</v>
      </c>
      <c r="L962" s="33" t="s">
        <v>233</v>
      </c>
    </row>
    <row r="963" spans="1:12" x14ac:dyDescent="0.25">
      <c r="A963" s="32">
        <v>46245</v>
      </c>
      <c r="B963" s="33" t="s">
        <v>32</v>
      </c>
      <c r="C963" s="33" t="s">
        <v>654</v>
      </c>
      <c r="D963" s="33" t="s">
        <v>32</v>
      </c>
      <c r="E963">
        <v>26</v>
      </c>
      <c r="F963" s="34">
        <v>0.18335648148148148</v>
      </c>
      <c r="G963" s="34">
        <v>7.052172364672365E-3</v>
      </c>
      <c r="H963" s="34">
        <v>0.25392361111111111</v>
      </c>
      <c r="I963" s="34">
        <v>4.494212962962963E-2</v>
      </c>
      <c r="J963" s="35">
        <v>0.17699074707142531</v>
      </c>
      <c r="K963" s="33" t="s">
        <v>653</v>
      </c>
      <c r="L963" s="33" t="s">
        <v>100</v>
      </c>
    </row>
    <row r="964" spans="1:12" x14ac:dyDescent="0.25">
      <c r="A964" s="32">
        <v>46245</v>
      </c>
      <c r="B964" s="33" t="s">
        <v>32</v>
      </c>
      <c r="C964" s="33" t="s">
        <v>509</v>
      </c>
      <c r="D964" s="33" t="s">
        <v>32</v>
      </c>
      <c r="E964">
        <v>5</v>
      </c>
      <c r="F964" s="34">
        <v>1.8101851851851852E-2</v>
      </c>
      <c r="G964" s="34">
        <v>3.6203703703703701E-3</v>
      </c>
      <c r="H964" s="34">
        <v>0.24372685185185186</v>
      </c>
      <c r="I964" s="34">
        <v>0.22377314814814814</v>
      </c>
      <c r="J964" s="35">
        <v>0.9181308766264602</v>
      </c>
      <c r="K964" s="33" t="s">
        <v>52</v>
      </c>
      <c r="L964" s="33" t="s">
        <v>100</v>
      </c>
    </row>
    <row r="965" spans="1:12" x14ac:dyDescent="0.25">
      <c r="A965" s="32">
        <v>46245</v>
      </c>
      <c r="B965" s="33" t="s">
        <v>32</v>
      </c>
      <c r="C965" s="33" t="s">
        <v>656</v>
      </c>
      <c r="D965" s="33" t="s">
        <v>32</v>
      </c>
      <c r="E965">
        <v>39</v>
      </c>
      <c r="F965" s="34">
        <v>0.1653125</v>
      </c>
      <c r="G965" s="34">
        <v>4.2387820512820515E-3</v>
      </c>
      <c r="H965" s="34">
        <v>0.26163194444444443</v>
      </c>
      <c r="I965" s="34">
        <v>3.9976851851851854E-2</v>
      </c>
      <c r="J965" s="35">
        <v>0.15279805352798054</v>
      </c>
      <c r="K965" s="33" t="s">
        <v>655</v>
      </c>
      <c r="L965" s="33" t="s">
        <v>100</v>
      </c>
    </row>
    <row r="966" spans="1:12" x14ac:dyDescent="0.25">
      <c r="A966" s="32">
        <v>46245</v>
      </c>
      <c r="B966" s="33" t="s">
        <v>32</v>
      </c>
      <c r="C966" s="33" t="s">
        <v>167</v>
      </c>
      <c r="D966" s="33" t="s">
        <v>147</v>
      </c>
      <c r="E966">
        <v>2</v>
      </c>
      <c r="F966" s="34">
        <v>6.3078703703703708E-3</v>
      </c>
      <c r="G966" s="34">
        <v>3.1539351851851854E-3</v>
      </c>
      <c r="H966" s="34">
        <v>0.2354050925925926</v>
      </c>
      <c r="I966" s="34">
        <v>7.5543981481481476E-2</v>
      </c>
      <c r="J966" s="35">
        <v>0.32091056590786171</v>
      </c>
      <c r="K966" s="33" t="s">
        <v>166</v>
      </c>
      <c r="L966" s="33" t="s">
        <v>146</v>
      </c>
    </row>
    <row r="967" spans="1:12" x14ac:dyDescent="0.25">
      <c r="A967" s="32">
        <v>46245</v>
      </c>
      <c r="B967" s="33" t="s">
        <v>32</v>
      </c>
      <c r="C967" s="33" t="s">
        <v>658</v>
      </c>
      <c r="D967" s="33" t="s">
        <v>147</v>
      </c>
      <c r="E967">
        <v>6</v>
      </c>
      <c r="F967" s="34">
        <v>2.431712962962963E-2</v>
      </c>
      <c r="G967" s="34">
        <v>4.0528549382716052E-3</v>
      </c>
      <c r="H967" s="34">
        <v>0.26653935185185185</v>
      </c>
      <c r="I967" s="34">
        <v>3.3761574074074076E-2</v>
      </c>
      <c r="J967" s="35">
        <v>0.12666637717660342</v>
      </c>
      <c r="K967" s="33" t="s">
        <v>657</v>
      </c>
      <c r="L967" s="33" t="s">
        <v>274</v>
      </c>
    </row>
    <row r="968" spans="1:12" x14ac:dyDescent="0.25">
      <c r="A968" s="32">
        <v>46245</v>
      </c>
      <c r="B968" s="33" t="s">
        <v>32</v>
      </c>
      <c r="C968" s="33" t="s">
        <v>660</v>
      </c>
      <c r="D968" s="33" t="s">
        <v>32</v>
      </c>
      <c r="E968">
        <v>6</v>
      </c>
      <c r="F968" s="34">
        <v>2.0324074074074074E-2</v>
      </c>
      <c r="G968" s="34">
        <v>3.3873456790123459E-3</v>
      </c>
      <c r="H968" s="34">
        <v>0.24780092592592592</v>
      </c>
      <c r="I968" s="34">
        <v>0.22407407407407406</v>
      </c>
      <c r="J968" s="35">
        <v>0.90425035030359646</v>
      </c>
      <c r="K968" s="33" t="s">
        <v>659</v>
      </c>
      <c r="L968" s="33" t="s">
        <v>100</v>
      </c>
    </row>
    <row r="969" spans="1:12" x14ac:dyDescent="0.25">
      <c r="A969" s="32">
        <v>46245</v>
      </c>
      <c r="B969" s="33" t="s">
        <v>32</v>
      </c>
      <c r="C969" s="33" t="s">
        <v>528</v>
      </c>
      <c r="D969" s="33" t="s">
        <v>32</v>
      </c>
      <c r="E969">
        <v>24</v>
      </c>
      <c r="F969" s="34">
        <v>0.1028587962962963</v>
      </c>
      <c r="G969" s="34">
        <v>4.2857831790123454E-3</v>
      </c>
      <c r="H969" s="34">
        <v>0.26750000000000002</v>
      </c>
      <c r="I969" s="34">
        <v>4.3993055555555556E-2</v>
      </c>
      <c r="J969" s="35">
        <v>0.16446002076843197</v>
      </c>
      <c r="K969" s="33" t="s">
        <v>254</v>
      </c>
      <c r="L969" s="33" t="s">
        <v>233</v>
      </c>
    </row>
    <row r="970" spans="1:12" x14ac:dyDescent="0.25">
      <c r="A970" s="32">
        <v>46245</v>
      </c>
      <c r="B970" s="33" t="s">
        <v>32</v>
      </c>
      <c r="C970" s="33" t="s">
        <v>520</v>
      </c>
      <c r="D970" s="33" t="s">
        <v>147</v>
      </c>
      <c r="E970">
        <v>4</v>
      </c>
      <c r="F970" s="34">
        <v>2.0995370370370369E-2</v>
      </c>
      <c r="G970" s="34">
        <v>5.2488425925925923E-3</v>
      </c>
      <c r="H970" s="34">
        <v>0.26971064814814816</v>
      </c>
      <c r="I970" s="34">
        <v>4.6342592592592595E-2</v>
      </c>
      <c r="J970" s="35">
        <v>0.17182337038149595</v>
      </c>
      <c r="K970" s="33" t="s">
        <v>168</v>
      </c>
      <c r="L970" s="33" t="s">
        <v>274</v>
      </c>
    </row>
    <row r="971" spans="1:12" x14ac:dyDescent="0.25">
      <c r="A971" s="32">
        <v>46245</v>
      </c>
      <c r="B971" s="33" t="s">
        <v>32</v>
      </c>
      <c r="C971" s="33" t="s">
        <v>521</v>
      </c>
      <c r="D971" s="33" t="s">
        <v>147</v>
      </c>
      <c r="E971">
        <v>6</v>
      </c>
      <c r="F971" s="34">
        <v>2.9618055555555557E-2</v>
      </c>
      <c r="G971" s="34">
        <v>4.9363425925925929E-3</v>
      </c>
      <c r="H971" s="34">
        <v>0.27398148148148149</v>
      </c>
      <c r="I971" s="34">
        <v>3.3171296296296296E-2</v>
      </c>
      <c r="J971" s="35">
        <v>0.12107130787428184</v>
      </c>
      <c r="K971" s="33" t="s">
        <v>170</v>
      </c>
      <c r="L971" s="33" t="s">
        <v>146</v>
      </c>
    </row>
    <row r="972" spans="1:12" x14ac:dyDescent="0.25">
      <c r="A972" s="32">
        <v>46245</v>
      </c>
      <c r="B972" s="33" t="s">
        <v>32</v>
      </c>
      <c r="C972" s="33" t="s">
        <v>93</v>
      </c>
      <c r="D972" s="33" t="s">
        <v>80</v>
      </c>
      <c r="E972">
        <v>1</v>
      </c>
      <c r="F972" s="34">
        <v>2.6990740740740742E-2</v>
      </c>
      <c r="G972" s="34">
        <v>2.6990740740740742E-2</v>
      </c>
      <c r="H972" s="34">
        <v>0.33579861111111109</v>
      </c>
      <c r="I972" s="34">
        <v>0.13574074074074075</v>
      </c>
      <c r="J972" s="35">
        <v>0.40423258539275503</v>
      </c>
      <c r="K972" s="33" t="s">
        <v>92</v>
      </c>
      <c r="L972" s="33" t="s">
        <v>78</v>
      </c>
    </row>
    <row r="973" spans="1:12" x14ac:dyDescent="0.25">
      <c r="A973" s="32">
        <v>46245</v>
      </c>
      <c r="B973" s="33" t="s">
        <v>32</v>
      </c>
      <c r="C973" s="33" t="s">
        <v>633</v>
      </c>
      <c r="D973" s="33" t="s">
        <v>147</v>
      </c>
      <c r="E973">
        <v>3</v>
      </c>
      <c r="F973" s="34">
        <v>3.0011574074074072E-2</v>
      </c>
      <c r="G973" s="34">
        <v>1.0003858024691357E-2</v>
      </c>
      <c r="H973" s="34">
        <v>0.26225694444444442</v>
      </c>
      <c r="I973" s="34">
        <v>9.7592592592592592E-2</v>
      </c>
      <c r="J973" s="35">
        <v>0.37212586610176973</v>
      </c>
      <c r="K973" s="33" t="s">
        <v>606</v>
      </c>
      <c r="L973" s="33" t="s">
        <v>146</v>
      </c>
    </row>
    <row r="974" spans="1:12" x14ac:dyDescent="0.25">
      <c r="A974" s="32">
        <v>46245</v>
      </c>
      <c r="B974" s="33" t="s">
        <v>32</v>
      </c>
      <c r="C974" s="33" t="s">
        <v>634</v>
      </c>
      <c r="D974" s="33" t="s">
        <v>105</v>
      </c>
      <c r="E974">
        <v>1</v>
      </c>
      <c r="F974" s="34">
        <v>1.1597222222222222E-2</v>
      </c>
      <c r="G974" s="34">
        <v>1.1597222222222222E-2</v>
      </c>
      <c r="H974" s="34">
        <v>0.23844907407407406</v>
      </c>
      <c r="I974" s="34">
        <v>0.22055555555555556</v>
      </c>
      <c r="J974" s="35">
        <v>0.92495874186972149</v>
      </c>
      <c r="K974" s="33" t="s">
        <v>612</v>
      </c>
      <c r="L974" s="33" t="s">
        <v>601</v>
      </c>
    </row>
    <row r="975" spans="1:12" x14ac:dyDescent="0.25">
      <c r="A975" s="32">
        <v>46245</v>
      </c>
      <c r="B975" s="33" t="s">
        <v>32</v>
      </c>
      <c r="C975" s="33" t="s">
        <v>529</v>
      </c>
      <c r="D975" s="33" t="s">
        <v>32</v>
      </c>
      <c r="E975">
        <v>19</v>
      </c>
      <c r="F975" s="34">
        <v>7.4490740740740746E-2</v>
      </c>
      <c r="G975" s="34">
        <v>3.9205653021442497E-3</v>
      </c>
      <c r="H975" s="34">
        <v>0.2457175925925926</v>
      </c>
      <c r="I975" s="34">
        <v>6.4444444444444443E-2</v>
      </c>
      <c r="J975" s="35">
        <v>0.2622703721149317</v>
      </c>
      <c r="K975" s="33" t="s">
        <v>256</v>
      </c>
      <c r="L975" s="33" t="s">
        <v>233</v>
      </c>
    </row>
    <row r="976" spans="1:12" x14ac:dyDescent="0.25">
      <c r="A976" s="32">
        <v>46245</v>
      </c>
      <c r="B976" s="33" t="s">
        <v>32</v>
      </c>
      <c r="C976" s="33" t="s">
        <v>662</v>
      </c>
      <c r="D976" s="33" t="s">
        <v>32</v>
      </c>
      <c r="E976">
        <v>25</v>
      </c>
      <c r="F976" s="34">
        <v>0.18712962962962962</v>
      </c>
      <c r="G976" s="34">
        <v>7.485185185185185E-3</v>
      </c>
      <c r="H976" s="34">
        <v>0.25982638888888887</v>
      </c>
      <c r="I976" s="34">
        <v>5.2071759259259262E-2</v>
      </c>
      <c r="J976" s="35">
        <v>0.20040981780925657</v>
      </c>
      <c r="K976" s="33" t="s">
        <v>661</v>
      </c>
      <c r="L976" s="33" t="s">
        <v>100</v>
      </c>
    </row>
    <row r="977" spans="1:12" x14ac:dyDescent="0.25">
      <c r="A977" s="32">
        <v>46245</v>
      </c>
      <c r="B977" s="33" t="s">
        <v>32</v>
      </c>
      <c r="C977" s="33" t="s">
        <v>664</v>
      </c>
      <c r="D977" s="33" t="s">
        <v>32</v>
      </c>
      <c r="E977">
        <v>21</v>
      </c>
      <c r="F977" s="34">
        <v>0.13513888888888889</v>
      </c>
      <c r="G977" s="34">
        <v>6.4351851851851853E-3</v>
      </c>
      <c r="H977" s="34">
        <v>0.25723379629629628</v>
      </c>
      <c r="I977" s="34">
        <v>2.8645833333333332E-2</v>
      </c>
      <c r="J977" s="35">
        <v>0.11136107986501688</v>
      </c>
      <c r="K977" s="33" t="s">
        <v>663</v>
      </c>
      <c r="L977" s="33" t="s">
        <v>233</v>
      </c>
    </row>
    <row r="978" spans="1:12" x14ac:dyDescent="0.25">
      <c r="A978" s="32">
        <v>46245</v>
      </c>
      <c r="B978" s="33" t="s">
        <v>32</v>
      </c>
      <c r="C978" s="33" t="s">
        <v>565</v>
      </c>
      <c r="D978" s="33" t="s">
        <v>105</v>
      </c>
      <c r="E978">
        <v>2</v>
      </c>
      <c r="F978" s="34">
        <v>2.537037037037037E-2</v>
      </c>
      <c r="G978" s="34">
        <v>1.2685185185185185E-2</v>
      </c>
      <c r="H978" s="34">
        <v>0.18732638888888889</v>
      </c>
      <c r="I978" s="34">
        <v>0.15702546296296296</v>
      </c>
      <c r="J978" s="35">
        <v>0.83824528884769844</v>
      </c>
      <c r="K978" s="33" t="s">
        <v>203</v>
      </c>
      <c r="L978" s="33" t="s">
        <v>601</v>
      </c>
    </row>
    <row r="979" spans="1:12" x14ac:dyDescent="0.25">
      <c r="A979" s="32">
        <v>46245</v>
      </c>
      <c r="B979" s="33" t="s">
        <v>32</v>
      </c>
      <c r="C979" s="33" t="s">
        <v>666</v>
      </c>
      <c r="D979" s="33" t="s">
        <v>32</v>
      </c>
      <c r="E979">
        <v>36</v>
      </c>
      <c r="F979" s="34">
        <v>0.17743055555555556</v>
      </c>
      <c r="G979" s="34">
        <v>4.9286265432098766E-3</v>
      </c>
      <c r="H979" s="34">
        <v>0.2484837962962963</v>
      </c>
      <c r="I979" s="34">
        <v>4.0740740740740744E-2</v>
      </c>
      <c r="J979" s="35">
        <v>0.16395733383017375</v>
      </c>
      <c r="K979" s="33" t="s">
        <v>665</v>
      </c>
      <c r="L979" s="33" t="s">
        <v>100</v>
      </c>
    </row>
    <row r="980" spans="1:12" x14ac:dyDescent="0.25">
      <c r="A980" s="32">
        <v>46245</v>
      </c>
      <c r="B980" s="33" t="s">
        <v>32</v>
      </c>
      <c r="C980" s="33" t="s">
        <v>555</v>
      </c>
      <c r="D980" s="33" t="s">
        <v>32</v>
      </c>
      <c r="E980">
        <v>20</v>
      </c>
      <c r="F980" s="34">
        <v>8.458333333333333E-2</v>
      </c>
      <c r="G980" s="34">
        <v>4.2291666666666667E-3</v>
      </c>
      <c r="H980" s="34">
        <v>0.23435185185185184</v>
      </c>
      <c r="I980" s="34">
        <v>6.5949074074074077E-2</v>
      </c>
      <c r="J980" s="35">
        <v>0.28141050967996845</v>
      </c>
      <c r="K980" s="33" t="s">
        <v>128</v>
      </c>
      <c r="L980" s="33" t="s">
        <v>233</v>
      </c>
    </row>
    <row r="981" spans="1:12" x14ac:dyDescent="0.25">
      <c r="A981" s="32">
        <v>46245</v>
      </c>
      <c r="B981" s="33" t="s">
        <v>32</v>
      </c>
      <c r="C981" s="33" t="s">
        <v>522</v>
      </c>
      <c r="D981" s="33" t="s">
        <v>147</v>
      </c>
      <c r="E981">
        <v>3</v>
      </c>
      <c r="F981" s="34">
        <v>9.6064814814814815E-3</v>
      </c>
      <c r="G981" s="34">
        <v>3.2021604938271605E-3</v>
      </c>
      <c r="H981" s="34">
        <v>0.26142361111111112</v>
      </c>
      <c r="I981" s="34">
        <v>3.6238425925925924E-2</v>
      </c>
      <c r="J981" s="35">
        <v>0.13861955992385</v>
      </c>
      <c r="K981" s="33" t="s">
        <v>178</v>
      </c>
      <c r="L981" s="33" t="s">
        <v>146</v>
      </c>
    </row>
    <row r="982" spans="1:12" x14ac:dyDescent="0.25">
      <c r="A982" s="32">
        <v>46245</v>
      </c>
      <c r="B982" s="33" t="s">
        <v>32</v>
      </c>
      <c r="C982" s="33" t="s">
        <v>635</v>
      </c>
      <c r="D982" s="33" t="s">
        <v>105</v>
      </c>
      <c r="E982">
        <v>1</v>
      </c>
      <c r="F982" s="34">
        <v>9.6874999999999999E-3</v>
      </c>
      <c r="G982" s="34">
        <v>9.6874999999999999E-3</v>
      </c>
      <c r="H982" s="34">
        <v>0.21465277777777778</v>
      </c>
      <c r="I982" s="34">
        <v>0.15942129629629628</v>
      </c>
      <c r="J982" s="35">
        <v>0.74269384233797042</v>
      </c>
      <c r="K982" s="33" t="s">
        <v>614</v>
      </c>
      <c r="L982" s="33" t="s">
        <v>601</v>
      </c>
    </row>
    <row r="983" spans="1:12" x14ac:dyDescent="0.25">
      <c r="A983" s="32">
        <v>46245</v>
      </c>
      <c r="B983" s="33" t="s">
        <v>32</v>
      </c>
      <c r="C983" s="33" t="s">
        <v>523</v>
      </c>
      <c r="D983" s="33" t="s">
        <v>147</v>
      </c>
      <c r="E983">
        <v>6</v>
      </c>
      <c r="F983" s="34">
        <v>2.9062500000000002E-2</v>
      </c>
      <c r="G983" s="34">
        <v>4.84375E-3</v>
      </c>
      <c r="H983" s="34">
        <v>0.31408564814814816</v>
      </c>
      <c r="I983" s="34">
        <v>3.502314814814815E-2</v>
      </c>
      <c r="J983" s="35">
        <v>0.1115082728378229</v>
      </c>
      <c r="K983" s="33" t="s">
        <v>180</v>
      </c>
      <c r="L983" s="33" t="s">
        <v>146</v>
      </c>
    </row>
    <row r="984" spans="1:12" x14ac:dyDescent="0.25">
      <c r="A984" s="32">
        <v>46245</v>
      </c>
      <c r="B984" s="33" t="s">
        <v>32</v>
      </c>
      <c r="C984" s="33" t="s">
        <v>636</v>
      </c>
      <c r="D984" s="33" t="s">
        <v>105</v>
      </c>
      <c r="E984">
        <v>2</v>
      </c>
      <c r="F984" s="34">
        <v>1.8263888888888889E-2</v>
      </c>
      <c r="G984" s="34">
        <v>9.1319444444444443E-3</v>
      </c>
      <c r="H984" s="34">
        <v>0.19876157407407408</v>
      </c>
      <c r="I984" s="34">
        <v>0.17444444444444446</v>
      </c>
      <c r="J984" s="35">
        <v>0.87765678681651438</v>
      </c>
      <c r="K984" s="33" t="s">
        <v>615</v>
      </c>
      <c r="L984" s="33" t="s">
        <v>601</v>
      </c>
    </row>
    <row r="985" spans="1:12" x14ac:dyDescent="0.25">
      <c r="A985" s="32">
        <v>46245</v>
      </c>
      <c r="B985" s="33" t="s">
        <v>32</v>
      </c>
      <c r="C985" s="33" t="s">
        <v>97</v>
      </c>
      <c r="D985" s="33" t="s">
        <v>80</v>
      </c>
      <c r="E985">
        <v>1</v>
      </c>
      <c r="F985" s="34">
        <v>1.9872685185185184E-2</v>
      </c>
      <c r="G985" s="34">
        <v>1.9872685185185184E-2</v>
      </c>
      <c r="H985" s="34">
        <v>0.31935185185185183</v>
      </c>
      <c r="I985" s="34">
        <v>7.6585648148148153E-2</v>
      </c>
      <c r="J985" s="35">
        <v>0.23981588866338072</v>
      </c>
      <c r="K985" s="33" t="s">
        <v>96</v>
      </c>
      <c r="L985" s="33" t="s">
        <v>78</v>
      </c>
    </row>
    <row r="986" spans="1:12" x14ac:dyDescent="0.25">
      <c r="A986" s="32">
        <v>46245</v>
      </c>
      <c r="B986" s="33" t="s">
        <v>32</v>
      </c>
      <c r="C986" s="33" t="s">
        <v>566</v>
      </c>
      <c r="D986" s="33" t="s">
        <v>147</v>
      </c>
      <c r="E986">
        <v>3</v>
      </c>
      <c r="F986" s="34">
        <v>1.2337962962962964E-2</v>
      </c>
      <c r="G986" s="34">
        <v>4.1126543209876543E-3</v>
      </c>
      <c r="H986" s="34">
        <v>0.26</v>
      </c>
      <c r="I986" s="34">
        <v>3.2361111111111111E-2</v>
      </c>
      <c r="J986" s="35">
        <v>0.12446581196581197</v>
      </c>
      <c r="K986" s="33" t="s">
        <v>207</v>
      </c>
      <c r="L986" s="33" t="s">
        <v>274</v>
      </c>
    </row>
    <row r="987" spans="1:12" x14ac:dyDescent="0.25">
      <c r="A987" s="32">
        <v>46245</v>
      </c>
      <c r="B987" s="33" t="s">
        <v>32</v>
      </c>
      <c r="C987" s="33" t="s">
        <v>510</v>
      </c>
      <c r="D987" s="33" t="s">
        <v>32</v>
      </c>
      <c r="E987">
        <v>42</v>
      </c>
      <c r="F987" s="34">
        <v>0.24208333333333334</v>
      </c>
      <c r="G987" s="34">
        <v>5.7638888888888896E-3</v>
      </c>
      <c r="H987" s="34">
        <v>0.33210648148148147</v>
      </c>
      <c r="I987" s="34">
        <v>3.7384259259259256E-2</v>
      </c>
      <c r="J987" s="35">
        <v>0.11256708719592945</v>
      </c>
      <c r="K987" s="33" t="s">
        <v>60</v>
      </c>
      <c r="L987" s="33" t="s">
        <v>100</v>
      </c>
    </row>
    <row r="988" spans="1:12" x14ac:dyDescent="0.25">
      <c r="A988" s="32">
        <v>46245</v>
      </c>
      <c r="B988" s="33" t="s">
        <v>32</v>
      </c>
      <c r="C988" s="33" t="s">
        <v>638</v>
      </c>
      <c r="D988" s="33" t="s">
        <v>105</v>
      </c>
      <c r="E988">
        <v>3</v>
      </c>
      <c r="F988" s="34">
        <v>8.518518518518519E-3</v>
      </c>
      <c r="G988" s="34">
        <v>2.8395061728395065E-3</v>
      </c>
      <c r="H988" s="34">
        <v>0.23505787037037038</v>
      </c>
      <c r="I988" s="34">
        <v>0.21524305555555556</v>
      </c>
      <c r="J988" s="35">
        <v>0.9157023979516471</v>
      </c>
      <c r="K988" s="33" t="s">
        <v>617</v>
      </c>
      <c r="L988" s="33" t="s">
        <v>601</v>
      </c>
    </row>
    <row r="989" spans="1:12" x14ac:dyDescent="0.25">
      <c r="A989" s="32">
        <v>46245</v>
      </c>
      <c r="B989" s="33" t="s">
        <v>32</v>
      </c>
      <c r="C989" s="33" t="s">
        <v>524</v>
      </c>
      <c r="D989" s="33" t="s">
        <v>147</v>
      </c>
      <c r="E989">
        <v>7</v>
      </c>
      <c r="F989" s="34">
        <v>2.3506944444444445E-2</v>
      </c>
      <c r="G989" s="34">
        <v>3.3581349206349208E-3</v>
      </c>
      <c r="H989" s="34">
        <v>0.27166666666666667</v>
      </c>
      <c r="I989" s="34">
        <v>3.484953703703704E-2</v>
      </c>
      <c r="J989" s="35">
        <v>0.12828050443081118</v>
      </c>
      <c r="K989" s="33" t="s">
        <v>501</v>
      </c>
      <c r="L989" s="33" t="s">
        <v>274</v>
      </c>
    </row>
    <row r="990" spans="1:12" x14ac:dyDescent="0.25">
      <c r="A990" s="32">
        <v>46245</v>
      </c>
      <c r="B990" s="33" t="s">
        <v>32</v>
      </c>
      <c r="C990" s="33" t="s">
        <v>640</v>
      </c>
      <c r="D990" s="33" t="s">
        <v>105</v>
      </c>
      <c r="E990">
        <v>2</v>
      </c>
      <c r="F990" s="34">
        <v>8.2291666666666659E-3</v>
      </c>
      <c r="G990" s="34">
        <v>4.1145833333333329E-3</v>
      </c>
      <c r="H990" s="34">
        <v>0.2069212962962963</v>
      </c>
      <c r="I990" s="34">
        <v>0.17898148148148149</v>
      </c>
      <c r="J990" s="35">
        <v>0.86497371070589557</v>
      </c>
      <c r="K990" s="33" t="s">
        <v>619</v>
      </c>
      <c r="L990" s="33" t="s">
        <v>601</v>
      </c>
    </row>
    <row r="991" spans="1:12" x14ac:dyDescent="0.25">
      <c r="A991" s="32">
        <v>46245</v>
      </c>
      <c r="B991" s="33" t="s">
        <v>32</v>
      </c>
      <c r="C991" s="33" t="s">
        <v>669</v>
      </c>
      <c r="D991" s="33" t="s">
        <v>32</v>
      </c>
      <c r="E991">
        <v>23</v>
      </c>
      <c r="F991" s="34">
        <v>0.11449074074074074</v>
      </c>
      <c r="G991" s="34">
        <v>4.9778582930756843E-3</v>
      </c>
      <c r="H991" s="34">
        <v>0.25666666666666665</v>
      </c>
      <c r="I991" s="34">
        <v>4.628472222222222E-2</v>
      </c>
      <c r="J991" s="35">
        <v>0.18033008658008659</v>
      </c>
      <c r="K991" s="33" t="s">
        <v>668</v>
      </c>
      <c r="L991" s="33" t="s">
        <v>233</v>
      </c>
    </row>
    <row r="992" spans="1:12" x14ac:dyDescent="0.25">
      <c r="A992" s="32">
        <v>46245</v>
      </c>
      <c r="B992" s="33" t="s">
        <v>32</v>
      </c>
      <c r="C992" s="33" t="s">
        <v>670</v>
      </c>
      <c r="D992" s="33" t="s">
        <v>32</v>
      </c>
      <c r="E992">
        <v>25</v>
      </c>
      <c r="F992" s="34">
        <v>0.17966435185185184</v>
      </c>
      <c r="G992" s="34">
        <v>7.1865740740740735E-3</v>
      </c>
      <c r="H992" s="34">
        <v>0.25828703703703704</v>
      </c>
      <c r="I992" s="34">
        <v>6.4571759259259259E-2</v>
      </c>
      <c r="J992" s="35">
        <v>0.25</v>
      </c>
      <c r="K992" s="33" t="s">
        <v>744</v>
      </c>
      <c r="L992" s="33" t="s">
        <v>100</v>
      </c>
    </row>
    <row r="993" spans="1:12" x14ac:dyDescent="0.25">
      <c r="A993" s="32">
        <v>46245</v>
      </c>
      <c r="B993" s="33" t="s">
        <v>32</v>
      </c>
      <c r="C993" s="33" t="s">
        <v>306</v>
      </c>
      <c r="D993" s="33" t="s">
        <v>32</v>
      </c>
      <c r="E993">
        <v>38</v>
      </c>
      <c r="F993" s="34">
        <v>0.14732638888888888</v>
      </c>
      <c r="G993" s="34">
        <v>3.8770102339181285E-3</v>
      </c>
      <c r="H993" s="34">
        <v>0.26010416666666669</v>
      </c>
      <c r="I993" s="34">
        <v>6.6527777777777783E-2</v>
      </c>
      <c r="J993" s="35">
        <v>0.25577359498064345</v>
      </c>
      <c r="K993" s="33" t="s">
        <v>305</v>
      </c>
      <c r="L993" s="33" t="s">
        <v>100</v>
      </c>
    </row>
    <row r="994" spans="1:12" x14ac:dyDescent="0.25">
      <c r="A994" s="32">
        <v>46245</v>
      </c>
      <c r="B994" s="33" t="s">
        <v>32</v>
      </c>
      <c r="C994" s="33" t="s">
        <v>641</v>
      </c>
      <c r="D994" s="33" t="s">
        <v>105</v>
      </c>
      <c r="E994">
        <v>2</v>
      </c>
      <c r="F994" s="34">
        <v>1.9930555555555556E-2</v>
      </c>
      <c r="G994" s="34">
        <v>9.9652777777777778E-3</v>
      </c>
      <c r="H994" s="34">
        <v>0.21076388888888889</v>
      </c>
      <c r="I994" s="34">
        <v>0.1698611111111111</v>
      </c>
      <c r="J994" s="35">
        <v>0.80593080724876431</v>
      </c>
      <c r="K994" s="33" t="s">
        <v>620</v>
      </c>
      <c r="L994" s="33" t="s">
        <v>601</v>
      </c>
    </row>
    <row r="995" spans="1:12" x14ac:dyDescent="0.25">
      <c r="A995" s="32">
        <v>46245</v>
      </c>
      <c r="B995" s="33" t="s">
        <v>32</v>
      </c>
      <c r="C995" s="33" t="s">
        <v>532</v>
      </c>
      <c r="D995" s="33" t="s">
        <v>32</v>
      </c>
      <c r="E995">
        <v>39</v>
      </c>
      <c r="F995" s="34">
        <v>0.12739583333333335</v>
      </c>
      <c r="G995" s="34">
        <v>3.2665598290598295E-3</v>
      </c>
      <c r="H995" s="34">
        <v>0.30822916666666667</v>
      </c>
      <c r="I995" s="34">
        <v>5.4537037037037037E-2</v>
      </c>
      <c r="J995" s="35">
        <v>0.17693665277308401</v>
      </c>
      <c r="K995" s="33" t="s">
        <v>276</v>
      </c>
      <c r="L995" s="33" t="s">
        <v>233</v>
      </c>
    </row>
    <row r="996" spans="1:12" x14ac:dyDescent="0.25">
      <c r="A996" s="32">
        <v>46245</v>
      </c>
      <c r="B996" s="33" t="s">
        <v>32</v>
      </c>
      <c r="C996" s="33" t="s">
        <v>533</v>
      </c>
      <c r="D996" s="33" t="s">
        <v>32</v>
      </c>
      <c r="E996">
        <v>19</v>
      </c>
      <c r="F996" s="34">
        <v>0.1025462962962963</v>
      </c>
      <c r="G996" s="34">
        <v>5.3971734892787528E-3</v>
      </c>
      <c r="H996" s="34">
        <v>0.26622685185185185</v>
      </c>
      <c r="I996" s="34">
        <v>4.4664351851851851E-2</v>
      </c>
      <c r="J996" s="35">
        <v>0.16776802017215894</v>
      </c>
      <c r="K996" s="33" t="s">
        <v>278</v>
      </c>
      <c r="L996" s="33" t="s">
        <v>233</v>
      </c>
    </row>
    <row r="997" spans="1:12" x14ac:dyDescent="0.25">
      <c r="A997" s="32">
        <v>46245</v>
      </c>
      <c r="B997" s="33" t="s">
        <v>32</v>
      </c>
      <c r="C997" s="33" t="s">
        <v>511</v>
      </c>
      <c r="D997" s="33" t="s">
        <v>80</v>
      </c>
      <c r="E997">
        <v>1</v>
      </c>
      <c r="F997" s="34">
        <v>3.1250000000000001E-4</v>
      </c>
      <c r="G997" s="34">
        <v>3.1250000000000001E-4</v>
      </c>
      <c r="H997" s="34">
        <v>0.25976851851851851</v>
      </c>
      <c r="I997" s="34">
        <v>3.695601851851852E-2</v>
      </c>
      <c r="J997" s="35">
        <v>0.14226519337016574</v>
      </c>
      <c r="K997" s="33" t="s">
        <v>313</v>
      </c>
      <c r="L997" s="33" t="s">
        <v>78</v>
      </c>
    </row>
    <row r="998" spans="1:12" x14ac:dyDescent="0.25">
      <c r="A998" s="32">
        <v>46245</v>
      </c>
      <c r="B998" s="33" t="s">
        <v>32</v>
      </c>
      <c r="C998" s="33" t="s">
        <v>535</v>
      </c>
      <c r="D998" s="33" t="s">
        <v>32</v>
      </c>
      <c r="E998">
        <v>37</v>
      </c>
      <c r="F998" s="34">
        <v>9.7986111111111107E-2</v>
      </c>
      <c r="G998" s="34">
        <v>2.648273273273273E-3</v>
      </c>
      <c r="H998" s="34">
        <v>0.26127314814814817</v>
      </c>
      <c r="I998" s="34">
        <v>3.1180555555555555E-2</v>
      </c>
      <c r="J998" s="35">
        <v>0.11934083458846459</v>
      </c>
      <c r="K998" s="33" t="s">
        <v>282</v>
      </c>
      <c r="L998" s="33" t="s">
        <v>233</v>
      </c>
    </row>
    <row r="999" spans="1:12" x14ac:dyDescent="0.25">
      <c r="A999" s="32">
        <v>46245</v>
      </c>
      <c r="B999" s="33" t="s">
        <v>32</v>
      </c>
      <c r="C999" s="33" t="s">
        <v>557</v>
      </c>
      <c r="D999" s="33" t="s">
        <v>147</v>
      </c>
      <c r="E999">
        <v>3</v>
      </c>
      <c r="F999" s="34">
        <v>1.6608796296296295E-2</v>
      </c>
      <c r="G999" s="34">
        <v>5.536265432098765E-3</v>
      </c>
      <c r="H999" s="34">
        <v>0.27598379629629627</v>
      </c>
      <c r="I999" s="34">
        <v>4.1678240740740738E-2</v>
      </c>
      <c r="J999" s="35">
        <v>0.15101698469280772</v>
      </c>
      <c r="K999" s="33" t="s">
        <v>227</v>
      </c>
      <c r="L999" s="33" t="s">
        <v>146</v>
      </c>
    </row>
    <row r="1000" spans="1:12" x14ac:dyDescent="0.25">
      <c r="A1000" s="32">
        <v>46245</v>
      </c>
      <c r="B1000" s="33" t="s">
        <v>32</v>
      </c>
      <c r="C1000" s="33" t="s">
        <v>678</v>
      </c>
      <c r="D1000" s="33" t="s">
        <v>147</v>
      </c>
      <c r="E1000">
        <v>10</v>
      </c>
      <c r="F1000" s="34">
        <v>3.5636574074074077E-2</v>
      </c>
      <c r="G1000" s="34">
        <v>3.5636574074074077E-3</v>
      </c>
      <c r="H1000" s="34">
        <v>0.27055555555555555</v>
      </c>
      <c r="I1000" s="34">
        <v>4.1643518518518517E-2</v>
      </c>
      <c r="J1000" s="35">
        <v>0.15391854893908283</v>
      </c>
      <c r="K1000" s="33" t="s">
        <v>677</v>
      </c>
      <c r="L1000" s="33" t="s">
        <v>274</v>
      </c>
    </row>
    <row r="1001" spans="1:12" x14ac:dyDescent="0.25">
      <c r="A1001" s="32">
        <v>46245</v>
      </c>
      <c r="B1001" s="33" t="s">
        <v>600</v>
      </c>
      <c r="C1001" s="33" t="s">
        <v>545</v>
      </c>
      <c r="D1001" s="33" t="s">
        <v>600</v>
      </c>
      <c r="E1001">
        <v>32</v>
      </c>
      <c r="F1001" s="34">
        <v>5.7175925925925929E-2</v>
      </c>
      <c r="G1001" s="34">
        <v>1.7867476851851853E-3</v>
      </c>
      <c r="H1001" s="34">
        <v>0.24452546296296296</v>
      </c>
      <c r="I1001" s="34">
        <v>7.0393518518518522E-2</v>
      </c>
      <c r="J1001" s="35">
        <v>0.28787807071519855</v>
      </c>
      <c r="K1001" s="33" t="s">
        <v>201</v>
      </c>
      <c r="L1001" s="33" t="s">
        <v>601</v>
      </c>
    </row>
    <row r="1002" spans="1:12" x14ac:dyDescent="0.25">
      <c r="A1002" s="32">
        <v>46245</v>
      </c>
      <c r="B1002" s="33" t="s">
        <v>600</v>
      </c>
      <c r="C1002" s="33" t="s">
        <v>543</v>
      </c>
      <c r="D1002" s="33" t="s">
        <v>600</v>
      </c>
      <c r="E1002">
        <v>34</v>
      </c>
      <c r="F1002" s="34">
        <v>6.2488425925925926E-2</v>
      </c>
      <c r="G1002" s="34">
        <v>1.837894880174292E-3</v>
      </c>
      <c r="H1002" s="34">
        <v>0.25982638888888887</v>
      </c>
      <c r="I1002" s="34">
        <v>0.12789351851851852</v>
      </c>
      <c r="J1002" s="35">
        <v>0.49222682524834072</v>
      </c>
      <c r="K1002" s="33" t="s">
        <v>293</v>
      </c>
      <c r="L1002" s="33" t="s">
        <v>104</v>
      </c>
    </row>
    <row r="1003" spans="1:12" x14ac:dyDescent="0.25">
      <c r="A1003" s="32">
        <v>46246</v>
      </c>
      <c r="B1003" s="33" t="s">
        <v>147</v>
      </c>
      <c r="C1003" s="33" t="s">
        <v>563</v>
      </c>
      <c r="D1003" s="33" t="s">
        <v>147</v>
      </c>
      <c r="E1003">
        <v>13</v>
      </c>
      <c r="F1003" s="34">
        <v>3.3206018518518517E-2</v>
      </c>
      <c r="G1003" s="34">
        <v>2.5543091168091165E-3</v>
      </c>
      <c r="H1003" s="34">
        <v>0.26670138888888889</v>
      </c>
      <c r="I1003" s="34">
        <v>3.5127314814814813E-2</v>
      </c>
      <c r="J1003" s="35">
        <v>0.13171028077941238</v>
      </c>
      <c r="K1003" s="33" t="s">
        <v>193</v>
      </c>
      <c r="L1003" s="33" t="s">
        <v>274</v>
      </c>
    </row>
    <row r="1004" spans="1:12" x14ac:dyDescent="0.25">
      <c r="A1004" s="32">
        <v>46246</v>
      </c>
      <c r="B1004" s="33" t="s">
        <v>147</v>
      </c>
      <c r="C1004" s="33" t="s">
        <v>514</v>
      </c>
      <c r="D1004" s="33" t="s">
        <v>147</v>
      </c>
      <c r="E1004">
        <v>16</v>
      </c>
      <c r="F1004" s="34">
        <v>3.861111111111111E-2</v>
      </c>
      <c r="G1004" s="34">
        <v>2.4131944444444444E-3</v>
      </c>
      <c r="H1004" s="34">
        <v>0.26245370370370369</v>
      </c>
      <c r="I1004" s="34">
        <v>3.667824074074074E-2</v>
      </c>
      <c r="J1004" s="35">
        <v>0.13975127888516495</v>
      </c>
      <c r="K1004" s="33" t="s">
        <v>150</v>
      </c>
      <c r="L1004" s="33" t="s">
        <v>146</v>
      </c>
    </row>
    <row r="1005" spans="1:12" x14ac:dyDescent="0.25">
      <c r="A1005" s="32">
        <v>46246</v>
      </c>
      <c r="B1005" s="33" t="s">
        <v>147</v>
      </c>
      <c r="C1005" s="33" t="s">
        <v>515</v>
      </c>
      <c r="D1005" s="33" t="s">
        <v>147</v>
      </c>
      <c r="E1005">
        <v>11</v>
      </c>
      <c r="F1005" s="34">
        <v>2.1828703703703704E-2</v>
      </c>
      <c r="G1005" s="34">
        <v>1.9844276094276095E-3</v>
      </c>
      <c r="H1005" s="34">
        <v>0.26287037037037037</v>
      </c>
      <c r="I1005" s="34">
        <v>5.185185185185185E-2</v>
      </c>
      <c r="J1005" s="35">
        <v>0.19725255371609721</v>
      </c>
      <c r="K1005" s="33" t="s">
        <v>154</v>
      </c>
      <c r="L1005" s="33" t="s">
        <v>146</v>
      </c>
    </row>
    <row r="1006" spans="1:12" x14ac:dyDescent="0.25">
      <c r="A1006" s="32">
        <v>46246</v>
      </c>
      <c r="B1006" s="33" t="s">
        <v>147</v>
      </c>
      <c r="C1006" s="33" t="s">
        <v>516</v>
      </c>
      <c r="D1006" s="33" t="s">
        <v>147</v>
      </c>
      <c r="E1006">
        <v>13</v>
      </c>
      <c r="F1006" s="34">
        <v>2.4687500000000001E-2</v>
      </c>
      <c r="G1006" s="34">
        <v>1.8990384615384616E-3</v>
      </c>
      <c r="H1006" s="34">
        <v>0.28038194444444442</v>
      </c>
      <c r="I1006" s="34">
        <v>4.9305555555555554E-2</v>
      </c>
      <c r="J1006" s="35">
        <v>0.17585139318885451</v>
      </c>
      <c r="K1006" s="33" t="s">
        <v>156</v>
      </c>
      <c r="L1006" s="33" t="s">
        <v>146</v>
      </c>
    </row>
    <row r="1007" spans="1:12" x14ac:dyDescent="0.25">
      <c r="A1007" s="32">
        <v>46246</v>
      </c>
      <c r="B1007" s="33" t="s">
        <v>147</v>
      </c>
      <c r="C1007" s="33" t="s">
        <v>544</v>
      </c>
      <c r="D1007" s="33" t="s">
        <v>147</v>
      </c>
      <c r="E1007">
        <v>9</v>
      </c>
      <c r="F1007" s="34">
        <v>2.0208333333333332E-2</v>
      </c>
      <c r="G1007" s="34">
        <v>2.2453703703703702E-3</v>
      </c>
      <c r="H1007" s="34">
        <v>0.26124999999999998</v>
      </c>
      <c r="I1007" s="34">
        <v>6.7708333333333329E-2</v>
      </c>
      <c r="J1007" s="35">
        <v>0.259170653907496</v>
      </c>
      <c r="K1007" s="33" t="s">
        <v>160</v>
      </c>
      <c r="L1007" s="33" t="s">
        <v>146</v>
      </c>
    </row>
    <row r="1008" spans="1:12" x14ac:dyDescent="0.25">
      <c r="A1008" s="32">
        <v>46246</v>
      </c>
      <c r="B1008" s="33" t="s">
        <v>147</v>
      </c>
      <c r="C1008" s="33" t="s">
        <v>517</v>
      </c>
      <c r="D1008" s="33" t="s">
        <v>147</v>
      </c>
      <c r="E1008">
        <v>8</v>
      </c>
      <c r="F1008" s="34">
        <v>2.1180555555555557E-2</v>
      </c>
      <c r="G1008" s="34">
        <v>2.6475694444444446E-3</v>
      </c>
      <c r="H1008" s="34">
        <v>0.24458333333333335</v>
      </c>
      <c r="I1008" s="34">
        <v>6.5798611111111113E-2</v>
      </c>
      <c r="J1008" s="35">
        <v>0.26902328222600796</v>
      </c>
      <c r="K1008" s="33" t="s">
        <v>499</v>
      </c>
      <c r="L1008" s="33" t="s">
        <v>146</v>
      </c>
    </row>
    <row r="1009" spans="1:12" x14ac:dyDescent="0.25">
      <c r="A1009" s="32">
        <v>46246</v>
      </c>
      <c r="B1009" s="33" t="s">
        <v>147</v>
      </c>
      <c r="C1009" s="33" t="s">
        <v>518</v>
      </c>
      <c r="D1009" s="33" t="s">
        <v>147</v>
      </c>
      <c r="E1009">
        <v>9</v>
      </c>
      <c r="F1009" s="34">
        <v>2.8298611111111111E-2</v>
      </c>
      <c r="G1009" s="34">
        <v>3.14429012345679E-3</v>
      </c>
      <c r="H1009" s="34">
        <v>0.26603009259259258</v>
      </c>
      <c r="I1009" s="34">
        <v>3.4004629629629628E-2</v>
      </c>
      <c r="J1009" s="35">
        <v>0.12782249293017184</v>
      </c>
      <c r="K1009" s="33" t="s">
        <v>500</v>
      </c>
      <c r="L1009" s="33" t="s">
        <v>274</v>
      </c>
    </row>
    <row r="1010" spans="1:12" x14ac:dyDescent="0.25">
      <c r="A1010" s="32">
        <v>46246</v>
      </c>
      <c r="B1010" s="33" t="s">
        <v>147</v>
      </c>
      <c r="C1010" s="33" t="s">
        <v>519</v>
      </c>
      <c r="D1010" s="33" t="s">
        <v>147</v>
      </c>
      <c r="E1010">
        <v>15</v>
      </c>
      <c r="F1010" s="34">
        <v>3.4062500000000002E-2</v>
      </c>
      <c r="G1010" s="34">
        <v>2.2708333333333335E-3</v>
      </c>
      <c r="H1010" s="34">
        <v>0.27790509259259261</v>
      </c>
      <c r="I1010" s="34">
        <v>3.4606481481481481E-2</v>
      </c>
      <c r="J1010" s="35">
        <v>0.12452625879805089</v>
      </c>
      <c r="K1010" s="33" t="s">
        <v>164</v>
      </c>
      <c r="L1010" s="33" t="s">
        <v>146</v>
      </c>
    </row>
    <row r="1011" spans="1:12" x14ac:dyDescent="0.25">
      <c r="A1011" s="32">
        <v>46246</v>
      </c>
      <c r="B1011" s="33" t="s">
        <v>147</v>
      </c>
      <c r="C1011" s="33" t="s">
        <v>167</v>
      </c>
      <c r="D1011" s="33" t="s">
        <v>147</v>
      </c>
      <c r="E1011">
        <v>15</v>
      </c>
      <c r="F1011" s="34">
        <v>4.5254629629629631E-2</v>
      </c>
      <c r="G1011" s="34">
        <v>3.0169753086419756E-3</v>
      </c>
      <c r="H1011" s="34">
        <v>0.26442129629629629</v>
      </c>
      <c r="I1011" s="34">
        <v>4.3020833333333335E-2</v>
      </c>
      <c r="J1011" s="35">
        <v>0.16269806530683709</v>
      </c>
      <c r="K1011" s="33" t="s">
        <v>166</v>
      </c>
      <c r="L1011" s="33" t="s">
        <v>146</v>
      </c>
    </row>
    <row r="1012" spans="1:12" x14ac:dyDescent="0.25">
      <c r="A1012" s="32">
        <v>46246</v>
      </c>
      <c r="B1012" s="33" t="s">
        <v>147</v>
      </c>
      <c r="C1012" s="33" t="s">
        <v>658</v>
      </c>
      <c r="D1012" s="33" t="s">
        <v>147</v>
      </c>
      <c r="E1012">
        <v>12</v>
      </c>
      <c r="F1012" s="34">
        <v>3.2696759259259259E-2</v>
      </c>
      <c r="G1012" s="34">
        <v>2.7247299382716049E-3</v>
      </c>
      <c r="H1012" s="34">
        <v>0.25790509259259259</v>
      </c>
      <c r="I1012" s="34">
        <v>3.5474537037037034E-2</v>
      </c>
      <c r="J1012" s="35">
        <v>0.13754880402100256</v>
      </c>
      <c r="K1012" s="33" t="s">
        <v>657</v>
      </c>
      <c r="L1012" s="33" t="s">
        <v>274</v>
      </c>
    </row>
    <row r="1013" spans="1:12" x14ac:dyDescent="0.25">
      <c r="A1013" s="32">
        <v>46246</v>
      </c>
      <c r="B1013" s="33" t="s">
        <v>147</v>
      </c>
      <c r="C1013" s="33" t="s">
        <v>520</v>
      </c>
      <c r="D1013" s="33" t="s">
        <v>147</v>
      </c>
      <c r="E1013">
        <v>8</v>
      </c>
      <c r="F1013" s="34">
        <v>1.8217592592592594E-2</v>
      </c>
      <c r="G1013" s="34">
        <v>2.2771990740740743E-3</v>
      </c>
      <c r="H1013" s="34">
        <v>0.25780092592592591</v>
      </c>
      <c r="I1013" s="34">
        <v>7.4594907407407401E-2</v>
      </c>
      <c r="J1013" s="35">
        <v>0.28935081260662654</v>
      </c>
      <c r="K1013" s="33" t="s">
        <v>168</v>
      </c>
      <c r="L1013" s="33" t="s">
        <v>274</v>
      </c>
    </row>
    <row r="1014" spans="1:12" x14ac:dyDescent="0.25">
      <c r="A1014" s="32">
        <v>46246</v>
      </c>
      <c r="B1014" s="33" t="s">
        <v>147</v>
      </c>
      <c r="C1014" s="33" t="s">
        <v>521</v>
      </c>
      <c r="D1014" s="33" t="s">
        <v>147</v>
      </c>
      <c r="E1014">
        <v>13</v>
      </c>
      <c r="F1014" s="34">
        <v>5.7199074074074076E-2</v>
      </c>
      <c r="G1014" s="34">
        <v>4.3999287749287748E-3</v>
      </c>
      <c r="H1014" s="34">
        <v>0.25866898148148149</v>
      </c>
      <c r="I1014" s="34">
        <v>3.4629629629629628E-2</v>
      </c>
      <c r="J1014" s="35">
        <v>0.13387623607320237</v>
      </c>
      <c r="K1014" s="33" t="s">
        <v>170</v>
      </c>
      <c r="L1014" s="33" t="s">
        <v>146</v>
      </c>
    </row>
    <row r="1015" spans="1:12" x14ac:dyDescent="0.25">
      <c r="A1015" s="32">
        <v>46246</v>
      </c>
      <c r="B1015" s="33" t="s">
        <v>147</v>
      </c>
      <c r="C1015" s="33" t="s">
        <v>633</v>
      </c>
      <c r="D1015" s="33" t="s">
        <v>147</v>
      </c>
      <c r="E1015">
        <v>4</v>
      </c>
      <c r="F1015" s="34">
        <v>1.4525462962962962E-2</v>
      </c>
      <c r="G1015" s="34">
        <v>3.6313657407407406E-3</v>
      </c>
      <c r="H1015" s="34">
        <v>0.30571759259259257</v>
      </c>
      <c r="I1015" s="34">
        <v>0.11201388888888889</v>
      </c>
      <c r="J1015" s="35">
        <v>0.36639660785946848</v>
      </c>
      <c r="K1015" s="33" t="s">
        <v>606</v>
      </c>
      <c r="L1015" s="33" t="s">
        <v>146</v>
      </c>
    </row>
    <row r="1016" spans="1:12" x14ac:dyDescent="0.25">
      <c r="A1016" s="32">
        <v>46246</v>
      </c>
      <c r="B1016" s="33" t="s">
        <v>147</v>
      </c>
      <c r="C1016" s="33" t="s">
        <v>522</v>
      </c>
      <c r="D1016" s="33" t="s">
        <v>147</v>
      </c>
      <c r="E1016">
        <v>10</v>
      </c>
      <c r="F1016" s="34">
        <v>6.4664351851851848E-2</v>
      </c>
      <c r="G1016" s="34">
        <v>6.4664351851851844E-3</v>
      </c>
      <c r="H1016" s="34">
        <v>0.26817129629629627</v>
      </c>
      <c r="I1016" s="34">
        <v>4.3310185185185188E-2</v>
      </c>
      <c r="J1016" s="35">
        <v>0.16150194216659475</v>
      </c>
      <c r="K1016" s="33" t="s">
        <v>178</v>
      </c>
      <c r="L1016" s="33" t="s">
        <v>146</v>
      </c>
    </row>
    <row r="1017" spans="1:12" x14ac:dyDescent="0.25">
      <c r="A1017" s="32">
        <v>46246</v>
      </c>
      <c r="B1017" s="33" t="s">
        <v>147</v>
      </c>
      <c r="C1017" s="33" t="s">
        <v>523</v>
      </c>
      <c r="D1017" s="33" t="s">
        <v>147</v>
      </c>
      <c r="E1017">
        <v>11</v>
      </c>
      <c r="F1017" s="34">
        <v>5.3912037037037036E-2</v>
      </c>
      <c r="G1017" s="34">
        <v>4.9010942760942759E-3</v>
      </c>
      <c r="H1017" s="34">
        <v>0.26270833333333332</v>
      </c>
      <c r="I1017" s="34">
        <v>4.0659722222222222E-2</v>
      </c>
      <c r="J1017" s="35">
        <v>0.15477134549299498</v>
      </c>
      <c r="K1017" s="33" t="s">
        <v>180</v>
      </c>
      <c r="L1017" s="33" t="s">
        <v>146</v>
      </c>
    </row>
    <row r="1018" spans="1:12" x14ac:dyDescent="0.25">
      <c r="A1018" s="32">
        <v>46246</v>
      </c>
      <c r="B1018" s="33" t="s">
        <v>147</v>
      </c>
      <c r="C1018" s="33" t="s">
        <v>566</v>
      </c>
      <c r="D1018" s="33" t="s">
        <v>147</v>
      </c>
      <c r="E1018">
        <v>9</v>
      </c>
      <c r="F1018" s="34">
        <v>4.238425925925926E-2</v>
      </c>
      <c r="G1018" s="34">
        <v>4.7093621399176954E-3</v>
      </c>
      <c r="H1018" s="34">
        <v>0.26263888888888887</v>
      </c>
      <c r="I1018" s="34">
        <v>3.3784722222222223E-2</v>
      </c>
      <c r="J1018" s="35">
        <v>0.12863564251718668</v>
      </c>
      <c r="K1018" s="33" t="s">
        <v>207</v>
      </c>
      <c r="L1018" s="33" t="s">
        <v>274</v>
      </c>
    </row>
    <row r="1019" spans="1:12" x14ac:dyDescent="0.25">
      <c r="A1019" s="32">
        <v>46246</v>
      </c>
      <c r="B1019" s="33" t="s">
        <v>147</v>
      </c>
      <c r="C1019" s="33" t="s">
        <v>524</v>
      </c>
      <c r="D1019" s="33" t="s">
        <v>147</v>
      </c>
      <c r="E1019">
        <v>11</v>
      </c>
      <c r="F1019" s="34">
        <v>3.3449074074074076E-2</v>
      </c>
      <c r="G1019" s="34">
        <v>3.040824915824916E-3</v>
      </c>
      <c r="H1019" s="34">
        <v>0.2675925925925926</v>
      </c>
      <c r="I1019" s="34">
        <v>3.0324074074074073E-2</v>
      </c>
      <c r="J1019" s="35">
        <v>0.11332179930795847</v>
      </c>
      <c r="K1019" s="33" t="s">
        <v>501</v>
      </c>
      <c r="L1019" s="33" t="s">
        <v>274</v>
      </c>
    </row>
    <row r="1020" spans="1:12" x14ac:dyDescent="0.25">
      <c r="A1020" s="32">
        <v>46246</v>
      </c>
      <c r="B1020" s="33" t="s">
        <v>147</v>
      </c>
      <c r="C1020" s="33" t="s">
        <v>557</v>
      </c>
      <c r="D1020" s="33" t="s">
        <v>147</v>
      </c>
      <c r="E1020">
        <v>6</v>
      </c>
      <c r="F1020" s="34">
        <v>3.6030092592592593E-2</v>
      </c>
      <c r="G1020" s="34">
        <v>6.0050154320987655E-3</v>
      </c>
      <c r="H1020" s="34">
        <v>0.28814814814814815</v>
      </c>
      <c r="I1020" s="34">
        <v>5.1122685185185188E-2</v>
      </c>
      <c r="J1020" s="35">
        <v>0.17741805912596401</v>
      </c>
      <c r="K1020" s="33" t="s">
        <v>227</v>
      </c>
      <c r="L1020" s="33" t="s">
        <v>146</v>
      </c>
    </row>
    <row r="1021" spans="1:12" x14ac:dyDescent="0.25">
      <c r="A1021" s="32">
        <v>46246</v>
      </c>
      <c r="B1021" s="33" t="s">
        <v>147</v>
      </c>
      <c r="C1021" s="33" t="s">
        <v>678</v>
      </c>
      <c r="D1021" s="33" t="s">
        <v>147</v>
      </c>
      <c r="E1021">
        <v>13</v>
      </c>
      <c r="F1021" s="34">
        <v>4.0636574074074075E-2</v>
      </c>
      <c r="G1021" s="34">
        <v>3.1258903133903134E-3</v>
      </c>
      <c r="H1021" s="34">
        <v>0.25949074074074074</v>
      </c>
      <c r="I1021" s="34">
        <v>3.0254629629629631E-2</v>
      </c>
      <c r="J1021" s="35">
        <v>0.11659232827832293</v>
      </c>
      <c r="K1021" s="33" t="s">
        <v>677</v>
      </c>
      <c r="L1021" s="33" t="s">
        <v>274</v>
      </c>
    </row>
    <row r="1022" spans="1:12" x14ac:dyDescent="0.25">
      <c r="A1022" s="32">
        <v>46246</v>
      </c>
      <c r="B1022" s="33" t="s">
        <v>105</v>
      </c>
      <c r="C1022" s="33" t="s">
        <v>513</v>
      </c>
      <c r="D1022" s="33" t="s">
        <v>105</v>
      </c>
      <c r="E1022">
        <v>7</v>
      </c>
      <c r="F1022" s="34">
        <v>0.15217592592592594</v>
      </c>
      <c r="G1022" s="34">
        <v>2.1739417989417992E-2</v>
      </c>
      <c r="H1022" s="34">
        <v>0.25708333333333333</v>
      </c>
      <c r="I1022" s="34">
        <v>0.18552083333333333</v>
      </c>
      <c r="J1022" s="35">
        <v>0.72163695299837927</v>
      </c>
      <c r="K1022" s="33" t="s">
        <v>148</v>
      </c>
      <c r="L1022" s="33" t="s">
        <v>104</v>
      </c>
    </row>
    <row r="1023" spans="1:12" x14ac:dyDescent="0.25">
      <c r="A1023" s="32">
        <v>46246</v>
      </c>
      <c r="B1023" s="33" t="s">
        <v>105</v>
      </c>
      <c r="C1023" s="33" t="s">
        <v>569</v>
      </c>
      <c r="D1023" s="33" t="s">
        <v>105</v>
      </c>
      <c r="E1023">
        <v>14</v>
      </c>
      <c r="F1023" s="34">
        <v>0.18349537037037036</v>
      </c>
      <c r="G1023" s="34">
        <v>1.3106812169312169E-2</v>
      </c>
      <c r="H1023" s="34">
        <v>0.25994212962962965</v>
      </c>
      <c r="I1023" s="34">
        <v>0.15122685185185186</v>
      </c>
      <c r="J1023" s="35">
        <v>0.58177122757023914</v>
      </c>
      <c r="K1023" s="33" t="s">
        <v>493</v>
      </c>
      <c r="L1023" s="33" t="s">
        <v>104</v>
      </c>
    </row>
    <row r="1024" spans="1:12" x14ac:dyDescent="0.25">
      <c r="A1024" s="32">
        <v>46246</v>
      </c>
      <c r="B1024" s="33" t="s">
        <v>105</v>
      </c>
      <c r="C1024" s="33" t="s">
        <v>631</v>
      </c>
      <c r="D1024" s="33" t="s">
        <v>105</v>
      </c>
      <c r="E1024">
        <v>6</v>
      </c>
      <c r="F1024" s="34">
        <v>0.12827546296296297</v>
      </c>
      <c r="G1024" s="34">
        <v>2.1379243827160496E-2</v>
      </c>
      <c r="H1024" s="34">
        <v>0.23871527777777779</v>
      </c>
      <c r="I1024" s="34">
        <v>0.19714120370370369</v>
      </c>
      <c r="J1024" s="35">
        <v>0.82584242424242416</v>
      </c>
      <c r="K1024" s="33" t="s">
        <v>608</v>
      </c>
      <c r="L1024" s="33" t="s">
        <v>601</v>
      </c>
    </row>
    <row r="1025" spans="1:12" x14ac:dyDescent="0.25">
      <c r="A1025" s="32">
        <v>46246</v>
      </c>
      <c r="B1025" s="33" t="s">
        <v>105</v>
      </c>
      <c r="C1025" s="33" t="s">
        <v>564</v>
      </c>
      <c r="D1025" s="33" t="s">
        <v>105</v>
      </c>
      <c r="E1025">
        <v>3</v>
      </c>
      <c r="F1025" s="34">
        <v>9.0972222222222218E-2</v>
      </c>
      <c r="G1025" s="34">
        <v>3.0324074074074073E-2</v>
      </c>
      <c r="H1025" s="34">
        <v>0.18787037037037038</v>
      </c>
      <c r="I1025" s="34">
        <v>0.14877314814814815</v>
      </c>
      <c r="J1025" s="35">
        <v>0.79189255791030067</v>
      </c>
      <c r="K1025" s="33" t="s">
        <v>197</v>
      </c>
      <c r="L1025" s="33" t="s">
        <v>601</v>
      </c>
    </row>
    <row r="1026" spans="1:12" x14ac:dyDescent="0.25">
      <c r="A1026" s="32">
        <v>46246</v>
      </c>
      <c r="B1026" s="33" t="s">
        <v>105</v>
      </c>
      <c r="C1026" s="33" t="s">
        <v>682</v>
      </c>
      <c r="D1026" s="33" t="s">
        <v>105</v>
      </c>
      <c r="E1026">
        <v>4</v>
      </c>
      <c r="F1026" s="34">
        <v>0.12784722222222222</v>
      </c>
      <c r="G1026" s="34">
        <v>3.1961805555555556E-2</v>
      </c>
      <c r="H1026" s="34">
        <v>0.20315972222222223</v>
      </c>
      <c r="I1026" s="34">
        <v>0.15215277777777778</v>
      </c>
      <c r="J1026" s="35">
        <v>0.74893180652879843</v>
      </c>
      <c r="K1026" s="33" t="s">
        <v>681</v>
      </c>
      <c r="L1026" s="33" t="s">
        <v>601</v>
      </c>
    </row>
    <row r="1027" spans="1:12" x14ac:dyDescent="0.25">
      <c r="A1027" s="32">
        <v>46246</v>
      </c>
      <c r="B1027" s="33" t="s">
        <v>105</v>
      </c>
      <c r="C1027" s="33" t="s">
        <v>570</v>
      </c>
      <c r="D1027" s="33" t="s">
        <v>105</v>
      </c>
      <c r="E1027">
        <v>10</v>
      </c>
      <c r="F1027" s="34">
        <v>0.19526620370370371</v>
      </c>
      <c r="G1027" s="34">
        <v>1.9526620370370371E-2</v>
      </c>
      <c r="H1027" s="34">
        <v>0.24069444444444443</v>
      </c>
      <c r="I1027" s="34">
        <v>0.13947916666666665</v>
      </c>
      <c r="J1027" s="35">
        <v>0.57948643969994229</v>
      </c>
      <c r="K1027" s="33" t="s">
        <v>112</v>
      </c>
      <c r="L1027" s="33" t="s">
        <v>104</v>
      </c>
    </row>
    <row r="1028" spans="1:12" x14ac:dyDescent="0.25">
      <c r="A1028" s="32">
        <v>46246</v>
      </c>
      <c r="B1028" s="33" t="s">
        <v>105</v>
      </c>
      <c r="C1028" s="33" t="s">
        <v>537</v>
      </c>
      <c r="D1028" s="33" t="s">
        <v>105</v>
      </c>
      <c r="E1028">
        <v>17</v>
      </c>
      <c r="F1028" s="34">
        <v>0.19648148148148148</v>
      </c>
      <c r="G1028" s="34">
        <v>1.1557734204793028E-2</v>
      </c>
      <c r="H1028" s="34">
        <v>0.25700231481481484</v>
      </c>
      <c r="I1028" s="34">
        <v>0.16074074074074074</v>
      </c>
      <c r="J1028" s="35">
        <v>0.62544471965773474</v>
      </c>
      <c r="K1028" s="33" t="s">
        <v>42</v>
      </c>
      <c r="L1028" s="33" t="s">
        <v>104</v>
      </c>
    </row>
    <row r="1029" spans="1:12" x14ac:dyDescent="0.25">
      <c r="A1029" s="32">
        <v>46246</v>
      </c>
      <c r="B1029" s="33" t="s">
        <v>105</v>
      </c>
      <c r="C1029" s="33" t="s">
        <v>541</v>
      </c>
      <c r="D1029" s="33" t="s">
        <v>105</v>
      </c>
      <c r="E1029">
        <v>9</v>
      </c>
      <c r="F1029" s="34">
        <v>0.11587962962962962</v>
      </c>
      <c r="G1029" s="34">
        <v>1.287551440329218E-2</v>
      </c>
      <c r="H1029" s="34">
        <v>0.2467013888888889</v>
      </c>
      <c r="I1029" s="34">
        <v>0.16289351851851852</v>
      </c>
      <c r="J1029" s="35">
        <v>0.66028618343889278</v>
      </c>
      <c r="K1029" s="33" t="s">
        <v>114</v>
      </c>
      <c r="L1029" s="33" t="s">
        <v>104</v>
      </c>
    </row>
    <row r="1030" spans="1:12" x14ac:dyDescent="0.25">
      <c r="A1030" s="32">
        <v>46246</v>
      </c>
      <c r="B1030" s="33" t="s">
        <v>105</v>
      </c>
      <c r="C1030" s="33" t="s">
        <v>632</v>
      </c>
      <c r="D1030" s="33" t="s">
        <v>105</v>
      </c>
      <c r="E1030">
        <v>3</v>
      </c>
      <c r="F1030" s="34">
        <v>5.9884259259259262E-2</v>
      </c>
      <c r="G1030" s="34">
        <v>1.9961419753086421E-2</v>
      </c>
      <c r="H1030" s="34">
        <v>0.24876157407407407</v>
      </c>
      <c r="I1030" s="34">
        <v>0.21832175925925926</v>
      </c>
      <c r="J1030" s="35">
        <v>0.87763457870004191</v>
      </c>
      <c r="K1030" s="33" t="s">
        <v>609</v>
      </c>
      <c r="L1030" s="33" t="s">
        <v>601</v>
      </c>
    </row>
    <row r="1031" spans="1:12" x14ac:dyDescent="0.25">
      <c r="A1031" s="32">
        <v>46246</v>
      </c>
      <c r="B1031" s="33" t="s">
        <v>105</v>
      </c>
      <c r="C1031" s="33" t="s">
        <v>542</v>
      </c>
      <c r="D1031" s="33" t="s">
        <v>105</v>
      </c>
      <c r="E1031">
        <v>7</v>
      </c>
      <c r="F1031" s="34">
        <v>0.11972222222222222</v>
      </c>
      <c r="G1031" s="34">
        <v>1.7103174603174603E-2</v>
      </c>
      <c r="H1031" s="34">
        <v>0.23041666666666666</v>
      </c>
      <c r="I1031" s="34">
        <v>0.15739583333333335</v>
      </c>
      <c r="J1031" s="35">
        <v>0.68309222423146476</v>
      </c>
      <c r="K1031" s="33" t="s">
        <v>287</v>
      </c>
      <c r="L1031" s="33" t="s">
        <v>104</v>
      </c>
    </row>
    <row r="1032" spans="1:12" x14ac:dyDescent="0.25">
      <c r="A1032" s="32">
        <v>46246</v>
      </c>
      <c r="B1032" s="33" t="s">
        <v>105</v>
      </c>
      <c r="C1032" s="33" t="s">
        <v>650</v>
      </c>
      <c r="D1032" s="33" t="s">
        <v>105</v>
      </c>
      <c r="E1032">
        <v>10</v>
      </c>
      <c r="F1032" s="34">
        <v>0.12886574074074075</v>
      </c>
      <c r="G1032" s="34">
        <v>1.2886574074074075E-2</v>
      </c>
      <c r="H1032" s="34">
        <v>0.28767361111111112</v>
      </c>
      <c r="I1032" s="34">
        <v>0.1638425925925926</v>
      </c>
      <c r="J1032" s="35">
        <v>0.56954335143834234</v>
      </c>
      <c r="K1032" s="33" t="s">
        <v>649</v>
      </c>
      <c r="L1032" s="33" t="s">
        <v>104</v>
      </c>
    </row>
    <row r="1033" spans="1:12" x14ac:dyDescent="0.25">
      <c r="A1033" s="32">
        <v>46246</v>
      </c>
      <c r="B1033" s="33" t="s">
        <v>105</v>
      </c>
      <c r="C1033" s="33" t="s">
        <v>559</v>
      </c>
      <c r="D1033" s="33" t="s">
        <v>105</v>
      </c>
      <c r="E1033">
        <v>7</v>
      </c>
      <c r="F1033" s="34">
        <v>0.13934027777777777</v>
      </c>
      <c r="G1033" s="34">
        <v>1.9905753968253968E-2</v>
      </c>
      <c r="H1033" s="34">
        <v>0.23201388888888888</v>
      </c>
      <c r="I1033" s="34">
        <v>0.11184027777777777</v>
      </c>
      <c r="J1033" s="35">
        <v>0.48204130499850345</v>
      </c>
      <c r="K1033" s="33" t="s">
        <v>289</v>
      </c>
      <c r="L1033" s="33" t="s">
        <v>104</v>
      </c>
    </row>
    <row r="1034" spans="1:12" x14ac:dyDescent="0.25">
      <c r="A1034" s="32">
        <v>46246</v>
      </c>
      <c r="B1034" s="33" t="s">
        <v>105</v>
      </c>
      <c r="C1034" s="33" t="s">
        <v>634</v>
      </c>
      <c r="D1034" s="33" t="s">
        <v>105</v>
      </c>
      <c r="E1034">
        <v>3</v>
      </c>
      <c r="F1034" s="34">
        <v>5.665509259259259E-2</v>
      </c>
      <c r="G1034" s="34">
        <v>1.888503086419753E-2</v>
      </c>
      <c r="H1034" s="34">
        <v>0.22266203703703705</v>
      </c>
      <c r="I1034" s="34">
        <v>0.20605324074074075</v>
      </c>
      <c r="J1034" s="35">
        <v>0.92540804657448794</v>
      </c>
      <c r="K1034" s="33" t="s">
        <v>612</v>
      </c>
      <c r="L1034" s="33" t="s">
        <v>601</v>
      </c>
    </row>
    <row r="1035" spans="1:12" x14ac:dyDescent="0.25">
      <c r="A1035" s="32">
        <v>46246</v>
      </c>
      <c r="B1035" s="33" t="s">
        <v>105</v>
      </c>
      <c r="C1035" s="33" t="s">
        <v>565</v>
      </c>
      <c r="D1035" s="33" t="s">
        <v>105</v>
      </c>
      <c r="E1035">
        <v>6</v>
      </c>
      <c r="F1035" s="34">
        <v>0.13179398148148147</v>
      </c>
      <c r="G1035" s="34">
        <v>2.1965663580246913E-2</v>
      </c>
      <c r="H1035" s="34">
        <v>0.24533564814814815</v>
      </c>
      <c r="I1035" s="34">
        <v>0.20453703703703704</v>
      </c>
      <c r="J1035" s="35">
        <v>0.83370288248337032</v>
      </c>
      <c r="K1035" s="33" t="s">
        <v>203</v>
      </c>
      <c r="L1035" s="33" t="s">
        <v>601</v>
      </c>
    </row>
    <row r="1036" spans="1:12" x14ac:dyDescent="0.25">
      <c r="A1036" s="32">
        <v>46246</v>
      </c>
      <c r="B1036" s="33" t="s">
        <v>105</v>
      </c>
      <c r="C1036" s="33" t="s">
        <v>667</v>
      </c>
      <c r="D1036" s="33" t="s">
        <v>105</v>
      </c>
      <c r="E1036">
        <v>9</v>
      </c>
      <c r="F1036" s="34">
        <v>0.12314814814814815</v>
      </c>
      <c r="G1036" s="34">
        <v>1.368312757201646E-2</v>
      </c>
      <c r="H1036" s="34">
        <v>0.22608796296296296</v>
      </c>
      <c r="I1036" s="34">
        <v>0.14133101851851851</v>
      </c>
      <c r="J1036" s="35">
        <v>0.62511518378212338</v>
      </c>
      <c r="K1036" s="33" t="s">
        <v>297</v>
      </c>
      <c r="L1036" s="33" t="s">
        <v>104</v>
      </c>
    </row>
    <row r="1037" spans="1:12" x14ac:dyDescent="0.25">
      <c r="A1037" s="32">
        <v>46246</v>
      </c>
      <c r="B1037" s="33" t="s">
        <v>105</v>
      </c>
      <c r="C1037" s="33" t="s">
        <v>635</v>
      </c>
      <c r="D1037" s="33" t="s">
        <v>105</v>
      </c>
      <c r="E1037">
        <v>4</v>
      </c>
      <c r="F1037" s="34">
        <v>9.1018518518518512E-2</v>
      </c>
      <c r="G1037" s="34">
        <v>2.2754629629629628E-2</v>
      </c>
      <c r="H1037" s="34">
        <v>0.2270486111111111</v>
      </c>
      <c r="I1037" s="34">
        <v>0.1958449074074074</v>
      </c>
      <c r="J1037" s="35">
        <v>0.86256818065963192</v>
      </c>
      <c r="K1037" s="33" t="s">
        <v>614</v>
      </c>
      <c r="L1037" s="33" t="s">
        <v>601</v>
      </c>
    </row>
    <row r="1038" spans="1:12" x14ac:dyDescent="0.25">
      <c r="A1038" s="32">
        <v>46246</v>
      </c>
      <c r="B1038" s="33" t="s">
        <v>105</v>
      </c>
      <c r="C1038" s="33" t="s">
        <v>637</v>
      </c>
      <c r="D1038" s="33" t="s">
        <v>105</v>
      </c>
      <c r="E1038">
        <v>5</v>
      </c>
      <c r="F1038" s="34">
        <v>0.10799768518518518</v>
      </c>
      <c r="G1038" s="34">
        <v>2.1599537037037035E-2</v>
      </c>
      <c r="H1038" s="34">
        <v>0.23299768518518518</v>
      </c>
      <c r="I1038" s="34">
        <v>0.17973379629629629</v>
      </c>
      <c r="J1038" s="35">
        <v>0.77139734737469579</v>
      </c>
      <c r="K1038" s="33" t="s">
        <v>616</v>
      </c>
      <c r="L1038" s="33" t="s">
        <v>601</v>
      </c>
    </row>
    <row r="1039" spans="1:12" x14ac:dyDescent="0.25">
      <c r="A1039" s="32">
        <v>46246</v>
      </c>
      <c r="B1039" s="33" t="s">
        <v>105</v>
      </c>
      <c r="C1039" s="33" t="s">
        <v>567</v>
      </c>
      <c r="D1039" s="33" t="s">
        <v>105</v>
      </c>
      <c r="E1039">
        <v>2</v>
      </c>
      <c r="F1039" s="34">
        <v>4.8576388888888891E-2</v>
      </c>
      <c r="G1039" s="34">
        <v>2.4288194444444446E-2</v>
      </c>
      <c r="H1039" s="34">
        <v>0.24101851851851852</v>
      </c>
      <c r="I1039" s="34">
        <v>0.19493055555555555</v>
      </c>
      <c r="J1039" s="35">
        <v>0.80877833269304644</v>
      </c>
      <c r="K1039" s="33" t="s">
        <v>209</v>
      </c>
      <c r="L1039" s="33" t="s">
        <v>601</v>
      </c>
    </row>
    <row r="1040" spans="1:12" x14ac:dyDescent="0.25">
      <c r="A1040" s="32">
        <v>46246</v>
      </c>
      <c r="B1040" s="33" t="s">
        <v>105</v>
      </c>
      <c r="C1040" s="33" t="s">
        <v>512</v>
      </c>
      <c r="D1040" s="33" t="s">
        <v>105</v>
      </c>
      <c r="E1040">
        <v>14</v>
      </c>
      <c r="F1040" s="34">
        <v>0.21376157407407406</v>
      </c>
      <c r="G1040" s="34">
        <v>1.5268683862433862E-2</v>
      </c>
      <c r="H1040" s="34">
        <v>0.2605439814814815</v>
      </c>
      <c r="I1040" s="34">
        <v>0.13122685185185184</v>
      </c>
      <c r="J1040" s="35">
        <v>0.50366487495002432</v>
      </c>
      <c r="K1040" s="33" t="s">
        <v>132</v>
      </c>
      <c r="L1040" s="33" t="s">
        <v>104</v>
      </c>
    </row>
    <row r="1041" spans="1:12" x14ac:dyDescent="0.25">
      <c r="A1041" s="32">
        <v>46246</v>
      </c>
      <c r="B1041" s="33" t="s">
        <v>105</v>
      </c>
      <c r="C1041" s="33" t="s">
        <v>560</v>
      </c>
      <c r="D1041" s="33" t="s">
        <v>105</v>
      </c>
      <c r="E1041">
        <v>8</v>
      </c>
      <c r="F1041" s="34">
        <v>0.1220949074074074</v>
      </c>
      <c r="G1041" s="34">
        <v>1.5261863425925925E-2</v>
      </c>
      <c r="H1041" s="34">
        <v>0.2615972222222222</v>
      </c>
      <c r="I1041" s="34">
        <v>0.18072916666666666</v>
      </c>
      <c r="J1041" s="35">
        <v>0.69086806477302898</v>
      </c>
      <c r="K1041" s="33" t="s">
        <v>134</v>
      </c>
      <c r="L1041" s="33" t="s">
        <v>104</v>
      </c>
    </row>
    <row r="1042" spans="1:12" x14ac:dyDescent="0.25">
      <c r="A1042" s="32">
        <v>46246</v>
      </c>
      <c r="B1042" s="33" t="s">
        <v>105</v>
      </c>
      <c r="C1042" s="33" t="s">
        <v>546</v>
      </c>
      <c r="D1042" s="33" t="s">
        <v>105</v>
      </c>
      <c r="E1042">
        <v>7</v>
      </c>
      <c r="F1042" s="34">
        <v>0.17929398148148148</v>
      </c>
      <c r="G1042" s="34">
        <v>2.5613425925925925E-2</v>
      </c>
      <c r="H1042" s="34">
        <v>0.25408564814814816</v>
      </c>
      <c r="I1042" s="34">
        <v>0.11269675925925926</v>
      </c>
      <c r="J1042" s="35">
        <v>0.44353846854644013</v>
      </c>
      <c r="K1042" s="33" t="s">
        <v>211</v>
      </c>
      <c r="L1042" s="33" t="s">
        <v>104</v>
      </c>
    </row>
    <row r="1043" spans="1:12" x14ac:dyDescent="0.25">
      <c r="A1043" s="32">
        <v>46246</v>
      </c>
      <c r="B1043" s="33" t="s">
        <v>105</v>
      </c>
      <c r="C1043" s="33" t="s">
        <v>638</v>
      </c>
      <c r="D1043" s="33" t="s">
        <v>105</v>
      </c>
      <c r="E1043">
        <v>3</v>
      </c>
      <c r="F1043" s="34">
        <v>8.9155092592592591E-2</v>
      </c>
      <c r="G1043" s="34">
        <v>2.9718364197530864E-2</v>
      </c>
      <c r="H1043" s="34">
        <v>0.2414351851851852</v>
      </c>
      <c r="I1043" s="34">
        <v>0.17469907407407406</v>
      </c>
      <c r="J1043" s="35">
        <v>0.72358581016299128</v>
      </c>
      <c r="K1043" s="33" t="s">
        <v>617</v>
      </c>
      <c r="L1043" s="33" t="s">
        <v>601</v>
      </c>
    </row>
    <row r="1044" spans="1:12" x14ac:dyDescent="0.25">
      <c r="A1044" s="32">
        <v>46246</v>
      </c>
      <c r="B1044" s="33" t="s">
        <v>105</v>
      </c>
      <c r="C1044" s="33" t="s">
        <v>639</v>
      </c>
      <c r="D1044" s="33" t="s">
        <v>105</v>
      </c>
      <c r="E1044">
        <v>9</v>
      </c>
      <c r="F1044" s="34">
        <v>0.20439814814814813</v>
      </c>
      <c r="G1044" s="34">
        <v>2.2710905349794239E-2</v>
      </c>
      <c r="H1044" s="34">
        <v>0.24223379629629629</v>
      </c>
      <c r="I1044" s="34">
        <v>0.19324074074074074</v>
      </c>
      <c r="J1044" s="35">
        <v>0.79774475608008033</v>
      </c>
      <c r="K1044" s="33" t="s">
        <v>618</v>
      </c>
      <c r="L1044" s="33" t="s">
        <v>601</v>
      </c>
    </row>
    <row r="1045" spans="1:12" x14ac:dyDescent="0.25">
      <c r="A1045" s="32">
        <v>46246</v>
      </c>
      <c r="B1045" s="33" t="s">
        <v>105</v>
      </c>
      <c r="C1045" s="33" t="s">
        <v>572</v>
      </c>
      <c r="D1045" s="33" t="s">
        <v>105</v>
      </c>
      <c r="E1045">
        <v>2</v>
      </c>
      <c r="F1045" s="34">
        <v>4.2858796296296298E-2</v>
      </c>
      <c r="G1045" s="34">
        <v>2.1429398148148149E-2</v>
      </c>
      <c r="H1045" s="34">
        <v>0.24438657407407408</v>
      </c>
      <c r="I1045" s="34">
        <v>0.21358796296296295</v>
      </c>
      <c r="J1045" s="35">
        <v>0.87397584655458205</v>
      </c>
      <c r="K1045" s="33" t="s">
        <v>213</v>
      </c>
      <c r="L1045" s="33" t="s">
        <v>601</v>
      </c>
    </row>
    <row r="1046" spans="1:12" x14ac:dyDescent="0.25">
      <c r="A1046" s="32">
        <v>46246</v>
      </c>
      <c r="B1046" s="33" t="s">
        <v>105</v>
      </c>
      <c r="C1046" s="33" t="s">
        <v>640</v>
      </c>
      <c r="D1046" s="33" t="s">
        <v>105</v>
      </c>
      <c r="E1046">
        <v>3</v>
      </c>
      <c r="F1046" s="34">
        <v>5.559027777777778E-2</v>
      </c>
      <c r="G1046" s="34">
        <v>1.8530092592592595E-2</v>
      </c>
      <c r="H1046" s="34">
        <v>0.23495370370370369</v>
      </c>
      <c r="I1046" s="34">
        <v>0.18373842592592593</v>
      </c>
      <c r="J1046" s="35">
        <v>0.78201970443349755</v>
      </c>
      <c r="K1046" s="33" t="s">
        <v>619</v>
      </c>
      <c r="L1046" s="33" t="s">
        <v>601</v>
      </c>
    </row>
    <row r="1047" spans="1:12" x14ac:dyDescent="0.25">
      <c r="A1047" s="32">
        <v>46246</v>
      </c>
      <c r="B1047" s="33" t="s">
        <v>105</v>
      </c>
      <c r="C1047" s="33" t="s">
        <v>548</v>
      </c>
      <c r="D1047" s="33" t="s">
        <v>105</v>
      </c>
      <c r="E1047">
        <v>6</v>
      </c>
      <c r="F1047" s="34">
        <v>8.2708333333333328E-2</v>
      </c>
      <c r="G1047" s="34">
        <v>1.3784722222222221E-2</v>
      </c>
      <c r="H1047" s="34">
        <v>0.23460648148148147</v>
      </c>
      <c r="I1047" s="34">
        <v>0.17775462962962962</v>
      </c>
      <c r="J1047" s="35">
        <v>0.75767143561914163</v>
      </c>
      <c r="K1047" s="33" t="s">
        <v>219</v>
      </c>
      <c r="L1047" s="33" t="s">
        <v>104</v>
      </c>
    </row>
    <row r="1048" spans="1:12" x14ac:dyDescent="0.25">
      <c r="A1048" s="32">
        <v>46246</v>
      </c>
      <c r="B1048" s="33" t="s">
        <v>105</v>
      </c>
      <c r="C1048" s="33" t="s">
        <v>641</v>
      </c>
      <c r="D1048" s="33" t="s">
        <v>105</v>
      </c>
      <c r="E1048">
        <v>4</v>
      </c>
      <c r="F1048" s="34">
        <v>8.4189814814814815E-2</v>
      </c>
      <c r="G1048" s="34">
        <v>2.1047453703703704E-2</v>
      </c>
      <c r="H1048" s="34">
        <v>0.23584490740740741</v>
      </c>
      <c r="I1048" s="34">
        <v>0.19106481481481483</v>
      </c>
      <c r="J1048" s="35">
        <v>0.81012906708543952</v>
      </c>
      <c r="K1048" s="33" t="s">
        <v>620</v>
      </c>
      <c r="L1048" s="33" t="s">
        <v>601</v>
      </c>
    </row>
    <row r="1049" spans="1:12" x14ac:dyDescent="0.25">
      <c r="A1049" s="32">
        <v>46246</v>
      </c>
      <c r="B1049" s="33" t="s">
        <v>105</v>
      </c>
      <c r="C1049" s="33" t="s">
        <v>556</v>
      </c>
      <c r="D1049" s="33" t="s">
        <v>105</v>
      </c>
      <c r="E1049">
        <v>9</v>
      </c>
      <c r="F1049" s="34">
        <v>0.14701388888888889</v>
      </c>
      <c r="G1049" s="34">
        <v>1.6334876543209878E-2</v>
      </c>
      <c r="H1049" s="34">
        <v>0.27618055555555554</v>
      </c>
      <c r="I1049" s="34">
        <v>0.14498842592592592</v>
      </c>
      <c r="J1049" s="35">
        <v>0.52497695080043583</v>
      </c>
      <c r="K1049" s="33" t="s">
        <v>138</v>
      </c>
      <c r="L1049" s="33" t="s">
        <v>104</v>
      </c>
    </row>
    <row r="1050" spans="1:12" x14ac:dyDescent="0.25">
      <c r="A1050" s="32">
        <v>46246</v>
      </c>
      <c r="B1050" s="33" t="s">
        <v>105</v>
      </c>
      <c r="C1050" s="33" t="s">
        <v>674</v>
      </c>
      <c r="D1050" s="33" t="s">
        <v>105</v>
      </c>
      <c r="E1050">
        <v>9</v>
      </c>
      <c r="F1050" s="34">
        <v>0.15268518518518517</v>
      </c>
      <c r="G1050" s="34">
        <v>1.6965020576131685E-2</v>
      </c>
      <c r="H1050" s="34">
        <v>0.25724537037037037</v>
      </c>
      <c r="I1050" s="34">
        <v>0.17940972222222223</v>
      </c>
      <c r="J1050" s="35">
        <v>0.69742643750562405</v>
      </c>
      <c r="K1050" s="33" t="s">
        <v>673</v>
      </c>
      <c r="L1050" s="33" t="s">
        <v>104</v>
      </c>
    </row>
    <row r="1051" spans="1:12" x14ac:dyDescent="0.25">
      <c r="A1051" s="32">
        <v>46246</v>
      </c>
      <c r="B1051" s="33" t="s">
        <v>105</v>
      </c>
      <c r="C1051" s="33" t="s">
        <v>549</v>
      </c>
      <c r="D1051" s="33" t="s">
        <v>105</v>
      </c>
      <c r="E1051">
        <v>4</v>
      </c>
      <c r="F1051" s="34">
        <v>7.0949074074074067E-2</v>
      </c>
      <c r="G1051" s="34">
        <v>1.7737268518518517E-2</v>
      </c>
      <c r="H1051" s="34">
        <v>0.23707175925925925</v>
      </c>
      <c r="I1051" s="34">
        <v>0.1894675925925926</v>
      </c>
      <c r="J1051" s="35">
        <v>0.79919933603476068</v>
      </c>
      <c r="K1051" s="33" t="s">
        <v>225</v>
      </c>
      <c r="L1051" s="33" t="s">
        <v>601</v>
      </c>
    </row>
    <row r="1052" spans="1:12" x14ac:dyDescent="0.25">
      <c r="A1052" s="32">
        <v>46246</v>
      </c>
      <c r="B1052" s="33" t="s">
        <v>105</v>
      </c>
      <c r="C1052" s="33" t="s">
        <v>571</v>
      </c>
      <c r="D1052" s="33" t="s">
        <v>105</v>
      </c>
      <c r="E1052">
        <v>9</v>
      </c>
      <c r="F1052" s="34">
        <v>0.19439814814814815</v>
      </c>
      <c r="G1052" s="34">
        <v>2.1599794238683127E-2</v>
      </c>
      <c r="H1052" s="34">
        <v>0.26192129629629629</v>
      </c>
      <c r="I1052" s="34">
        <v>0.11935185185185185</v>
      </c>
      <c r="J1052" s="35">
        <v>0.45567830313742819</v>
      </c>
      <c r="K1052" s="33" t="s">
        <v>299</v>
      </c>
      <c r="L1052" s="33" t="s">
        <v>104</v>
      </c>
    </row>
    <row r="1053" spans="1:12" x14ac:dyDescent="0.25">
      <c r="A1053" s="32">
        <v>46246</v>
      </c>
      <c r="B1053" s="33" t="s">
        <v>105</v>
      </c>
      <c r="C1053" s="33" t="s">
        <v>676</v>
      </c>
      <c r="D1053" s="33" t="s">
        <v>105</v>
      </c>
      <c r="E1053">
        <v>8</v>
      </c>
      <c r="F1053" s="34">
        <v>0.15809027777777779</v>
      </c>
      <c r="G1053" s="34">
        <v>1.9761284722222223E-2</v>
      </c>
      <c r="H1053" s="34">
        <v>0.25912037037037039</v>
      </c>
      <c r="I1053" s="34">
        <v>0.17277777777777778</v>
      </c>
      <c r="J1053" s="35">
        <v>0.66678577809540818</v>
      </c>
      <c r="K1053" s="33" t="s">
        <v>675</v>
      </c>
      <c r="L1053" s="33" t="s">
        <v>104</v>
      </c>
    </row>
    <row r="1054" spans="1:12" x14ac:dyDescent="0.25">
      <c r="A1054" s="32">
        <v>46246</v>
      </c>
      <c r="B1054" s="33" t="s">
        <v>32</v>
      </c>
      <c r="C1054" s="33" t="s">
        <v>562</v>
      </c>
      <c r="D1054" s="33" t="s">
        <v>80</v>
      </c>
      <c r="E1054">
        <v>2</v>
      </c>
      <c r="F1054" s="34">
        <v>1.8287037037037037E-3</v>
      </c>
      <c r="G1054" s="34">
        <v>9.1435185185185185E-4</v>
      </c>
      <c r="H1054" s="34">
        <v>0.27549768518518519</v>
      </c>
      <c r="I1054" s="34">
        <v>4.0543981481481479E-2</v>
      </c>
      <c r="J1054" s="35">
        <v>0.14716632357265891</v>
      </c>
      <c r="K1054" s="33" t="s">
        <v>186</v>
      </c>
      <c r="L1054" s="33" t="s">
        <v>78</v>
      </c>
    </row>
    <row r="1055" spans="1:12" x14ac:dyDescent="0.25">
      <c r="A1055" s="32">
        <v>46246</v>
      </c>
      <c r="B1055" s="33" t="s">
        <v>32</v>
      </c>
      <c r="C1055" s="33" t="s">
        <v>644</v>
      </c>
      <c r="D1055" s="33" t="s">
        <v>32</v>
      </c>
      <c r="E1055">
        <v>18</v>
      </c>
      <c r="F1055" s="34">
        <v>0.14105324074074074</v>
      </c>
      <c r="G1055" s="34">
        <v>7.8362911522633742E-3</v>
      </c>
      <c r="H1055" s="34">
        <v>0.2618287037037037</v>
      </c>
      <c r="I1055" s="34">
        <v>4.4733796296296299E-2</v>
      </c>
      <c r="J1055" s="35">
        <v>0.17085138360887633</v>
      </c>
      <c r="K1055" s="33" t="s">
        <v>643</v>
      </c>
      <c r="L1055" s="33" t="s">
        <v>233</v>
      </c>
    </row>
    <row r="1056" spans="1:12" x14ac:dyDescent="0.25">
      <c r="A1056" s="32">
        <v>46246</v>
      </c>
      <c r="B1056" s="33" t="s">
        <v>32</v>
      </c>
      <c r="C1056" s="33" t="s">
        <v>563</v>
      </c>
      <c r="D1056" s="33" t="s">
        <v>147</v>
      </c>
      <c r="E1056">
        <v>5</v>
      </c>
      <c r="F1056" s="34">
        <v>2.267361111111111E-2</v>
      </c>
      <c r="G1056" s="34">
        <v>4.5347222222222221E-3</v>
      </c>
      <c r="H1056" s="34">
        <v>0.26670138888888889</v>
      </c>
      <c r="I1056" s="34">
        <v>3.5127314814814813E-2</v>
      </c>
      <c r="J1056" s="35">
        <v>0.13171028077941238</v>
      </c>
      <c r="K1056" s="33" t="s">
        <v>193</v>
      </c>
      <c r="L1056" s="33" t="s">
        <v>274</v>
      </c>
    </row>
    <row r="1057" spans="1:12" x14ac:dyDescent="0.25">
      <c r="A1057" s="32">
        <v>46246</v>
      </c>
      <c r="B1057" s="33" t="s">
        <v>32</v>
      </c>
      <c r="C1057" s="33" t="s">
        <v>525</v>
      </c>
      <c r="D1057" s="33" t="s">
        <v>32</v>
      </c>
      <c r="E1057">
        <v>44</v>
      </c>
      <c r="F1057" s="34">
        <v>0.13120370370370371</v>
      </c>
      <c r="G1057" s="34">
        <v>2.9819023569023569E-3</v>
      </c>
      <c r="H1057" s="34">
        <v>0.26076388888888891</v>
      </c>
      <c r="I1057" s="34">
        <v>4.1979166666666665E-2</v>
      </c>
      <c r="J1057" s="35">
        <v>0.16098535286284951</v>
      </c>
      <c r="K1057" s="33" t="s">
        <v>231</v>
      </c>
      <c r="L1057" s="33" t="s">
        <v>233</v>
      </c>
    </row>
    <row r="1058" spans="1:12" x14ac:dyDescent="0.25">
      <c r="A1058" s="32">
        <v>46246</v>
      </c>
      <c r="B1058" s="33" t="s">
        <v>32</v>
      </c>
      <c r="C1058" s="33" t="s">
        <v>550</v>
      </c>
      <c r="D1058" s="33" t="s">
        <v>32</v>
      </c>
      <c r="E1058">
        <v>27</v>
      </c>
      <c r="F1058" s="34">
        <v>0.12657407407407406</v>
      </c>
      <c r="G1058" s="34">
        <v>4.6879286694101506E-3</v>
      </c>
      <c r="H1058" s="34">
        <v>0.26196759259259261</v>
      </c>
      <c r="I1058" s="34">
        <v>4.7395833333333331E-2</v>
      </c>
      <c r="J1058" s="35">
        <v>0.1809225059644782</v>
      </c>
      <c r="K1058" s="33" t="s">
        <v>234</v>
      </c>
      <c r="L1058" s="33" t="s">
        <v>233</v>
      </c>
    </row>
    <row r="1059" spans="1:12" x14ac:dyDescent="0.25">
      <c r="A1059" s="32">
        <v>46246</v>
      </c>
      <c r="B1059" s="33" t="s">
        <v>32</v>
      </c>
      <c r="C1059" s="33" t="s">
        <v>505</v>
      </c>
      <c r="D1059" s="33" t="s">
        <v>32</v>
      </c>
      <c r="E1059">
        <v>42</v>
      </c>
      <c r="F1059" s="34">
        <v>0.12958333333333333</v>
      </c>
      <c r="G1059" s="34">
        <v>3.0853174603174601E-3</v>
      </c>
      <c r="H1059" s="34">
        <v>0.26165509259259262</v>
      </c>
      <c r="I1059" s="34">
        <v>3.2094907407407405E-2</v>
      </c>
      <c r="J1059" s="35">
        <v>0.12266112266112264</v>
      </c>
      <c r="K1059" s="33" t="s">
        <v>34</v>
      </c>
      <c r="L1059" s="33" t="s">
        <v>233</v>
      </c>
    </row>
    <row r="1060" spans="1:12" x14ac:dyDescent="0.25">
      <c r="A1060" s="32">
        <v>46246</v>
      </c>
      <c r="B1060" s="33" t="s">
        <v>32</v>
      </c>
      <c r="C1060" s="33" t="s">
        <v>514</v>
      </c>
      <c r="D1060" s="33" t="s">
        <v>147</v>
      </c>
      <c r="E1060">
        <v>5</v>
      </c>
      <c r="F1060" s="34">
        <v>1.136574074074074E-2</v>
      </c>
      <c r="G1060" s="34">
        <v>2.2731481481481483E-3</v>
      </c>
      <c r="H1060" s="34">
        <v>0.26245370370370369</v>
      </c>
      <c r="I1060" s="34">
        <v>3.667824074074074E-2</v>
      </c>
      <c r="J1060" s="35">
        <v>0.13975127888516495</v>
      </c>
      <c r="K1060" s="33" t="s">
        <v>150</v>
      </c>
      <c r="L1060" s="33" t="s">
        <v>146</v>
      </c>
    </row>
    <row r="1061" spans="1:12" x14ac:dyDescent="0.25">
      <c r="A1061" s="32">
        <v>46246</v>
      </c>
      <c r="B1061" s="33" t="s">
        <v>32</v>
      </c>
      <c r="C1061" s="33" t="s">
        <v>515</v>
      </c>
      <c r="D1061" s="33" t="s">
        <v>147</v>
      </c>
      <c r="E1061">
        <v>3</v>
      </c>
      <c r="F1061" s="34">
        <v>1.4675925925925926E-2</v>
      </c>
      <c r="G1061" s="34">
        <v>4.8919753086419755E-3</v>
      </c>
      <c r="H1061" s="34">
        <v>0.26287037037037037</v>
      </c>
      <c r="I1061" s="34">
        <v>5.185185185185185E-2</v>
      </c>
      <c r="J1061" s="35">
        <v>0.19725255371609721</v>
      </c>
      <c r="K1061" s="33" t="s">
        <v>154</v>
      </c>
      <c r="L1061" s="33" t="s">
        <v>146</v>
      </c>
    </row>
    <row r="1062" spans="1:12" x14ac:dyDescent="0.25">
      <c r="A1062" s="32">
        <v>46246</v>
      </c>
      <c r="B1062" s="33" t="s">
        <v>32</v>
      </c>
      <c r="C1062" s="33" t="s">
        <v>516</v>
      </c>
      <c r="D1062" s="33" t="s">
        <v>147</v>
      </c>
      <c r="E1062">
        <v>9</v>
      </c>
      <c r="F1062" s="34">
        <v>1.7094907407407406E-2</v>
      </c>
      <c r="G1062" s="34">
        <v>1.8994341563786006E-3</v>
      </c>
      <c r="H1062" s="34">
        <v>0.28038194444444442</v>
      </c>
      <c r="I1062" s="34">
        <v>4.9305555555555554E-2</v>
      </c>
      <c r="J1062" s="35">
        <v>0.17585139318885451</v>
      </c>
      <c r="K1062" s="33" t="s">
        <v>156</v>
      </c>
      <c r="L1062" s="33" t="s">
        <v>146</v>
      </c>
    </row>
    <row r="1063" spans="1:12" x14ac:dyDescent="0.25">
      <c r="A1063" s="32">
        <v>46246</v>
      </c>
      <c r="B1063" s="33" t="s">
        <v>32</v>
      </c>
      <c r="C1063" s="33" t="s">
        <v>506</v>
      </c>
      <c r="D1063" s="33" t="s">
        <v>32</v>
      </c>
      <c r="E1063">
        <v>35</v>
      </c>
      <c r="F1063" s="34">
        <v>0.18875</v>
      </c>
      <c r="G1063" s="34">
        <v>5.3928571428571428E-3</v>
      </c>
      <c r="H1063" s="34">
        <v>0.26331018518518517</v>
      </c>
      <c r="I1063" s="34">
        <v>3.3171296296296296E-2</v>
      </c>
      <c r="J1063" s="35">
        <v>0.12597802197802199</v>
      </c>
      <c r="K1063" s="33" t="s">
        <v>44</v>
      </c>
      <c r="L1063" s="33" t="s">
        <v>100</v>
      </c>
    </row>
    <row r="1064" spans="1:12" x14ac:dyDescent="0.25">
      <c r="A1064" s="32">
        <v>46246</v>
      </c>
      <c r="B1064" s="33" t="s">
        <v>32</v>
      </c>
      <c r="C1064" s="33" t="s">
        <v>632</v>
      </c>
      <c r="D1064" s="33" t="s">
        <v>105</v>
      </c>
      <c r="E1064">
        <v>2</v>
      </c>
      <c r="F1064" s="34">
        <v>1.3958333333333333E-2</v>
      </c>
      <c r="G1064" s="34">
        <v>6.9791666666666665E-3</v>
      </c>
      <c r="H1064" s="34">
        <v>0.24876157407407407</v>
      </c>
      <c r="I1064" s="34">
        <v>0.21832175925925926</v>
      </c>
      <c r="J1064" s="35">
        <v>0.87763457870004191</v>
      </c>
      <c r="K1064" s="33" t="s">
        <v>609</v>
      </c>
      <c r="L1064" s="33" t="s">
        <v>601</v>
      </c>
    </row>
    <row r="1065" spans="1:12" x14ac:dyDescent="0.25">
      <c r="A1065" s="32">
        <v>46246</v>
      </c>
      <c r="B1065" s="33" t="s">
        <v>32</v>
      </c>
      <c r="C1065" s="33" t="s">
        <v>498</v>
      </c>
      <c r="D1065" s="33" t="s">
        <v>80</v>
      </c>
      <c r="E1065">
        <v>1</v>
      </c>
      <c r="F1065" s="34">
        <v>2.3287037037037037E-2</v>
      </c>
      <c r="G1065" s="34">
        <v>2.3287037037037037E-2</v>
      </c>
      <c r="H1065" s="34">
        <v>0.34677083333333331</v>
      </c>
      <c r="I1065" s="34">
        <v>5.7233796296296297E-2</v>
      </c>
      <c r="J1065" s="35">
        <v>0.16504789559761024</v>
      </c>
      <c r="K1065" s="33" t="s">
        <v>497</v>
      </c>
      <c r="L1065" s="33" t="s">
        <v>78</v>
      </c>
    </row>
    <row r="1066" spans="1:12" x14ac:dyDescent="0.25">
      <c r="A1066" s="32">
        <v>46246</v>
      </c>
      <c r="B1066" s="33" t="s">
        <v>32</v>
      </c>
      <c r="C1066" s="33" t="s">
        <v>310</v>
      </c>
      <c r="D1066" s="33" t="s">
        <v>80</v>
      </c>
      <c r="E1066">
        <v>1</v>
      </c>
      <c r="F1066" s="34">
        <v>1.0173611111111111E-2</v>
      </c>
      <c r="G1066" s="34">
        <v>1.0173611111111111E-2</v>
      </c>
      <c r="H1066" s="34">
        <v>0.34480324074074076</v>
      </c>
      <c r="I1066" s="34">
        <v>8.3275462962962968E-2</v>
      </c>
      <c r="J1066" s="35">
        <v>0.24151589406196503</v>
      </c>
      <c r="K1066" s="33" t="s">
        <v>309</v>
      </c>
      <c r="L1066" s="33" t="s">
        <v>78</v>
      </c>
    </row>
    <row r="1067" spans="1:12" x14ac:dyDescent="0.25">
      <c r="A1067" s="32">
        <v>46246</v>
      </c>
      <c r="B1067" s="33" t="s">
        <v>32</v>
      </c>
      <c r="C1067" s="33" t="s">
        <v>646</v>
      </c>
      <c r="D1067" s="33" t="s">
        <v>32</v>
      </c>
      <c r="E1067">
        <v>35</v>
      </c>
      <c r="F1067" s="34">
        <v>0.17482638888888888</v>
      </c>
      <c r="G1067" s="34">
        <v>4.9950396825396825E-3</v>
      </c>
      <c r="H1067" s="34">
        <v>0.26430555555555557</v>
      </c>
      <c r="I1067" s="34">
        <v>3.8819444444444441E-2</v>
      </c>
      <c r="J1067" s="35">
        <v>0.1468733578560168</v>
      </c>
      <c r="K1067" s="33" t="s">
        <v>645</v>
      </c>
      <c r="L1067" s="33" t="s">
        <v>100</v>
      </c>
    </row>
    <row r="1068" spans="1:12" x14ac:dyDescent="0.25">
      <c r="A1068" s="32">
        <v>46246</v>
      </c>
      <c r="B1068" s="33" t="s">
        <v>32</v>
      </c>
      <c r="C1068" s="33" t="s">
        <v>544</v>
      </c>
      <c r="D1068" s="33" t="s">
        <v>147</v>
      </c>
      <c r="E1068">
        <v>9</v>
      </c>
      <c r="F1068" s="34">
        <v>2.7893518518518519E-2</v>
      </c>
      <c r="G1068" s="34">
        <v>3.0992798353909464E-3</v>
      </c>
      <c r="H1068" s="34">
        <v>0.26124999999999998</v>
      </c>
      <c r="I1068" s="34">
        <v>6.7708333333333329E-2</v>
      </c>
      <c r="J1068" s="35">
        <v>0.259170653907496</v>
      </c>
      <c r="K1068" s="33" t="s">
        <v>160</v>
      </c>
      <c r="L1068" s="33" t="s">
        <v>146</v>
      </c>
    </row>
    <row r="1069" spans="1:12" x14ac:dyDescent="0.25">
      <c r="A1069" s="32">
        <v>46246</v>
      </c>
      <c r="B1069" s="33" t="s">
        <v>32</v>
      </c>
      <c r="C1069" s="33" t="s">
        <v>558</v>
      </c>
      <c r="D1069" s="33" t="s">
        <v>32</v>
      </c>
      <c r="E1069">
        <v>37</v>
      </c>
      <c r="F1069" s="34">
        <v>0.11076388888888888</v>
      </c>
      <c r="G1069" s="34">
        <v>2.9936186186186185E-3</v>
      </c>
      <c r="H1069" s="34">
        <v>0.2630439814814815</v>
      </c>
      <c r="I1069" s="34">
        <v>5.6273148148148149E-2</v>
      </c>
      <c r="J1069" s="35">
        <v>0.21393056716680597</v>
      </c>
      <c r="K1069" s="33" t="s">
        <v>120</v>
      </c>
      <c r="L1069" s="33" t="s">
        <v>233</v>
      </c>
    </row>
    <row r="1070" spans="1:12" x14ac:dyDescent="0.25">
      <c r="A1070" s="32">
        <v>46246</v>
      </c>
      <c r="B1070" s="33" t="s">
        <v>32</v>
      </c>
      <c r="C1070" s="33" t="s">
        <v>507</v>
      </c>
      <c r="D1070" s="33" t="s">
        <v>32</v>
      </c>
      <c r="E1070">
        <v>39</v>
      </c>
      <c r="F1070" s="34">
        <v>0.15418981481481481</v>
      </c>
      <c r="G1070" s="34">
        <v>3.9535849952516619E-3</v>
      </c>
      <c r="H1070" s="34">
        <v>0.26435185185185184</v>
      </c>
      <c r="I1070" s="34">
        <v>3.408564814814815E-2</v>
      </c>
      <c r="J1070" s="35">
        <v>0.12894045534150614</v>
      </c>
      <c r="K1070" s="33" t="s">
        <v>46</v>
      </c>
      <c r="L1070" s="33" t="s">
        <v>100</v>
      </c>
    </row>
    <row r="1071" spans="1:12" x14ac:dyDescent="0.25">
      <c r="A1071" s="32">
        <v>46246</v>
      </c>
      <c r="B1071" s="33" t="s">
        <v>32</v>
      </c>
      <c r="C1071" s="33" t="s">
        <v>517</v>
      </c>
      <c r="D1071" s="33" t="s">
        <v>147</v>
      </c>
      <c r="E1071">
        <v>3</v>
      </c>
      <c r="F1071" s="34">
        <v>1.412037037037037E-2</v>
      </c>
      <c r="G1071" s="34">
        <v>4.7067901234567897E-3</v>
      </c>
      <c r="H1071" s="34">
        <v>0.24458333333333335</v>
      </c>
      <c r="I1071" s="34">
        <v>6.5798611111111113E-2</v>
      </c>
      <c r="J1071" s="35">
        <v>0.26902328222600796</v>
      </c>
      <c r="K1071" s="33" t="s">
        <v>499</v>
      </c>
      <c r="L1071" s="33" t="s">
        <v>146</v>
      </c>
    </row>
    <row r="1072" spans="1:12" x14ac:dyDescent="0.25">
      <c r="A1072" s="32">
        <v>46246</v>
      </c>
      <c r="B1072" s="33" t="s">
        <v>32</v>
      </c>
      <c r="C1072" s="33" t="s">
        <v>648</v>
      </c>
      <c r="D1072" s="33" t="s">
        <v>32</v>
      </c>
      <c r="E1072">
        <v>33</v>
      </c>
      <c r="F1072" s="34">
        <v>0.11674768518518519</v>
      </c>
      <c r="G1072" s="34">
        <v>3.5378086419753088E-3</v>
      </c>
      <c r="H1072" s="34">
        <v>0.26306712962962964</v>
      </c>
      <c r="I1072" s="34">
        <v>4.8020833333333332E-2</v>
      </c>
      <c r="J1072" s="35">
        <v>0.18254212679836332</v>
      </c>
      <c r="K1072" s="33" t="s">
        <v>647</v>
      </c>
      <c r="L1072" s="33" t="s">
        <v>233</v>
      </c>
    </row>
    <row r="1073" spans="1:12" x14ac:dyDescent="0.25">
      <c r="A1073" s="32">
        <v>46246</v>
      </c>
      <c r="B1073" s="33" t="s">
        <v>32</v>
      </c>
      <c r="C1073" s="33" t="s">
        <v>650</v>
      </c>
      <c r="D1073" s="33" t="s">
        <v>105</v>
      </c>
      <c r="E1073">
        <v>3</v>
      </c>
      <c r="F1073" s="34">
        <v>1.1828703703703704E-2</v>
      </c>
      <c r="G1073" s="34">
        <v>3.9429012345679011E-3</v>
      </c>
      <c r="H1073" s="34">
        <v>0.28767361111111112</v>
      </c>
      <c r="I1073" s="34">
        <v>0.1638425925925926</v>
      </c>
      <c r="J1073" s="35">
        <v>0.56954335143834234</v>
      </c>
      <c r="K1073" s="33" t="s">
        <v>649</v>
      </c>
      <c r="L1073" s="33" t="s">
        <v>104</v>
      </c>
    </row>
    <row r="1074" spans="1:12" x14ac:dyDescent="0.25">
      <c r="A1074" s="32">
        <v>46246</v>
      </c>
      <c r="B1074" s="33" t="s">
        <v>32</v>
      </c>
      <c r="C1074" s="33" t="s">
        <v>652</v>
      </c>
      <c r="D1074" s="33" t="s">
        <v>32</v>
      </c>
      <c r="E1074">
        <v>27</v>
      </c>
      <c r="F1074" s="34">
        <v>0.19872685185185185</v>
      </c>
      <c r="G1074" s="34">
        <v>7.3602537722908092E-3</v>
      </c>
      <c r="H1074" s="34">
        <v>0.26829861111111108</v>
      </c>
      <c r="I1074" s="34">
        <v>3.5034722222222224E-2</v>
      </c>
      <c r="J1074" s="35">
        <v>0.13058107933221175</v>
      </c>
      <c r="K1074" s="33" t="s">
        <v>651</v>
      </c>
      <c r="L1074" s="33" t="s">
        <v>100</v>
      </c>
    </row>
    <row r="1075" spans="1:12" x14ac:dyDescent="0.25">
      <c r="A1075" s="32">
        <v>46246</v>
      </c>
      <c r="B1075" s="33" t="s">
        <v>32</v>
      </c>
      <c r="C1075" s="33" t="s">
        <v>568</v>
      </c>
      <c r="D1075" s="33" t="s">
        <v>32</v>
      </c>
      <c r="E1075">
        <v>49</v>
      </c>
      <c r="F1075" s="34">
        <v>0.1763888888888889</v>
      </c>
      <c r="G1075" s="34">
        <v>3.5997732426303855E-3</v>
      </c>
      <c r="H1075" s="34">
        <v>0.35163194444444446</v>
      </c>
      <c r="I1075" s="34">
        <v>5.8263888888888886E-2</v>
      </c>
      <c r="J1075" s="35">
        <v>0.16569566505381653</v>
      </c>
      <c r="K1075" s="33" t="s">
        <v>246</v>
      </c>
      <c r="L1075" s="33" t="s">
        <v>233</v>
      </c>
    </row>
    <row r="1076" spans="1:12" x14ac:dyDescent="0.25">
      <c r="A1076" s="32">
        <v>46246</v>
      </c>
      <c r="B1076" s="33" t="s">
        <v>32</v>
      </c>
      <c r="C1076" s="33" t="s">
        <v>508</v>
      </c>
      <c r="D1076" s="33" t="s">
        <v>32</v>
      </c>
      <c r="E1076">
        <v>37</v>
      </c>
      <c r="F1076" s="34">
        <v>0.14921296296296296</v>
      </c>
      <c r="G1076" s="34">
        <v>4.0327827827827826E-3</v>
      </c>
      <c r="H1076" s="34">
        <v>0.26416666666666666</v>
      </c>
      <c r="I1076" s="34">
        <v>6.9097222222222227E-2</v>
      </c>
      <c r="J1076" s="35">
        <v>0.26156677181913779</v>
      </c>
      <c r="K1076" s="33" t="s">
        <v>48</v>
      </c>
      <c r="L1076" s="33" t="s">
        <v>100</v>
      </c>
    </row>
    <row r="1077" spans="1:12" x14ac:dyDescent="0.25">
      <c r="A1077" s="32">
        <v>46246</v>
      </c>
      <c r="B1077" s="33" t="s">
        <v>32</v>
      </c>
      <c r="C1077" s="33" t="s">
        <v>603</v>
      </c>
      <c r="D1077" s="33" t="s">
        <v>32</v>
      </c>
      <c r="E1077">
        <v>37</v>
      </c>
      <c r="F1077" s="34">
        <v>0.18174768518518519</v>
      </c>
      <c r="G1077" s="34">
        <v>4.9120995995995996E-3</v>
      </c>
      <c r="H1077" s="34">
        <v>0.26708333333333334</v>
      </c>
      <c r="I1077" s="34">
        <v>1.6747685185185185E-2</v>
      </c>
      <c r="J1077" s="35">
        <v>6.2705841566996004E-2</v>
      </c>
      <c r="K1077" s="33" t="s">
        <v>242</v>
      </c>
      <c r="L1077" s="33" t="s">
        <v>233</v>
      </c>
    </row>
    <row r="1078" spans="1:12" x14ac:dyDescent="0.25">
      <c r="A1078" s="32">
        <v>46246</v>
      </c>
      <c r="B1078" s="33" t="s">
        <v>32</v>
      </c>
      <c r="C1078" s="33" t="s">
        <v>553</v>
      </c>
      <c r="D1078" s="33" t="s">
        <v>80</v>
      </c>
      <c r="E1078">
        <v>1</v>
      </c>
      <c r="F1078" s="34">
        <v>5.7986111111111112E-3</v>
      </c>
      <c r="G1078" s="34">
        <v>5.7986111111111112E-3</v>
      </c>
      <c r="H1078" s="34">
        <v>0.5758564814814815</v>
      </c>
      <c r="I1078" s="34">
        <v>1.736111111111111E-3</v>
      </c>
      <c r="J1078" s="35">
        <v>3.0148329782530045E-3</v>
      </c>
      <c r="K1078" s="33" t="s">
        <v>252</v>
      </c>
      <c r="L1078" s="33" t="s">
        <v>78</v>
      </c>
    </row>
    <row r="1079" spans="1:12" x14ac:dyDescent="0.25">
      <c r="A1079" s="32">
        <v>46246</v>
      </c>
      <c r="B1079" s="33" t="s">
        <v>32</v>
      </c>
      <c r="C1079" s="33" t="s">
        <v>518</v>
      </c>
      <c r="D1079" s="33" t="s">
        <v>147</v>
      </c>
      <c r="E1079">
        <v>6</v>
      </c>
      <c r="F1079" s="34">
        <v>2.9155092592592594E-2</v>
      </c>
      <c r="G1079" s="34">
        <v>4.8591820987654325E-3</v>
      </c>
      <c r="H1079" s="34">
        <v>0.26603009259259258</v>
      </c>
      <c r="I1079" s="34">
        <v>3.4004629629629628E-2</v>
      </c>
      <c r="J1079" s="35">
        <v>0.12782249293017184</v>
      </c>
      <c r="K1079" s="33" t="s">
        <v>500</v>
      </c>
      <c r="L1079" s="33" t="s">
        <v>274</v>
      </c>
    </row>
    <row r="1080" spans="1:12" x14ac:dyDescent="0.25">
      <c r="A1080" s="32">
        <v>46246</v>
      </c>
      <c r="B1080" s="33" t="s">
        <v>32</v>
      </c>
      <c r="C1080" s="33" t="s">
        <v>684</v>
      </c>
      <c r="D1080" s="33" t="s">
        <v>32</v>
      </c>
      <c r="E1080">
        <v>29</v>
      </c>
      <c r="F1080" s="34">
        <v>0.16516203703703702</v>
      </c>
      <c r="G1080" s="34">
        <v>5.6952426564495524E-3</v>
      </c>
      <c r="H1080" s="34">
        <v>0.26846064814814813</v>
      </c>
      <c r="I1080" s="34">
        <v>6.3055555555555559E-2</v>
      </c>
      <c r="J1080" s="35">
        <v>0.23487820651002375</v>
      </c>
      <c r="K1080" s="33" t="s">
        <v>683</v>
      </c>
      <c r="L1080" s="33" t="s">
        <v>233</v>
      </c>
    </row>
    <row r="1081" spans="1:12" x14ac:dyDescent="0.25">
      <c r="A1081" s="32">
        <v>46246</v>
      </c>
      <c r="B1081" s="33" t="s">
        <v>32</v>
      </c>
      <c r="C1081" s="33" t="s">
        <v>654</v>
      </c>
      <c r="D1081" s="33" t="s">
        <v>32</v>
      </c>
      <c r="E1081">
        <v>34</v>
      </c>
      <c r="F1081" s="34">
        <v>0.16826388888888888</v>
      </c>
      <c r="G1081" s="34">
        <v>4.9489379084967314E-3</v>
      </c>
      <c r="H1081" s="34">
        <v>0.26046296296296295</v>
      </c>
      <c r="I1081" s="34">
        <v>3.9930555555555552E-2</v>
      </c>
      <c r="J1081" s="35">
        <v>0.15330607891930323</v>
      </c>
      <c r="K1081" s="33" t="s">
        <v>653</v>
      </c>
      <c r="L1081" s="33" t="s">
        <v>100</v>
      </c>
    </row>
    <row r="1082" spans="1:12" x14ac:dyDescent="0.25">
      <c r="A1082" s="32">
        <v>46246</v>
      </c>
      <c r="B1082" s="33" t="s">
        <v>32</v>
      </c>
      <c r="C1082" s="33" t="s">
        <v>519</v>
      </c>
      <c r="D1082" s="33" t="s">
        <v>147</v>
      </c>
      <c r="E1082">
        <v>12</v>
      </c>
      <c r="F1082" s="34">
        <v>1.4224537037037037E-2</v>
      </c>
      <c r="G1082" s="34">
        <v>1.185378086419753E-3</v>
      </c>
      <c r="H1082" s="34">
        <v>0.27790509259259261</v>
      </c>
      <c r="I1082" s="34">
        <v>3.4606481481481481E-2</v>
      </c>
      <c r="J1082" s="35">
        <v>0.12452625879805089</v>
      </c>
      <c r="K1082" s="33" t="s">
        <v>164</v>
      </c>
      <c r="L1082" s="33" t="s">
        <v>146</v>
      </c>
    </row>
    <row r="1083" spans="1:12" x14ac:dyDescent="0.25">
      <c r="A1083" s="32">
        <v>46246</v>
      </c>
      <c r="B1083" s="33" t="s">
        <v>32</v>
      </c>
      <c r="C1083" s="33" t="s">
        <v>656</v>
      </c>
      <c r="D1083" s="33" t="s">
        <v>32</v>
      </c>
      <c r="E1083">
        <v>25</v>
      </c>
      <c r="F1083" s="34">
        <v>0.15291666666666667</v>
      </c>
      <c r="G1083" s="34">
        <v>6.116666666666667E-3</v>
      </c>
      <c r="H1083" s="34">
        <v>0.25967592592592592</v>
      </c>
      <c r="I1083" s="34">
        <v>3.4305555555555554E-2</v>
      </c>
      <c r="J1083" s="35">
        <v>0.13210911035835265</v>
      </c>
      <c r="K1083" s="33" t="s">
        <v>655</v>
      </c>
      <c r="L1083" s="33" t="s">
        <v>100</v>
      </c>
    </row>
    <row r="1084" spans="1:12" x14ac:dyDescent="0.25">
      <c r="A1084" s="32">
        <v>46246</v>
      </c>
      <c r="B1084" s="33" t="s">
        <v>32</v>
      </c>
      <c r="C1084" s="33" t="s">
        <v>167</v>
      </c>
      <c r="D1084" s="33" t="s">
        <v>147</v>
      </c>
      <c r="E1084">
        <v>8</v>
      </c>
      <c r="F1084" s="34">
        <v>2.2650462962962963E-2</v>
      </c>
      <c r="G1084" s="34">
        <v>2.8313078703703703E-3</v>
      </c>
      <c r="H1084" s="34">
        <v>0.26442129629629629</v>
      </c>
      <c r="I1084" s="34">
        <v>4.3020833333333335E-2</v>
      </c>
      <c r="J1084" s="35">
        <v>0.16269806530683709</v>
      </c>
      <c r="K1084" s="33" t="s">
        <v>166</v>
      </c>
      <c r="L1084" s="33" t="s">
        <v>146</v>
      </c>
    </row>
    <row r="1085" spans="1:12" x14ac:dyDescent="0.25">
      <c r="A1085" s="32">
        <v>46246</v>
      </c>
      <c r="B1085" s="33" t="s">
        <v>32</v>
      </c>
      <c r="C1085" s="33" t="s">
        <v>658</v>
      </c>
      <c r="D1085" s="33" t="s">
        <v>147</v>
      </c>
      <c r="E1085">
        <v>5</v>
      </c>
      <c r="F1085" s="34">
        <v>1.3229166666666667E-2</v>
      </c>
      <c r="G1085" s="34">
        <v>2.6458333333333334E-3</v>
      </c>
      <c r="H1085" s="34">
        <v>0.25790509259259259</v>
      </c>
      <c r="I1085" s="34">
        <v>3.5474537037037034E-2</v>
      </c>
      <c r="J1085" s="35">
        <v>0.13754880402100256</v>
      </c>
      <c r="K1085" s="33" t="s">
        <v>657</v>
      </c>
      <c r="L1085" s="33" t="s">
        <v>274</v>
      </c>
    </row>
    <row r="1086" spans="1:12" x14ac:dyDescent="0.25">
      <c r="A1086" s="32">
        <v>46246</v>
      </c>
      <c r="B1086" s="33" t="s">
        <v>32</v>
      </c>
      <c r="C1086" s="33" t="s">
        <v>660</v>
      </c>
      <c r="D1086" s="33" t="s">
        <v>32</v>
      </c>
      <c r="E1086">
        <v>6</v>
      </c>
      <c r="F1086" s="34">
        <v>3.1643518518518515E-2</v>
      </c>
      <c r="G1086" s="34">
        <v>5.2739197530864189E-3</v>
      </c>
      <c r="H1086" s="34">
        <v>0.21829861111111112</v>
      </c>
      <c r="I1086" s="34">
        <v>0.18974537037037037</v>
      </c>
      <c r="J1086" s="35">
        <v>0.86920099676581297</v>
      </c>
      <c r="K1086" s="33" t="s">
        <v>659</v>
      </c>
      <c r="L1086" s="33" t="s">
        <v>100</v>
      </c>
    </row>
    <row r="1087" spans="1:12" x14ac:dyDescent="0.25">
      <c r="A1087" s="32">
        <v>46246</v>
      </c>
      <c r="B1087" s="33" t="s">
        <v>32</v>
      </c>
      <c r="C1087" s="33" t="s">
        <v>528</v>
      </c>
      <c r="D1087" s="33" t="s">
        <v>32</v>
      </c>
      <c r="E1087">
        <v>24</v>
      </c>
      <c r="F1087" s="34">
        <v>0.11256944444444444</v>
      </c>
      <c r="G1087" s="34">
        <v>4.6903935185185182E-3</v>
      </c>
      <c r="H1087" s="34">
        <v>0.26166666666666666</v>
      </c>
      <c r="I1087" s="34">
        <v>4.4930555555555557E-2</v>
      </c>
      <c r="J1087" s="35">
        <v>0.1717091295116773</v>
      </c>
      <c r="K1087" s="33" t="s">
        <v>254</v>
      </c>
      <c r="L1087" s="33" t="s">
        <v>233</v>
      </c>
    </row>
    <row r="1088" spans="1:12" x14ac:dyDescent="0.25">
      <c r="A1088" s="32">
        <v>46246</v>
      </c>
      <c r="B1088" s="33" t="s">
        <v>32</v>
      </c>
      <c r="C1088" s="33" t="s">
        <v>520</v>
      </c>
      <c r="D1088" s="33" t="s">
        <v>147</v>
      </c>
      <c r="E1088">
        <v>6</v>
      </c>
      <c r="F1088" s="34">
        <v>4.6527777777777774E-3</v>
      </c>
      <c r="G1088" s="34">
        <v>7.7546296296296293E-4</v>
      </c>
      <c r="H1088" s="34">
        <v>0.25780092592592591</v>
      </c>
      <c r="I1088" s="34">
        <v>7.4594907407407401E-2</v>
      </c>
      <c r="J1088" s="35">
        <v>0.28935081260662654</v>
      </c>
      <c r="K1088" s="33" t="s">
        <v>168</v>
      </c>
      <c r="L1088" s="33" t="s">
        <v>274</v>
      </c>
    </row>
    <row r="1089" spans="1:12" x14ac:dyDescent="0.25">
      <c r="A1089" s="32">
        <v>46246</v>
      </c>
      <c r="B1089" s="33" t="s">
        <v>32</v>
      </c>
      <c r="C1089" s="33" t="s">
        <v>521</v>
      </c>
      <c r="D1089" s="33" t="s">
        <v>147</v>
      </c>
      <c r="E1089">
        <v>4</v>
      </c>
      <c r="F1089" s="34">
        <v>3.6990740740740741E-2</v>
      </c>
      <c r="G1089" s="34">
        <v>9.2476851851851852E-3</v>
      </c>
      <c r="H1089" s="34">
        <v>0.25866898148148149</v>
      </c>
      <c r="I1089" s="34">
        <v>3.4629629629629628E-2</v>
      </c>
      <c r="J1089" s="35">
        <v>0.13387623607320237</v>
      </c>
      <c r="K1089" s="33" t="s">
        <v>170</v>
      </c>
      <c r="L1089" s="33" t="s">
        <v>146</v>
      </c>
    </row>
    <row r="1090" spans="1:12" x14ac:dyDescent="0.25">
      <c r="A1090" s="32">
        <v>46246</v>
      </c>
      <c r="B1090" s="33" t="s">
        <v>32</v>
      </c>
      <c r="C1090" s="33" t="s">
        <v>633</v>
      </c>
      <c r="D1090" s="33" t="s">
        <v>147</v>
      </c>
      <c r="E1090">
        <v>4</v>
      </c>
      <c r="F1090" s="34">
        <v>3.9930555555555552E-2</v>
      </c>
      <c r="G1090" s="34">
        <v>9.9826388888888881E-3</v>
      </c>
      <c r="H1090" s="34">
        <v>0.30571759259259257</v>
      </c>
      <c r="I1090" s="34">
        <v>0.11201388888888889</v>
      </c>
      <c r="J1090" s="35">
        <v>0.36639660785946848</v>
      </c>
      <c r="K1090" s="33" t="s">
        <v>606</v>
      </c>
      <c r="L1090" s="33" t="s">
        <v>146</v>
      </c>
    </row>
    <row r="1091" spans="1:12" x14ac:dyDescent="0.25">
      <c r="A1091" s="32">
        <v>46246</v>
      </c>
      <c r="B1091" s="33" t="s">
        <v>32</v>
      </c>
      <c r="C1091" s="33" t="s">
        <v>529</v>
      </c>
      <c r="D1091" s="33" t="s">
        <v>32</v>
      </c>
      <c r="E1091">
        <v>22</v>
      </c>
      <c r="F1091" s="34">
        <v>0.12519675925925927</v>
      </c>
      <c r="G1091" s="34">
        <v>5.6907617845117853E-3</v>
      </c>
      <c r="H1091" s="34">
        <v>0.28478009259259257</v>
      </c>
      <c r="I1091" s="34">
        <v>6.9236111111111109E-2</v>
      </c>
      <c r="J1091" s="35">
        <v>0.24312131680552734</v>
      </c>
      <c r="K1091" s="33" t="s">
        <v>256</v>
      </c>
      <c r="L1091" s="33" t="s">
        <v>233</v>
      </c>
    </row>
    <row r="1092" spans="1:12" x14ac:dyDescent="0.25">
      <c r="A1092" s="32">
        <v>46246</v>
      </c>
      <c r="B1092" s="33" t="s">
        <v>32</v>
      </c>
      <c r="C1092" s="33" t="s">
        <v>662</v>
      </c>
      <c r="D1092" s="33" t="s">
        <v>32</v>
      </c>
      <c r="E1092">
        <v>34</v>
      </c>
      <c r="F1092" s="34">
        <v>0.16336805555555556</v>
      </c>
      <c r="G1092" s="34">
        <v>4.8049428104575166E-3</v>
      </c>
      <c r="H1092" s="34">
        <v>0.25376157407407407</v>
      </c>
      <c r="I1092" s="34">
        <v>4.3541666666666666E-2</v>
      </c>
      <c r="J1092" s="35">
        <v>0.17158494868871152</v>
      </c>
      <c r="K1092" s="33" t="s">
        <v>661</v>
      </c>
      <c r="L1092" s="33" t="s">
        <v>100</v>
      </c>
    </row>
    <row r="1093" spans="1:12" x14ac:dyDescent="0.25">
      <c r="A1093" s="32">
        <v>46246</v>
      </c>
      <c r="B1093" s="33" t="s">
        <v>32</v>
      </c>
      <c r="C1093" s="33" t="s">
        <v>664</v>
      </c>
      <c r="D1093" s="33" t="s">
        <v>32</v>
      </c>
      <c r="E1093">
        <v>25</v>
      </c>
      <c r="F1093" s="34">
        <v>0.14407407407407408</v>
      </c>
      <c r="G1093" s="34">
        <v>5.7629629629629628E-3</v>
      </c>
      <c r="H1093" s="34">
        <v>0.26155092592592594</v>
      </c>
      <c r="I1093" s="34">
        <v>3.5057870370370371E-2</v>
      </c>
      <c r="J1093" s="35">
        <v>0.13403841047880344</v>
      </c>
      <c r="K1093" s="33" t="s">
        <v>663</v>
      </c>
      <c r="L1093" s="33" t="s">
        <v>233</v>
      </c>
    </row>
    <row r="1094" spans="1:12" x14ac:dyDescent="0.25">
      <c r="A1094" s="32">
        <v>46246</v>
      </c>
      <c r="B1094" s="33" t="s">
        <v>32</v>
      </c>
      <c r="C1094" s="33" t="s">
        <v>666</v>
      </c>
      <c r="D1094" s="33" t="s">
        <v>32</v>
      </c>
      <c r="E1094">
        <v>39</v>
      </c>
      <c r="F1094" s="34">
        <v>0.17184027777777777</v>
      </c>
      <c r="G1094" s="34">
        <v>4.4061609686609684E-3</v>
      </c>
      <c r="H1094" s="34">
        <v>0.2588078703703704</v>
      </c>
      <c r="I1094" s="34">
        <v>2.2650462962962963E-2</v>
      </c>
      <c r="J1094" s="35">
        <v>8.7518447296632523E-2</v>
      </c>
      <c r="K1094" s="33" t="s">
        <v>665</v>
      </c>
      <c r="L1094" s="33" t="s">
        <v>100</v>
      </c>
    </row>
    <row r="1095" spans="1:12" x14ac:dyDescent="0.25">
      <c r="A1095" s="32">
        <v>46246</v>
      </c>
      <c r="B1095" s="33" t="s">
        <v>32</v>
      </c>
      <c r="C1095" s="33" t="s">
        <v>555</v>
      </c>
      <c r="D1095" s="33" t="s">
        <v>32</v>
      </c>
      <c r="E1095">
        <v>43</v>
      </c>
      <c r="F1095" s="34">
        <v>0.11071759259259259</v>
      </c>
      <c r="G1095" s="34">
        <v>2.5748277347114558E-3</v>
      </c>
      <c r="H1095" s="34">
        <v>0.23872685185185186</v>
      </c>
      <c r="I1095" s="34">
        <v>4.8449074074074075E-2</v>
      </c>
      <c r="J1095" s="35">
        <v>0.20294773586735187</v>
      </c>
      <c r="K1095" s="33" t="s">
        <v>128</v>
      </c>
      <c r="L1095" s="33" t="s">
        <v>233</v>
      </c>
    </row>
    <row r="1096" spans="1:12" x14ac:dyDescent="0.25">
      <c r="A1096" s="32">
        <v>46246</v>
      </c>
      <c r="B1096" s="33" t="s">
        <v>32</v>
      </c>
      <c r="C1096" s="33" t="s">
        <v>522</v>
      </c>
      <c r="D1096" s="33" t="s">
        <v>147</v>
      </c>
      <c r="E1096">
        <v>6</v>
      </c>
      <c r="F1096" s="34">
        <v>2.8726851851851851E-2</v>
      </c>
      <c r="G1096" s="34">
        <v>4.7878086419753082E-3</v>
      </c>
      <c r="H1096" s="34">
        <v>0.26817129629629627</v>
      </c>
      <c r="I1096" s="34">
        <v>4.3310185185185188E-2</v>
      </c>
      <c r="J1096" s="35">
        <v>0.16150194216659475</v>
      </c>
      <c r="K1096" s="33" t="s">
        <v>178</v>
      </c>
      <c r="L1096" s="33" t="s">
        <v>146</v>
      </c>
    </row>
    <row r="1097" spans="1:12" x14ac:dyDescent="0.25">
      <c r="A1097" s="32">
        <v>46246</v>
      </c>
      <c r="B1097" s="33" t="s">
        <v>32</v>
      </c>
      <c r="C1097" s="33" t="s">
        <v>523</v>
      </c>
      <c r="D1097" s="33" t="s">
        <v>147</v>
      </c>
      <c r="E1097">
        <v>6</v>
      </c>
      <c r="F1097" s="34">
        <v>8.8078703703703704E-3</v>
      </c>
      <c r="G1097" s="34">
        <v>1.4679783950617283E-3</v>
      </c>
      <c r="H1097" s="34">
        <v>0.26270833333333332</v>
      </c>
      <c r="I1097" s="34">
        <v>4.0659722222222222E-2</v>
      </c>
      <c r="J1097" s="35">
        <v>0.15477134549299498</v>
      </c>
      <c r="K1097" s="33" t="s">
        <v>180</v>
      </c>
      <c r="L1097" s="33" t="s">
        <v>146</v>
      </c>
    </row>
    <row r="1098" spans="1:12" x14ac:dyDescent="0.25">
      <c r="A1098" s="32">
        <v>46246</v>
      </c>
      <c r="B1098" s="33" t="s">
        <v>32</v>
      </c>
      <c r="C1098" s="33" t="s">
        <v>566</v>
      </c>
      <c r="D1098" s="33" t="s">
        <v>147</v>
      </c>
      <c r="E1098">
        <v>7</v>
      </c>
      <c r="F1098" s="34">
        <v>2.7407407407407408E-2</v>
      </c>
      <c r="G1098" s="34">
        <v>3.9153439153439152E-3</v>
      </c>
      <c r="H1098" s="34">
        <v>0.26263888888888887</v>
      </c>
      <c r="I1098" s="34">
        <v>3.3784722222222223E-2</v>
      </c>
      <c r="J1098" s="35">
        <v>0.12863564251718668</v>
      </c>
      <c r="K1098" s="33" t="s">
        <v>207</v>
      </c>
      <c r="L1098" s="33" t="s">
        <v>274</v>
      </c>
    </row>
    <row r="1099" spans="1:12" x14ac:dyDescent="0.25">
      <c r="A1099" s="32">
        <v>46246</v>
      </c>
      <c r="B1099" s="33" t="s">
        <v>32</v>
      </c>
      <c r="C1099" s="33" t="s">
        <v>567</v>
      </c>
      <c r="D1099" s="33" t="s">
        <v>105</v>
      </c>
      <c r="E1099">
        <v>2</v>
      </c>
      <c r="F1099" s="34">
        <v>1.9525462962962963E-2</v>
      </c>
      <c r="G1099" s="34">
        <v>9.7627314814814816E-3</v>
      </c>
      <c r="H1099" s="34">
        <v>0.24101851851851852</v>
      </c>
      <c r="I1099" s="34">
        <v>0.19493055555555555</v>
      </c>
      <c r="J1099" s="35">
        <v>0.80877833269304644</v>
      </c>
      <c r="K1099" s="33" t="s">
        <v>209</v>
      </c>
      <c r="L1099" s="33" t="s">
        <v>601</v>
      </c>
    </row>
    <row r="1100" spans="1:12" x14ac:dyDescent="0.25">
      <c r="A1100" s="32">
        <v>46246</v>
      </c>
      <c r="B1100" s="33" t="s">
        <v>32</v>
      </c>
      <c r="C1100" s="33" t="s">
        <v>510</v>
      </c>
      <c r="D1100" s="33" t="s">
        <v>32</v>
      </c>
      <c r="E1100">
        <v>33</v>
      </c>
      <c r="F1100" s="34">
        <v>0.16708333333333333</v>
      </c>
      <c r="G1100" s="34">
        <v>5.0631313131313128E-3</v>
      </c>
      <c r="H1100" s="34">
        <v>0.26497685185185182</v>
      </c>
      <c r="I1100" s="34">
        <v>3.9363425925925927E-2</v>
      </c>
      <c r="J1100" s="35">
        <v>0.14855420634227309</v>
      </c>
      <c r="K1100" s="33" t="s">
        <v>60</v>
      </c>
      <c r="L1100" s="33" t="s">
        <v>100</v>
      </c>
    </row>
    <row r="1101" spans="1:12" x14ac:dyDescent="0.25">
      <c r="A1101" s="32">
        <v>46246</v>
      </c>
      <c r="B1101" s="33" t="s">
        <v>32</v>
      </c>
      <c r="C1101" s="33" t="s">
        <v>638</v>
      </c>
      <c r="D1101" s="33" t="s">
        <v>105</v>
      </c>
      <c r="E1101">
        <v>1</v>
      </c>
      <c r="F1101" s="34">
        <v>2.9178240740740741E-2</v>
      </c>
      <c r="G1101" s="34">
        <v>2.9178240740740741E-2</v>
      </c>
      <c r="H1101" s="34">
        <v>0.2414351851851852</v>
      </c>
      <c r="I1101" s="34">
        <v>0.17469907407407406</v>
      </c>
      <c r="J1101" s="35">
        <v>0.72358581016299128</v>
      </c>
      <c r="K1101" s="33" t="s">
        <v>617</v>
      </c>
      <c r="L1101" s="33" t="s">
        <v>601</v>
      </c>
    </row>
    <row r="1102" spans="1:12" x14ac:dyDescent="0.25">
      <c r="A1102" s="32">
        <v>46246</v>
      </c>
      <c r="B1102" s="33" t="s">
        <v>32</v>
      </c>
      <c r="C1102" s="33" t="s">
        <v>639</v>
      </c>
      <c r="D1102" s="33" t="s">
        <v>105</v>
      </c>
      <c r="E1102">
        <v>1</v>
      </c>
      <c r="F1102" s="34">
        <v>5.6712962962962967E-4</v>
      </c>
      <c r="G1102" s="34">
        <v>5.6712962962962967E-4</v>
      </c>
      <c r="H1102" s="34">
        <v>0.24223379629629629</v>
      </c>
      <c r="I1102" s="34">
        <v>0.19324074074074074</v>
      </c>
      <c r="J1102" s="35">
        <v>0.79774475608008033</v>
      </c>
      <c r="K1102" s="33" t="s">
        <v>618</v>
      </c>
      <c r="L1102" s="33" t="s">
        <v>601</v>
      </c>
    </row>
    <row r="1103" spans="1:12" x14ac:dyDescent="0.25">
      <c r="A1103" s="32">
        <v>46246</v>
      </c>
      <c r="B1103" s="33" t="s">
        <v>32</v>
      </c>
      <c r="C1103" s="33" t="s">
        <v>524</v>
      </c>
      <c r="D1103" s="33" t="s">
        <v>147</v>
      </c>
      <c r="E1103">
        <v>5</v>
      </c>
      <c r="F1103" s="34">
        <v>3.4814814814814812E-2</v>
      </c>
      <c r="G1103" s="34">
        <v>6.9629629629629625E-3</v>
      </c>
      <c r="H1103" s="34">
        <v>0.2675925925925926</v>
      </c>
      <c r="I1103" s="34">
        <v>3.0324074074074073E-2</v>
      </c>
      <c r="J1103" s="35">
        <v>0.11332179930795847</v>
      </c>
      <c r="K1103" s="33" t="s">
        <v>501</v>
      </c>
      <c r="L1103" s="33" t="s">
        <v>274</v>
      </c>
    </row>
    <row r="1104" spans="1:12" x14ac:dyDescent="0.25">
      <c r="A1104" s="32">
        <v>46246</v>
      </c>
      <c r="B1104" s="33" t="s">
        <v>32</v>
      </c>
      <c r="C1104" s="33" t="s">
        <v>572</v>
      </c>
      <c r="D1104" s="33" t="s">
        <v>105</v>
      </c>
      <c r="E1104">
        <v>3</v>
      </c>
      <c r="F1104" s="34">
        <v>1.579861111111111E-2</v>
      </c>
      <c r="G1104" s="34">
        <v>5.2662037037037035E-3</v>
      </c>
      <c r="H1104" s="34">
        <v>0.24438657407407408</v>
      </c>
      <c r="I1104" s="34">
        <v>0.21358796296296295</v>
      </c>
      <c r="J1104" s="35">
        <v>0.87397584655458205</v>
      </c>
      <c r="K1104" s="33" t="s">
        <v>213</v>
      </c>
      <c r="L1104" s="33" t="s">
        <v>601</v>
      </c>
    </row>
    <row r="1105" spans="1:12" x14ac:dyDescent="0.25">
      <c r="A1105" s="32">
        <v>46246</v>
      </c>
      <c r="B1105" s="33" t="s">
        <v>32</v>
      </c>
      <c r="C1105" s="33" t="s">
        <v>640</v>
      </c>
      <c r="D1105" s="33" t="s">
        <v>105</v>
      </c>
      <c r="E1105">
        <v>5</v>
      </c>
      <c r="F1105" s="34">
        <v>2.0069444444444445E-2</v>
      </c>
      <c r="G1105" s="34">
        <v>4.0138888888888889E-3</v>
      </c>
      <c r="H1105" s="34">
        <v>0.23495370370370369</v>
      </c>
      <c r="I1105" s="34">
        <v>0.18373842592592593</v>
      </c>
      <c r="J1105" s="35">
        <v>0.78201970443349755</v>
      </c>
      <c r="K1105" s="33" t="s">
        <v>619</v>
      </c>
      <c r="L1105" s="33" t="s">
        <v>601</v>
      </c>
    </row>
    <row r="1106" spans="1:12" x14ac:dyDescent="0.25">
      <c r="A1106" s="32">
        <v>46246</v>
      </c>
      <c r="B1106" s="33" t="s">
        <v>32</v>
      </c>
      <c r="C1106" s="33" t="s">
        <v>670</v>
      </c>
      <c r="D1106" s="33" t="s">
        <v>32</v>
      </c>
      <c r="E1106">
        <v>35</v>
      </c>
      <c r="F1106" s="34">
        <v>0.16347222222222221</v>
      </c>
      <c r="G1106" s="34">
        <v>4.6706349206349206E-3</v>
      </c>
      <c r="H1106" s="34">
        <v>0.25979166666666664</v>
      </c>
      <c r="I1106" s="34">
        <v>6.7581018518518512E-2</v>
      </c>
      <c r="J1106" s="35">
        <v>0.26013543615789003</v>
      </c>
      <c r="K1106" s="33" t="s">
        <v>744</v>
      </c>
      <c r="L1106" s="33" t="s">
        <v>100</v>
      </c>
    </row>
    <row r="1107" spans="1:12" x14ac:dyDescent="0.25">
      <c r="A1107" s="32">
        <v>46246</v>
      </c>
      <c r="B1107" s="33" t="s">
        <v>32</v>
      </c>
      <c r="C1107" s="33" t="s">
        <v>306</v>
      </c>
      <c r="D1107" s="33" t="s">
        <v>32</v>
      </c>
      <c r="E1107">
        <v>35</v>
      </c>
      <c r="F1107" s="34">
        <v>0.16575231481481481</v>
      </c>
      <c r="G1107" s="34">
        <v>4.7357804232804231E-3</v>
      </c>
      <c r="H1107" s="34">
        <v>0.26221064814814815</v>
      </c>
      <c r="I1107" s="34">
        <v>4.7708333333333332E-2</v>
      </c>
      <c r="J1107" s="35">
        <v>0.18194659015669828</v>
      </c>
      <c r="K1107" s="33" t="s">
        <v>305</v>
      </c>
      <c r="L1107" s="33" t="s">
        <v>100</v>
      </c>
    </row>
    <row r="1108" spans="1:12" x14ac:dyDescent="0.25">
      <c r="A1108" s="32">
        <v>46246</v>
      </c>
      <c r="B1108" s="33" t="s">
        <v>32</v>
      </c>
      <c r="C1108" s="33" t="s">
        <v>641</v>
      </c>
      <c r="D1108" s="33" t="s">
        <v>105</v>
      </c>
      <c r="E1108">
        <v>2</v>
      </c>
      <c r="F1108" s="34">
        <v>1.3877314814814815E-2</v>
      </c>
      <c r="G1108" s="34">
        <v>6.9386574074074073E-3</v>
      </c>
      <c r="H1108" s="34">
        <v>0.23584490740740741</v>
      </c>
      <c r="I1108" s="34">
        <v>0.19106481481481483</v>
      </c>
      <c r="J1108" s="35">
        <v>0.81012906708543952</v>
      </c>
      <c r="K1108" s="33" t="s">
        <v>620</v>
      </c>
      <c r="L1108" s="33" t="s">
        <v>601</v>
      </c>
    </row>
    <row r="1109" spans="1:12" x14ac:dyDescent="0.25">
      <c r="A1109" s="32">
        <v>46246</v>
      </c>
      <c r="B1109" s="33" t="s">
        <v>32</v>
      </c>
      <c r="C1109" s="33" t="s">
        <v>556</v>
      </c>
      <c r="D1109" s="33" t="s">
        <v>105</v>
      </c>
      <c r="E1109">
        <v>3</v>
      </c>
      <c r="F1109" s="34">
        <v>1.681712962962963E-2</v>
      </c>
      <c r="G1109" s="34">
        <v>5.6057098765432099E-3</v>
      </c>
      <c r="H1109" s="34">
        <v>0.27618055555555554</v>
      </c>
      <c r="I1109" s="34">
        <v>0.14498842592592592</v>
      </c>
      <c r="J1109" s="35">
        <v>0.52497695080043583</v>
      </c>
      <c r="K1109" s="33" t="s">
        <v>138</v>
      </c>
      <c r="L1109" s="33" t="s">
        <v>104</v>
      </c>
    </row>
    <row r="1110" spans="1:12" x14ac:dyDescent="0.25">
      <c r="A1110" s="32">
        <v>46246</v>
      </c>
      <c r="B1110" s="33" t="s">
        <v>32</v>
      </c>
      <c r="C1110" s="33" t="s">
        <v>532</v>
      </c>
      <c r="D1110" s="33" t="s">
        <v>32</v>
      </c>
      <c r="E1110">
        <v>35</v>
      </c>
      <c r="F1110" s="34">
        <v>0.10616898148148148</v>
      </c>
      <c r="G1110" s="34">
        <v>3.0333994708994709E-3</v>
      </c>
      <c r="H1110" s="34">
        <v>0.26111111111111113</v>
      </c>
      <c r="I1110" s="34">
        <v>5.1342592592592592E-2</v>
      </c>
      <c r="J1110" s="35">
        <v>0.19663120567375886</v>
      </c>
      <c r="K1110" s="33" t="s">
        <v>276</v>
      </c>
      <c r="L1110" s="33" t="s">
        <v>233</v>
      </c>
    </row>
    <row r="1111" spans="1:12" x14ac:dyDescent="0.25">
      <c r="A1111" s="32">
        <v>46246</v>
      </c>
      <c r="B1111" s="33" t="s">
        <v>32</v>
      </c>
      <c r="C1111" s="33" t="s">
        <v>533</v>
      </c>
      <c r="D1111" s="33" t="s">
        <v>32</v>
      </c>
      <c r="E1111">
        <v>18</v>
      </c>
      <c r="F1111" s="34">
        <v>0.13817129629629629</v>
      </c>
      <c r="G1111" s="34">
        <v>7.6761831275720159E-3</v>
      </c>
      <c r="H1111" s="34">
        <v>0.26612268518518517</v>
      </c>
      <c r="I1111" s="34">
        <v>3.4907407407407408E-2</v>
      </c>
      <c r="J1111" s="35">
        <v>0.13117035619536382</v>
      </c>
      <c r="K1111" s="33" t="s">
        <v>278</v>
      </c>
      <c r="L1111" s="33" t="s">
        <v>233</v>
      </c>
    </row>
    <row r="1112" spans="1:12" x14ac:dyDescent="0.25">
      <c r="A1112" s="32">
        <v>46246</v>
      </c>
      <c r="B1112" s="33" t="s">
        <v>32</v>
      </c>
      <c r="C1112" s="33" t="s">
        <v>549</v>
      </c>
      <c r="D1112" s="33" t="s">
        <v>105</v>
      </c>
      <c r="E1112">
        <v>1</v>
      </c>
      <c r="F1112" s="34">
        <v>5.3587962962962964E-3</v>
      </c>
      <c r="G1112" s="34">
        <v>5.3587962962962964E-3</v>
      </c>
      <c r="H1112" s="34">
        <v>0.23707175925925925</v>
      </c>
      <c r="I1112" s="34">
        <v>0.1894675925925926</v>
      </c>
      <c r="J1112" s="35">
        <v>0.79919933603476068</v>
      </c>
      <c r="K1112" s="33" t="s">
        <v>225</v>
      </c>
      <c r="L1112" s="33" t="s">
        <v>601</v>
      </c>
    </row>
    <row r="1113" spans="1:12" x14ac:dyDescent="0.25">
      <c r="A1113" s="32">
        <v>46246</v>
      </c>
      <c r="B1113" s="33" t="s">
        <v>32</v>
      </c>
      <c r="C1113" s="33" t="s">
        <v>534</v>
      </c>
      <c r="D1113" s="33" t="s">
        <v>32</v>
      </c>
      <c r="E1113">
        <v>29</v>
      </c>
      <c r="F1113" s="34">
        <v>0.11996527777777778</v>
      </c>
      <c r="G1113" s="34">
        <v>4.1367337164750963E-3</v>
      </c>
      <c r="H1113" s="34">
        <v>0.26053240740740741</v>
      </c>
      <c r="I1113" s="34">
        <v>4.5011574074074072E-2</v>
      </c>
      <c r="J1113" s="35">
        <v>0.17276765881830297</v>
      </c>
      <c r="K1113" s="33" t="s">
        <v>280</v>
      </c>
      <c r="L1113" s="33" t="s">
        <v>233</v>
      </c>
    </row>
    <row r="1114" spans="1:12" x14ac:dyDescent="0.25">
      <c r="A1114" s="32">
        <v>46246</v>
      </c>
      <c r="B1114" s="33" t="s">
        <v>32</v>
      </c>
      <c r="C1114" s="33" t="s">
        <v>535</v>
      </c>
      <c r="D1114" s="33" t="s">
        <v>32</v>
      </c>
      <c r="E1114">
        <v>54</v>
      </c>
      <c r="F1114" s="34">
        <v>0.11582175925925926</v>
      </c>
      <c r="G1114" s="34">
        <v>2.1448473936899865E-3</v>
      </c>
      <c r="H1114" s="34">
        <v>0.25802083333333331</v>
      </c>
      <c r="I1114" s="34">
        <v>4.1550925925925929E-2</v>
      </c>
      <c r="J1114" s="35">
        <v>0.16103709684654377</v>
      </c>
      <c r="K1114" s="33" t="s">
        <v>282</v>
      </c>
      <c r="L1114" s="33" t="s">
        <v>233</v>
      </c>
    </row>
    <row r="1115" spans="1:12" x14ac:dyDescent="0.25">
      <c r="A1115" s="32">
        <v>46246</v>
      </c>
      <c r="B1115" s="33" t="s">
        <v>32</v>
      </c>
      <c r="C1115" s="33" t="s">
        <v>557</v>
      </c>
      <c r="D1115" s="33" t="s">
        <v>147</v>
      </c>
      <c r="E1115">
        <v>5</v>
      </c>
      <c r="F1115" s="34">
        <v>3.5266203703703702E-2</v>
      </c>
      <c r="G1115" s="34">
        <v>7.0532407407407401E-3</v>
      </c>
      <c r="H1115" s="34">
        <v>0.28814814814814815</v>
      </c>
      <c r="I1115" s="34">
        <v>5.1122685185185188E-2</v>
      </c>
      <c r="J1115" s="35">
        <v>0.17741805912596401</v>
      </c>
      <c r="K1115" s="33" t="s">
        <v>227</v>
      </c>
      <c r="L1115" s="33" t="s">
        <v>146</v>
      </c>
    </row>
    <row r="1116" spans="1:12" x14ac:dyDescent="0.25">
      <c r="A1116" s="32">
        <v>46246</v>
      </c>
      <c r="B1116" s="33" t="s">
        <v>32</v>
      </c>
      <c r="C1116" s="33" t="s">
        <v>678</v>
      </c>
      <c r="D1116" s="33" t="s">
        <v>147</v>
      </c>
      <c r="E1116">
        <v>4</v>
      </c>
      <c r="F1116" s="34">
        <v>1.2870370370370371E-2</v>
      </c>
      <c r="G1116" s="34">
        <v>3.2175925925925926E-3</v>
      </c>
      <c r="H1116" s="34">
        <v>0.25949074074074074</v>
      </c>
      <c r="I1116" s="34">
        <v>3.0254629629629631E-2</v>
      </c>
      <c r="J1116" s="35">
        <v>0.11659232827832293</v>
      </c>
      <c r="K1116" s="33" t="s">
        <v>677</v>
      </c>
      <c r="L1116" s="33" t="s">
        <v>274</v>
      </c>
    </row>
    <row r="1117" spans="1:12" x14ac:dyDescent="0.25">
      <c r="A1117" s="32">
        <v>46246</v>
      </c>
      <c r="B1117" s="33" t="s">
        <v>600</v>
      </c>
      <c r="C1117" s="33" t="s">
        <v>545</v>
      </c>
      <c r="D1117" s="33" t="s">
        <v>600</v>
      </c>
      <c r="E1117">
        <v>21</v>
      </c>
      <c r="F1117" s="34">
        <v>9.6631944444444451E-2</v>
      </c>
      <c r="G1117" s="34">
        <v>4.6015211640211646E-3</v>
      </c>
      <c r="H1117" s="34">
        <v>0.24694444444444444</v>
      </c>
      <c r="I1117" s="34">
        <v>6.8877314814814808E-2</v>
      </c>
      <c r="J1117" s="35">
        <v>0.27891826021747279</v>
      </c>
      <c r="K1117" s="33" t="s">
        <v>201</v>
      </c>
      <c r="L1117" s="33" t="s">
        <v>601</v>
      </c>
    </row>
    <row r="1118" spans="1:12" x14ac:dyDescent="0.25">
      <c r="A1118" s="32">
        <v>46246</v>
      </c>
      <c r="B1118" s="33" t="s">
        <v>600</v>
      </c>
      <c r="C1118" s="33" t="s">
        <v>543</v>
      </c>
      <c r="D1118" s="33" t="s">
        <v>600</v>
      </c>
      <c r="E1118">
        <v>42</v>
      </c>
      <c r="F1118" s="34">
        <v>0.11157407407407408</v>
      </c>
      <c r="G1118" s="34">
        <v>2.6565255731922401E-3</v>
      </c>
      <c r="H1118" s="34">
        <v>0.26371527777777776</v>
      </c>
      <c r="I1118" s="34">
        <v>0.12710648148148149</v>
      </c>
      <c r="J1118" s="35">
        <v>0.48198376124643411</v>
      </c>
      <c r="K1118" s="33" t="s">
        <v>293</v>
      </c>
      <c r="L1118" s="33" t="s">
        <v>104</v>
      </c>
    </row>
    <row r="1119" spans="1:12" x14ac:dyDescent="0.25">
      <c r="A1119" s="32">
        <v>46247</v>
      </c>
      <c r="B1119" s="33" t="s">
        <v>147</v>
      </c>
      <c r="C1119" s="33" t="s">
        <v>563</v>
      </c>
      <c r="D1119" s="33" t="s">
        <v>147</v>
      </c>
      <c r="E1119">
        <v>8</v>
      </c>
      <c r="F1119" s="34">
        <v>3.0787037037037036E-2</v>
      </c>
      <c r="G1119" s="34">
        <v>3.8483796296296295E-3</v>
      </c>
      <c r="H1119" s="34">
        <v>0</v>
      </c>
      <c r="I1119" s="34">
        <v>0</v>
      </c>
      <c r="J1119" s="35">
        <v>0</v>
      </c>
      <c r="K1119" s="33" t="s">
        <v>193</v>
      </c>
      <c r="L1119" s="33" t="s">
        <v>274</v>
      </c>
    </row>
    <row r="1120" spans="1:12" x14ac:dyDescent="0.25">
      <c r="A1120" s="32">
        <v>46247</v>
      </c>
      <c r="B1120" s="33" t="s">
        <v>147</v>
      </c>
      <c r="C1120" s="33" t="s">
        <v>514</v>
      </c>
      <c r="D1120" s="33" t="s">
        <v>147</v>
      </c>
      <c r="E1120">
        <v>12</v>
      </c>
      <c r="F1120" s="34">
        <v>2.4791666666666667E-2</v>
      </c>
      <c r="G1120" s="34">
        <v>2.0659722222222221E-3</v>
      </c>
      <c r="H1120" s="34">
        <v>0</v>
      </c>
      <c r="I1120" s="34">
        <v>0</v>
      </c>
      <c r="J1120" s="35">
        <v>0</v>
      </c>
      <c r="K1120" s="33" t="s">
        <v>150</v>
      </c>
      <c r="L1120" s="33" t="s">
        <v>146</v>
      </c>
    </row>
    <row r="1121" spans="1:12" x14ac:dyDescent="0.25">
      <c r="A1121" s="32">
        <v>46247</v>
      </c>
      <c r="B1121" s="33" t="s">
        <v>147</v>
      </c>
      <c r="C1121" s="33" t="s">
        <v>515</v>
      </c>
      <c r="D1121" s="33" t="s">
        <v>147</v>
      </c>
      <c r="E1121">
        <v>8</v>
      </c>
      <c r="F1121" s="34">
        <v>2.480324074074074E-2</v>
      </c>
      <c r="G1121" s="34">
        <v>3.1004050925925925E-3</v>
      </c>
      <c r="H1121" s="34">
        <v>0</v>
      </c>
      <c r="I1121" s="34">
        <v>0</v>
      </c>
      <c r="J1121" s="35">
        <v>0</v>
      </c>
      <c r="K1121" s="33" t="s">
        <v>154</v>
      </c>
      <c r="L1121" s="33" t="s">
        <v>146</v>
      </c>
    </row>
    <row r="1122" spans="1:12" x14ac:dyDescent="0.25">
      <c r="A1122" s="32">
        <v>46247</v>
      </c>
      <c r="B1122" s="33" t="s">
        <v>147</v>
      </c>
      <c r="C1122" s="33" t="s">
        <v>516</v>
      </c>
      <c r="D1122" s="33" t="s">
        <v>147</v>
      </c>
      <c r="E1122">
        <v>7</v>
      </c>
      <c r="F1122" s="34">
        <v>4.8946759259259259E-2</v>
      </c>
      <c r="G1122" s="34">
        <v>6.9923941798941801E-3</v>
      </c>
      <c r="H1122" s="34">
        <v>0</v>
      </c>
      <c r="I1122" s="34">
        <v>0</v>
      </c>
      <c r="J1122" s="35">
        <v>0</v>
      </c>
      <c r="K1122" s="33" t="s">
        <v>156</v>
      </c>
      <c r="L1122" s="33" t="s">
        <v>146</v>
      </c>
    </row>
    <row r="1123" spans="1:12" x14ac:dyDescent="0.25">
      <c r="A1123" s="32">
        <v>46247</v>
      </c>
      <c r="B1123" s="33" t="s">
        <v>147</v>
      </c>
      <c r="C1123" s="33" t="s">
        <v>544</v>
      </c>
      <c r="D1123" s="33" t="s">
        <v>147</v>
      </c>
      <c r="E1123">
        <v>12</v>
      </c>
      <c r="F1123" s="34">
        <v>3.591435185185185E-2</v>
      </c>
      <c r="G1123" s="34">
        <v>2.9928626543209874E-3</v>
      </c>
      <c r="H1123" s="34">
        <v>0</v>
      </c>
      <c r="I1123" s="34">
        <v>0</v>
      </c>
      <c r="J1123" s="35">
        <v>0</v>
      </c>
      <c r="K1123" s="33" t="s">
        <v>160</v>
      </c>
      <c r="L1123" s="33" t="s">
        <v>146</v>
      </c>
    </row>
    <row r="1124" spans="1:12" x14ac:dyDescent="0.25">
      <c r="A1124" s="32">
        <v>46247</v>
      </c>
      <c r="B1124" s="33" t="s">
        <v>147</v>
      </c>
      <c r="C1124" s="33" t="s">
        <v>517</v>
      </c>
      <c r="D1124" s="33" t="s">
        <v>147</v>
      </c>
      <c r="E1124">
        <v>6</v>
      </c>
      <c r="F1124" s="34">
        <v>2.2743055555555555E-2</v>
      </c>
      <c r="G1124" s="34">
        <v>3.7905092592592591E-3</v>
      </c>
      <c r="H1124" s="34">
        <v>0</v>
      </c>
      <c r="I1124" s="34">
        <v>0</v>
      </c>
      <c r="J1124" s="35">
        <v>0</v>
      </c>
      <c r="K1124" s="33" t="s">
        <v>499</v>
      </c>
      <c r="L1124" s="33" t="s">
        <v>146</v>
      </c>
    </row>
    <row r="1125" spans="1:12" x14ac:dyDescent="0.25">
      <c r="A1125" s="32">
        <v>46247</v>
      </c>
      <c r="B1125" s="33" t="s">
        <v>147</v>
      </c>
      <c r="C1125" s="33" t="s">
        <v>518</v>
      </c>
      <c r="D1125" s="33" t="s">
        <v>147</v>
      </c>
      <c r="E1125">
        <v>9</v>
      </c>
      <c r="F1125" s="34">
        <v>4.0138888888888891E-2</v>
      </c>
      <c r="G1125" s="34">
        <v>4.459876543209877E-3</v>
      </c>
      <c r="H1125" s="34">
        <v>0</v>
      </c>
      <c r="I1125" s="34">
        <v>0</v>
      </c>
      <c r="J1125" s="35">
        <v>0</v>
      </c>
      <c r="K1125" s="33" t="s">
        <v>500</v>
      </c>
      <c r="L1125" s="33" t="s">
        <v>274</v>
      </c>
    </row>
    <row r="1126" spans="1:12" x14ac:dyDescent="0.25">
      <c r="A1126" s="32">
        <v>46247</v>
      </c>
      <c r="B1126" s="33" t="s">
        <v>147</v>
      </c>
      <c r="C1126" s="33" t="s">
        <v>519</v>
      </c>
      <c r="D1126" s="33" t="s">
        <v>147</v>
      </c>
      <c r="E1126">
        <v>14</v>
      </c>
      <c r="F1126" s="34">
        <v>3.7372685185185182E-2</v>
      </c>
      <c r="G1126" s="34">
        <v>2.669477513227513E-3</v>
      </c>
      <c r="H1126" s="34">
        <v>0</v>
      </c>
      <c r="I1126" s="34">
        <v>0</v>
      </c>
      <c r="J1126" s="35">
        <v>0</v>
      </c>
      <c r="K1126" s="33" t="s">
        <v>164</v>
      </c>
      <c r="L1126" s="33" t="s">
        <v>146</v>
      </c>
    </row>
    <row r="1127" spans="1:12" x14ac:dyDescent="0.25">
      <c r="A1127" s="32">
        <v>46247</v>
      </c>
      <c r="B1127" s="33" t="s">
        <v>147</v>
      </c>
      <c r="C1127" s="33" t="s">
        <v>167</v>
      </c>
      <c r="D1127" s="33" t="s">
        <v>147</v>
      </c>
      <c r="E1127">
        <v>10</v>
      </c>
      <c r="F1127" s="34">
        <v>2.6817129629629628E-2</v>
      </c>
      <c r="G1127" s="34">
        <v>2.681712962962963E-3</v>
      </c>
      <c r="H1127" s="34">
        <v>0</v>
      </c>
      <c r="I1127" s="34">
        <v>0</v>
      </c>
      <c r="J1127" s="35">
        <v>0</v>
      </c>
      <c r="K1127" s="33" t="s">
        <v>166</v>
      </c>
      <c r="L1127" s="33" t="s">
        <v>146</v>
      </c>
    </row>
    <row r="1128" spans="1:12" x14ac:dyDescent="0.25">
      <c r="A1128" s="32">
        <v>46247</v>
      </c>
      <c r="B1128" s="33" t="s">
        <v>147</v>
      </c>
      <c r="C1128" s="33" t="s">
        <v>658</v>
      </c>
      <c r="D1128" s="33" t="s">
        <v>147</v>
      </c>
      <c r="E1128">
        <v>7</v>
      </c>
      <c r="F1128" s="34">
        <v>2.269675925925926E-2</v>
      </c>
      <c r="G1128" s="34">
        <v>3.2423941798941799E-3</v>
      </c>
      <c r="H1128" s="34">
        <v>0</v>
      </c>
      <c r="I1128" s="34">
        <v>0</v>
      </c>
      <c r="J1128" s="35">
        <v>0</v>
      </c>
      <c r="K1128" s="33" t="s">
        <v>657</v>
      </c>
      <c r="L1128" s="33" t="s">
        <v>274</v>
      </c>
    </row>
    <row r="1129" spans="1:12" x14ac:dyDescent="0.25">
      <c r="A1129" s="32">
        <v>46247</v>
      </c>
      <c r="B1129" s="33" t="s">
        <v>147</v>
      </c>
      <c r="C1129" s="33" t="s">
        <v>520</v>
      </c>
      <c r="D1129" s="33" t="s">
        <v>147</v>
      </c>
      <c r="E1129">
        <v>10</v>
      </c>
      <c r="F1129" s="34">
        <v>4.0335648148148148E-2</v>
      </c>
      <c r="G1129" s="34">
        <v>4.0335648148148145E-3</v>
      </c>
      <c r="H1129" s="34">
        <v>0</v>
      </c>
      <c r="I1129" s="34">
        <v>0</v>
      </c>
      <c r="J1129" s="35">
        <v>0</v>
      </c>
      <c r="K1129" s="33" t="s">
        <v>168</v>
      </c>
      <c r="L1129" s="33" t="s">
        <v>274</v>
      </c>
    </row>
    <row r="1130" spans="1:12" x14ac:dyDescent="0.25">
      <c r="A1130" s="32">
        <v>46247</v>
      </c>
      <c r="B1130" s="33" t="s">
        <v>147</v>
      </c>
      <c r="C1130" s="33" t="s">
        <v>521</v>
      </c>
      <c r="D1130" s="33" t="s">
        <v>147</v>
      </c>
      <c r="E1130">
        <v>8</v>
      </c>
      <c r="F1130" s="34">
        <v>3.7511574074074072E-2</v>
      </c>
      <c r="G1130" s="34">
        <v>4.688946759259259E-3</v>
      </c>
      <c r="H1130" s="34">
        <v>0</v>
      </c>
      <c r="I1130" s="34">
        <v>0</v>
      </c>
      <c r="J1130" s="35">
        <v>0</v>
      </c>
      <c r="K1130" s="33" t="s">
        <v>170</v>
      </c>
      <c r="L1130" s="33" t="s">
        <v>146</v>
      </c>
    </row>
    <row r="1131" spans="1:12" x14ac:dyDescent="0.25">
      <c r="A1131" s="32">
        <v>46247</v>
      </c>
      <c r="B1131" s="33" t="s">
        <v>147</v>
      </c>
      <c r="C1131" s="33" t="s">
        <v>633</v>
      </c>
      <c r="D1131" s="33" t="s">
        <v>147</v>
      </c>
      <c r="E1131">
        <v>7</v>
      </c>
      <c r="F1131" s="34">
        <v>5.0613425925925923E-2</v>
      </c>
      <c r="G1131" s="34">
        <v>7.2304894179894179E-3</v>
      </c>
      <c r="H1131" s="34">
        <v>0</v>
      </c>
      <c r="I1131" s="34">
        <v>0</v>
      </c>
      <c r="J1131" s="35">
        <v>0</v>
      </c>
      <c r="K1131" s="33" t="s">
        <v>606</v>
      </c>
      <c r="L1131" s="33" t="s">
        <v>146</v>
      </c>
    </row>
    <row r="1132" spans="1:12" x14ac:dyDescent="0.25">
      <c r="A1132" s="32">
        <v>46247</v>
      </c>
      <c r="B1132" s="33" t="s">
        <v>147</v>
      </c>
      <c r="C1132" s="33" t="s">
        <v>522</v>
      </c>
      <c r="D1132" s="33" t="s">
        <v>147</v>
      </c>
      <c r="E1132">
        <v>7</v>
      </c>
      <c r="F1132" s="34">
        <v>2.7557870370370371E-2</v>
      </c>
      <c r="G1132" s="34">
        <v>3.9368386243386249E-3</v>
      </c>
      <c r="H1132" s="34">
        <v>0</v>
      </c>
      <c r="I1132" s="34">
        <v>0</v>
      </c>
      <c r="J1132" s="35">
        <v>0</v>
      </c>
      <c r="K1132" s="33" t="s">
        <v>178</v>
      </c>
      <c r="L1132" s="33" t="s">
        <v>146</v>
      </c>
    </row>
    <row r="1133" spans="1:12" x14ac:dyDescent="0.25">
      <c r="A1133" s="32">
        <v>46247</v>
      </c>
      <c r="B1133" s="33" t="s">
        <v>147</v>
      </c>
      <c r="C1133" s="33" t="s">
        <v>523</v>
      </c>
      <c r="D1133" s="33" t="s">
        <v>147</v>
      </c>
      <c r="E1133">
        <v>3</v>
      </c>
      <c r="F1133" s="34">
        <v>2.7986111111111111E-2</v>
      </c>
      <c r="G1133" s="34">
        <v>9.3287037037037036E-3</v>
      </c>
      <c r="H1133" s="34">
        <v>0</v>
      </c>
      <c r="I1133" s="34">
        <v>0</v>
      </c>
      <c r="J1133" s="35">
        <v>0</v>
      </c>
      <c r="K1133" s="33" t="s">
        <v>180</v>
      </c>
      <c r="L1133" s="33" t="s">
        <v>146</v>
      </c>
    </row>
    <row r="1134" spans="1:12" x14ac:dyDescent="0.25">
      <c r="A1134" s="32">
        <v>46247</v>
      </c>
      <c r="B1134" s="33" t="s">
        <v>147</v>
      </c>
      <c r="C1134" s="33" t="s">
        <v>566</v>
      </c>
      <c r="D1134" s="33" t="s">
        <v>147</v>
      </c>
      <c r="E1134">
        <v>11</v>
      </c>
      <c r="F1134" s="34">
        <v>2.9444444444444443E-2</v>
      </c>
      <c r="G1134" s="34">
        <v>2.6767676767676767E-3</v>
      </c>
      <c r="H1134" s="34">
        <v>0</v>
      </c>
      <c r="I1134" s="34">
        <v>0</v>
      </c>
      <c r="J1134" s="35">
        <v>0</v>
      </c>
      <c r="K1134" s="33" t="s">
        <v>207</v>
      </c>
      <c r="L1134" s="33" t="s">
        <v>274</v>
      </c>
    </row>
    <row r="1135" spans="1:12" x14ac:dyDescent="0.25">
      <c r="A1135" s="32">
        <v>46247</v>
      </c>
      <c r="B1135" s="33" t="s">
        <v>147</v>
      </c>
      <c r="C1135" s="33" t="s">
        <v>524</v>
      </c>
      <c r="D1135" s="33" t="s">
        <v>147</v>
      </c>
      <c r="E1135">
        <v>10</v>
      </c>
      <c r="F1135" s="34">
        <v>2.7835648148148148E-2</v>
      </c>
      <c r="G1135" s="34">
        <v>2.7835648148148147E-3</v>
      </c>
      <c r="H1135" s="34">
        <v>0</v>
      </c>
      <c r="I1135" s="34">
        <v>0</v>
      </c>
      <c r="J1135" s="35">
        <v>0</v>
      </c>
      <c r="K1135" s="33" t="s">
        <v>501</v>
      </c>
      <c r="L1135" s="33" t="s">
        <v>274</v>
      </c>
    </row>
    <row r="1136" spans="1:12" x14ac:dyDescent="0.25">
      <c r="A1136" s="32">
        <v>46247</v>
      </c>
      <c r="B1136" s="33" t="s">
        <v>147</v>
      </c>
      <c r="C1136" s="33" t="s">
        <v>557</v>
      </c>
      <c r="D1136" s="33" t="s">
        <v>147</v>
      </c>
      <c r="E1136">
        <v>7</v>
      </c>
      <c r="F1136" s="34">
        <v>1.90625E-2</v>
      </c>
      <c r="G1136" s="34">
        <v>2.7232142857142858E-3</v>
      </c>
      <c r="H1136" s="34">
        <v>0</v>
      </c>
      <c r="I1136" s="34">
        <v>0</v>
      </c>
      <c r="J1136" s="35">
        <v>0</v>
      </c>
      <c r="K1136" s="33" t="s">
        <v>227</v>
      </c>
      <c r="L1136" s="33" t="s">
        <v>146</v>
      </c>
    </row>
    <row r="1137" spans="1:12" x14ac:dyDescent="0.25">
      <c r="A1137" s="32">
        <v>46247</v>
      </c>
      <c r="B1137" s="33" t="s">
        <v>147</v>
      </c>
      <c r="C1137" s="33" t="s">
        <v>678</v>
      </c>
      <c r="D1137" s="33" t="s">
        <v>147</v>
      </c>
      <c r="E1137">
        <v>6</v>
      </c>
      <c r="F1137" s="34">
        <v>1.8240740740740741E-2</v>
      </c>
      <c r="G1137" s="34">
        <v>3.0401234567901236E-3</v>
      </c>
      <c r="H1137" s="34">
        <v>0</v>
      </c>
      <c r="I1137" s="34">
        <v>0</v>
      </c>
      <c r="J1137" s="35">
        <v>0</v>
      </c>
      <c r="K1137" s="33" t="s">
        <v>677</v>
      </c>
      <c r="L1137" s="33" t="s">
        <v>274</v>
      </c>
    </row>
    <row r="1138" spans="1:12" x14ac:dyDescent="0.25">
      <c r="A1138" s="32">
        <v>46247</v>
      </c>
      <c r="B1138" s="33" t="s">
        <v>105</v>
      </c>
      <c r="C1138" s="33" t="s">
        <v>513</v>
      </c>
      <c r="D1138" s="33" t="s">
        <v>105</v>
      </c>
      <c r="E1138">
        <v>4</v>
      </c>
      <c r="F1138" s="34">
        <v>9.8576388888888894E-2</v>
      </c>
      <c r="G1138" s="34">
        <v>2.4644097222222223E-2</v>
      </c>
      <c r="H1138" s="34">
        <v>0</v>
      </c>
      <c r="I1138" s="34">
        <v>0</v>
      </c>
      <c r="J1138" s="35">
        <v>0</v>
      </c>
      <c r="K1138" s="33" t="s">
        <v>148</v>
      </c>
      <c r="L1138" s="33" t="s">
        <v>104</v>
      </c>
    </row>
    <row r="1139" spans="1:12" x14ac:dyDescent="0.25">
      <c r="A1139" s="32">
        <v>46247</v>
      </c>
      <c r="B1139" s="33" t="s">
        <v>105</v>
      </c>
      <c r="C1139" s="33" t="s">
        <v>631</v>
      </c>
      <c r="D1139" s="33" t="s">
        <v>105</v>
      </c>
      <c r="E1139">
        <v>3</v>
      </c>
      <c r="F1139" s="34">
        <v>5.6215277777777781E-2</v>
      </c>
      <c r="G1139" s="34">
        <v>1.8738425925925926E-2</v>
      </c>
      <c r="H1139" s="34">
        <v>0</v>
      </c>
      <c r="I1139" s="34">
        <v>0</v>
      </c>
      <c r="J1139" s="35">
        <v>0</v>
      </c>
      <c r="K1139" s="33" t="s">
        <v>608</v>
      </c>
      <c r="L1139" s="33" t="s">
        <v>601</v>
      </c>
    </row>
    <row r="1140" spans="1:12" x14ac:dyDescent="0.25">
      <c r="A1140" s="32">
        <v>46247</v>
      </c>
      <c r="B1140" s="33" t="s">
        <v>105</v>
      </c>
      <c r="C1140" s="33" t="s">
        <v>564</v>
      </c>
      <c r="D1140" s="33" t="s">
        <v>105</v>
      </c>
      <c r="E1140">
        <v>3</v>
      </c>
      <c r="F1140" s="34">
        <v>5.0069444444444444E-2</v>
      </c>
      <c r="G1140" s="34">
        <v>1.6689814814814814E-2</v>
      </c>
      <c r="H1140" s="34">
        <v>0</v>
      </c>
      <c r="I1140" s="34">
        <v>0</v>
      </c>
      <c r="J1140" s="35">
        <v>0</v>
      </c>
      <c r="K1140" s="33" t="s">
        <v>197</v>
      </c>
      <c r="L1140" s="33" t="s">
        <v>601</v>
      </c>
    </row>
    <row r="1141" spans="1:12" x14ac:dyDescent="0.25">
      <c r="A1141" s="32">
        <v>46247</v>
      </c>
      <c r="B1141" s="33" t="s">
        <v>105</v>
      </c>
      <c r="C1141" s="33" t="s">
        <v>682</v>
      </c>
      <c r="D1141" s="33" t="s">
        <v>105</v>
      </c>
      <c r="E1141">
        <v>2</v>
      </c>
      <c r="F1141" s="34">
        <v>6.3807870370370376E-2</v>
      </c>
      <c r="G1141" s="34">
        <v>3.1903935185185188E-2</v>
      </c>
      <c r="H1141" s="34">
        <v>0</v>
      </c>
      <c r="I1141" s="34">
        <v>0</v>
      </c>
      <c r="J1141" s="35">
        <v>0</v>
      </c>
      <c r="K1141" s="33" t="s">
        <v>681</v>
      </c>
      <c r="L1141" s="33" t="s">
        <v>601</v>
      </c>
    </row>
    <row r="1142" spans="1:12" x14ac:dyDescent="0.25">
      <c r="A1142" s="32">
        <v>46247</v>
      </c>
      <c r="B1142" s="33" t="s">
        <v>105</v>
      </c>
      <c r="C1142" s="33" t="s">
        <v>570</v>
      </c>
      <c r="D1142" s="33" t="s">
        <v>105</v>
      </c>
      <c r="E1142">
        <v>4</v>
      </c>
      <c r="F1142" s="34">
        <v>0.13302083333333334</v>
      </c>
      <c r="G1142" s="34">
        <v>3.3255208333333335E-2</v>
      </c>
      <c r="H1142" s="34">
        <v>0</v>
      </c>
      <c r="I1142" s="34">
        <v>0</v>
      </c>
      <c r="J1142" s="35">
        <v>0</v>
      </c>
      <c r="K1142" s="33" t="s">
        <v>112</v>
      </c>
      <c r="L1142" s="33" t="s">
        <v>104</v>
      </c>
    </row>
    <row r="1143" spans="1:12" x14ac:dyDescent="0.25">
      <c r="A1143" s="32">
        <v>46247</v>
      </c>
      <c r="B1143" s="33" t="s">
        <v>105</v>
      </c>
      <c r="C1143" s="33" t="s">
        <v>537</v>
      </c>
      <c r="D1143" s="33" t="s">
        <v>105</v>
      </c>
      <c r="E1143">
        <v>8</v>
      </c>
      <c r="F1143" s="34">
        <v>0.10164351851851852</v>
      </c>
      <c r="G1143" s="34">
        <v>1.2705439814814815E-2</v>
      </c>
      <c r="H1143" s="34">
        <v>0</v>
      </c>
      <c r="I1143" s="34">
        <v>0</v>
      </c>
      <c r="J1143" s="35">
        <v>0</v>
      </c>
      <c r="K1143" s="33" t="s">
        <v>42</v>
      </c>
      <c r="L1143" s="33" t="s">
        <v>104</v>
      </c>
    </row>
    <row r="1144" spans="1:12" x14ac:dyDescent="0.25">
      <c r="A1144" s="32">
        <v>46247</v>
      </c>
      <c r="B1144" s="33" t="s">
        <v>105</v>
      </c>
      <c r="C1144" s="33" t="s">
        <v>541</v>
      </c>
      <c r="D1144" s="33" t="s">
        <v>105</v>
      </c>
      <c r="E1144">
        <v>8</v>
      </c>
      <c r="F1144" s="34">
        <v>9.7418981481481481E-2</v>
      </c>
      <c r="G1144" s="34">
        <v>1.2177372685185185E-2</v>
      </c>
      <c r="H1144" s="34">
        <v>0</v>
      </c>
      <c r="I1144" s="34">
        <v>0</v>
      </c>
      <c r="J1144" s="35">
        <v>0</v>
      </c>
      <c r="K1144" s="33" t="s">
        <v>114</v>
      </c>
      <c r="L1144" s="33" t="s">
        <v>104</v>
      </c>
    </row>
    <row r="1145" spans="1:12" x14ac:dyDescent="0.25">
      <c r="A1145" s="32">
        <v>46247</v>
      </c>
      <c r="B1145" s="33" t="s">
        <v>105</v>
      </c>
      <c r="C1145" s="33" t="s">
        <v>632</v>
      </c>
      <c r="D1145" s="33" t="s">
        <v>105</v>
      </c>
      <c r="E1145">
        <v>4</v>
      </c>
      <c r="F1145" s="34">
        <v>5.738425925925926E-2</v>
      </c>
      <c r="G1145" s="34">
        <v>1.4346064814814815E-2</v>
      </c>
      <c r="H1145" s="34">
        <v>0</v>
      </c>
      <c r="I1145" s="34">
        <v>0</v>
      </c>
      <c r="J1145" s="35">
        <v>0</v>
      </c>
      <c r="K1145" s="33" t="s">
        <v>609</v>
      </c>
      <c r="L1145" s="33" t="s">
        <v>601</v>
      </c>
    </row>
    <row r="1146" spans="1:12" x14ac:dyDescent="0.25">
      <c r="A1146" s="32">
        <v>46247</v>
      </c>
      <c r="B1146" s="33" t="s">
        <v>105</v>
      </c>
      <c r="C1146" s="33" t="s">
        <v>542</v>
      </c>
      <c r="D1146" s="33" t="s">
        <v>105</v>
      </c>
      <c r="E1146">
        <v>3</v>
      </c>
      <c r="F1146" s="34">
        <v>7.8275462962962963E-2</v>
      </c>
      <c r="G1146" s="34">
        <v>2.6091820987654321E-2</v>
      </c>
      <c r="H1146" s="34">
        <v>0</v>
      </c>
      <c r="I1146" s="34">
        <v>0</v>
      </c>
      <c r="J1146" s="35">
        <v>0</v>
      </c>
      <c r="K1146" s="33" t="s">
        <v>287</v>
      </c>
      <c r="L1146" s="33" t="s">
        <v>104</v>
      </c>
    </row>
    <row r="1147" spans="1:12" x14ac:dyDescent="0.25">
      <c r="A1147" s="32">
        <v>46247</v>
      </c>
      <c r="B1147" s="33" t="s">
        <v>105</v>
      </c>
      <c r="C1147" s="33" t="s">
        <v>650</v>
      </c>
      <c r="D1147" s="33" t="s">
        <v>105</v>
      </c>
      <c r="E1147">
        <v>10</v>
      </c>
      <c r="F1147" s="34">
        <v>0.16153935185185186</v>
      </c>
      <c r="G1147" s="34">
        <v>1.6153935185185188E-2</v>
      </c>
      <c r="H1147" s="34">
        <v>0</v>
      </c>
      <c r="I1147" s="34">
        <v>0</v>
      </c>
      <c r="J1147" s="35">
        <v>0</v>
      </c>
      <c r="K1147" s="33" t="s">
        <v>649</v>
      </c>
      <c r="L1147" s="33" t="s">
        <v>104</v>
      </c>
    </row>
    <row r="1148" spans="1:12" x14ac:dyDescent="0.25">
      <c r="A1148" s="32">
        <v>46247</v>
      </c>
      <c r="B1148" s="33" t="s">
        <v>105</v>
      </c>
      <c r="C1148" s="33" t="s">
        <v>559</v>
      </c>
      <c r="D1148" s="33" t="s">
        <v>105</v>
      </c>
      <c r="E1148">
        <v>5</v>
      </c>
      <c r="F1148" s="34">
        <v>7.9687499999999994E-2</v>
      </c>
      <c r="G1148" s="34">
        <v>1.59375E-2</v>
      </c>
      <c r="H1148" s="34">
        <v>0</v>
      </c>
      <c r="I1148" s="34">
        <v>0</v>
      </c>
      <c r="J1148" s="35">
        <v>0</v>
      </c>
      <c r="K1148" s="33" t="s">
        <v>289</v>
      </c>
      <c r="L1148" s="33" t="s">
        <v>104</v>
      </c>
    </row>
    <row r="1149" spans="1:12" x14ac:dyDescent="0.25">
      <c r="A1149" s="32">
        <v>46247</v>
      </c>
      <c r="B1149" s="33" t="s">
        <v>105</v>
      </c>
      <c r="C1149" s="33" t="s">
        <v>634</v>
      </c>
      <c r="D1149" s="33" t="s">
        <v>105</v>
      </c>
      <c r="E1149">
        <v>2</v>
      </c>
      <c r="F1149" s="34">
        <v>3.8379629629629632E-2</v>
      </c>
      <c r="G1149" s="34">
        <v>1.9189814814814816E-2</v>
      </c>
      <c r="H1149" s="34">
        <v>0</v>
      </c>
      <c r="I1149" s="34">
        <v>0</v>
      </c>
      <c r="J1149" s="35">
        <v>0</v>
      </c>
      <c r="K1149" s="33" t="s">
        <v>612</v>
      </c>
      <c r="L1149" s="33" t="s">
        <v>601</v>
      </c>
    </row>
    <row r="1150" spans="1:12" x14ac:dyDescent="0.25">
      <c r="A1150" s="32">
        <v>46247</v>
      </c>
      <c r="B1150" s="33" t="s">
        <v>105</v>
      </c>
      <c r="C1150" s="33" t="s">
        <v>667</v>
      </c>
      <c r="D1150" s="33" t="s">
        <v>105</v>
      </c>
      <c r="E1150">
        <v>7</v>
      </c>
      <c r="F1150" s="34">
        <v>0.1155787037037037</v>
      </c>
      <c r="G1150" s="34">
        <v>1.6511243386243386E-2</v>
      </c>
      <c r="H1150" s="34">
        <v>0</v>
      </c>
      <c r="I1150" s="34">
        <v>0</v>
      </c>
      <c r="J1150" s="35">
        <v>0</v>
      </c>
      <c r="K1150" s="33" t="s">
        <v>297</v>
      </c>
      <c r="L1150" s="33" t="s">
        <v>104</v>
      </c>
    </row>
    <row r="1151" spans="1:12" x14ac:dyDescent="0.25">
      <c r="A1151" s="32">
        <v>46247</v>
      </c>
      <c r="B1151" s="33" t="s">
        <v>105</v>
      </c>
      <c r="C1151" s="33" t="s">
        <v>635</v>
      </c>
      <c r="D1151" s="33" t="s">
        <v>105</v>
      </c>
      <c r="E1151">
        <v>5</v>
      </c>
      <c r="F1151" s="34">
        <v>8.7372685185185192E-2</v>
      </c>
      <c r="G1151" s="34">
        <v>1.7474537037037038E-2</v>
      </c>
      <c r="H1151" s="34">
        <v>0</v>
      </c>
      <c r="I1151" s="34">
        <v>0</v>
      </c>
      <c r="J1151" s="35">
        <v>0</v>
      </c>
      <c r="K1151" s="33" t="s">
        <v>614</v>
      </c>
      <c r="L1151" s="33" t="s">
        <v>601</v>
      </c>
    </row>
    <row r="1152" spans="1:12" x14ac:dyDescent="0.25">
      <c r="A1152" s="32">
        <v>46247</v>
      </c>
      <c r="B1152" s="33" t="s">
        <v>105</v>
      </c>
      <c r="C1152" s="33" t="s">
        <v>637</v>
      </c>
      <c r="D1152" s="33" t="s">
        <v>105</v>
      </c>
      <c r="E1152">
        <v>2</v>
      </c>
      <c r="F1152" s="34">
        <v>3.622685185185185E-2</v>
      </c>
      <c r="G1152" s="34">
        <v>1.8113425925925925E-2</v>
      </c>
      <c r="H1152" s="34">
        <v>0</v>
      </c>
      <c r="I1152" s="34">
        <v>0</v>
      </c>
      <c r="J1152" s="35">
        <v>0</v>
      </c>
      <c r="K1152" s="33" t="s">
        <v>616</v>
      </c>
      <c r="L1152" s="33" t="s">
        <v>601</v>
      </c>
    </row>
    <row r="1153" spans="1:12" x14ac:dyDescent="0.25">
      <c r="A1153" s="32">
        <v>46247</v>
      </c>
      <c r="B1153" s="33" t="s">
        <v>105</v>
      </c>
      <c r="C1153" s="33" t="s">
        <v>567</v>
      </c>
      <c r="D1153" s="33" t="s">
        <v>105</v>
      </c>
      <c r="E1153">
        <v>2</v>
      </c>
      <c r="F1153" s="34">
        <v>6.9236111111111109E-2</v>
      </c>
      <c r="G1153" s="34">
        <v>3.4618055555555555E-2</v>
      </c>
      <c r="H1153" s="34">
        <v>0</v>
      </c>
      <c r="I1153" s="34">
        <v>0</v>
      </c>
      <c r="J1153" s="35">
        <v>0</v>
      </c>
      <c r="K1153" s="33" t="s">
        <v>209</v>
      </c>
      <c r="L1153" s="33" t="s">
        <v>601</v>
      </c>
    </row>
    <row r="1154" spans="1:12" x14ac:dyDescent="0.25">
      <c r="A1154" s="32">
        <v>46247</v>
      </c>
      <c r="B1154" s="33" t="s">
        <v>105</v>
      </c>
      <c r="C1154" s="33" t="s">
        <v>512</v>
      </c>
      <c r="D1154" s="33" t="s">
        <v>105</v>
      </c>
      <c r="E1154">
        <v>4</v>
      </c>
      <c r="F1154" s="34">
        <v>8.2361111111111107E-2</v>
      </c>
      <c r="G1154" s="34">
        <v>2.0590277777777777E-2</v>
      </c>
      <c r="H1154" s="34">
        <v>0</v>
      </c>
      <c r="I1154" s="34">
        <v>0</v>
      </c>
      <c r="J1154" s="35">
        <v>0</v>
      </c>
      <c r="K1154" s="33" t="s">
        <v>132</v>
      </c>
      <c r="L1154" s="33" t="s">
        <v>104</v>
      </c>
    </row>
    <row r="1155" spans="1:12" x14ac:dyDescent="0.25">
      <c r="A1155" s="32">
        <v>46247</v>
      </c>
      <c r="B1155" s="33" t="s">
        <v>105</v>
      </c>
      <c r="C1155" s="33" t="s">
        <v>560</v>
      </c>
      <c r="D1155" s="33" t="s">
        <v>105</v>
      </c>
      <c r="E1155">
        <v>6</v>
      </c>
      <c r="F1155" s="34">
        <v>9.9456018518518513E-2</v>
      </c>
      <c r="G1155" s="34">
        <v>1.6576003086419752E-2</v>
      </c>
      <c r="H1155" s="34">
        <v>0</v>
      </c>
      <c r="I1155" s="34">
        <v>0</v>
      </c>
      <c r="J1155" s="35">
        <v>0</v>
      </c>
      <c r="K1155" s="33" t="s">
        <v>134</v>
      </c>
      <c r="L1155" s="33" t="s">
        <v>104</v>
      </c>
    </row>
    <row r="1156" spans="1:12" x14ac:dyDescent="0.25">
      <c r="A1156" s="32">
        <v>46247</v>
      </c>
      <c r="B1156" s="33" t="s">
        <v>105</v>
      </c>
      <c r="C1156" s="33" t="s">
        <v>546</v>
      </c>
      <c r="D1156" s="33" t="s">
        <v>105</v>
      </c>
      <c r="E1156">
        <v>3</v>
      </c>
      <c r="F1156" s="34">
        <v>9.7175925925925929E-2</v>
      </c>
      <c r="G1156" s="34">
        <v>3.2391975308641976E-2</v>
      </c>
      <c r="H1156" s="34">
        <v>0</v>
      </c>
      <c r="I1156" s="34">
        <v>0</v>
      </c>
      <c r="J1156" s="35">
        <v>0</v>
      </c>
      <c r="K1156" s="33" t="s">
        <v>211</v>
      </c>
      <c r="L1156" s="33" t="s">
        <v>104</v>
      </c>
    </row>
    <row r="1157" spans="1:12" x14ac:dyDescent="0.25">
      <c r="A1157" s="32">
        <v>46247</v>
      </c>
      <c r="B1157" s="33" t="s">
        <v>105</v>
      </c>
      <c r="C1157" s="33" t="s">
        <v>638</v>
      </c>
      <c r="D1157" s="33" t="s">
        <v>105</v>
      </c>
      <c r="E1157">
        <v>3</v>
      </c>
      <c r="F1157" s="34">
        <v>7.5324074074074071E-2</v>
      </c>
      <c r="G1157" s="34">
        <v>2.5108024691358023E-2</v>
      </c>
      <c r="H1157" s="34">
        <v>0</v>
      </c>
      <c r="I1157" s="34">
        <v>0</v>
      </c>
      <c r="J1157" s="35">
        <v>0</v>
      </c>
      <c r="K1157" s="33" t="s">
        <v>617</v>
      </c>
      <c r="L1157" s="33" t="s">
        <v>601</v>
      </c>
    </row>
    <row r="1158" spans="1:12" x14ac:dyDescent="0.25">
      <c r="A1158" s="32">
        <v>46247</v>
      </c>
      <c r="B1158" s="33" t="s">
        <v>105</v>
      </c>
      <c r="C1158" s="33" t="s">
        <v>639</v>
      </c>
      <c r="D1158" s="33" t="s">
        <v>105</v>
      </c>
      <c r="E1158">
        <v>4</v>
      </c>
      <c r="F1158" s="34">
        <v>8.0324074074074076E-2</v>
      </c>
      <c r="G1158" s="34">
        <v>2.0081018518518519E-2</v>
      </c>
      <c r="H1158" s="34">
        <v>0</v>
      </c>
      <c r="I1158" s="34">
        <v>0</v>
      </c>
      <c r="J1158" s="35">
        <v>0</v>
      </c>
      <c r="K1158" s="33" t="s">
        <v>618</v>
      </c>
      <c r="L1158" s="33" t="s">
        <v>601</v>
      </c>
    </row>
    <row r="1159" spans="1:12" x14ac:dyDescent="0.25">
      <c r="A1159" s="32">
        <v>46247</v>
      </c>
      <c r="B1159" s="33" t="s">
        <v>105</v>
      </c>
      <c r="C1159" s="33" t="s">
        <v>572</v>
      </c>
      <c r="D1159" s="33" t="s">
        <v>105</v>
      </c>
      <c r="E1159">
        <v>1</v>
      </c>
      <c r="F1159" s="34">
        <v>2.2731481481481481E-2</v>
      </c>
      <c r="G1159" s="34">
        <v>2.2731481481481481E-2</v>
      </c>
      <c r="H1159" s="34">
        <v>0</v>
      </c>
      <c r="I1159" s="34">
        <v>0</v>
      </c>
      <c r="J1159" s="35">
        <v>0</v>
      </c>
      <c r="K1159" s="33" t="s">
        <v>213</v>
      </c>
      <c r="L1159" s="33" t="s">
        <v>601</v>
      </c>
    </row>
    <row r="1160" spans="1:12" x14ac:dyDescent="0.25">
      <c r="A1160" s="32">
        <v>46247</v>
      </c>
      <c r="B1160" s="33" t="s">
        <v>105</v>
      </c>
      <c r="C1160" s="33" t="s">
        <v>640</v>
      </c>
      <c r="D1160" s="33" t="s">
        <v>105</v>
      </c>
      <c r="E1160">
        <v>2</v>
      </c>
      <c r="F1160" s="34">
        <v>4.3518518518518519E-2</v>
      </c>
      <c r="G1160" s="34">
        <v>2.1759259259259259E-2</v>
      </c>
      <c r="H1160" s="34">
        <v>0</v>
      </c>
      <c r="I1160" s="34">
        <v>0</v>
      </c>
      <c r="J1160" s="35">
        <v>0</v>
      </c>
      <c r="K1160" s="33" t="s">
        <v>619</v>
      </c>
      <c r="L1160" s="33" t="s">
        <v>601</v>
      </c>
    </row>
    <row r="1161" spans="1:12" x14ac:dyDescent="0.25">
      <c r="A1161" s="32">
        <v>46247</v>
      </c>
      <c r="B1161" s="33" t="s">
        <v>105</v>
      </c>
      <c r="C1161" s="33" t="s">
        <v>548</v>
      </c>
      <c r="D1161" s="33" t="s">
        <v>105</v>
      </c>
      <c r="E1161">
        <v>4</v>
      </c>
      <c r="F1161" s="34">
        <v>6.1655092592592595E-2</v>
      </c>
      <c r="G1161" s="34">
        <v>1.5413773148148149E-2</v>
      </c>
      <c r="H1161" s="34">
        <v>0</v>
      </c>
      <c r="I1161" s="34">
        <v>0</v>
      </c>
      <c r="J1161" s="35">
        <v>0</v>
      </c>
      <c r="K1161" s="33" t="s">
        <v>219</v>
      </c>
      <c r="L1161" s="33" t="s">
        <v>104</v>
      </c>
    </row>
    <row r="1162" spans="1:12" x14ac:dyDescent="0.25">
      <c r="A1162" s="32">
        <v>46247</v>
      </c>
      <c r="B1162" s="33" t="s">
        <v>105</v>
      </c>
      <c r="C1162" s="33" t="s">
        <v>641</v>
      </c>
      <c r="D1162" s="33" t="s">
        <v>105</v>
      </c>
      <c r="E1162">
        <v>2</v>
      </c>
      <c r="F1162" s="34">
        <v>5.966435185185185E-2</v>
      </c>
      <c r="G1162" s="34">
        <v>2.9832175925925925E-2</v>
      </c>
      <c r="H1162" s="34">
        <v>0</v>
      </c>
      <c r="I1162" s="34">
        <v>0</v>
      </c>
      <c r="J1162" s="35">
        <v>0</v>
      </c>
      <c r="K1162" s="33" t="s">
        <v>620</v>
      </c>
      <c r="L1162" s="33" t="s">
        <v>601</v>
      </c>
    </row>
    <row r="1163" spans="1:12" x14ac:dyDescent="0.25">
      <c r="A1163" s="32">
        <v>46247</v>
      </c>
      <c r="B1163" s="33" t="s">
        <v>105</v>
      </c>
      <c r="C1163" s="33" t="s">
        <v>556</v>
      </c>
      <c r="D1163" s="33" t="s">
        <v>105</v>
      </c>
      <c r="E1163">
        <v>5</v>
      </c>
      <c r="F1163" s="34">
        <v>9.0173611111111107E-2</v>
      </c>
      <c r="G1163" s="34">
        <v>1.8034722222222223E-2</v>
      </c>
      <c r="H1163" s="34">
        <v>0</v>
      </c>
      <c r="I1163" s="34">
        <v>0</v>
      </c>
      <c r="J1163" s="35">
        <v>0</v>
      </c>
      <c r="K1163" s="33" t="s">
        <v>138</v>
      </c>
      <c r="L1163" s="33" t="s">
        <v>104</v>
      </c>
    </row>
    <row r="1164" spans="1:12" x14ac:dyDescent="0.25">
      <c r="A1164" s="32">
        <v>46247</v>
      </c>
      <c r="B1164" s="33" t="s">
        <v>105</v>
      </c>
      <c r="C1164" s="33" t="s">
        <v>674</v>
      </c>
      <c r="D1164" s="33" t="s">
        <v>105</v>
      </c>
      <c r="E1164">
        <v>5</v>
      </c>
      <c r="F1164" s="34">
        <v>9.8877314814814821E-2</v>
      </c>
      <c r="G1164" s="34">
        <v>1.9775462962962963E-2</v>
      </c>
      <c r="H1164" s="34">
        <v>0</v>
      </c>
      <c r="I1164" s="34">
        <v>0</v>
      </c>
      <c r="J1164" s="35">
        <v>0</v>
      </c>
      <c r="K1164" s="33" t="s">
        <v>673</v>
      </c>
      <c r="L1164" s="33" t="s">
        <v>104</v>
      </c>
    </row>
    <row r="1165" spans="1:12" x14ac:dyDescent="0.25">
      <c r="A1165" s="32">
        <v>46247</v>
      </c>
      <c r="B1165" s="33" t="s">
        <v>105</v>
      </c>
      <c r="C1165" s="33" t="s">
        <v>549</v>
      </c>
      <c r="D1165" s="33" t="s">
        <v>105</v>
      </c>
      <c r="E1165">
        <v>2</v>
      </c>
      <c r="F1165" s="34">
        <v>5.4953703703703706E-2</v>
      </c>
      <c r="G1165" s="34">
        <v>2.7476851851851853E-2</v>
      </c>
      <c r="H1165" s="34">
        <v>0</v>
      </c>
      <c r="I1165" s="34">
        <v>0</v>
      </c>
      <c r="J1165" s="35">
        <v>0</v>
      </c>
      <c r="K1165" s="33" t="s">
        <v>225</v>
      </c>
      <c r="L1165" s="33" t="s">
        <v>601</v>
      </c>
    </row>
    <row r="1166" spans="1:12" x14ac:dyDescent="0.25">
      <c r="A1166" s="32">
        <v>46247</v>
      </c>
      <c r="B1166" s="33" t="s">
        <v>105</v>
      </c>
      <c r="C1166" s="33" t="s">
        <v>571</v>
      </c>
      <c r="D1166" s="33" t="s">
        <v>105</v>
      </c>
      <c r="E1166">
        <v>6</v>
      </c>
      <c r="F1166" s="34">
        <v>0.11944444444444445</v>
      </c>
      <c r="G1166" s="34">
        <v>1.9907407407407408E-2</v>
      </c>
      <c r="H1166" s="34">
        <v>0</v>
      </c>
      <c r="I1166" s="34">
        <v>0</v>
      </c>
      <c r="J1166" s="35">
        <v>0</v>
      </c>
      <c r="K1166" s="33" t="s">
        <v>299</v>
      </c>
      <c r="L1166" s="33" t="s">
        <v>104</v>
      </c>
    </row>
    <row r="1167" spans="1:12" x14ac:dyDescent="0.25">
      <c r="A1167" s="32">
        <v>46247</v>
      </c>
      <c r="B1167" s="33" t="s">
        <v>105</v>
      </c>
      <c r="C1167" s="33" t="s">
        <v>676</v>
      </c>
      <c r="D1167" s="33" t="s">
        <v>105</v>
      </c>
      <c r="E1167">
        <v>3</v>
      </c>
      <c r="F1167" s="34">
        <v>9.8402777777777783E-2</v>
      </c>
      <c r="G1167" s="34">
        <v>3.2800925925925928E-2</v>
      </c>
      <c r="H1167" s="34">
        <v>0</v>
      </c>
      <c r="I1167" s="34">
        <v>0</v>
      </c>
      <c r="J1167" s="35">
        <v>0</v>
      </c>
      <c r="K1167" s="33" t="s">
        <v>675</v>
      </c>
      <c r="L1167" s="33" t="s">
        <v>104</v>
      </c>
    </row>
    <row r="1168" spans="1:12" x14ac:dyDescent="0.25">
      <c r="A1168" s="32">
        <v>46247</v>
      </c>
      <c r="B1168" s="33" t="s">
        <v>32</v>
      </c>
      <c r="C1168" s="33" t="s">
        <v>562</v>
      </c>
      <c r="D1168" s="33" t="s">
        <v>80</v>
      </c>
      <c r="E1168">
        <v>3</v>
      </c>
      <c r="F1168" s="34">
        <v>7.8703703703703696E-3</v>
      </c>
      <c r="G1168" s="34">
        <v>2.6234567901234564E-3</v>
      </c>
      <c r="H1168" s="34">
        <v>0</v>
      </c>
      <c r="I1168" s="34">
        <v>0</v>
      </c>
      <c r="J1168" s="35">
        <v>0</v>
      </c>
      <c r="K1168" s="33" t="s">
        <v>186</v>
      </c>
      <c r="L1168" s="33" t="s">
        <v>78</v>
      </c>
    </row>
    <row r="1169" spans="1:12" x14ac:dyDescent="0.25">
      <c r="A1169" s="32">
        <v>46247</v>
      </c>
      <c r="B1169" s="33" t="s">
        <v>32</v>
      </c>
      <c r="C1169" s="33" t="s">
        <v>644</v>
      </c>
      <c r="D1169" s="33" t="s">
        <v>32</v>
      </c>
      <c r="E1169">
        <v>11</v>
      </c>
      <c r="F1169" s="34">
        <v>0.11306712962962963</v>
      </c>
      <c r="G1169" s="34">
        <v>1.0278829966329965E-2</v>
      </c>
      <c r="H1169" s="34">
        <v>0</v>
      </c>
      <c r="I1169" s="34">
        <v>0</v>
      </c>
      <c r="J1169" s="35">
        <v>0</v>
      </c>
      <c r="K1169" s="33" t="s">
        <v>643</v>
      </c>
      <c r="L1169" s="33" t="s">
        <v>233</v>
      </c>
    </row>
    <row r="1170" spans="1:12" x14ac:dyDescent="0.25">
      <c r="A1170" s="32">
        <v>46247</v>
      </c>
      <c r="B1170" s="33" t="s">
        <v>32</v>
      </c>
      <c r="C1170" s="33" t="s">
        <v>563</v>
      </c>
      <c r="D1170" s="33" t="s">
        <v>147</v>
      </c>
      <c r="E1170">
        <v>7</v>
      </c>
      <c r="F1170" s="34">
        <v>1.6053240740740739E-2</v>
      </c>
      <c r="G1170" s="34">
        <v>2.2933201058201054E-3</v>
      </c>
      <c r="H1170" s="34">
        <v>0</v>
      </c>
      <c r="I1170" s="34">
        <v>0</v>
      </c>
      <c r="J1170" s="35">
        <v>0</v>
      </c>
      <c r="K1170" s="33" t="s">
        <v>193</v>
      </c>
      <c r="L1170" s="33" t="s">
        <v>274</v>
      </c>
    </row>
    <row r="1171" spans="1:12" x14ac:dyDescent="0.25">
      <c r="A1171" s="32">
        <v>46247</v>
      </c>
      <c r="B1171" s="33" t="s">
        <v>32</v>
      </c>
      <c r="C1171" s="33" t="s">
        <v>525</v>
      </c>
      <c r="D1171" s="33" t="s">
        <v>32</v>
      </c>
      <c r="E1171">
        <v>29</v>
      </c>
      <c r="F1171" s="34">
        <v>0.1005324074074074</v>
      </c>
      <c r="G1171" s="34">
        <v>3.4666347381864622E-3</v>
      </c>
      <c r="H1171" s="34">
        <v>0</v>
      </c>
      <c r="I1171" s="34">
        <v>0</v>
      </c>
      <c r="J1171" s="35">
        <v>0</v>
      </c>
      <c r="K1171" s="33" t="s">
        <v>231</v>
      </c>
      <c r="L1171" s="33" t="s">
        <v>233</v>
      </c>
    </row>
    <row r="1172" spans="1:12" x14ac:dyDescent="0.25">
      <c r="A1172" s="32">
        <v>46247</v>
      </c>
      <c r="B1172" s="33" t="s">
        <v>32</v>
      </c>
      <c r="C1172" s="33" t="s">
        <v>550</v>
      </c>
      <c r="D1172" s="33" t="s">
        <v>32</v>
      </c>
      <c r="E1172">
        <v>22</v>
      </c>
      <c r="F1172" s="34">
        <v>9.9027777777777784E-2</v>
      </c>
      <c r="G1172" s="34">
        <v>4.5012626262626266E-3</v>
      </c>
      <c r="H1172" s="34">
        <v>0</v>
      </c>
      <c r="I1172" s="34">
        <v>0</v>
      </c>
      <c r="J1172" s="35">
        <v>0</v>
      </c>
      <c r="K1172" s="33" t="s">
        <v>234</v>
      </c>
      <c r="L1172" s="33" t="s">
        <v>233</v>
      </c>
    </row>
    <row r="1173" spans="1:12" x14ac:dyDescent="0.25">
      <c r="A1173" s="32">
        <v>46247</v>
      </c>
      <c r="B1173" s="33" t="s">
        <v>32</v>
      </c>
      <c r="C1173" s="33" t="s">
        <v>505</v>
      </c>
      <c r="D1173" s="33" t="s">
        <v>32</v>
      </c>
      <c r="E1173">
        <v>30</v>
      </c>
      <c r="F1173" s="34">
        <v>9.8171296296296298E-2</v>
      </c>
      <c r="G1173" s="34">
        <v>3.2723765432098764E-3</v>
      </c>
      <c r="H1173" s="34">
        <v>0</v>
      </c>
      <c r="I1173" s="34">
        <v>0</v>
      </c>
      <c r="J1173" s="35">
        <v>0</v>
      </c>
      <c r="K1173" s="33" t="s">
        <v>34</v>
      </c>
      <c r="L1173" s="33" t="s">
        <v>233</v>
      </c>
    </row>
    <row r="1174" spans="1:12" x14ac:dyDescent="0.25">
      <c r="A1174" s="32">
        <v>46247</v>
      </c>
      <c r="B1174" s="33" t="s">
        <v>32</v>
      </c>
      <c r="C1174" s="33" t="s">
        <v>514</v>
      </c>
      <c r="D1174" s="33" t="s">
        <v>147</v>
      </c>
      <c r="E1174">
        <v>6</v>
      </c>
      <c r="F1174" s="34">
        <v>1.1446759259259259E-2</v>
      </c>
      <c r="G1174" s="34">
        <v>1.9077932098765431E-3</v>
      </c>
      <c r="H1174" s="34">
        <v>0</v>
      </c>
      <c r="I1174" s="34">
        <v>0</v>
      </c>
      <c r="J1174" s="35">
        <v>0</v>
      </c>
      <c r="K1174" s="33" t="s">
        <v>150</v>
      </c>
      <c r="L1174" s="33" t="s">
        <v>146</v>
      </c>
    </row>
    <row r="1175" spans="1:12" x14ac:dyDescent="0.25">
      <c r="A1175" s="32">
        <v>46247</v>
      </c>
      <c r="B1175" s="33" t="s">
        <v>32</v>
      </c>
      <c r="C1175" s="33" t="s">
        <v>515</v>
      </c>
      <c r="D1175" s="33" t="s">
        <v>147</v>
      </c>
      <c r="E1175">
        <v>5</v>
      </c>
      <c r="F1175" s="34">
        <v>1.6192129629629629E-2</v>
      </c>
      <c r="G1175" s="34">
        <v>3.2384259259259258E-3</v>
      </c>
      <c r="H1175" s="34">
        <v>0</v>
      </c>
      <c r="I1175" s="34">
        <v>0</v>
      </c>
      <c r="J1175" s="35">
        <v>0</v>
      </c>
      <c r="K1175" s="33" t="s">
        <v>154</v>
      </c>
      <c r="L1175" s="33" t="s">
        <v>146</v>
      </c>
    </row>
    <row r="1176" spans="1:12" x14ac:dyDescent="0.25">
      <c r="A1176" s="32">
        <v>46247</v>
      </c>
      <c r="B1176" s="33" t="s">
        <v>32</v>
      </c>
      <c r="C1176" s="33" t="s">
        <v>516</v>
      </c>
      <c r="D1176" s="33" t="s">
        <v>147</v>
      </c>
      <c r="E1176">
        <v>4</v>
      </c>
      <c r="F1176" s="34">
        <v>7.5694444444444446E-3</v>
      </c>
      <c r="G1176" s="34">
        <v>1.8923611111111112E-3</v>
      </c>
      <c r="H1176" s="34">
        <v>0</v>
      </c>
      <c r="I1176" s="34">
        <v>0</v>
      </c>
      <c r="J1176" s="35">
        <v>0</v>
      </c>
      <c r="K1176" s="33" t="s">
        <v>156</v>
      </c>
      <c r="L1176" s="33" t="s">
        <v>146</v>
      </c>
    </row>
    <row r="1177" spans="1:12" x14ac:dyDescent="0.25">
      <c r="A1177" s="32">
        <v>46247</v>
      </c>
      <c r="B1177" s="33" t="s">
        <v>32</v>
      </c>
      <c r="C1177" s="33" t="s">
        <v>506</v>
      </c>
      <c r="D1177" s="33" t="s">
        <v>32</v>
      </c>
      <c r="E1177">
        <v>30</v>
      </c>
      <c r="F1177" s="34">
        <v>0.17027777777777778</v>
      </c>
      <c r="G1177" s="34">
        <v>5.6759259259259263E-3</v>
      </c>
      <c r="H1177" s="34">
        <v>0</v>
      </c>
      <c r="I1177" s="34">
        <v>0</v>
      </c>
      <c r="J1177" s="35">
        <v>0</v>
      </c>
      <c r="K1177" s="33" t="s">
        <v>44</v>
      </c>
      <c r="L1177" s="33" t="s">
        <v>100</v>
      </c>
    </row>
    <row r="1178" spans="1:12" x14ac:dyDescent="0.25">
      <c r="A1178" s="32">
        <v>46247</v>
      </c>
      <c r="B1178" s="33" t="s">
        <v>32</v>
      </c>
      <c r="C1178" s="33" t="s">
        <v>310</v>
      </c>
      <c r="D1178" s="33" t="s">
        <v>80</v>
      </c>
      <c r="E1178">
        <v>1</v>
      </c>
      <c r="F1178" s="34">
        <v>8.2986111111111108E-3</v>
      </c>
      <c r="G1178" s="34">
        <v>8.2986111111111108E-3</v>
      </c>
      <c r="H1178" s="34">
        <v>0</v>
      </c>
      <c r="I1178" s="34">
        <v>0</v>
      </c>
      <c r="J1178" s="35">
        <v>0</v>
      </c>
      <c r="K1178" s="33" t="s">
        <v>309</v>
      </c>
      <c r="L1178" s="33" t="s">
        <v>78</v>
      </c>
    </row>
    <row r="1179" spans="1:12" x14ac:dyDescent="0.25">
      <c r="A1179" s="32">
        <v>46247</v>
      </c>
      <c r="B1179" s="33" t="s">
        <v>32</v>
      </c>
      <c r="C1179" s="33" t="s">
        <v>646</v>
      </c>
      <c r="D1179" s="33" t="s">
        <v>32</v>
      </c>
      <c r="E1179">
        <v>28</v>
      </c>
      <c r="F1179" s="34">
        <v>0.16717592592592592</v>
      </c>
      <c r="G1179" s="34">
        <v>5.9705687830687833E-3</v>
      </c>
      <c r="H1179" s="34">
        <v>0</v>
      </c>
      <c r="I1179" s="34">
        <v>0</v>
      </c>
      <c r="J1179" s="35">
        <v>0</v>
      </c>
      <c r="K1179" s="33" t="s">
        <v>645</v>
      </c>
      <c r="L1179" s="33" t="s">
        <v>100</v>
      </c>
    </row>
    <row r="1180" spans="1:12" x14ac:dyDescent="0.25">
      <c r="A1180" s="32">
        <v>46247</v>
      </c>
      <c r="B1180" s="33" t="s">
        <v>32</v>
      </c>
      <c r="C1180" s="33" t="s">
        <v>558</v>
      </c>
      <c r="D1180" s="33" t="s">
        <v>32</v>
      </c>
      <c r="E1180">
        <v>33</v>
      </c>
      <c r="F1180" s="34">
        <v>9.8298611111111114E-2</v>
      </c>
      <c r="G1180" s="34">
        <v>2.9787457912457912E-3</v>
      </c>
      <c r="H1180" s="34">
        <v>0</v>
      </c>
      <c r="I1180" s="34">
        <v>0</v>
      </c>
      <c r="J1180" s="35">
        <v>0</v>
      </c>
      <c r="K1180" s="33" t="s">
        <v>120</v>
      </c>
      <c r="L1180" s="33" t="s">
        <v>233</v>
      </c>
    </row>
    <row r="1181" spans="1:12" x14ac:dyDescent="0.25">
      <c r="A1181" s="32">
        <v>46247</v>
      </c>
      <c r="B1181" s="33" t="s">
        <v>32</v>
      </c>
      <c r="C1181" s="33" t="s">
        <v>507</v>
      </c>
      <c r="D1181" s="33" t="s">
        <v>32</v>
      </c>
      <c r="E1181">
        <v>34</v>
      </c>
      <c r="F1181" s="34">
        <v>0.14476851851851852</v>
      </c>
      <c r="G1181" s="34">
        <v>4.2578976034858386E-3</v>
      </c>
      <c r="H1181" s="34">
        <v>0</v>
      </c>
      <c r="I1181" s="34">
        <v>0</v>
      </c>
      <c r="J1181" s="35">
        <v>0</v>
      </c>
      <c r="K1181" s="33" t="s">
        <v>46</v>
      </c>
      <c r="L1181" s="33" t="s">
        <v>100</v>
      </c>
    </row>
    <row r="1182" spans="1:12" x14ac:dyDescent="0.25">
      <c r="A1182" s="32">
        <v>46247</v>
      </c>
      <c r="B1182" s="33" t="s">
        <v>32</v>
      </c>
      <c r="C1182" s="33" t="s">
        <v>517</v>
      </c>
      <c r="D1182" s="33" t="s">
        <v>147</v>
      </c>
      <c r="E1182">
        <v>3</v>
      </c>
      <c r="F1182" s="34">
        <v>2.8009259259259258E-2</v>
      </c>
      <c r="G1182" s="34">
        <v>9.3364197530864199E-3</v>
      </c>
      <c r="H1182" s="34">
        <v>0</v>
      </c>
      <c r="I1182" s="34">
        <v>0</v>
      </c>
      <c r="J1182" s="35">
        <v>0</v>
      </c>
      <c r="K1182" s="33" t="s">
        <v>499</v>
      </c>
      <c r="L1182" s="33" t="s">
        <v>146</v>
      </c>
    </row>
    <row r="1183" spans="1:12" x14ac:dyDescent="0.25">
      <c r="A1183" s="32">
        <v>46247</v>
      </c>
      <c r="B1183" s="33" t="s">
        <v>32</v>
      </c>
      <c r="C1183" s="33" t="s">
        <v>648</v>
      </c>
      <c r="D1183" s="33" t="s">
        <v>32</v>
      </c>
      <c r="E1183">
        <v>24</v>
      </c>
      <c r="F1183" s="34">
        <v>0.10888888888888888</v>
      </c>
      <c r="G1183" s="34">
        <v>4.5370370370370365E-3</v>
      </c>
      <c r="H1183" s="34">
        <v>0</v>
      </c>
      <c r="I1183" s="34">
        <v>0</v>
      </c>
      <c r="J1183" s="35">
        <v>0</v>
      </c>
      <c r="K1183" s="33" t="s">
        <v>647</v>
      </c>
      <c r="L1183" s="33" t="s">
        <v>233</v>
      </c>
    </row>
    <row r="1184" spans="1:12" x14ac:dyDescent="0.25">
      <c r="A1184" s="32">
        <v>46247</v>
      </c>
      <c r="B1184" s="33" t="s">
        <v>32</v>
      </c>
      <c r="C1184" s="33" t="s">
        <v>652</v>
      </c>
      <c r="D1184" s="33" t="s">
        <v>32</v>
      </c>
      <c r="E1184">
        <v>28</v>
      </c>
      <c r="F1184" s="34">
        <v>0.16274305555555554</v>
      </c>
      <c r="G1184" s="34">
        <v>5.8122519841269839E-3</v>
      </c>
      <c r="H1184" s="34">
        <v>0</v>
      </c>
      <c r="I1184" s="34">
        <v>0</v>
      </c>
      <c r="J1184" s="35">
        <v>0</v>
      </c>
      <c r="K1184" s="33" t="s">
        <v>651</v>
      </c>
      <c r="L1184" s="33" t="s">
        <v>100</v>
      </c>
    </row>
    <row r="1185" spans="1:12" x14ac:dyDescent="0.25">
      <c r="A1185" s="32">
        <v>46247</v>
      </c>
      <c r="B1185" s="33" t="s">
        <v>32</v>
      </c>
      <c r="C1185" s="33" t="s">
        <v>568</v>
      </c>
      <c r="D1185" s="33" t="s">
        <v>32</v>
      </c>
      <c r="E1185">
        <v>44</v>
      </c>
      <c r="F1185" s="34">
        <v>0.15034722222222222</v>
      </c>
      <c r="G1185" s="34">
        <v>3.4169823232323231E-3</v>
      </c>
      <c r="H1185" s="34">
        <v>0</v>
      </c>
      <c r="I1185" s="34">
        <v>0</v>
      </c>
      <c r="J1185" s="35">
        <v>0</v>
      </c>
      <c r="K1185" s="33" t="s">
        <v>246</v>
      </c>
      <c r="L1185" s="33" t="s">
        <v>233</v>
      </c>
    </row>
    <row r="1186" spans="1:12" x14ac:dyDescent="0.25">
      <c r="A1186" s="32">
        <v>46247</v>
      </c>
      <c r="B1186" s="33" t="s">
        <v>32</v>
      </c>
      <c r="C1186" s="33" t="s">
        <v>508</v>
      </c>
      <c r="D1186" s="33" t="s">
        <v>32</v>
      </c>
      <c r="E1186">
        <v>37</v>
      </c>
      <c r="F1186" s="34">
        <v>0.15008101851851852</v>
      </c>
      <c r="G1186" s="34">
        <v>4.0562437437437439E-3</v>
      </c>
      <c r="H1186" s="34">
        <v>0</v>
      </c>
      <c r="I1186" s="34">
        <v>0</v>
      </c>
      <c r="J1186" s="35">
        <v>0</v>
      </c>
      <c r="K1186" s="33" t="s">
        <v>48</v>
      </c>
      <c r="L1186" s="33" t="s">
        <v>100</v>
      </c>
    </row>
    <row r="1187" spans="1:12" x14ac:dyDescent="0.25">
      <c r="A1187" s="32">
        <v>46247</v>
      </c>
      <c r="B1187" s="33" t="s">
        <v>32</v>
      </c>
      <c r="C1187" s="33" t="s">
        <v>553</v>
      </c>
      <c r="D1187" s="33" t="s">
        <v>80</v>
      </c>
      <c r="E1187">
        <v>1</v>
      </c>
      <c r="F1187" s="34">
        <v>0.1897337962962963</v>
      </c>
      <c r="G1187" s="34">
        <v>0.1897337962962963</v>
      </c>
      <c r="H1187" s="34">
        <v>0</v>
      </c>
      <c r="I1187" s="34">
        <v>0</v>
      </c>
      <c r="J1187" s="35">
        <v>0</v>
      </c>
      <c r="K1187" s="33" t="s">
        <v>252</v>
      </c>
      <c r="L1187" s="33" t="s">
        <v>78</v>
      </c>
    </row>
    <row r="1188" spans="1:12" x14ac:dyDescent="0.25">
      <c r="A1188" s="32">
        <v>46247</v>
      </c>
      <c r="B1188" s="33" t="s">
        <v>32</v>
      </c>
      <c r="C1188" s="33" t="s">
        <v>518</v>
      </c>
      <c r="D1188" s="33" t="s">
        <v>147</v>
      </c>
      <c r="E1188">
        <v>7</v>
      </c>
      <c r="F1188" s="34">
        <v>2.2488425925925926E-2</v>
      </c>
      <c r="G1188" s="34">
        <v>3.212632275132275E-3</v>
      </c>
      <c r="H1188" s="34">
        <v>0</v>
      </c>
      <c r="I1188" s="34">
        <v>0</v>
      </c>
      <c r="J1188" s="35">
        <v>0</v>
      </c>
      <c r="K1188" s="33" t="s">
        <v>500</v>
      </c>
      <c r="L1188" s="33" t="s">
        <v>274</v>
      </c>
    </row>
    <row r="1189" spans="1:12" x14ac:dyDescent="0.25">
      <c r="A1189" s="32">
        <v>46247</v>
      </c>
      <c r="B1189" s="33" t="s">
        <v>32</v>
      </c>
      <c r="C1189" s="33" t="s">
        <v>684</v>
      </c>
      <c r="D1189" s="33" t="s">
        <v>32</v>
      </c>
      <c r="E1189">
        <v>12</v>
      </c>
      <c r="F1189" s="34">
        <v>7.3298611111111106E-2</v>
      </c>
      <c r="G1189" s="34">
        <v>6.1082175925925922E-3</v>
      </c>
      <c r="H1189" s="34">
        <v>0</v>
      </c>
      <c r="I1189" s="34">
        <v>0</v>
      </c>
      <c r="J1189" s="35">
        <v>0</v>
      </c>
      <c r="K1189" s="33" t="s">
        <v>683</v>
      </c>
      <c r="L1189" s="33" t="s">
        <v>233</v>
      </c>
    </row>
    <row r="1190" spans="1:12" x14ac:dyDescent="0.25">
      <c r="A1190" s="32">
        <v>46247</v>
      </c>
      <c r="B1190" s="33" t="s">
        <v>32</v>
      </c>
      <c r="C1190" s="33" t="s">
        <v>654</v>
      </c>
      <c r="D1190" s="33" t="s">
        <v>32</v>
      </c>
      <c r="E1190">
        <v>28</v>
      </c>
      <c r="F1190" s="34">
        <v>0.16</v>
      </c>
      <c r="G1190" s="34">
        <v>5.7142857142857143E-3</v>
      </c>
      <c r="H1190" s="34">
        <v>0</v>
      </c>
      <c r="I1190" s="34">
        <v>0</v>
      </c>
      <c r="J1190" s="35">
        <v>0</v>
      </c>
      <c r="K1190" s="33" t="s">
        <v>653</v>
      </c>
      <c r="L1190" s="33" t="s">
        <v>100</v>
      </c>
    </row>
    <row r="1191" spans="1:12" x14ac:dyDescent="0.25">
      <c r="A1191" s="32">
        <v>46247</v>
      </c>
      <c r="B1191" s="33" t="s">
        <v>32</v>
      </c>
      <c r="C1191" s="33" t="s">
        <v>519</v>
      </c>
      <c r="D1191" s="33" t="s">
        <v>147</v>
      </c>
      <c r="E1191">
        <v>3</v>
      </c>
      <c r="F1191" s="34">
        <v>1.6203703703703703E-3</v>
      </c>
      <c r="G1191" s="34">
        <v>5.4012345679012341E-4</v>
      </c>
      <c r="H1191" s="34">
        <v>0</v>
      </c>
      <c r="I1191" s="34">
        <v>0</v>
      </c>
      <c r="J1191" s="35">
        <v>0</v>
      </c>
      <c r="K1191" s="33" t="s">
        <v>164</v>
      </c>
      <c r="L1191" s="33" t="s">
        <v>146</v>
      </c>
    </row>
    <row r="1192" spans="1:12" x14ac:dyDescent="0.25">
      <c r="A1192" s="32">
        <v>46247</v>
      </c>
      <c r="B1192" s="33" t="s">
        <v>32</v>
      </c>
      <c r="C1192" s="33" t="s">
        <v>656</v>
      </c>
      <c r="D1192" s="33" t="s">
        <v>32</v>
      </c>
      <c r="E1192">
        <v>32</v>
      </c>
      <c r="F1192" s="34">
        <v>0.1370949074074074</v>
      </c>
      <c r="G1192" s="34">
        <v>4.2842158564814813E-3</v>
      </c>
      <c r="H1192" s="34">
        <v>0</v>
      </c>
      <c r="I1192" s="34">
        <v>0</v>
      </c>
      <c r="J1192" s="35">
        <v>0</v>
      </c>
      <c r="K1192" s="33" t="s">
        <v>655</v>
      </c>
      <c r="L1192" s="33" t="s">
        <v>100</v>
      </c>
    </row>
    <row r="1193" spans="1:12" x14ac:dyDescent="0.25">
      <c r="A1193" s="32">
        <v>46247</v>
      </c>
      <c r="B1193" s="33" t="s">
        <v>32</v>
      </c>
      <c r="C1193" s="33" t="s">
        <v>167</v>
      </c>
      <c r="D1193" s="33" t="s">
        <v>147</v>
      </c>
      <c r="E1193">
        <v>7</v>
      </c>
      <c r="F1193" s="34">
        <v>1.5416666666666667E-2</v>
      </c>
      <c r="G1193" s="34">
        <v>2.2023809523809526E-3</v>
      </c>
      <c r="H1193" s="34">
        <v>0</v>
      </c>
      <c r="I1193" s="34">
        <v>0</v>
      </c>
      <c r="J1193" s="35">
        <v>0</v>
      </c>
      <c r="K1193" s="33" t="s">
        <v>166</v>
      </c>
      <c r="L1193" s="33" t="s">
        <v>146</v>
      </c>
    </row>
    <row r="1194" spans="1:12" x14ac:dyDescent="0.25">
      <c r="A1194" s="32">
        <v>46247</v>
      </c>
      <c r="B1194" s="33" t="s">
        <v>32</v>
      </c>
      <c r="C1194" s="33" t="s">
        <v>658</v>
      </c>
      <c r="D1194" s="33" t="s">
        <v>147</v>
      </c>
      <c r="E1194">
        <v>6</v>
      </c>
      <c r="F1194" s="34">
        <v>1.8159722222222223E-2</v>
      </c>
      <c r="G1194" s="34">
        <v>3.0266203703703705E-3</v>
      </c>
      <c r="H1194" s="34">
        <v>0</v>
      </c>
      <c r="I1194" s="34">
        <v>0</v>
      </c>
      <c r="J1194" s="35">
        <v>0</v>
      </c>
      <c r="K1194" s="33" t="s">
        <v>657</v>
      </c>
      <c r="L1194" s="33" t="s">
        <v>274</v>
      </c>
    </row>
    <row r="1195" spans="1:12" x14ac:dyDescent="0.25">
      <c r="A1195" s="32">
        <v>46247</v>
      </c>
      <c r="B1195" s="33" t="s">
        <v>32</v>
      </c>
      <c r="C1195" s="33" t="s">
        <v>660</v>
      </c>
      <c r="D1195" s="33" t="s">
        <v>32</v>
      </c>
      <c r="E1195">
        <v>1</v>
      </c>
      <c r="F1195" s="34">
        <v>4.31712962962963E-3</v>
      </c>
      <c r="G1195" s="34">
        <v>4.31712962962963E-3</v>
      </c>
      <c r="H1195" s="34">
        <v>0</v>
      </c>
      <c r="I1195" s="34">
        <v>0</v>
      </c>
      <c r="J1195" s="35">
        <v>0</v>
      </c>
      <c r="K1195" s="33" t="s">
        <v>659</v>
      </c>
      <c r="L1195" s="33" t="s">
        <v>100</v>
      </c>
    </row>
    <row r="1196" spans="1:12" x14ac:dyDescent="0.25">
      <c r="A1196" s="32">
        <v>46247</v>
      </c>
      <c r="B1196" s="33" t="s">
        <v>32</v>
      </c>
      <c r="C1196" s="33" t="s">
        <v>528</v>
      </c>
      <c r="D1196" s="33" t="s">
        <v>32</v>
      </c>
      <c r="E1196">
        <v>16</v>
      </c>
      <c r="F1196" s="34">
        <v>7.8310185185185191E-2</v>
      </c>
      <c r="G1196" s="34">
        <v>4.8943865740740744E-3</v>
      </c>
      <c r="H1196" s="34">
        <v>0</v>
      </c>
      <c r="I1196" s="34">
        <v>0</v>
      </c>
      <c r="J1196" s="35">
        <v>0</v>
      </c>
      <c r="K1196" s="33" t="s">
        <v>254</v>
      </c>
      <c r="L1196" s="33" t="s">
        <v>233</v>
      </c>
    </row>
    <row r="1197" spans="1:12" x14ac:dyDescent="0.25">
      <c r="A1197" s="32">
        <v>46247</v>
      </c>
      <c r="B1197" s="33" t="s">
        <v>32</v>
      </c>
      <c r="C1197" s="33" t="s">
        <v>520</v>
      </c>
      <c r="D1197" s="33" t="s">
        <v>147</v>
      </c>
      <c r="E1197">
        <v>2</v>
      </c>
      <c r="F1197" s="34">
        <v>7.1759259259259259E-4</v>
      </c>
      <c r="G1197" s="34">
        <v>3.5879629629629629E-4</v>
      </c>
      <c r="H1197" s="34">
        <v>0</v>
      </c>
      <c r="I1197" s="34">
        <v>0</v>
      </c>
      <c r="J1197" s="35">
        <v>0</v>
      </c>
      <c r="K1197" s="33" t="s">
        <v>168</v>
      </c>
      <c r="L1197" s="33" t="s">
        <v>274</v>
      </c>
    </row>
    <row r="1198" spans="1:12" x14ac:dyDescent="0.25">
      <c r="A1198" s="32">
        <v>46247</v>
      </c>
      <c r="B1198" s="33" t="s">
        <v>32</v>
      </c>
      <c r="C1198" s="33" t="s">
        <v>521</v>
      </c>
      <c r="D1198" s="33" t="s">
        <v>147</v>
      </c>
      <c r="E1198">
        <v>3</v>
      </c>
      <c r="F1198" s="34">
        <v>1.7002314814814814E-2</v>
      </c>
      <c r="G1198" s="34">
        <v>5.6674382716049377E-3</v>
      </c>
      <c r="H1198" s="34">
        <v>0</v>
      </c>
      <c r="I1198" s="34">
        <v>0</v>
      </c>
      <c r="J1198" s="35">
        <v>0</v>
      </c>
      <c r="K1198" s="33" t="s">
        <v>170</v>
      </c>
      <c r="L1198" s="33" t="s">
        <v>146</v>
      </c>
    </row>
    <row r="1199" spans="1:12" x14ac:dyDescent="0.25">
      <c r="A1199" s="32">
        <v>46247</v>
      </c>
      <c r="B1199" s="33" t="s">
        <v>32</v>
      </c>
      <c r="C1199" s="33" t="s">
        <v>633</v>
      </c>
      <c r="D1199" s="33" t="s">
        <v>147</v>
      </c>
      <c r="E1199">
        <v>3</v>
      </c>
      <c r="F1199" s="34">
        <v>1.6469907407407409E-2</v>
      </c>
      <c r="G1199" s="34">
        <v>5.4899691358024699E-3</v>
      </c>
      <c r="H1199" s="34">
        <v>0</v>
      </c>
      <c r="I1199" s="34">
        <v>0</v>
      </c>
      <c r="J1199" s="35">
        <v>0</v>
      </c>
      <c r="K1199" s="33" t="s">
        <v>606</v>
      </c>
      <c r="L1199" s="33" t="s">
        <v>146</v>
      </c>
    </row>
    <row r="1200" spans="1:12" x14ac:dyDescent="0.25">
      <c r="A1200" s="32">
        <v>46247</v>
      </c>
      <c r="B1200" s="33" t="s">
        <v>32</v>
      </c>
      <c r="C1200" s="33" t="s">
        <v>529</v>
      </c>
      <c r="D1200" s="33" t="s">
        <v>32</v>
      </c>
      <c r="E1200">
        <v>14</v>
      </c>
      <c r="F1200" s="34">
        <v>9.616898148148148E-2</v>
      </c>
      <c r="G1200" s="34">
        <v>6.8692129629629632E-3</v>
      </c>
      <c r="H1200" s="34">
        <v>0</v>
      </c>
      <c r="I1200" s="34">
        <v>0</v>
      </c>
      <c r="J1200" s="35">
        <v>0</v>
      </c>
      <c r="K1200" s="33" t="s">
        <v>256</v>
      </c>
      <c r="L1200" s="33" t="s">
        <v>233</v>
      </c>
    </row>
    <row r="1201" spans="1:12" x14ac:dyDescent="0.25">
      <c r="A1201" s="32">
        <v>46247</v>
      </c>
      <c r="B1201" s="33" t="s">
        <v>32</v>
      </c>
      <c r="C1201" s="33" t="s">
        <v>662</v>
      </c>
      <c r="D1201" s="33" t="s">
        <v>32</v>
      </c>
      <c r="E1201">
        <v>28</v>
      </c>
      <c r="F1201" s="34">
        <v>0.12038194444444444</v>
      </c>
      <c r="G1201" s="34">
        <v>4.2993551587301587E-3</v>
      </c>
      <c r="H1201" s="34">
        <v>0</v>
      </c>
      <c r="I1201" s="34">
        <v>0</v>
      </c>
      <c r="J1201" s="35">
        <v>0</v>
      </c>
      <c r="K1201" s="33" t="s">
        <v>661</v>
      </c>
      <c r="L1201" s="33" t="s">
        <v>100</v>
      </c>
    </row>
    <row r="1202" spans="1:12" x14ac:dyDescent="0.25">
      <c r="A1202" s="32">
        <v>46247</v>
      </c>
      <c r="B1202" s="33" t="s">
        <v>32</v>
      </c>
      <c r="C1202" s="33" t="s">
        <v>664</v>
      </c>
      <c r="D1202" s="33" t="s">
        <v>32</v>
      </c>
      <c r="E1202">
        <v>12</v>
      </c>
      <c r="F1202" s="34">
        <v>0.12512731481481482</v>
      </c>
      <c r="G1202" s="34">
        <v>1.0427276234567901E-2</v>
      </c>
      <c r="H1202" s="34">
        <v>0</v>
      </c>
      <c r="I1202" s="34">
        <v>0</v>
      </c>
      <c r="J1202" s="35">
        <v>0</v>
      </c>
      <c r="K1202" s="33" t="s">
        <v>663</v>
      </c>
      <c r="L1202" s="33" t="s">
        <v>233</v>
      </c>
    </row>
    <row r="1203" spans="1:12" x14ac:dyDescent="0.25">
      <c r="A1203" s="32">
        <v>46247</v>
      </c>
      <c r="B1203" s="33" t="s">
        <v>32</v>
      </c>
      <c r="C1203" s="33" t="s">
        <v>666</v>
      </c>
      <c r="D1203" s="33" t="s">
        <v>32</v>
      </c>
      <c r="E1203">
        <v>53</v>
      </c>
      <c r="F1203" s="34">
        <v>0.19023148148148147</v>
      </c>
      <c r="G1203" s="34">
        <v>3.5892732354996506E-3</v>
      </c>
      <c r="H1203" s="34">
        <v>0</v>
      </c>
      <c r="I1203" s="34">
        <v>0</v>
      </c>
      <c r="J1203" s="35">
        <v>0</v>
      </c>
      <c r="K1203" s="33" t="s">
        <v>665</v>
      </c>
      <c r="L1203" s="33" t="s">
        <v>100</v>
      </c>
    </row>
    <row r="1204" spans="1:12" x14ac:dyDescent="0.25">
      <c r="A1204" s="32">
        <v>46247</v>
      </c>
      <c r="B1204" s="33" t="s">
        <v>32</v>
      </c>
      <c r="C1204" s="33" t="s">
        <v>530</v>
      </c>
      <c r="D1204" s="33" t="s">
        <v>80</v>
      </c>
      <c r="E1204">
        <v>1</v>
      </c>
      <c r="F1204" s="34">
        <v>2.9976851851851853E-3</v>
      </c>
      <c r="G1204" s="34">
        <v>2.9976851851851853E-3</v>
      </c>
      <c r="H1204" s="34">
        <v>0</v>
      </c>
      <c r="I1204" s="34">
        <v>0</v>
      </c>
      <c r="J1204" s="35">
        <v>0</v>
      </c>
      <c r="K1204" s="33" t="s">
        <v>264</v>
      </c>
      <c r="L1204" s="33" t="s">
        <v>78</v>
      </c>
    </row>
    <row r="1205" spans="1:12" x14ac:dyDescent="0.25">
      <c r="A1205" s="32">
        <v>46247</v>
      </c>
      <c r="B1205" s="33" t="s">
        <v>32</v>
      </c>
      <c r="C1205" s="33" t="s">
        <v>555</v>
      </c>
      <c r="D1205" s="33" t="s">
        <v>32</v>
      </c>
      <c r="E1205">
        <v>34</v>
      </c>
      <c r="F1205" s="34">
        <v>0.11008101851851852</v>
      </c>
      <c r="G1205" s="34">
        <v>3.2376770152505448E-3</v>
      </c>
      <c r="H1205" s="34">
        <v>0</v>
      </c>
      <c r="I1205" s="34">
        <v>0</v>
      </c>
      <c r="J1205" s="35">
        <v>0</v>
      </c>
      <c r="K1205" s="33" t="s">
        <v>128</v>
      </c>
      <c r="L1205" s="33" t="s">
        <v>233</v>
      </c>
    </row>
    <row r="1206" spans="1:12" x14ac:dyDescent="0.25">
      <c r="A1206" s="32">
        <v>46247</v>
      </c>
      <c r="B1206" s="33" t="s">
        <v>32</v>
      </c>
      <c r="C1206" s="33" t="s">
        <v>522</v>
      </c>
      <c r="D1206" s="33" t="s">
        <v>147</v>
      </c>
      <c r="E1206">
        <v>5</v>
      </c>
      <c r="F1206" s="34">
        <v>1.9710648148148147E-2</v>
      </c>
      <c r="G1206" s="34">
        <v>3.9421296296296296E-3</v>
      </c>
      <c r="H1206" s="34">
        <v>0</v>
      </c>
      <c r="I1206" s="34">
        <v>0</v>
      </c>
      <c r="J1206" s="35">
        <v>0</v>
      </c>
      <c r="K1206" s="33" t="s">
        <v>178</v>
      </c>
      <c r="L1206" s="33" t="s">
        <v>146</v>
      </c>
    </row>
    <row r="1207" spans="1:12" x14ac:dyDescent="0.25">
      <c r="A1207" s="32">
        <v>46247</v>
      </c>
      <c r="B1207" s="33" t="s">
        <v>32</v>
      </c>
      <c r="C1207" s="33" t="s">
        <v>523</v>
      </c>
      <c r="D1207" s="33" t="s">
        <v>147</v>
      </c>
      <c r="E1207">
        <v>6</v>
      </c>
      <c r="F1207" s="34">
        <v>4.6122685185185183E-2</v>
      </c>
      <c r="G1207" s="34">
        <v>7.6871141975308642E-3</v>
      </c>
      <c r="H1207" s="34">
        <v>0</v>
      </c>
      <c r="I1207" s="34">
        <v>0</v>
      </c>
      <c r="J1207" s="35">
        <v>0</v>
      </c>
      <c r="K1207" s="33" t="s">
        <v>180</v>
      </c>
      <c r="L1207" s="33" t="s">
        <v>146</v>
      </c>
    </row>
    <row r="1208" spans="1:12" x14ac:dyDescent="0.25">
      <c r="A1208" s="32">
        <v>46247</v>
      </c>
      <c r="B1208" s="33" t="s">
        <v>32</v>
      </c>
      <c r="C1208" s="33" t="s">
        <v>566</v>
      </c>
      <c r="D1208" s="33" t="s">
        <v>147</v>
      </c>
      <c r="E1208">
        <v>4</v>
      </c>
      <c r="F1208" s="34">
        <v>9.8379629629629633E-3</v>
      </c>
      <c r="G1208" s="34">
        <v>2.4594907407407408E-3</v>
      </c>
      <c r="H1208" s="34">
        <v>0</v>
      </c>
      <c r="I1208" s="34">
        <v>0</v>
      </c>
      <c r="J1208" s="35">
        <v>0</v>
      </c>
      <c r="K1208" s="33" t="s">
        <v>207</v>
      </c>
      <c r="L1208" s="33" t="s">
        <v>274</v>
      </c>
    </row>
    <row r="1209" spans="1:12" x14ac:dyDescent="0.25">
      <c r="A1209" s="32">
        <v>46247</v>
      </c>
      <c r="B1209" s="33" t="s">
        <v>32</v>
      </c>
      <c r="C1209" s="33" t="s">
        <v>510</v>
      </c>
      <c r="D1209" s="33" t="s">
        <v>32</v>
      </c>
      <c r="E1209">
        <v>32</v>
      </c>
      <c r="F1209" s="34">
        <v>0.16442129629629629</v>
      </c>
      <c r="G1209" s="34">
        <v>5.138165509259259E-3</v>
      </c>
      <c r="H1209" s="34">
        <v>0</v>
      </c>
      <c r="I1209" s="34">
        <v>0</v>
      </c>
      <c r="J1209" s="35">
        <v>0</v>
      </c>
      <c r="K1209" s="33" t="s">
        <v>60</v>
      </c>
      <c r="L1209" s="33" t="s">
        <v>100</v>
      </c>
    </row>
    <row r="1210" spans="1:12" x14ac:dyDescent="0.25">
      <c r="A1210" s="32">
        <v>46247</v>
      </c>
      <c r="B1210" s="33" t="s">
        <v>32</v>
      </c>
      <c r="C1210" s="33" t="s">
        <v>512</v>
      </c>
      <c r="D1210" s="33" t="s">
        <v>105</v>
      </c>
      <c r="E1210">
        <v>5</v>
      </c>
      <c r="F1210" s="34">
        <v>3.6701388888888888E-2</v>
      </c>
      <c r="G1210" s="34">
        <v>7.3402777777777772E-3</v>
      </c>
      <c r="H1210" s="34">
        <v>0</v>
      </c>
      <c r="I1210" s="34">
        <v>0</v>
      </c>
      <c r="J1210" s="35">
        <v>0</v>
      </c>
      <c r="K1210" s="33" t="s">
        <v>132</v>
      </c>
      <c r="L1210" s="33" t="s">
        <v>104</v>
      </c>
    </row>
    <row r="1211" spans="1:12" x14ac:dyDescent="0.25">
      <c r="A1211" s="32">
        <v>46247</v>
      </c>
      <c r="B1211" s="33" t="s">
        <v>32</v>
      </c>
      <c r="C1211" s="33" t="s">
        <v>524</v>
      </c>
      <c r="D1211" s="33" t="s">
        <v>147</v>
      </c>
      <c r="E1211">
        <v>4</v>
      </c>
      <c r="F1211" s="34">
        <v>2.013888888888889E-2</v>
      </c>
      <c r="G1211" s="34">
        <v>5.0347222222222225E-3</v>
      </c>
      <c r="H1211" s="34">
        <v>0</v>
      </c>
      <c r="I1211" s="34">
        <v>0</v>
      </c>
      <c r="J1211" s="35">
        <v>0</v>
      </c>
      <c r="K1211" s="33" t="s">
        <v>501</v>
      </c>
      <c r="L1211" s="33" t="s">
        <v>274</v>
      </c>
    </row>
    <row r="1212" spans="1:12" x14ac:dyDescent="0.25">
      <c r="A1212" s="32">
        <v>46247</v>
      </c>
      <c r="B1212" s="33" t="s">
        <v>32</v>
      </c>
      <c r="C1212" s="33" t="s">
        <v>669</v>
      </c>
      <c r="D1212" s="33" t="s">
        <v>32</v>
      </c>
      <c r="E1212">
        <v>27</v>
      </c>
      <c r="F1212" s="34">
        <v>0.11280092592592593</v>
      </c>
      <c r="G1212" s="34">
        <v>4.1778120713305902E-3</v>
      </c>
      <c r="H1212" s="34">
        <v>0</v>
      </c>
      <c r="I1212" s="34">
        <v>0</v>
      </c>
      <c r="J1212" s="35">
        <v>0</v>
      </c>
      <c r="K1212" s="33" t="s">
        <v>668</v>
      </c>
      <c r="L1212" s="33" t="s">
        <v>233</v>
      </c>
    </row>
    <row r="1213" spans="1:12" x14ac:dyDescent="0.25">
      <c r="A1213" s="32">
        <v>46247</v>
      </c>
      <c r="B1213" s="33" t="s">
        <v>32</v>
      </c>
      <c r="C1213" s="33" t="s">
        <v>306</v>
      </c>
      <c r="D1213" s="33" t="s">
        <v>32</v>
      </c>
      <c r="E1213">
        <v>35</v>
      </c>
      <c r="F1213" s="34">
        <v>0.14516203703703703</v>
      </c>
      <c r="G1213" s="34">
        <v>4.1474867724867722E-3</v>
      </c>
      <c r="H1213" s="34">
        <v>0</v>
      </c>
      <c r="I1213" s="34">
        <v>0</v>
      </c>
      <c r="J1213" s="35">
        <v>0</v>
      </c>
      <c r="K1213" s="33" t="s">
        <v>305</v>
      </c>
      <c r="L1213" s="33" t="s">
        <v>100</v>
      </c>
    </row>
    <row r="1214" spans="1:12" x14ac:dyDescent="0.25">
      <c r="A1214" s="32">
        <v>46247</v>
      </c>
      <c r="B1214" s="33" t="s">
        <v>32</v>
      </c>
      <c r="C1214" s="33" t="s">
        <v>556</v>
      </c>
      <c r="D1214" s="33" t="s">
        <v>105</v>
      </c>
      <c r="E1214">
        <v>5</v>
      </c>
      <c r="F1214" s="34">
        <v>2.7905092592592592E-2</v>
      </c>
      <c r="G1214" s="34">
        <v>5.5810185185185181E-3</v>
      </c>
      <c r="H1214" s="34">
        <v>0</v>
      </c>
      <c r="I1214" s="34">
        <v>0</v>
      </c>
      <c r="J1214" s="35">
        <v>0</v>
      </c>
      <c r="K1214" s="33" t="s">
        <v>138</v>
      </c>
      <c r="L1214" s="33" t="s">
        <v>104</v>
      </c>
    </row>
    <row r="1215" spans="1:12" x14ac:dyDescent="0.25">
      <c r="A1215" s="32">
        <v>46247</v>
      </c>
      <c r="B1215" s="33" t="s">
        <v>32</v>
      </c>
      <c r="C1215" s="33" t="s">
        <v>532</v>
      </c>
      <c r="D1215" s="33" t="s">
        <v>32</v>
      </c>
      <c r="E1215">
        <v>39</v>
      </c>
      <c r="F1215" s="34">
        <v>0.12811342592592592</v>
      </c>
      <c r="G1215" s="34">
        <v>3.2849596391263058E-3</v>
      </c>
      <c r="H1215" s="34">
        <v>0</v>
      </c>
      <c r="I1215" s="34">
        <v>0</v>
      </c>
      <c r="J1215" s="35">
        <v>0</v>
      </c>
      <c r="K1215" s="33" t="s">
        <v>276</v>
      </c>
      <c r="L1215" s="33" t="s">
        <v>233</v>
      </c>
    </row>
    <row r="1216" spans="1:12" x14ac:dyDescent="0.25">
      <c r="A1216" s="32">
        <v>46247</v>
      </c>
      <c r="B1216" s="33" t="s">
        <v>32</v>
      </c>
      <c r="C1216" s="33" t="s">
        <v>533</v>
      </c>
      <c r="D1216" s="33" t="s">
        <v>32</v>
      </c>
      <c r="E1216">
        <v>19</v>
      </c>
      <c r="F1216" s="34">
        <v>0.10445601851851852</v>
      </c>
      <c r="G1216" s="34">
        <v>5.4976851851851853E-3</v>
      </c>
      <c r="H1216" s="34">
        <v>0</v>
      </c>
      <c r="I1216" s="34">
        <v>0</v>
      </c>
      <c r="J1216" s="35">
        <v>0</v>
      </c>
      <c r="K1216" s="33" t="s">
        <v>278</v>
      </c>
      <c r="L1216" s="33" t="s">
        <v>233</v>
      </c>
    </row>
    <row r="1217" spans="1:12" x14ac:dyDescent="0.25">
      <c r="A1217" s="32">
        <v>46247</v>
      </c>
      <c r="B1217" s="33" t="s">
        <v>32</v>
      </c>
      <c r="C1217" s="33" t="s">
        <v>674</v>
      </c>
      <c r="D1217" s="33" t="s">
        <v>105</v>
      </c>
      <c r="E1217">
        <v>6</v>
      </c>
      <c r="F1217" s="34">
        <v>2.4525462962962964E-2</v>
      </c>
      <c r="G1217" s="34">
        <v>4.0875771604938277E-3</v>
      </c>
      <c r="H1217" s="34">
        <v>0</v>
      </c>
      <c r="I1217" s="34">
        <v>0</v>
      </c>
      <c r="J1217" s="35">
        <v>0</v>
      </c>
      <c r="K1217" s="33" t="s">
        <v>673</v>
      </c>
      <c r="L1217" s="33" t="s">
        <v>104</v>
      </c>
    </row>
    <row r="1218" spans="1:12" x14ac:dyDescent="0.25">
      <c r="A1218" s="32">
        <v>46247</v>
      </c>
      <c r="B1218" s="33" t="s">
        <v>32</v>
      </c>
      <c r="C1218" s="33" t="s">
        <v>534</v>
      </c>
      <c r="D1218" s="33" t="s">
        <v>32</v>
      </c>
      <c r="E1218">
        <v>23</v>
      </c>
      <c r="F1218" s="34">
        <v>9.7951388888888893E-2</v>
      </c>
      <c r="G1218" s="34">
        <v>4.258756038647343E-3</v>
      </c>
      <c r="H1218" s="34">
        <v>0</v>
      </c>
      <c r="I1218" s="34">
        <v>0</v>
      </c>
      <c r="J1218" s="35">
        <v>0</v>
      </c>
      <c r="K1218" s="33" t="s">
        <v>280</v>
      </c>
      <c r="L1218" s="33" t="s">
        <v>233</v>
      </c>
    </row>
    <row r="1219" spans="1:12" x14ac:dyDescent="0.25">
      <c r="A1219" s="32">
        <v>46247</v>
      </c>
      <c r="B1219" s="33" t="s">
        <v>32</v>
      </c>
      <c r="C1219" s="33" t="s">
        <v>535</v>
      </c>
      <c r="D1219" s="33" t="s">
        <v>32</v>
      </c>
      <c r="E1219">
        <v>41</v>
      </c>
      <c r="F1219" s="34">
        <v>5.9768518518518519E-2</v>
      </c>
      <c r="G1219" s="34">
        <v>1.4577687443541102E-3</v>
      </c>
      <c r="H1219" s="34">
        <v>0</v>
      </c>
      <c r="I1219" s="34">
        <v>0</v>
      </c>
      <c r="J1219" s="35">
        <v>0</v>
      </c>
      <c r="K1219" s="33" t="s">
        <v>282</v>
      </c>
      <c r="L1219" s="33" t="s">
        <v>233</v>
      </c>
    </row>
    <row r="1220" spans="1:12" x14ac:dyDescent="0.25">
      <c r="A1220" s="32">
        <v>46247</v>
      </c>
      <c r="B1220" s="33" t="s">
        <v>32</v>
      </c>
      <c r="C1220" s="33" t="s">
        <v>557</v>
      </c>
      <c r="D1220" s="33" t="s">
        <v>147</v>
      </c>
      <c r="E1220">
        <v>2</v>
      </c>
      <c r="F1220" s="34">
        <v>3.2233796296296295E-2</v>
      </c>
      <c r="G1220" s="34">
        <v>1.6116898148148148E-2</v>
      </c>
      <c r="H1220" s="34">
        <v>0</v>
      </c>
      <c r="I1220" s="34">
        <v>0</v>
      </c>
      <c r="J1220" s="35">
        <v>0</v>
      </c>
      <c r="K1220" s="33" t="s">
        <v>227</v>
      </c>
      <c r="L1220" s="33" t="s">
        <v>146</v>
      </c>
    </row>
    <row r="1221" spans="1:12" x14ac:dyDescent="0.25">
      <c r="A1221" s="32">
        <v>46247</v>
      </c>
      <c r="B1221" s="33" t="s">
        <v>32</v>
      </c>
      <c r="C1221" s="33" t="s">
        <v>678</v>
      </c>
      <c r="D1221" s="33" t="s">
        <v>147</v>
      </c>
      <c r="E1221">
        <v>9</v>
      </c>
      <c r="F1221" s="34">
        <v>2.8900462962962965E-2</v>
      </c>
      <c r="G1221" s="34">
        <v>3.2111625514403292E-3</v>
      </c>
      <c r="H1221" s="34">
        <v>0</v>
      </c>
      <c r="I1221" s="34">
        <v>0</v>
      </c>
      <c r="J1221" s="35">
        <v>0</v>
      </c>
      <c r="K1221" s="33" t="s">
        <v>677</v>
      </c>
      <c r="L1221" s="33" t="s">
        <v>274</v>
      </c>
    </row>
    <row r="1222" spans="1:12" x14ac:dyDescent="0.25">
      <c r="A1222" s="32">
        <v>46247</v>
      </c>
      <c r="B1222" s="33" t="s">
        <v>600</v>
      </c>
      <c r="C1222" s="33" t="s">
        <v>545</v>
      </c>
      <c r="D1222" s="33" t="s">
        <v>600</v>
      </c>
      <c r="E1222">
        <v>24</v>
      </c>
      <c r="F1222" s="34">
        <v>7.408564814814815E-2</v>
      </c>
      <c r="G1222" s="34">
        <v>3.0869020061728395E-3</v>
      </c>
      <c r="H1222" s="34">
        <v>0</v>
      </c>
      <c r="I1222" s="34">
        <v>0</v>
      </c>
      <c r="J1222" s="35">
        <v>0</v>
      </c>
      <c r="K1222" s="33" t="s">
        <v>201</v>
      </c>
      <c r="L1222" s="33" t="s">
        <v>601</v>
      </c>
    </row>
    <row r="1223" spans="1:12" x14ac:dyDescent="0.25">
      <c r="A1223" s="32">
        <v>46247</v>
      </c>
      <c r="B1223" s="33" t="s">
        <v>600</v>
      </c>
      <c r="C1223" s="33" t="s">
        <v>543</v>
      </c>
      <c r="D1223" s="33" t="s">
        <v>600</v>
      </c>
      <c r="E1223">
        <v>39</v>
      </c>
      <c r="F1223" s="34">
        <v>7.4097222222222217E-2</v>
      </c>
      <c r="G1223" s="34">
        <v>1.8999287749287747E-3</v>
      </c>
      <c r="H1223" s="34">
        <v>0</v>
      </c>
      <c r="I1223" s="34">
        <v>0</v>
      </c>
      <c r="J1223" s="35">
        <v>0</v>
      </c>
      <c r="K1223" s="33" t="s">
        <v>293</v>
      </c>
      <c r="L1223" s="33" t="s">
        <v>104</v>
      </c>
    </row>
    <row r="1224" spans="1:12" x14ac:dyDescent="0.25">
      <c r="A1224" s="32">
        <v>46248</v>
      </c>
      <c r="B1224" s="33" t="s">
        <v>147</v>
      </c>
      <c r="C1224" s="33" t="s">
        <v>563</v>
      </c>
      <c r="D1224" s="33" t="s">
        <v>147</v>
      </c>
      <c r="E1224">
        <v>9</v>
      </c>
      <c r="F1224" s="34">
        <v>3.1458333333333331E-2</v>
      </c>
      <c r="G1224" s="34">
        <v>3.49537037037037E-3</v>
      </c>
      <c r="H1224" s="34">
        <v>0.25394675925925925</v>
      </c>
      <c r="I1224" s="34">
        <v>3.2430555555555553E-2</v>
      </c>
      <c r="J1224" s="35">
        <v>0.1277061209607584</v>
      </c>
      <c r="K1224" s="33" t="s">
        <v>193</v>
      </c>
      <c r="L1224" s="33" t="s">
        <v>274</v>
      </c>
    </row>
    <row r="1225" spans="1:12" x14ac:dyDescent="0.25">
      <c r="A1225" s="32">
        <v>46248</v>
      </c>
      <c r="B1225" s="33" t="s">
        <v>147</v>
      </c>
      <c r="C1225" s="33" t="s">
        <v>514</v>
      </c>
      <c r="D1225" s="33" t="s">
        <v>147</v>
      </c>
      <c r="E1225">
        <v>14</v>
      </c>
      <c r="F1225" s="34">
        <v>2.8333333333333332E-2</v>
      </c>
      <c r="G1225" s="34">
        <v>2.0238095238095236E-3</v>
      </c>
      <c r="H1225" s="34">
        <v>0.25425925925925924</v>
      </c>
      <c r="I1225" s="34">
        <v>2.7708333333333335E-2</v>
      </c>
      <c r="J1225" s="35">
        <v>0.10897669337217773</v>
      </c>
      <c r="K1225" s="33" t="s">
        <v>150</v>
      </c>
      <c r="L1225" s="33" t="s">
        <v>146</v>
      </c>
    </row>
    <row r="1226" spans="1:12" x14ac:dyDescent="0.25">
      <c r="A1226" s="32">
        <v>46248</v>
      </c>
      <c r="B1226" s="33" t="s">
        <v>147</v>
      </c>
      <c r="C1226" s="33" t="s">
        <v>515</v>
      </c>
      <c r="D1226" s="33" t="s">
        <v>147</v>
      </c>
      <c r="E1226">
        <v>6</v>
      </c>
      <c r="F1226" s="34">
        <v>1.7847222222222223E-2</v>
      </c>
      <c r="G1226" s="34">
        <v>2.9745370370370373E-3</v>
      </c>
      <c r="H1226" s="34">
        <v>0.25439814814814815</v>
      </c>
      <c r="I1226" s="34">
        <v>2.929398148148148E-2</v>
      </c>
      <c r="J1226" s="35">
        <v>0.1151501364877161</v>
      </c>
      <c r="K1226" s="33" t="s">
        <v>154</v>
      </c>
      <c r="L1226" s="33" t="s">
        <v>146</v>
      </c>
    </row>
    <row r="1227" spans="1:12" x14ac:dyDescent="0.25">
      <c r="A1227" s="32">
        <v>46248</v>
      </c>
      <c r="B1227" s="33" t="s">
        <v>147</v>
      </c>
      <c r="C1227" s="33" t="s">
        <v>516</v>
      </c>
      <c r="D1227" s="33" t="s">
        <v>147</v>
      </c>
      <c r="E1227">
        <v>10</v>
      </c>
      <c r="F1227" s="34">
        <v>1.6805555555555556E-2</v>
      </c>
      <c r="G1227" s="34">
        <v>1.6805555555555556E-3</v>
      </c>
      <c r="H1227" s="34">
        <v>0.27120370370370372</v>
      </c>
      <c r="I1227" s="34">
        <v>3.1932870370370368E-2</v>
      </c>
      <c r="J1227" s="35">
        <v>0.11774496415158756</v>
      </c>
      <c r="K1227" s="33" t="s">
        <v>156</v>
      </c>
      <c r="L1227" s="33" t="s">
        <v>146</v>
      </c>
    </row>
    <row r="1228" spans="1:12" x14ac:dyDescent="0.25">
      <c r="A1228" s="32">
        <v>46248</v>
      </c>
      <c r="B1228" s="33" t="s">
        <v>147</v>
      </c>
      <c r="C1228" s="33" t="s">
        <v>544</v>
      </c>
      <c r="D1228" s="33" t="s">
        <v>147</v>
      </c>
      <c r="E1228">
        <v>7</v>
      </c>
      <c r="F1228" s="34">
        <v>2.4120370370370372E-2</v>
      </c>
      <c r="G1228" s="34">
        <v>3.445767195767196E-3</v>
      </c>
      <c r="H1228" s="34">
        <v>0.25603009259259257</v>
      </c>
      <c r="I1228" s="34">
        <v>4.6516203703703705E-2</v>
      </c>
      <c r="J1228" s="35">
        <v>0.1816825640793816</v>
      </c>
      <c r="K1228" s="33" t="s">
        <v>160</v>
      </c>
      <c r="L1228" s="33" t="s">
        <v>146</v>
      </c>
    </row>
    <row r="1229" spans="1:12" x14ac:dyDescent="0.25">
      <c r="A1229" s="32">
        <v>46248</v>
      </c>
      <c r="B1229" s="33" t="s">
        <v>147</v>
      </c>
      <c r="C1229" s="33" t="s">
        <v>517</v>
      </c>
      <c r="D1229" s="33" t="s">
        <v>147</v>
      </c>
      <c r="E1229">
        <v>6</v>
      </c>
      <c r="F1229" s="34">
        <v>2.7152777777777779E-2</v>
      </c>
      <c r="G1229" s="34">
        <v>4.5254629629629629E-3</v>
      </c>
      <c r="H1229" s="34">
        <v>0.24078703703703705</v>
      </c>
      <c r="I1229" s="34">
        <v>4.7939814814814817E-2</v>
      </c>
      <c r="J1229" s="35">
        <v>0.19909632762930204</v>
      </c>
      <c r="K1229" s="33" t="s">
        <v>499</v>
      </c>
      <c r="L1229" s="33" t="s">
        <v>146</v>
      </c>
    </row>
    <row r="1230" spans="1:12" x14ac:dyDescent="0.25">
      <c r="A1230" s="32">
        <v>46248</v>
      </c>
      <c r="B1230" s="33" t="s">
        <v>147</v>
      </c>
      <c r="C1230" s="33" t="s">
        <v>518</v>
      </c>
      <c r="D1230" s="33" t="s">
        <v>147</v>
      </c>
      <c r="E1230">
        <v>8</v>
      </c>
      <c r="F1230" s="34">
        <v>3.9155092592592596E-2</v>
      </c>
      <c r="G1230" s="34">
        <v>4.8943865740740744E-3</v>
      </c>
      <c r="H1230" s="34">
        <v>0.25603009259259257</v>
      </c>
      <c r="I1230" s="34">
        <v>3.1851851851851853E-2</v>
      </c>
      <c r="J1230" s="35">
        <v>0.12440667239274898</v>
      </c>
      <c r="K1230" s="33" t="s">
        <v>500</v>
      </c>
      <c r="L1230" s="33" t="s">
        <v>274</v>
      </c>
    </row>
    <row r="1231" spans="1:12" x14ac:dyDescent="0.25">
      <c r="A1231" s="32">
        <v>46248</v>
      </c>
      <c r="B1231" s="33" t="s">
        <v>147</v>
      </c>
      <c r="C1231" s="33" t="s">
        <v>519</v>
      </c>
      <c r="D1231" s="33" t="s">
        <v>147</v>
      </c>
      <c r="E1231">
        <v>15</v>
      </c>
      <c r="F1231" s="34">
        <v>1.9467592592592592E-2</v>
      </c>
      <c r="G1231" s="34">
        <v>1.2978395061728394E-3</v>
      </c>
      <c r="H1231" s="34">
        <v>0.33510416666666665</v>
      </c>
      <c r="I1231" s="34">
        <v>3.875E-2</v>
      </c>
      <c r="J1231" s="35">
        <v>0.11563568542119988</v>
      </c>
      <c r="K1231" s="33" t="s">
        <v>164</v>
      </c>
      <c r="L1231" s="33" t="s">
        <v>146</v>
      </c>
    </row>
    <row r="1232" spans="1:12" x14ac:dyDescent="0.25">
      <c r="A1232" s="32">
        <v>46248</v>
      </c>
      <c r="B1232" s="33" t="s">
        <v>147</v>
      </c>
      <c r="C1232" s="33" t="s">
        <v>167</v>
      </c>
      <c r="D1232" s="33" t="s">
        <v>147</v>
      </c>
      <c r="E1232">
        <v>10</v>
      </c>
      <c r="F1232" s="34">
        <v>3.4178240740740738E-2</v>
      </c>
      <c r="G1232" s="34">
        <v>3.417824074074074E-3</v>
      </c>
      <c r="H1232" s="34">
        <v>0.26165509259259262</v>
      </c>
      <c r="I1232" s="34">
        <v>3.1990740740740743E-2</v>
      </c>
      <c r="J1232" s="35">
        <v>0.12226301588003716</v>
      </c>
      <c r="K1232" s="33" t="s">
        <v>166</v>
      </c>
      <c r="L1232" s="33" t="s">
        <v>146</v>
      </c>
    </row>
    <row r="1233" spans="1:12" x14ac:dyDescent="0.25">
      <c r="A1233" s="32">
        <v>46248</v>
      </c>
      <c r="B1233" s="33" t="s">
        <v>147</v>
      </c>
      <c r="C1233" s="33" t="s">
        <v>658</v>
      </c>
      <c r="D1233" s="33" t="s">
        <v>147</v>
      </c>
      <c r="E1233">
        <v>5</v>
      </c>
      <c r="F1233" s="34">
        <v>1.193287037037037E-2</v>
      </c>
      <c r="G1233" s="34">
        <v>2.3865740740740739E-3</v>
      </c>
      <c r="H1233" s="34">
        <v>0.25015046296296295</v>
      </c>
      <c r="I1233" s="34">
        <v>3.5486111111111114E-2</v>
      </c>
      <c r="J1233" s="35">
        <v>0.14185906630268821</v>
      </c>
      <c r="K1233" s="33" t="s">
        <v>657</v>
      </c>
      <c r="L1233" s="33" t="s">
        <v>274</v>
      </c>
    </row>
    <row r="1234" spans="1:12" x14ac:dyDescent="0.25">
      <c r="A1234" s="32">
        <v>46248</v>
      </c>
      <c r="B1234" s="33" t="s">
        <v>147</v>
      </c>
      <c r="C1234" s="33" t="s">
        <v>520</v>
      </c>
      <c r="D1234" s="33" t="s">
        <v>147</v>
      </c>
      <c r="E1234">
        <v>13</v>
      </c>
      <c r="F1234" s="34">
        <v>2.6064814814814815E-2</v>
      </c>
      <c r="G1234" s="34">
        <v>2.0049857549857548E-3</v>
      </c>
      <c r="H1234" s="34">
        <v>0.26425925925925925</v>
      </c>
      <c r="I1234" s="34">
        <v>4.4791666666666667E-2</v>
      </c>
      <c r="J1234" s="35">
        <v>0.1694989488437281</v>
      </c>
      <c r="K1234" s="33" t="s">
        <v>168</v>
      </c>
      <c r="L1234" s="33" t="s">
        <v>274</v>
      </c>
    </row>
    <row r="1235" spans="1:12" x14ac:dyDescent="0.25">
      <c r="A1235" s="32">
        <v>46248</v>
      </c>
      <c r="B1235" s="33" t="s">
        <v>147</v>
      </c>
      <c r="C1235" s="33" t="s">
        <v>521</v>
      </c>
      <c r="D1235" s="33" t="s">
        <v>147</v>
      </c>
      <c r="E1235">
        <v>12</v>
      </c>
      <c r="F1235" s="34">
        <v>4.2719907407407408E-2</v>
      </c>
      <c r="G1235" s="34">
        <v>3.5599922839506175E-3</v>
      </c>
      <c r="H1235" s="34">
        <v>0.25481481481481483</v>
      </c>
      <c r="I1235" s="34">
        <v>3.7418981481481484E-2</v>
      </c>
      <c r="J1235" s="35">
        <v>0.14684774709302326</v>
      </c>
      <c r="K1235" s="33" t="s">
        <v>170</v>
      </c>
      <c r="L1235" s="33" t="s">
        <v>146</v>
      </c>
    </row>
    <row r="1236" spans="1:12" x14ac:dyDescent="0.25">
      <c r="A1236" s="32">
        <v>46248</v>
      </c>
      <c r="B1236" s="33" t="s">
        <v>147</v>
      </c>
      <c r="C1236" s="33" t="s">
        <v>633</v>
      </c>
      <c r="D1236" s="33" t="s">
        <v>147</v>
      </c>
      <c r="E1236">
        <v>3</v>
      </c>
      <c r="F1236" s="34">
        <v>1.2974537037037038E-2</v>
      </c>
      <c r="G1236" s="34">
        <v>4.3248456790123463E-3</v>
      </c>
      <c r="H1236" s="34">
        <v>0.2578125</v>
      </c>
      <c r="I1236" s="34">
        <v>5.7407407407407407E-2</v>
      </c>
      <c r="J1236" s="35">
        <v>0.22267115600448933</v>
      </c>
      <c r="K1236" s="33" t="s">
        <v>606</v>
      </c>
      <c r="L1236" s="33" t="s">
        <v>146</v>
      </c>
    </row>
    <row r="1237" spans="1:12" x14ac:dyDescent="0.25">
      <c r="A1237" s="32">
        <v>46248</v>
      </c>
      <c r="B1237" s="33" t="s">
        <v>147</v>
      </c>
      <c r="C1237" s="33" t="s">
        <v>522</v>
      </c>
      <c r="D1237" s="33" t="s">
        <v>147</v>
      </c>
      <c r="E1237">
        <v>6</v>
      </c>
      <c r="F1237" s="34">
        <v>2.2650462962962963E-2</v>
      </c>
      <c r="G1237" s="34">
        <v>3.7750771604938269E-3</v>
      </c>
      <c r="H1237" s="34">
        <v>0.25369212962962961</v>
      </c>
      <c r="I1237" s="34">
        <v>3.0532407407407407E-2</v>
      </c>
      <c r="J1237" s="35">
        <v>0.12035220584880697</v>
      </c>
      <c r="K1237" s="33" t="s">
        <v>178</v>
      </c>
      <c r="L1237" s="33" t="s">
        <v>146</v>
      </c>
    </row>
    <row r="1238" spans="1:12" x14ac:dyDescent="0.25">
      <c r="A1238" s="32">
        <v>46248</v>
      </c>
      <c r="B1238" s="33" t="s">
        <v>147</v>
      </c>
      <c r="C1238" s="33" t="s">
        <v>523</v>
      </c>
      <c r="D1238" s="33" t="s">
        <v>147</v>
      </c>
      <c r="E1238">
        <v>8</v>
      </c>
      <c r="F1238" s="34">
        <v>4.2928240740740739E-2</v>
      </c>
      <c r="G1238" s="34">
        <v>5.3660300925925924E-3</v>
      </c>
      <c r="H1238" s="34">
        <v>0.25723379629629628</v>
      </c>
      <c r="I1238" s="34">
        <v>3.4918981481481481E-2</v>
      </c>
      <c r="J1238" s="35">
        <v>0.13574803149606299</v>
      </c>
      <c r="K1238" s="33" t="s">
        <v>180</v>
      </c>
      <c r="L1238" s="33" t="s">
        <v>146</v>
      </c>
    </row>
    <row r="1239" spans="1:12" x14ac:dyDescent="0.25">
      <c r="A1239" s="32">
        <v>46248</v>
      </c>
      <c r="B1239" s="33" t="s">
        <v>147</v>
      </c>
      <c r="C1239" s="33" t="s">
        <v>566</v>
      </c>
      <c r="D1239" s="33" t="s">
        <v>147</v>
      </c>
      <c r="E1239">
        <v>7</v>
      </c>
      <c r="F1239" s="34">
        <v>2.7175925925925926E-2</v>
      </c>
      <c r="G1239" s="34">
        <v>3.8822751322751324E-3</v>
      </c>
      <c r="H1239" s="34">
        <v>0.25760416666666669</v>
      </c>
      <c r="I1239" s="34">
        <v>3.2164351851851854E-2</v>
      </c>
      <c r="J1239" s="35">
        <v>0.12485959473424091</v>
      </c>
      <c r="K1239" s="33" t="s">
        <v>207</v>
      </c>
      <c r="L1239" s="33" t="s">
        <v>274</v>
      </c>
    </row>
    <row r="1240" spans="1:12" x14ac:dyDescent="0.25">
      <c r="A1240" s="32">
        <v>46248</v>
      </c>
      <c r="B1240" s="33" t="s">
        <v>147</v>
      </c>
      <c r="C1240" s="33" t="s">
        <v>524</v>
      </c>
      <c r="D1240" s="33" t="s">
        <v>147</v>
      </c>
      <c r="E1240">
        <v>3</v>
      </c>
      <c r="F1240" s="34">
        <v>1.7662037037037039E-2</v>
      </c>
      <c r="G1240" s="34">
        <v>5.8873456790123459E-3</v>
      </c>
      <c r="H1240" s="34">
        <v>0.2590277777777778</v>
      </c>
      <c r="I1240" s="34">
        <v>4.3946759259259262E-2</v>
      </c>
      <c r="J1240" s="35">
        <v>0.1696604110813226</v>
      </c>
      <c r="K1240" s="33" t="s">
        <v>501</v>
      </c>
      <c r="L1240" s="33" t="s">
        <v>274</v>
      </c>
    </row>
    <row r="1241" spans="1:12" x14ac:dyDescent="0.25">
      <c r="A1241" s="32">
        <v>46248</v>
      </c>
      <c r="B1241" s="33" t="s">
        <v>147</v>
      </c>
      <c r="C1241" s="33" t="s">
        <v>557</v>
      </c>
      <c r="D1241" s="33" t="s">
        <v>147</v>
      </c>
      <c r="E1241">
        <v>5</v>
      </c>
      <c r="F1241" s="34">
        <v>2.7534722222222221E-2</v>
      </c>
      <c r="G1241" s="34">
        <v>5.5069444444444445E-3</v>
      </c>
      <c r="H1241" s="34">
        <v>0.26984953703703701</v>
      </c>
      <c r="I1241" s="34">
        <v>3.6203703703703703E-2</v>
      </c>
      <c r="J1241" s="35">
        <v>0.13416255629423118</v>
      </c>
      <c r="K1241" s="33" t="s">
        <v>227</v>
      </c>
      <c r="L1241" s="33" t="s">
        <v>146</v>
      </c>
    </row>
    <row r="1242" spans="1:12" x14ac:dyDescent="0.25">
      <c r="A1242" s="32">
        <v>46248</v>
      </c>
      <c r="B1242" s="33" t="s">
        <v>147</v>
      </c>
      <c r="C1242" s="33" t="s">
        <v>678</v>
      </c>
      <c r="D1242" s="33" t="s">
        <v>147</v>
      </c>
      <c r="E1242">
        <v>10</v>
      </c>
      <c r="F1242" s="34">
        <v>4.0219907407407406E-2</v>
      </c>
      <c r="G1242" s="34">
        <v>4.0219907407407409E-3</v>
      </c>
      <c r="H1242" s="34">
        <v>0.26135416666666667</v>
      </c>
      <c r="I1242" s="34">
        <v>3.9363425925925927E-2</v>
      </c>
      <c r="J1242" s="35">
        <v>0.15061334750453922</v>
      </c>
      <c r="K1242" s="33" t="s">
        <v>677</v>
      </c>
      <c r="L1242" s="33" t="s">
        <v>274</v>
      </c>
    </row>
    <row r="1243" spans="1:12" x14ac:dyDescent="0.25">
      <c r="A1243" s="32">
        <v>46248</v>
      </c>
      <c r="B1243" s="33" t="s">
        <v>105</v>
      </c>
      <c r="C1243" s="33" t="s">
        <v>513</v>
      </c>
      <c r="D1243" s="33" t="s">
        <v>105</v>
      </c>
      <c r="E1243">
        <v>4</v>
      </c>
      <c r="F1243" s="34">
        <v>7.4618055555555562E-2</v>
      </c>
      <c r="G1243" s="34">
        <v>1.8654513888888891E-2</v>
      </c>
      <c r="H1243" s="34">
        <v>0.22511574074074073</v>
      </c>
      <c r="I1243" s="34">
        <v>0.18817129629629631</v>
      </c>
      <c r="J1243" s="35">
        <v>0.83588688946015433</v>
      </c>
      <c r="K1243" s="33" t="s">
        <v>148</v>
      </c>
      <c r="L1243" s="33" t="s">
        <v>104</v>
      </c>
    </row>
    <row r="1244" spans="1:12" x14ac:dyDescent="0.25">
      <c r="A1244" s="32">
        <v>46248</v>
      </c>
      <c r="B1244" s="33" t="s">
        <v>105</v>
      </c>
      <c r="C1244" s="33" t="s">
        <v>631</v>
      </c>
      <c r="D1244" s="33" t="s">
        <v>105</v>
      </c>
      <c r="E1244">
        <v>3</v>
      </c>
      <c r="F1244" s="34">
        <v>5.0902777777777776E-2</v>
      </c>
      <c r="G1244" s="34">
        <v>1.6967592592592593E-2</v>
      </c>
      <c r="H1244" s="34">
        <v>0.23563657407407407</v>
      </c>
      <c r="I1244" s="34">
        <v>0.21226851851851852</v>
      </c>
      <c r="J1244" s="35">
        <v>0.90083009971020189</v>
      </c>
      <c r="K1244" s="33" t="s">
        <v>608</v>
      </c>
      <c r="L1244" s="33" t="s">
        <v>601</v>
      </c>
    </row>
    <row r="1245" spans="1:12" x14ac:dyDescent="0.25">
      <c r="A1245" s="32">
        <v>46248</v>
      </c>
      <c r="B1245" s="33" t="s">
        <v>105</v>
      </c>
      <c r="C1245" s="33" t="s">
        <v>564</v>
      </c>
      <c r="D1245" s="33" t="s">
        <v>105</v>
      </c>
      <c r="E1245">
        <v>1</v>
      </c>
      <c r="F1245" s="34">
        <v>3.0474537037037036E-2</v>
      </c>
      <c r="G1245" s="34">
        <v>3.0474537037037036E-2</v>
      </c>
      <c r="H1245" s="34">
        <v>0.22100694444444444</v>
      </c>
      <c r="I1245" s="34">
        <v>0.18445601851851851</v>
      </c>
      <c r="J1245" s="35">
        <v>0.83461639172558255</v>
      </c>
      <c r="K1245" s="33" t="s">
        <v>197</v>
      </c>
      <c r="L1245" s="33" t="s">
        <v>601</v>
      </c>
    </row>
    <row r="1246" spans="1:12" x14ac:dyDescent="0.25">
      <c r="A1246" s="32">
        <v>46248</v>
      </c>
      <c r="B1246" s="33" t="s">
        <v>105</v>
      </c>
      <c r="C1246" s="33" t="s">
        <v>682</v>
      </c>
      <c r="D1246" s="33" t="s">
        <v>105</v>
      </c>
      <c r="E1246">
        <v>2</v>
      </c>
      <c r="F1246" s="34">
        <v>4.9513888888888892E-2</v>
      </c>
      <c r="G1246" s="34">
        <v>2.4756944444444446E-2</v>
      </c>
      <c r="H1246" s="34">
        <v>0.23270833333333332</v>
      </c>
      <c r="I1246" s="34">
        <v>0.19872685185185185</v>
      </c>
      <c r="J1246" s="35">
        <v>0.85397393812792199</v>
      </c>
      <c r="K1246" s="33" t="s">
        <v>681</v>
      </c>
      <c r="L1246" s="33" t="s">
        <v>601</v>
      </c>
    </row>
    <row r="1247" spans="1:12" x14ac:dyDescent="0.25">
      <c r="A1247" s="32">
        <v>46248</v>
      </c>
      <c r="B1247" s="33" t="s">
        <v>105</v>
      </c>
      <c r="C1247" s="33" t="s">
        <v>570</v>
      </c>
      <c r="D1247" s="33" t="s">
        <v>105</v>
      </c>
      <c r="E1247">
        <v>3</v>
      </c>
      <c r="F1247" s="34">
        <v>3.8680555555555558E-2</v>
      </c>
      <c r="G1247" s="34">
        <v>1.2893518518518519E-2</v>
      </c>
      <c r="H1247" s="34">
        <v>0.19931712962962964</v>
      </c>
      <c r="I1247" s="34">
        <v>0.17502314814814815</v>
      </c>
      <c r="J1247" s="35">
        <v>0.87811393066604726</v>
      </c>
      <c r="K1247" s="33" t="s">
        <v>112</v>
      </c>
      <c r="L1247" s="33" t="s">
        <v>104</v>
      </c>
    </row>
    <row r="1248" spans="1:12" x14ac:dyDescent="0.25">
      <c r="A1248" s="32">
        <v>46248</v>
      </c>
      <c r="B1248" s="33" t="s">
        <v>105</v>
      </c>
      <c r="C1248" s="33" t="s">
        <v>537</v>
      </c>
      <c r="D1248" s="33" t="s">
        <v>105</v>
      </c>
      <c r="E1248">
        <v>3</v>
      </c>
      <c r="F1248" s="34">
        <v>3.7337962962962962E-2</v>
      </c>
      <c r="G1248" s="34">
        <v>1.2445987654320987E-2</v>
      </c>
      <c r="H1248" s="34">
        <v>0.25343749999999998</v>
      </c>
      <c r="I1248" s="34">
        <v>0.23508101851851851</v>
      </c>
      <c r="J1248" s="35">
        <v>0.92756998675617663</v>
      </c>
      <c r="K1248" s="33" t="s">
        <v>42</v>
      </c>
      <c r="L1248" s="33" t="s">
        <v>104</v>
      </c>
    </row>
    <row r="1249" spans="1:12" x14ac:dyDescent="0.25">
      <c r="A1249" s="32">
        <v>46248</v>
      </c>
      <c r="B1249" s="33" t="s">
        <v>105</v>
      </c>
      <c r="C1249" s="33" t="s">
        <v>541</v>
      </c>
      <c r="D1249" s="33" t="s">
        <v>105</v>
      </c>
      <c r="E1249">
        <v>4</v>
      </c>
      <c r="F1249" s="34">
        <v>4.3483796296296298E-2</v>
      </c>
      <c r="G1249" s="34">
        <v>1.0870949074074075E-2</v>
      </c>
      <c r="H1249" s="34">
        <v>0.22673611111111111</v>
      </c>
      <c r="I1249" s="34">
        <v>0.2008449074074074</v>
      </c>
      <c r="J1249" s="35">
        <v>0.8858090862685043</v>
      </c>
      <c r="K1249" s="33" t="s">
        <v>114</v>
      </c>
      <c r="L1249" s="33" t="s">
        <v>104</v>
      </c>
    </row>
    <row r="1250" spans="1:12" x14ac:dyDescent="0.25">
      <c r="A1250" s="32">
        <v>46248</v>
      </c>
      <c r="B1250" s="33" t="s">
        <v>105</v>
      </c>
      <c r="C1250" s="33" t="s">
        <v>542</v>
      </c>
      <c r="D1250" s="33" t="s">
        <v>105</v>
      </c>
      <c r="E1250">
        <v>2</v>
      </c>
      <c r="F1250" s="34">
        <v>3.0034722222222223E-2</v>
      </c>
      <c r="G1250" s="34">
        <v>1.5017361111111112E-2</v>
      </c>
      <c r="H1250" s="34">
        <v>0.20943287037037037</v>
      </c>
      <c r="I1250" s="34">
        <v>0.18817129629629631</v>
      </c>
      <c r="J1250" s="35">
        <v>0.89848024316109432</v>
      </c>
      <c r="K1250" s="33" t="s">
        <v>287</v>
      </c>
      <c r="L1250" s="33" t="s">
        <v>104</v>
      </c>
    </row>
    <row r="1251" spans="1:12" x14ac:dyDescent="0.25">
      <c r="A1251" s="32">
        <v>46248</v>
      </c>
      <c r="B1251" s="33" t="s">
        <v>105</v>
      </c>
      <c r="C1251" s="33" t="s">
        <v>650</v>
      </c>
      <c r="D1251" s="33" t="s">
        <v>105</v>
      </c>
      <c r="E1251">
        <v>4</v>
      </c>
      <c r="F1251" s="34">
        <v>8.307870370370371E-2</v>
      </c>
      <c r="G1251" s="34">
        <v>2.0769675925925928E-2</v>
      </c>
      <c r="H1251" s="34">
        <v>0.2429050925925926</v>
      </c>
      <c r="I1251" s="34">
        <v>0.20054398148148148</v>
      </c>
      <c r="J1251" s="35">
        <v>0.82560632772668785</v>
      </c>
      <c r="K1251" s="33" t="s">
        <v>649</v>
      </c>
      <c r="L1251" s="33" t="s">
        <v>104</v>
      </c>
    </row>
    <row r="1252" spans="1:12" x14ac:dyDescent="0.25">
      <c r="A1252" s="32">
        <v>46248</v>
      </c>
      <c r="B1252" s="33" t="s">
        <v>105</v>
      </c>
      <c r="C1252" s="33" t="s">
        <v>559</v>
      </c>
      <c r="D1252" s="33" t="s">
        <v>105</v>
      </c>
      <c r="E1252">
        <v>3</v>
      </c>
      <c r="F1252" s="34">
        <v>3.878472222222222E-2</v>
      </c>
      <c r="G1252" s="34">
        <v>1.292824074074074E-2</v>
      </c>
      <c r="H1252" s="34">
        <v>0.18623842592592593</v>
      </c>
      <c r="I1252" s="34">
        <v>0.15781249999999999</v>
      </c>
      <c r="J1252" s="35">
        <v>0.84736809396557078</v>
      </c>
      <c r="K1252" s="33" t="s">
        <v>289</v>
      </c>
      <c r="L1252" s="33" t="s">
        <v>104</v>
      </c>
    </row>
    <row r="1253" spans="1:12" x14ac:dyDescent="0.25">
      <c r="A1253" s="32">
        <v>46248</v>
      </c>
      <c r="B1253" s="33" t="s">
        <v>105</v>
      </c>
      <c r="C1253" s="33" t="s">
        <v>667</v>
      </c>
      <c r="D1253" s="33" t="s">
        <v>105</v>
      </c>
      <c r="E1253">
        <v>3</v>
      </c>
      <c r="F1253" s="34">
        <v>3.6284722222222225E-2</v>
      </c>
      <c r="G1253" s="34">
        <v>1.2094907407407408E-2</v>
      </c>
      <c r="H1253" s="34">
        <v>0.20949074074074073</v>
      </c>
      <c r="I1253" s="34">
        <v>0.1955324074074074</v>
      </c>
      <c r="J1253" s="35">
        <v>0.93337016574585641</v>
      </c>
      <c r="K1253" s="33" t="s">
        <v>297</v>
      </c>
      <c r="L1253" s="33" t="s">
        <v>104</v>
      </c>
    </row>
    <row r="1254" spans="1:12" x14ac:dyDescent="0.25">
      <c r="A1254" s="32">
        <v>46248</v>
      </c>
      <c r="B1254" s="33" t="s">
        <v>105</v>
      </c>
      <c r="C1254" s="33" t="s">
        <v>636</v>
      </c>
      <c r="D1254" s="33" t="s">
        <v>105</v>
      </c>
      <c r="E1254">
        <v>2</v>
      </c>
      <c r="F1254" s="34">
        <v>6.5034722222222216E-2</v>
      </c>
      <c r="G1254" s="34">
        <v>3.2517361111111108E-2</v>
      </c>
      <c r="H1254" s="34">
        <v>0.24158564814814815</v>
      </c>
      <c r="I1254" s="34">
        <v>0.23020833333333332</v>
      </c>
      <c r="J1254" s="35">
        <v>0.95290566760887263</v>
      </c>
      <c r="K1254" s="33" t="s">
        <v>615</v>
      </c>
      <c r="L1254" s="33" t="s">
        <v>601</v>
      </c>
    </row>
    <row r="1255" spans="1:12" x14ac:dyDescent="0.25">
      <c r="A1255" s="32">
        <v>46248</v>
      </c>
      <c r="B1255" s="33" t="s">
        <v>105</v>
      </c>
      <c r="C1255" s="33" t="s">
        <v>637</v>
      </c>
      <c r="D1255" s="33" t="s">
        <v>105</v>
      </c>
      <c r="E1255">
        <v>1</v>
      </c>
      <c r="F1255" s="34">
        <v>2.5127314814814814E-2</v>
      </c>
      <c r="G1255" s="34">
        <v>2.5127314814814814E-2</v>
      </c>
      <c r="H1255" s="34">
        <v>0.20550925925925925</v>
      </c>
      <c r="I1255" s="34">
        <v>0.19317129629629629</v>
      </c>
      <c r="J1255" s="35">
        <v>0.93996395584591119</v>
      </c>
      <c r="K1255" s="33" t="s">
        <v>616</v>
      </c>
      <c r="L1255" s="33" t="s">
        <v>601</v>
      </c>
    </row>
    <row r="1256" spans="1:12" x14ac:dyDescent="0.25">
      <c r="A1256" s="32">
        <v>46248</v>
      </c>
      <c r="B1256" s="33" t="s">
        <v>105</v>
      </c>
      <c r="C1256" s="33" t="s">
        <v>512</v>
      </c>
      <c r="D1256" s="33" t="s">
        <v>105</v>
      </c>
      <c r="E1256">
        <v>3</v>
      </c>
      <c r="F1256" s="34">
        <v>3.923611111111111E-2</v>
      </c>
      <c r="G1256" s="34">
        <v>1.3078703703703703E-2</v>
      </c>
      <c r="H1256" s="34">
        <v>0.23670138888888889</v>
      </c>
      <c r="I1256" s="34">
        <v>0.21082175925925925</v>
      </c>
      <c r="J1256" s="35">
        <v>0.89066549312992027</v>
      </c>
      <c r="K1256" s="33" t="s">
        <v>132</v>
      </c>
      <c r="L1256" s="33" t="s">
        <v>104</v>
      </c>
    </row>
    <row r="1257" spans="1:12" x14ac:dyDescent="0.25">
      <c r="A1257" s="32">
        <v>46248</v>
      </c>
      <c r="B1257" s="33" t="s">
        <v>105</v>
      </c>
      <c r="C1257" s="33" t="s">
        <v>546</v>
      </c>
      <c r="D1257" s="33" t="s">
        <v>105</v>
      </c>
      <c r="E1257">
        <v>3</v>
      </c>
      <c r="F1257" s="34">
        <v>8.8888888888888892E-2</v>
      </c>
      <c r="G1257" s="34">
        <v>2.9629629629629631E-2</v>
      </c>
      <c r="H1257" s="34">
        <v>0.1998263888888889</v>
      </c>
      <c r="I1257" s="34">
        <v>0.14141203703703703</v>
      </c>
      <c r="J1257" s="35">
        <v>0.70767448595424265</v>
      </c>
      <c r="K1257" s="33" t="s">
        <v>211</v>
      </c>
      <c r="L1257" s="33" t="s">
        <v>104</v>
      </c>
    </row>
    <row r="1258" spans="1:12" x14ac:dyDescent="0.25">
      <c r="A1258" s="32">
        <v>46248</v>
      </c>
      <c r="B1258" s="33" t="s">
        <v>105</v>
      </c>
      <c r="C1258" s="33" t="s">
        <v>639</v>
      </c>
      <c r="D1258" s="33" t="s">
        <v>105</v>
      </c>
      <c r="E1258">
        <v>2</v>
      </c>
      <c r="F1258" s="34">
        <v>3.6157407407407409E-2</v>
      </c>
      <c r="G1258" s="34">
        <v>1.8078703703703704E-2</v>
      </c>
      <c r="H1258" s="34">
        <v>0.22537037037037036</v>
      </c>
      <c r="I1258" s="34">
        <v>0.20120370370370369</v>
      </c>
      <c r="J1258" s="35">
        <v>0.89276910435497125</v>
      </c>
      <c r="K1258" s="33" t="s">
        <v>618</v>
      </c>
      <c r="L1258" s="33" t="s">
        <v>601</v>
      </c>
    </row>
    <row r="1259" spans="1:12" x14ac:dyDescent="0.25">
      <c r="A1259" s="32">
        <v>46248</v>
      </c>
      <c r="B1259" s="33" t="s">
        <v>105</v>
      </c>
      <c r="C1259" s="33" t="s">
        <v>572</v>
      </c>
      <c r="D1259" s="33" t="s">
        <v>105</v>
      </c>
      <c r="E1259">
        <v>5</v>
      </c>
      <c r="F1259" s="34">
        <v>0.11155092592592593</v>
      </c>
      <c r="G1259" s="34">
        <v>2.2310185185185186E-2</v>
      </c>
      <c r="H1259" s="34">
        <v>0.23376157407407408</v>
      </c>
      <c r="I1259" s="34">
        <v>0.2114351851851852</v>
      </c>
      <c r="J1259" s="35">
        <v>0.90449076595533995</v>
      </c>
      <c r="K1259" s="33" t="s">
        <v>213</v>
      </c>
      <c r="L1259" s="33" t="s">
        <v>601</v>
      </c>
    </row>
    <row r="1260" spans="1:12" x14ac:dyDescent="0.25">
      <c r="A1260" s="32">
        <v>46248</v>
      </c>
      <c r="B1260" s="33" t="s">
        <v>105</v>
      </c>
      <c r="C1260" s="33" t="s">
        <v>640</v>
      </c>
      <c r="D1260" s="33" t="s">
        <v>105</v>
      </c>
      <c r="E1260">
        <v>1</v>
      </c>
      <c r="F1260" s="34">
        <v>1.7893518518518517E-2</v>
      </c>
      <c r="G1260" s="34">
        <v>1.7893518518518517E-2</v>
      </c>
      <c r="H1260" s="34">
        <v>0.17247685185185185</v>
      </c>
      <c r="I1260" s="34">
        <v>0.13219907407407408</v>
      </c>
      <c r="J1260" s="35">
        <v>0.76647429875184536</v>
      </c>
      <c r="K1260" s="33" t="s">
        <v>619</v>
      </c>
      <c r="L1260" s="33" t="s">
        <v>601</v>
      </c>
    </row>
    <row r="1261" spans="1:12" x14ac:dyDescent="0.25">
      <c r="A1261" s="32">
        <v>46248</v>
      </c>
      <c r="B1261" s="33" t="s">
        <v>105</v>
      </c>
      <c r="C1261" s="33" t="s">
        <v>548</v>
      </c>
      <c r="D1261" s="33" t="s">
        <v>105</v>
      </c>
      <c r="E1261">
        <v>3</v>
      </c>
      <c r="F1261" s="34">
        <v>4.880787037037037E-2</v>
      </c>
      <c r="G1261" s="34">
        <v>1.6269290123456789E-2</v>
      </c>
      <c r="H1261" s="34">
        <v>0.21409722222222222</v>
      </c>
      <c r="I1261" s="34">
        <v>0.18660879629629629</v>
      </c>
      <c r="J1261" s="35">
        <v>0.87160774137744623</v>
      </c>
      <c r="K1261" s="33" t="s">
        <v>219</v>
      </c>
      <c r="L1261" s="33" t="s">
        <v>104</v>
      </c>
    </row>
    <row r="1262" spans="1:12" x14ac:dyDescent="0.25">
      <c r="A1262" s="32">
        <v>46248</v>
      </c>
      <c r="B1262" s="33" t="s">
        <v>105</v>
      </c>
      <c r="C1262" s="33" t="s">
        <v>641</v>
      </c>
      <c r="D1262" s="33" t="s">
        <v>105</v>
      </c>
      <c r="E1262">
        <v>1</v>
      </c>
      <c r="F1262" s="34">
        <v>2.6435185185185187E-2</v>
      </c>
      <c r="G1262" s="34">
        <v>2.6435185185185187E-2</v>
      </c>
      <c r="H1262" s="34">
        <v>0.21501157407407406</v>
      </c>
      <c r="I1262" s="34">
        <v>0.20385416666666667</v>
      </c>
      <c r="J1262" s="35">
        <v>0.94810787532970886</v>
      </c>
      <c r="K1262" s="33" t="s">
        <v>620</v>
      </c>
      <c r="L1262" s="33" t="s">
        <v>601</v>
      </c>
    </row>
    <row r="1263" spans="1:12" x14ac:dyDescent="0.25">
      <c r="A1263" s="32">
        <v>46248</v>
      </c>
      <c r="B1263" s="33" t="s">
        <v>105</v>
      </c>
      <c r="C1263" s="33" t="s">
        <v>556</v>
      </c>
      <c r="D1263" s="33" t="s">
        <v>105</v>
      </c>
      <c r="E1263">
        <v>6</v>
      </c>
      <c r="F1263" s="34">
        <v>0.12680555555555556</v>
      </c>
      <c r="G1263" s="34">
        <v>2.1134259259259259E-2</v>
      </c>
      <c r="H1263" s="34">
        <v>0.25723379629629628</v>
      </c>
      <c r="I1263" s="34">
        <v>0.17902777777777779</v>
      </c>
      <c r="J1263" s="35">
        <v>0.69597300337457824</v>
      </c>
      <c r="K1263" s="33" t="s">
        <v>138</v>
      </c>
      <c r="L1263" s="33" t="s">
        <v>104</v>
      </c>
    </row>
    <row r="1264" spans="1:12" x14ac:dyDescent="0.25">
      <c r="A1264" s="32">
        <v>46248</v>
      </c>
      <c r="B1264" s="33" t="s">
        <v>105</v>
      </c>
      <c r="C1264" s="33" t="s">
        <v>674</v>
      </c>
      <c r="D1264" s="33" t="s">
        <v>105</v>
      </c>
      <c r="E1264">
        <v>3</v>
      </c>
      <c r="F1264" s="34">
        <v>8.0694444444444444E-2</v>
      </c>
      <c r="G1264" s="34">
        <v>2.6898148148148147E-2</v>
      </c>
      <c r="H1264" s="34">
        <v>0.23731481481481481</v>
      </c>
      <c r="I1264" s="34">
        <v>0.19369212962962962</v>
      </c>
      <c r="J1264" s="35">
        <v>0.81618220834959032</v>
      </c>
      <c r="K1264" s="33" t="s">
        <v>673</v>
      </c>
      <c r="L1264" s="33" t="s">
        <v>104</v>
      </c>
    </row>
    <row r="1265" spans="1:12" x14ac:dyDescent="0.25">
      <c r="A1265" s="32">
        <v>46248</v>
      </c>
      <c r="B1265" s="33" t="s">
        <v>105</v>
      </c>
      <c r="C1265" s="33" t="s">
        <v>549</v>
      </c>
      <c r="D1265" s="33" t="s">
        <v>105</v>
      </c>
      <c r="E1265">
        <v>1</v>
      </c>
      <c r="F1265" s="34">
        <v>2.9722222222222223E-2</v>
      </c>
      <c r="G1265" s="34">
        <v>2.9722222222222223E-2</v>
      </c>
      <c r="H1265" s="34">
        <v>0.22278935185185186</v>
      </c>
      <c r="I1265" s="34">
        <v>0.18429398148148149</v>
      </c>
      <c r="J1265" s="35">
        <v>0.82721180321055643</v>
      </c>
      <c r="K1265" s="33" t="s">
        <v>225</v>
      </c>
      <c r="L1265" s="33" t="s">
        <v>601</v>
      </c>
    </row>
    <row r="1266" spans="1:12" x14ac:dyDescent="0.25">
      <c r="A1266" s="32">
        <v>46248</v>
      </c>
      <c r="B1266" s="33" t="s">
        <v>105</v>
      </c>
      <c r="C1266" s="33" t="s">
        <v>571</v>
      </c>
      <c r="D1266" s="33" t="s">
        <v>105</v>
      </c>
      <c r="E1266">
        <v>4</v>
      </c>
      <c r="F1266" s="34">
        <v>0.12086805555555556</v>
      </c>
      <c r="G1266" s="34">
        <v>3.021701388888889E-2</v>
      </c>
      <c r="H1266" s="34">
        <v>0.25743055555555555</v>
      </c>
      <c r="I1266" s="34">
        <v>0.17136574074074074</v>
      </c>
      <c r="J1266" s="35">
        <v>0.66567754698318493</v>
      </c>
      <c r="K1266" s="33" t="s">
        <v>299</v>
      </c>
      <c r="L1266" s="33" t="s">
        <v>104</v>
      </c>
    </row>
    <row r="1267" spans="1:12" x14ac:dyDescent="0.25">
      <c r="A1267" s="32">
        <v>46248</v>
      </c>
      <c r="B1267" s="33" t="s">
        <v>105</v>
      </c>
      <c r="C1267" s="33" t="s">
        <v>676</v>
      </c>
      <c r="D1267" s="33" t="s">
        <v>105</v>
      </c>
      <c r="E1267">
        <v>4</v>
      </c>
      <c r="F1267" s="34">
        <v>0.14101851851851852</v>
      </c>
      <c r="G1267" s="34">
        <v>3.5254629629629629E-2</v>
      </c>
      <c r="H1267" s="34">
        <v>0.26195601851851852</v>
      </c>
      <c r="I1267" s="34">
        <v>0.17371527777777779</v>
      </c>
      <c r="J1267" s="35">
        <v>0.66314673264701984</v>
      </c>
      <c r="K1267" s="33" t="s">
        <v>675</v>
      </c>
      <c r="L1267" s="33" t="s">
        <v>104</v>
      </c>
    </row>
    <row r="1268" spans="1:12" x14ac:dyDescent="0.25">
      <c r="A1268" s="32">
        <v>46248</v>
      </c>
      <c r="B1268" s="33" t="s">
        <v>32</v>
      </c>
      <c r="C1268" s="33" t="s">
        <v>562</v>
      </c>
      <c r="D1268" s="33" t="s">
        <v>80</v>
      </c>
      <c r="E1268">
        <v>4</v>
      </c>
      <c r="F1268" s="34">
        <v>1.9537037037037037E-2</v>
      </c>
      <c r="G1268" s="34">
        <v>4.8842592592592592E-3</v>
      </c>
      <c r="H1268" s="34">
        <v>0.27208333333333334</v>
      </c>
      <c r="I1268" s="34">
        <v>2.6724537037037036E-2</v>
      </c>
      <c r="J1268" s="35">
        <v>9.8221881912540401E-2</v>
      </c>
      <c r="K1268" s="33" t="s">
        <v>186</v>
      </c>
      <c r="L1268" s="33" t="s">
        <v>78</v>
      </c>
    </row>
    <row r="1269" spans="1:12" x14ac:dyDescent="0.25">
      <c r="A1269" s="32">
        <v>46248</v>
      </c>
      <c r="B1269" s="33" t="s">
        <v>32</v>
      </c>
      <c r="C1269" s="33" t="s">
        <v>644</v>
      </c>
      <c r="D1269" s="33" t="s">
        <v>32</v>
      </c>
      <c r="E1269">
        <v>17</v>
      </c>
      <c r="F1269" s="34">
        <v>0.12645833333333334</v>
      </c>
      <c r="G1269" s="34">
        <v>7.4387254901960784E-3</v>
      </c>
      <c r="H1269" s="34">
        <v>0.26324074074074072</v>
      </c>
      <c r="I1269" s="34">
        <v>3.7650462962962962E-2</v>
      </c>
      <c r="J1269" s="35">
        <v>0.14302673232500879</v>
      </c>
      <c r="K1269" s="33" t="s">
        <v>643</v>
      </c>
      <c r="L1269" s="33" t="s">
        <v>233</v>
      </c>
    </row>
    <row r="1270" spans="1:12" x14ac:dyDescent="0.25">
      <c r="A1270" s="32">
        <v>46248</v>
      </c>
      <c r="B1270" s="33" t="s">
        <v>32</v>
      </c>
      <c r="C1270" s="33" t="s">
        <v>563</v>
      </c>
      <c r="D1270" s="33" t="s">
        <v>147</v>
      </c>
      <c r="E1270">
        <v>4</v>
      </c>
      <c r="F1270" s="34">
        <v>9.8726851851851857E-3</v>
      </c>
      <c r="G1270" s="34">
        <v>2.4681712962962964E-3</v>
      </c>
      <c r="H1270" s="34">
        <v>0.25394675925925925</v>
      </c>
      <c r="I1270" s="34">
        <v>3.2430555555555553E-2</v>
      </c>
      <c r="J1270" s="35">
        <v>0.1277061209607584</v>
      </c>
      <c r="K1270" s="33" t="s">
        <v>193</v>
      </c>
      <c r="L1270" s="33" t="s">
        <v>274</v>
      </c>
    </row>
    <row r="1271" spans="1:12" x14ac:dyDescent="0.25">
      <c r="A1271" s="32">
        <v>46248</v>
      </c>
      <c r="B1271" s="33" t="s">
        <v>32</v>
      </c>
      <c r="C1271" s="33" t="s">
        <v>525</v>
      </c>
      <c r="D1271" s="33" t="s">
        <v>32</v>
      </c>
      <c r="E1271">
        <v>37</v>
      </c>
      <c r="F1271" s="34">
        <v>9.1458333333333336E-2</v>
      </c>
      <c r="G1271" s="34">
        <v>2.4718468468468468E-3</v>
      </c>
      <c r="H1271" s="34">
        <v>0.26408564814814817</v>
      </c>
      <c r="I1271" s="34">
        <v>4.5381944444444447E-2</v>
      </c>
      <c r="J1271" s="35">
        <v>0.17184555375378008</v>
      </c>
      <c r="K1271" s="33" t="s">
        <v>231</v>
      </c>
      <c r="L1271" s="33" t="s">
        <v>233</v>
      </c>
    </row>
    <row r="1272" spans="1:12" x14ac:dyDescent="0.25">
      <c r="A1272" s="32">
        <v>46248</v>
      </c>
      <c r="B1272" s="33" t="s">
        <v>32</v>
      </c>
      <c r="C1272" s="33" t="s">
        <v>505</v>
      </c>
      <c r="D1272" s="33" t="s">
        <v>32</v>
      </c>
      <c r="E1272">
        <v>26</v>
      </c>
      <c r="F1272" s="34">
        <v>9.6284722222222216E-2</v>
      </c>
      <c r="G1272" s="34">
        <v>3.7032585470085466E-3</v>
      </c>
      <c r="H1272" s="34">
        <v>0.25512731481481482</v>
      </c>
      <c r="I1272" s="34">
        <v>3.5277777777777776E-2</v>
      </c>
      <c r="J1272" s="35">
        <v>0.13827518940253142</v>
      </c>
      <c r="K1272" s="33" t="s">
        <v>34</v>
      </c>
      <c r="L1272" s="33" t="s">
        <v>233</v>
      </c>
    </row>
    <row r="1273" spans="1:12" x14ac:dyDescent="0.25">
      <c r="A1273" s="32">
        <v>46248</v>
      </c>
      <c r="B1273" s="33" t="s">
        <v>32</v>
      </c>
      <c r="C1273" s="33" t="s">
        <v>631</v>
      </c>
      <c r="D1273" s="33" t="s">
        <v>105</v>
      </c>
      <c r="E1273">
        <v>2</v>
      </c>
      <c r="F1273" s="34">
        <v>1.4444444444444444E-2</v>
      </c>
      <c r="G1273" s="34">
        <v>7.2222222222222219E-3</v>
      </c>
      <c r="H1273" s="34">
        <v>0.23563657407407407</v>
      </c>
      <c r="I1273" s="34">
        <v>0.21226851851851852</v>
      </c>
      <c r="J1273" s="35">
        <v>0.90083009971020189</v>
      </c>
      <c r="K1273" s="33" t="s">
        <v>608</v>
      </c>
      <c r="L1273" s="33" t="s">
        <v>601</v>
      </c>
    </row>
    <row r="1274" spans="1:12" x14ac:dyDescent="0.25">
      <c r="A1274" s="32">
        <v>46248</v>
      </c>
      <c r="B1274" s="33" t="s">
        <v>32</v>
      </c>
      <c r="C1274" s="33" t="s">
        <v>564</v>
      </c>
      <c r="D1274" s="33" t="s">
        <v>105</v>
      </c>
      <c r="E1274">
        <v>4</v>
      </c>
      <c r="F1274" s="34">
        <v>2.8935185185185185E-2</v>
      </c>
      <c r="G1274" s="34">
        <v>7.2337962962962963E-3</v>
      </c>
      <c r="H1274" s="34">
        <v>0.22100694444444444</v>
      </c>
      <c r="I1274" s="34">
        <v>0.18445601851851851</v>
      </c>
      <c r="J1274" s="35">
        <v>0.83461639172558255</v>
      </c>
      <c r="K1274" s="33" t="s">
        <v>197</v>
      </c>
      <c r="L1274" s="33" t="s">
        <v>601</v>
      </c>
    </row>
    <row r="1275" spans="1:12" x14ac:dyDescent="0.25">
      <c r="A1275" s="32">
        <v>46248</v>
      </c>
      <c r="B1275" s="33" t="s">
        <v>32</v>
      </c>
      <c r="C1275" s="33" t="s">
        <v>514</v>
      </c>
      <c r="D1275" s="33" t="s">
        <v>147</v>
      </c>
      <c r="E1275">
        <v>2</v>
      </c>
      <c r="F1275" s="34">
        <v>3.9236111111111112E-3</v>
      </c>
      <c r="G1275" s="34">
        <v>1.9618055555555556E-3</v>
      </c>
      <c r="H1275" s="34">
        <v>0.25425925925925924</v>
      </c>
      <c r="I1275" s="34">
        <v>2.7708333333333335E-2</v>
      </c>
      <c r="J1275" s="35">
        <v>0.10897669337217773</v>
      </c>
      <c r="K1275" s="33" t="s">
        <v>150</v>
      </c>
      <c r="L1275" s="33" t="s">
        <v>146</v>
      </c>
    </row>
    <row r="1276" spans="1:12" x14ac:dyDescent="0.25">
      <c r="A1276" s="32">
        <v>46248</v>
      </c>
      <c r="B1276" s="33" t="s">
        <v>32</v>
      </c>
      <c r="C1276" s="33" t="s">
        <v>515</v>
      </c>
      <c r="D1276" s="33" t="s">
        <v>147</v>
      </c>
      <c r="E1276">
        <v>5</v>
      </c>
      <c r="F1276" s="34">
        <v>1.8888888888888889E-2</v>
      </c>
      <c r="G1276" s="34">
        <v>3.7777777777777779E-3</v>
      </c>
      <c r="H1276" s="34">
        <v>0.25439814814814815</v>
      </c>
      <c r="I1276" s="34">
        <v>2.929398148148148E-2</v>
      </c>
      <c r="J1276" s="35">
        <v>0.1151501364877161</v>
      </c>
      <c r="K1276" s="33" t="s">
        <v>154</v>
      </c>
      <c r="L1276" s="33" t="s">
        <v>146</v>
      </c>
    </row>
    <row r="1277" spans="1:12" x14ac:dyDescent="0.25">
      <c r="A1277" s="32">
        <v>46248</v>
      </c>
      <c r="B1277" s="33" t="s">
        <v>32</v>
      </c>
      <c r="C1277" s="33" t="s">
        <v>516</v>
      </c>
      <c r="D1277" s="33" t="s">
        <v>147</v>
      </c>
      <c r="E1277">
        <v>8</v>
      </c>
      <c r="F1277" s="34">
        <v>1.7719907407407406E-2</v>
      </c>
      <c r="G1277" s="34">
        <v>2.2149884259259258E-3</v>
      </c>
      <c r="H1277" s="34">
        <v>0.27120370370370372</v>
      </c>
      <c r="I1277" s="34">
        <v>3.1932870370370368E-2</v>
      </c>
      <c r="J1277" s="35">
        <v>0.11774496415158756</v>
      </c>
      <c r="K1277" s="33" t="s">
        <v>156</v>
      </c>
      <c r="L1277" s="33" t="s">
        <v>146</v>
      </c>
    </row>
    <row r="1278" spans="1:12" x14ac:dyDescent="0.25">
      <c r="A1278" s="32">
        <v>46248</v>
      </c>
      <c r="B1278" s="33" t="s">
        <v>32</v>
      </c>
      <c r="C1278" s="33" t="s">
        <v>506</v>
      </c>
      <c r="D1278" s="33" t="s">
        <v>32</v>
      </c>
      <c r="E1278">
        <v>37</v>
      </c>
      <c r="F1278" s="34">
        <v>0.18479166666666666</v>
      </c>
      <c r="G1278" s="34">
        <v>4.9943693693693695E-3</v>
      </c>
      <c r="H1278" s="34">
        <v>0.26181712962962961</v>
      </c>
      <c r="I1278" s="34">
        <v>2.9837962962962962E-2</v>
      </c>
      <c r="J1278" s="35">
        <v>0.11396489987180054</v>
      </c>
      <c r="K1278" s="33" t="s">
        <v>44</v>
      </c>
      <c r="L1278" s="33" t="s">
        <v>100</v>
      </c>
    </row>
    <row r="1279" spans="1:12" x14ac:dyDescent="0.25">
      <c r="A1279" s="32">
        <v>46248</v>
      </c>
      <c r="B1279" s="33" t="s">
        <v>32</v>
      </c>
      <c r="C1279" s="33" t="s">
        <v>646</v>
      </c>
      <c r="D1279" s="33" t="s">
        <v>32</v>
      </c>
      <c r="E1279">
        <v>41</v>
      </c>
      <c r="F1279" s="34">
        <v>0.19718749999999999</v>
      </c>
      <c r="G1279" s="34">
        <v>4.8094512195121951E-3</v>
      </c>
      <c r="H1279" s="34">
        <v>0.26270833333333332</v>
      </c>
      <c r="I1279" s="34">
        <v>3.2337962962962964E-2</v>
      </c>
      <c r="J1279" s="35">
        <v>0.12309454577495815</v>
      </c>
      <c r="K1279" s="33" t="s">
        <v>645</v>
      </c>
      <c r="L1279" s="33" t="s">
        <v>100</v>
      </c>
    </row>
    <row r="1280" spans="1:12" x14ac:dyDescent="0.25">
      <c r="A1280" s="32">
        <v>46248</v>
      </c>
      <c r="B1280" s="33" t="s">
        <v>32</v>
      </c>
      <c r="C1280" s="33" t="s">
        <v>544</v>
      </c>
      <c r="D1280" s="33" t="s">
        <v>147</v>
      </c>
      <c r="E1280">
        <v>7</v>
      </c>
      <c r="F1280" s="34">
        <v>5.6365740740740742E-3</v>
      </c>
      <c r="G1280" s="34">
        <v>8.0522486772486776E-4</v>
      </c>
      <c r="H1280" s="34">
        <v>0.25603009259259257</v>
      </c>
      <c r="I1280" s="34">
        <v>4.6516203703703705E-2</v>
      </c>
      <c r="J1280" s="35">
        <v>0.1816825640793816</v>
      </c>
      <c r="K1280" s="33" t="s">
        <v>160</v>
      </c>
      <c r="L1280" s="33" t="s">
        <v>146</v>
      </c>
    </row>
    <row r="1281" spans="1:12" x14ac:dyDescent="0.25">
      <c r="A1281" s="32">
        <v>46248</v>
      </c>
      <c r="B1281" s="33" t="s">
        <v>32</v>
      </c>
      <c r="C1281" s="33" t="s">
        <v>558</v>
      </c>
      <c r="D1281" s="33" t="s">
        <v>32</v>
      </c>
      <c r="E1281">
        <v>37</v>
      </c>
      <c r="F1281" s="34">
        <v>8.3344907407407409E-2</v>
      </c>
      <c r="G1281" s="34">
        <v>2.2525650650650651E-3</v>
      </c>
      <c r="H1281" s="34">
        <v>0.2621412037037037</v>
      </c>
      <c r="I1281" s="34">
        <v>4.3067129629629629E-2</v>
      </c>
      <c r="J1281" s="35">
        <v>0.16428981411982868</v>
      </c>
      <c r="K1281" s="33" t="s">
        <v>120</v>
      </c>
      <c r="L1281" s="33" t="s">
        <v>233</v>
      </c>
    </row>
    <row r="1282" spans="1:12" x14ac:dyDescent="0.25">
      <c r="A1282" s="32">
        <v>46248</v>
      </c>
      <c r="B1282" s="33" t="s">
        <v>32</v>
      </c>
      <c r="C1282" s="33" t="s">
        <v>507</v>
      </c>
      <c r="D1282" s="33" t="s">
        <v>32</v>
      </c>
      <c r="E1282">
        <v>37</v>
      </c>
      <c r="F1282" s="34">
        <v>0.1872800925925926</v>
      </c>
      <c r="G1282" s="34">
        <v>5.061624124124124E-3</v>
      </c>
      <c r="H1282" s="34">
        <v>0.26241898148148146</v>
      </c>
      <c r="I1282" s="34">
        <v>3.5925925925925924E-2</v>
      </c>
      <c r="J1282" s="35">
        <v>0.13690292418294889</v>
      </c>
      <c r="K1282" s="33" t="s">
        <v>46</v>
      </c>
      <c r="L1282" s="33" t="s">
        <v>100</v>
      </c>
    </row>
    <row r="1283" spans="1:12" x14ac:dyDescent="0.25">
      <c r="A1283" s="32">
        <v>46248</v>
      </c>
      <c r="B1283" s="33" t="s">
        <v>32</v>
      </c>
      <c r="C1283" s="33" t="s">
        <v>517</v>
      </c>
      <c r="D1283" s="33" t="s">
        <v>147</v>
      </c>
      <c r="E1283">
        <v>6</v>
      </c>
      <c r="F1283" s="34">
        <v>3.7835648148148146E-2</v>
      </c>
      <c r="G1283" s="34">
        <v>6.3059413580246913E-3</v>
      </c>
      <c r="H1283" s="34">
        <v>0.24078703703703705</v>
      </c>
      <c r="I1283" s="34">
        <v>4.7939814814814817E-2</v>
      </c>
      <c r="J1283" s="35">
        <v>0.19909632762930204</v>
      </c>
      <c r="K1283" s="33" t="s">
        <v>499</v>
      </c>
      <c r="L1283" s="33" t="s">
        <v>146</v>
      </c>
    </row>
    <row r="1284" spans="1:12" x14ac:dyDescent="0.25">
      <c r="A1284" s="32">
        <v>46248</v>
      </c>
      <c r="B1284" s="33" t="s">
        <v>32</v>
      </c>
      <c r="C1284" s="33" t="s">
        <v>648</v>
      </c>
      <c r="D1284" s="33" t="s">
        <v>32</v>
      </c>
      <c r="E1284">
        <v>29</v>
      </c>
      <c r="F1284" s="34">
        <v>0.10212962962962963</v>
      </c>
      <c r="G1284" s="34">
        <v>3.5217113665389527E-3</v>
      </c>
      <c r="H1284" s="34">
        <v>0.26395833333333335</v>
      </c>
      <c r="I1284" s="34">
        <v>4.2118055555555554E-2</v>
      </c>
      <c r="J1284" s="35">
        <v>0.1595632728229413</v>
      </c>
      <c r="K1284" s="33" t="s">
        <v>647</v>
      </c>
      <c r="L1284" s="33" t="s">
        <v>233</v>
      </c>
    </row>
    <row r="1285" spans="1:12" x14ac:dyDescent="0.25">
      <c r="A1285" s="32">
        <v>46248</v>
      </c>
      <c r="B1285" s="33" t="s">
        <v>32</v>
      </c>
      <c r="C1285" s="33" t="s">
        <v>568</v>
      </c>
      <c r="D1285" s="33" t="s">
        <v>32</v>
      </c>
      <c r="E1285">
        <v>49</v>
      </c>
      <c r="F1285" s="34">
        <v>0.14246527777777779</v>
      </c>
      <c r="G1285" s="34">
        <v>2.9074546485260773E-3</v>
      </c>
      <c r="H1285" s="34">
        <v>0.3399537037037037</v>
      </c>
      <c r="I1285" s="34">
        <v>5.4386574074074073E-2</v>
      </c>
      <c r="J1285" s="35">
        <v>0.15998229606427891</v>
      </c>
      <c r="K1285" s="33" t="s">
        <v>246</v>
      </c>
      <c r="L1285" s="33" t="s">
        <v>233</v>
      </c>
    </row>
    <row r="1286" spans="1:12" x14ac:dyDescent="0.25">
      <c r="A1286" s="32">
        <v>46248</v>
      </c>
      <c r="B1286" s="33" t="s">
        <v>32</v>
      </c>
      <c r="C1286" s="33" t="s">
        <v>508</v>
      </c>
      <c r="D1286" s="33" t="s">
        <v>32</v>
      </c>
      <c r="E1286">
        <v>42</v>
      </c>
      <c r="F1286" s="34">
        <v>0.1307638888888889</v>
      </c>
      <c r="G1286" s="34">
        <v>3.1134259259259262E-3</v>
      </c>
      <c r="H1286" s="34">
        <v>0.26665509259259257</v>
      </c>
      <c r="I1286" s="34">
        <v>6.535879629629629E-2</v>
      </c>
      <c r="J1286" s="35">
        <v>0.24510612439776031</v>
      </c>
      <c r="K1286" s="33" t="s">
        <v>48</v>
      </c>
      <c r="L1286" s="33" t="s">
        <v>100</v>
      </c>
    </row>
    <row r="1287" spans="1:12" x14ac:dyDescent="0.25">
      <c r="A1287" s="32">
        <v>46248</v>
      </c>
      <c r="B1287" s="33" t="s">
        <v>32</v>
      </c>
      <c r="C1287" s="33" t="s">
        <v>538</v>
      </c>
      <c r="D1287" s="33" t="s">
        <v>32</v>
      </c>
      <c r="E1287">
        <v>6</v>
      </c>
      <c r="F1287" s="34">
        <v>3.0173611111111109E-2</v>
      </c>
      <c r="G1287" s="34">
        <v>5.0289351851851849E-3</v>
      </c>
      <c r="H1287" s="34">
        <v>0.26399305555555558</v>
      </c>
      <c r="I1287" s="34">
        <v>0.23689814814814814</v>
      </c>
      <c r="J1287" s="35">
        <v>0.89736507518961806</v>
      </c>
      <c r="K1287" s="33" t="s">
        <v>50</v>
      </c>
      <c r="L1287" s="33" t="s">
        <v>100</v>
      </c>
    </row>
    <row r="1288" spans="1:12" x14ac:dyDescent="0.25">
      <c r="A1288" s="32">
        <v>46248</v>
      </c>
      <c r="B1288" s="33" t="s">
        <v>32</v>
      </c>
      <c r="C1288" s="33" t="s">
        <v>603</v>
      </c>
      <c r="D1288" s="33" t="s">
        <v>32</v>
      </c>
      <c r="E1288">
        <v>35</v>
      </c>
      <c r="F1288" s="34">
        <v>0.12356481481481481</v>
      </c>
      <c r="G1288" s="34">
        <v>3.5304232804232801E-3</v>
      </c>
      <c r="H1288" s="34">
        <v>0.26006944444444446</v>
      </c>
      <c r="I1288" s="34">
        <v>1.0393518518518519E-2</v>
      </c>
      <c r="J1288" s="35">
        <v>3.9964396973742766E-2</v>
      </c>
      <c r="K1288" s="33" t="s">
        <v>242</v>
      </c>
      <c r="L1288" s="33" t="s">
        <v>233</v>
      </c>
    </row>
    <row r="1289" spans="1:12" x14ac:dyDescent="0.25">
      <c r="A1289" s="32">
        <v>46248</v>
      </c>
      <c r="B1289" s="33" t="s">
        <v>32</v>
      </c>
      <c r="C1289" s="33" t="s">
        <v>518</v>
      </c>
      <c r="D1289" s="33" t="s">
        <v>147</v>
      </c>
      <c r="E1289">
        <v>2</v>
      </c>
      <c r="F1289" s="34">
        <v>1.6840277777777777E-2</v>
      </c>
      <c r="G1289" s="34">
        <v>8.4201388888888885E-3</v>
      </c>
      <c r="H1289" s="34">
        <v>0.25603009259259257</v>
      </c>
      <c r="I1289" s="34">
        <v>3.1851851851851853E-2</v>
      </c>
      <c r="J1289" s="35">
        <v>0.12440667239274898</v>
      </c>
      <c r="K1289" s="33" t="s">
        <v>500</v>
      </c>
      <c r="L1289" s="33" t="s">
        <v>274</v>
      </c>
    </row>
    <row r="1290" spans="1:12" x14ac:dyDescent="0.25">
      <c r="A1290" s="32">
        <v>46248</v>
      </c>
      <c r="B1290" s="33" t="s">
        <v>32</v>
      </c>
      <c r="C1290" s="33" t="s">
        <v>684</v>
      </c>
      <c r="D1290" s="33" t="s">
        <v>32</v>
      </c>
      <c r="E1290">
        <v>30</v>
      </c>
      <c r="F1290" s="34">
        <v>8.3344907407407409E-2</v>
      </c>
      <c r="G1290" s="34">
        <v>2.7781635802469136E-3</v>
      </c>
      <c r="H1290" s="34">
        <v>0.25734953703703706</v>
      </c>
      <c r="I1290" s="34">
        <v>4.4155092592592593E-2</v>
      </c>
      <c r="J1290" s="35">
        <v>0.1715763436024286</v>
      </c>
      <c r="K1290" s="33" t="s">
        <v>683</v>
      </c>
      <c r="L1290" s="33" t="s">
        <v>233</v>
      </c>
    </row>
    <row r="1291" spans="1:12" x14ac:dyDescent="0.25">
      <c r="A1291" s="32">
        <v>46248</v>
      </c>
      <c r="B1291" s="33" t="s">
        <v>32</v>
      </c>
      <c r="C1291" s="33" t="s">
        <v>654</v>
      </c>
      <c r="D1291" s="33" t="s">
        <v>32</v>
      </c>
      <c r="E1291">
        <v>33</v>
      </c>
      <c r="F1291" s="34">
        <v>0.16809027777777777</v>
      </c>
      <c r="G1291" s="34">
        <v>5.0936447811447813E-3</v>
      </c>
      <c r="H1291" s="34">
        <v>0.25425925925925924</v>
      </c>
      <c r="I1291" s="34">
        <v>3.9687500000000001E-2</v>
      </c>
      <c r="J1291" s="35">
        <v>0.15609067734887111</v>
      </c>
      <c r="K1291" s="33" t="s">
        <v>653</v>
      </c>
      <c r="L1291" s="33" t="s">
        <v>100</v>
      </c>
    </row>
    <row r="1292" spans="1:12" x14ac:dyDescent="0.25">
      <c r="A1292" s="32">
        <v>46248</v>
      </c>
      <c r="B1292" s="33" t="s">
        <v>32</v>
      </c>
      <c r="C1292" s="33" t="s">
        <v>509</v>
      </c>
      <c r="D1292" s="33" t="s">
        <v>32</v>
      </c>
      <c r="E1292">
        <v>3</v>
      </c>
      <c r="F1292" s="34">
        <v>1.2800925925925926E-2</v>
      </c>
      <c r="G1292" s="34">
        <v>4.2669753086419749E-3</v>
      </c>
      <c r="H1292" s="34">
        <v>0.18337962962962964</v>
      </c>
      <c r="I1292" s="34">
        <v>0.17395833333333333</v>
      </c>
      <c r="J1292" s="35">
        <v>0.94862408482706373</v>
      </c>
      <c r="K1292" s="33" t="s">
        <v>52</v>
      </c>
      <c r="L1292" s="33" t="s">
        <v>100</v>
      </c>
    </row>
    <row r="1293" spans="1:12" x14ac:dyDescent="0.25">
      <c r="A1293" s="32">
        <v>46248</v>
      </c>
      <c r="B1293" s="33" t="s">
        <v>32</v>
      </c>
      <c r="C1293" s="33" t="s">
        <v>519</v>
      </c>
      <c r="D1293" s="33" t="s">
        <v>147</v>
      </c>
      <c r="E1293">
        <v>11</v>
      </c>
      <c r="F1293" s="34">
        <v>1.0543981481481482E-2</v>
      </c>
      <c r="G1293" s="34">
        <v>9.5854377104377111E-4</v>
      </c>
      <c r="H1293" s="34">
        <v>0.33510416666666665</v>
      </c>
      <c r="I1293" s="34">
        <v>3.875E-2</v>
      </c>
      <c r="J1293" s="35">
        <v>0.11563568542119988</v>
      </c>
      <c r="K1293" s="33" t="s">
        <v>164</v>
      </c>
      <c r="L1293" s="33" t="s">
        <v>146</v>
      </c>
    </row>
    <row r="1294" spans="1:12" x14ac:dyDescent="0.25">
      <c r="A1294" s="32">
        <v>46248</v>
      </c>
      <c r="B1294" s="33" t="s">
        <v>32</v>
      </c>
      <c r="C1294" s="33" t="s">
        <v>656</v>
      </c>
      <c r="D1294" s="33" t="s">
        <v>32</v>
      </c>
      <c r="E1294">
        <v>39</v>
      </c>
      <c r="F1294" s="34">
        <v>0.15468750000000001</v>
      </c>
      <c r="G1294" s="34">
        <v>3.9663461538461536E-3</v>
      </c>
      <c r="H1294" s="34">
        <v>0.25905092592592593</v>
      </c>
      <c r="I1294" s="34">
        <v>3.3136574074074075E-2</v>
      </c>
      <c r="J1294" s="35">
        <v>0.12791528907157537</v>
      </c>
      <c r="K1294" s="33" t="s">
        <v>655</v>
      </c>
      <c r="L1294" s="33" t="s">
        <v>100</v>
      </c>
    </row>
    <row r="1295" spans="1:12" x14ac:dyDescent="0.25">
      <c r="A1295" s="32">
        <v>46248</v>
      </c>
      <c r="B1295" s="33" t="s">
        <v>32</v>
      </c>
      <c r="C1295" s="33" t="s">
        <v>167</v>
      </c>
      <c r="D1295" s="33" t="s">
        <v>147</v>
      </c>
      <c r="E1295">
        <v>6</v>
      </c>
      <c r="F1295" s="34">
        <v>5.9490740740740745E-3</v>
      </c>
      <c r="G1295" s="34">
        <v>9.9151234567901249E-4</v>
      </c>
      <c r="H1295" s="34">
        <v>0.26165509259259262</v>
      </c>
      <c r="I1295" s="34">
        <v>3.1990740740740743E-2</v>
      </c>
      <c r="J1295" s="35">
        <v>0.12226301588003716</v>
      </c>
      <c r="K1295" s="33" t="s">
        <v>166</v>
      </c>
      <c r="L1295" s="33" t="s">
        <v>146</v>
      </c>
    </row>
    <row r="1296" spans="1:12" x14ac:dyDescent="0.25">
      <c r="A1296" s="32">
        <v>46248</v>
      </c>
      <c r="B1296" s="33" t="s">
        <v>32</v>
      </c>
      <c r="C1296" s="33" t="s">
        <v>658</v>
      </c>
      <c r="D1296" s="33" t="s">
        <v>147</v>
      </c>
      <c r="E1296">
        <v>7</v>
      </c>
      <c r="F1296" s="34">
        <v>2.4594907407407409E-2</v>
      </c>
      <c r="G1296" s="34">
        <v>3.5135582010582013E-3</v>
      </c>
      <c r="H1296" s="34">
        <v>0.25015046296296295</v>
      </c>
      <c r="I1296" s="34">
        <v>3.5486111111111114E-2</v>
      </c>
      <c r="J1296" s="35">
        <v>0.14185906630268821</v>
      </c>
      <c r="K1296" s="33" t="s">
        <v>657</v>
      </c>
      <c r="L1296" s="33" t="s">
        <v>274</v>
      </c>
    </row>
    <row r="1297" spans="1:12" x14ac:dyDescent="0.25">
      <c r="A1297" s="32">
        <v>46248</v>
      </c>
      <c r="B1297" s="33" t="s">
        <v>32</v>
      </c>
      <c r="C1297" s="33" t="s">
        <v>660</v>
      </c>
      <c r="D1297" s="33" t="s">
        <v>32</v>
      </c>
      <c r="E1297">
        <v>6</v>
      </c>
      <c r="F1297" s="34">
        <v>4.9375000000000002E-2</v>
      </c>
      <c r="G1297" s="34">
        <v>8.2291666666666676E-3</v>
      </c>
      <c r="H1297" s="34">
        <v>0.25422453703703701</v>
      </c>
      <c r="I1297" s="34">
        <v>0.21409722222222222</v>
      </c>
      <c r="J1297" s="35">
        <v>0.84215797860232189</v>
      </c>
      <c r="K1297" s="33" t="s">
        <v>659</v>
      </c>
      <c r="L1297" s="33" t="s">
        <v>100</v>
      </c>
    </row>
    <row r="1298" spans="1:12" x14ac:dyDescent="0.25">
      <c r="A1298" s="32">
        <v>46248</v>
      </c>
      <c r="B1298" s="33" t="s">
        <v>32</v>
      </c>
      <c r="C1298" s="33" t="s">
        <v>528</v>
      </c>
      <c r="D1298" s="33" t="s">
        <v>32</v>
      </c>
      <c r="E1298">
        <v>18</v>
      </c>
      <c r="F1298" s="34">
        <v>8.3182870370370365E-2</v>
      </c>
      <c r="G1298" s="34">
        <v>4.6212705761316869E-3</v>
      </c>
      <c r="H1298" s="34">
        <v>0.26745370370370369</v>
      </c>
      <c r="I1298" s="34">
        <v>6.8101851851851858E-2</v>
      </c>
      <c r="J1298" s="35">
        <v>0.25463043101956034</v>
      </c>
      <c r="K1298" s="33" t="s">
        <v>254</v>
      </c>
      <c r="L1298" s="33" t="s">
        <v>233</v>
      </c>
    </row>
    <row r="1299" spans="1:12" x14ac:dyDescent="0.25">
      <c r="A1299" s="32">
        <v>46248</v>
      </c>
      <c r="B1299" s="33" t="s">
        <v>32</v>
      </c>
      <c r="C1299" s="33" t="s">
        <v>520</v>
      </c>
      <c r="D1299" s="33" t="s">
        <v>147</v>
      </c>
      <c r="E1299">
        <v>1</v>
      </c>
      <c r="F1299" s="34">
        <v>8.2175925925925927E-4</v>
      </c>
      <c r="G1299" s="34">
        <v>8.2175925925925927E-4</v>
      </c>
      <c r="H1299" s="34">
        <v>0.26425925925925925</v>
      </c>
      <c r="I1299" s="34">
        <v>4.4791666666666667E-2</v>
      </c>
      <c r="J1299" s="35">
        <v>0.1694989488437281</v>
      </c>
      <c r="K1299" s="33" t="s">
        <v>168</v>
      </c>
      <c r="L1299" s="33" t="s">
        <v>274</v>
      </c>
    </row>
    <row r="1300" spans="1:12" x14ac:dyDescent="0.25">
      <c r="A1300" s="32">
        <v>46248</v>
      </c>
      <c r="B1300" s="33" t="s">
        <v>32</v>
      </c>
      <c r="C1300" s="33" t="s">
        <v>521</v>
      </c>
      <c r="D1300" s="33" t="s">
        <v>147</v>
      </c>
      <c r="E1300">
        <v>3</v>
      </c>
      <c r="F1300" s="34">
        <v>1.8576388888888889E-2</v>
      </c>
      <c r="G1300" s="34">
        <v>6.1921296296296299E-3</v>
      </c>
      <c r="H1300" s="34">
        <v>0.25481481481481483</v>
      </c>
      <c r="I1300" s="34">
        <v>3.7418981481481484E-2</v>
      </c>
      <c r="J1300" s="35">
        <v>0.14684774709302326</v>
      </c>
      <c r="K1300" s="33" t="s">
        <v>170</v>
      </c>
      <c r="L1300" s="33" t="s">
        <v>146</v>
      </c>
    </row>
    <row r="1301" spans="1:12" x14ac:dyDescent="0.25">
      <c r="A1301" s="32">
        <v>46248</v>
      </c>
      <c r="B1301" s="33" t="s">
        <v>32</v>
      </c>
      <c r="C1301" s="33" t="s">
        <v>633</v>
      </c>
      <c r="D1301" s="33" t="s">
        <v>147</v>
      </c>
      <c r="E1301">
        <v>5</v>
      </c>
      <c r="F1301" s="34">
        <v>3.3761574074074076E-2</v>
      </c>
      <c r="G1301" s="34">
        <v>6.7523148148148152E-3</v>
      </c>
      <c r="H1301" s="34">
        <v>0.2578125</v>
      </c>
      <c r="I1301" s="34">
        <v>5.7407407407407407E-2</v>
      </c>
      <c r="J1301" s="35">
        <v>0.22267115600448933</v>
      </c>
      <c r="K1301" s="33" t="s">
        <v>606</v>
      </c>
      <c r="L1301" s="33" t="s">
        <v>146</v>
      </c>
    </row>
    <row r="1302" spans="1:12" x14ac:dyDescent="0.25">
      <c r="A1302" s="32">
        <v>46248</v>
      </c>
      <c r="B1302" s="33" t="s">
        <v>32</v>
      </c>
      <c r="C1302" s="33" t="s">
        <v>634</v>
      </c>
      <c r="D1302" s="33" t="s">
        <v>105</v>
      </c>
      <c r="E1302">
        <v>1</v>
      </c>
      <c r="F1302" s="34">
        <v>1.2997685185185185E-2</v>
      </c>
      <c r="G1302" s="34">
        <v>1.2997685185185185E-2</v>
      </c>
      <c r="H1302" s="34">
        <v>0.22310185185185186</v>
      </c>
      <c r="I1302" s="34">
        <v>0.2119675925925926</v>
      </c>
      <c r="J1302" s="35">
        <v>0.95009338036937119</v>
      </c>
      <c r="K1302" s="33" t="s">
        <v>612</v>
      </c>
      <c r="L1302" s="33" t="s">
        <v>601</v>
      </c>
    </row>
    <row r="1303" spans="1:12" x14ac:dyDescent="0.25">
      <c r="A1303" s="32">
        <v>46248</v>
      </c>
      <c r="B1303" s="33" t="s">
        <v>32</v>
      </c>
      <c r="C1303" s="33" t="s">
        <v>529</v>
      </c>
      <c r="D1303" s="33" t="s">
        <v>32</v>
      </c>
      <c r="E1303">
        <v>18</v>
      </c>
      <c r="F1303" s="34">
        <v>7.72337962962963E-2</v>
      </c>
      <c r="G1303" s="34">
        <v>4.29076646090535E-3</v>
      </c>
      <c r="H1303" s="34">
        <v>0.25701388888888888</v>
      </c>
      <c r="I1303" s="34">
        <v>5.6851851851851855E-2</v>
      </c>
      <c r="J1303" s="35">
        <v>0.22120147707826715</v>
      </c>
      <c r="K1303" s="33" t="s">
        <v>256</v>
      </c>
      <c r="L1303" s="33" t="s">
        <v>233</v>
      </c>
    </row>
    <row r="1304" spans="1:12" x14ac:dyDescent="0.25">
      <c r="A1304" s="32">
        <v>46248</v>
      </c>
      <c r="B1304" s="33" t="s">
        <v>32</v>
      </c>
      <c r="C1304" s="33" t="s">
        <v>554</v>
      </c>
      <c r="D1304" s="33" t="s">
        <v>32</v>
      </c>
      <c r="E1304">
        <v>1</v>
      </c>
      <c r="F1304" s="34">
        <v>1.1319444444444444E-2</v>
      </c>
      <c r="G1304" s="34">
        <v>1.1319444444444444E-2</v>
      </c>
      <c r="H1304" s="34">
        <v>0.21149305555555556</v>
      </c>
      <c r="I1304" s="34">
        <v>0.18967592592592591</v>
      </c>
      <c r="J1304" s="35">
        <v>0.89684233568653193</v>
      </c>
      <c r="K1304" s="33" t="s">
        <v>258</v>
      </c>
      <c r="L1304" s="33" t="s">
        <v>233</v>
      </c>
    </row>
    <row r="1305" spans="1:12" x14ac:dyDescent="0.25">
      <c r="A1305" s="32">
        <v>46248</v>
      </c>
      <c r="B1305" s="33" t="s">
        <v>32</v>
      </c>
      <c r="C1305" s="33" t="s">
        <v>662</v>
      </c>
      <c r="D1305" s="33" t="s">
        <v>32</v>
      </c>
      <c r="E1305">
        <v>29</v>
      </c>
      <c r="F1305" s="34">
        <v>0.16571759259259258</v>
      </c>
      <c r="G1305" s="34">
        <v>5.7143997445721576E-3</v>
      </c>
      <c r="H1305" s="34">
        <v>0.25987268518518519</v>
      </c>
      <c r="I1305" s="34">
        <v>5.7708333333333334E-2</v>
      </c>
      <c r="J1305" s="35">
        <v>0.22206386674386497</v>
      </c>
      <c r="K1305" s="33" t="s">
        <v>661</v>
      </c>
      <c r="L1305" s="33" t="s">
        <v>100</v>
      </c>
    </row>
    <row r="1306" spans="1:12" x14ac:dyDescent="0.25">
      <c r="A1306" s="32">
        <v>46248</v>
      </c>
      <c r="B1306" s="33" t="s">
        <v>32</v>
      </c>
      <c r="C1306" s="33" t="s">
        <v>664</v>
      </c>
      <c r="D1306" s="33" t="s">
        <v>32</v>
      </c>
      <c r="E1306">
        <v>19</v>
      </c>
      <c r="F1306" s="34">
        <v>0.14467592592592593</v>
      </c>
      <c r="G1306" s="34">
        <v>7.6145224171539965E-3</v>
      </c>
      <c r="H1306" s="34">
        <v>0.26494212962962965</v>
      </c>
      <c r="I1306" s="34">
        <v>4.3981481481481483E-2</v>
      </c>
      <c r="J1306" s="35">
        <v>0.16600410641736926</v>
      </c>
      <c r="K1306" s="33" t="s">
        <v>663</v>
      </c>
      <c r="L1306" s="33" t="s">
        <v>233</v>
      </c>
    </row>
    <row r="1307" spans="1:12" x14ac:dyDescent="0.25">
      <c r="A1307" s="32">
        <v>46248</v>
      </c>
      <c r="B1307" s="33" t="s">
        <v>32</v>
      </c>
      <c r="C1307" s="33" t="s">
        <v>666</v>
      </c>
      <c r="D1307" s="33" t="s">
        <v>32</v>
      </c>
      <c r="E1307">
        <v>30</v>
      </c>
      <c r="F1307" s="34">
        <v>0.18457175925925925</v>
      </c>
      <c r="G1307" s="34">
        <v>6.1523919753086421E-3</v>
      </c>
      <c r="H1307" s="34">
        <v>0.25535879629629632</v>
      </c>
      <c r="I1307" s="34">
        <v>3.0347222222222223E-2</v>
      </c>
      <c r="J1307" s="35">
        <v>0.11884149934279109</v>
      </c>
      <c r="K1307" s="33" t="s">
        <v>665</v>
      </c>
      <c r="L1307" s="33" t="s">
        <v>100</v>
      </c>
    </row>
    <row r="1308" spans="1:12" x14ac:dyDescent="0.25">
      <c r="A1308" s="32">
        <v>46248</v>
      </c>
      <c r="B1308" s="33" t="s">
        <v>32</v>
      </c>
      <c r="C1308" s="33" t="s">
        <v>555</v>
      </c>
      <c r="D1308" s="33" t="s">
        <v>32</v>
      </c>
      <c r="E1308">
        <v>27</v>
      </c>
      <c r="F1308" s="34">
        <v>9.0057870370370371E-2</v>
      </c>
      <c r="G1308" s="34">
        <v>3.335476680384088E-3</v>
      </c>
      <c r="H1308" s="34">
        <v>0.24570601851851853</v>
      </c>
      <c r="I1308" s="34">
        <v>6.4560185185185179E-2</v>
      </c>
      <c r="J1308" s="35">
        <v>0.26275378020632151</v>
      </c>
      <c r="K1308" s="33" t="s">
        <v>128</v>
      </c>
      <c r="L1308" s="33" t="s">
        <v>233</v>
      </c>
    </row>
    <row r="1309" spans="1:12" x14ac:dyDescent="0.25">
      <c r="A1309" s="32">
        <v>46248</v>
      </c>
      <c r="B1309" s="33" t="s">
        <v>32</v>
      </c>
      <c r="C1309" s="33" t="s">
        <v>522</v>
      </c>
      <c r="D1309" s="33" t="s">
        <v>147</v>
      </c>
      <c r="E1309">
        <v>7</v>
      </c>
      <c r="F1309" s="34">
        <v>1.2835648148148148E-2</v>
      </c>
      <c r="G1309" s="34">
        <v>1.8336640211640211E-3</v>
      </c>
      <c r="H1309" s="34">
        <v>0.25369212962962961</v>
      </c>
      <c r="I1309" s="34">
        <v>3.0532407407407407E-2</v>
      </c>
      <c r="J1309" s="35">
        <v>0.12035220584880697</v>
      </c>
      <c r="K1309" s="33" t="s">
        <v>178</v>
      </c>
      <c r="L1309" s="33" t="s">
        <v>146</v>
      </c>
    </row>
    <row r="1310" spans="1:12" x14ac:dyDescent="0.25">
      <c r="A1310" s="32">
        <v>46248</v>
      </c>
      <c r="B1310" s="33" t="s">
        <v>32</v>
      </c>
      <c r="C1310" s="33" t="s">
        <v>635</v>
      </c>
      <c r="D1310" s="33" t="s">
        <v>105</v>
      </c>
      <c r="E1310">
        <v>1</v>
      </c>
      <c r="F1310" s="34">
        <v>4.4907407407407405E-3</v>
      </c>
      <c r="G1310" s="34">
        <v>4.4907407407407405E-3</v>
      </c>
      <c r="H1310" s="34">
        <v>0.22381944444444443</v>
      </c>
      <c r="I1310" s="34">
        <v>0.22137731481481482</v>
      </c>
      <c r="J1310" s="35">
        <v>0.98908884062467683</v>
      </c>
      <c r="K1310" s="33" t="s">
        <v>614</v>
      </c>
      <c r="L1310" s="33" t="s">
        <v>601</v>
      </c>
    </row>
    <row r="1311" spans="1:12" x14ac:dyDescent="0.25">
      <c r="A1311" s="32">
        <v>46248</v>
      </c>
      <c r="B1311" s="33" t="s">
        <v>32</v>
      </c>
      <c r="C1311" s="33" t="s">
        <v>523</v>
      </c>
      <c r="D1311" s="33" t="s">
        <v>147</v>
      </c>
      <c r="E1311">
        <v>4</v>
      </c>
      <c r="F1311" s="34">
        <v>1.0601851851851852E-2</v>
      </c>
      <c r="G1311" s="34">
        <v>2.650462962962963E-3</v>
      </c>
      <c r="H1311" s="34">
        <v>0.25723379629629628</v>
      </c>
      <c r="I1311" s="34">
        <v>3.4918981481481481E-2</v>
      </c>
      <c r="J1311" s="35">
        <v>0.13574803149606299</v>
      </c>
      <c r="K1311" s="33" t="s">
        <v>180</v>
      </c>
      <c r="L1311" s="33" t="s">
        <v>146</v>
      </c>
    </row>
    <row r="1312" spans="1:12" x14ac:dyDescent="0.25">
      <c r="A1312" s="32">
        <v>46248</v>
      </c>
      <c r="B1312" s="33" t="s">
        <v>32</v>
      </c>
      <c r="C1312" s="33" t="s">
        <v>636</v>
      </c>
      <c r="D1312" s="33" t="s">
        <v>105</v>
      </c>
      <c r="E1312">
        <v>2</v>
      </c>
      <c r="F1312" s="34">
        <v>4.9652777777777777E-3</v>
      </c>
      <c r="G1312" s="34">
        <v>2.4826388888888888E-3</v>
      </c>
      <c r="H1312" s="34">
        <v>0.24158564814814815</v>
      </c>
      <c r="I1312" s="34">
        <v>0.23020833333333332</v>
      </c>
      <c r="J1312" s="35">
        <v>0.95290566760887263</v>
      </c>
      <c r="K1312" s="33" t="s">
        <v>615</v>
      </c>
      <c r="L1312" s="33" t="s">
        <v>601</v>
      </c>
    </row>
    <row r="1313" spans="1:12" x14ac:dyDescent="0.25">
      <c r="A1313" s="32">
        <v>46248</v>
      </c>
      <c r="B1313" s="33" t="s">
        <v>32</v>
      </c>
      <c r="C1313" s="33" t="s">
        <v>566</v>
      </c>
      <c r="D1313" s="33" t="s">
        <v>147</v>
      </c>
      <c r="E1313">
        <v>6</v>
      </c>
      <c r="F1313" s="34">
        <v>1.9618055555555555E-2</v>
      </c>
      <c r="G1313" s="34">
        <v>3.2696759259259259E-3</v>
      </c>
      <c r="H1313" s="34">
        <v>0.25760416666666669</v>
      </c>
      <c r="I1313" s="34">
        <v>3.2164351851851854E-2</v>
      </c>
      <c r="J1313" s="35">
        <v>0.12485959473424091</v>
      </c>
      <c r="K1313" s="33" t="s">
        <v>207</v>
      </c>
      <c r="L1313" s="33" t="s">
        <v>274</v>
      </c>
    </row>
    <row r="1314" spans="1:12" x14ac:dyDescent="0.25">
      <c r="A1314" s="32">
        <v>46248</v>
      </c>
      <c r="B1314" s="33" t="s">
        <v>32</v>
      </c>
      <c r="C1314" s="33" t="s">
        <v>637</v>
      </c>
      <c r="D1314" s="33" t="s">
        <v>105</v>
      </c>
      <c r="E1314">
        <v>1</v>
      </c>
      <c r="F1314" s="34">
        <v>2.4074074074074076E-3</v>
      </c>
      <c r="G1314" s="34">
        <v>2.4074074074074076E-3</v>
      </c>
      <c r="H1314" s="34">
        <v>0.20550925925925925</v>
      </c>
      <c r="I1314" s="34">
        <v>0.19317129629629629</v>
      </c>
      <c r="J1314" s="35">
        <v>0.93996395584591119</v>
      </c>
      <c r="K1314" s="33" t="s">
        <v>616</v>
      </c>
      <c r="L1314" s="33" t="s">
        <v>601</v>
      </c>
    </row>
    <row r="1315" spans="1:12" x14ac:dyDescent="0.25">
      <c r="A1315" s="32">
        <v>46248</v>
      </c>
      <c r="B1315" s="33" t="s">
        <v>32</v>
      </c>
      <c r="C1315" s="33" t="s">
        <v>567</v>
      </c>
      <c r="D1315" s="33" t="s">
        <v>105</v>
      </c>
      <c r="E1315">
        <v>1</v>
      </c>
      <c r="F1315" s="34">
        <v>3.3611111111111112E-2</v>
      </c>
      <c r="G1315" s="34">
        <v>3.3611111111111112E-2</v>
      </c>
      <c r="H1315" s="34">
        <v>0.2087037037037037</v>
      </c>
      <c r="I1315" s="34">
        <v>0.17640046296296297</v>
      </c>
      <c r="J1315" s="35">
        <v>0.84521960958296372</v>
      </c>
      <c r="K1315" s="33" t="s">
        <v>209</v>
      </c>
      <c r="L1315" s="33" t="s">
        <v>601</v>
      </c>
    </row>
    <row r="1316" spans="1:12" x14ac:dyDescent="0.25">
      <c r="A1316" s="32">
        <v>46248</v>
      </c>
      <c r="B1316" s="33" t="s">
        <v>32</v>
      </c>
      <c r="C1316" s="33" t="s">
        <v>510</v>
      </c>
      <c r="D1316" s="33" t="s">
        <v>32</v>
      </c>
      <c r="E1316">
        <v>33</v>
      </c>
      <c r="F1316" s="34">
        <v>0.20256944444444444</v>
      </c>
      <c r="G1316" s="34">
        <v>6.1384680134680134E-3</v>
      </c>
      <c r="H1316" s="34">
        <v>0.2643287037037037</v>
      </c>
      <c r="I1316" s="34">
        <v>3.3819444444444444E-2</v>
      </c>
      <c r="J1316" s="35">
        <v>0.12794465364742971</v>
      </c>
      <c r="K1316" s="33" t="s">
        <v>60</v>
      </c>
      <c r="L1316" s="33" t="s">
        <v>100</v>
      </c>
    </row>
    <row r="1317" spans="1:12" x14ac:dyDescent="0.25">
      <c r="A1317" s="32">
        <v>46248</v>
      </c>
      <c r="B1317" s="33" t="s">
        <v>32</v>
      </c>
      <c r="C1317" s="33" t="s">
        <v>638</v>
      </c>
      <c r="D1317" s="33" t="s">
        <v>105</v>
      </c>
      <c r="E1317">
        <v>4</v>
      </c>
      <c r="F1317" s="34">
        <v>2.9652777777777778E-2</v>
      </c>
      <c r="G1317" s="34">
        <v>7.4131944444444445E-3</v>
      </c>
      <c r="H1317" s="34">
        <v>0.21660879629629629</v>
      </c>
      <c r="I1317" s="34">
        <v>0.17590277777777777</v>
      </c>
      <c r="J1317" s="35">
        <v>0.81207587496660438</v>
      </c>
      <c r="K1317" s="33" t="s">
        <v>617</v>
      </c>
      <c r="L1317" s="33" t="s">
        <v>601</v>
      </c>
    </row>
    <row r="1318" spans="1:12" x14ac:dyDescent="0.25">
      <c r="A1318" s="32">
        <v>46248</v>
      </c>
      <c r="B1318" s="33" t="s">
        <v>32</v>
      </c>
      <c r="C1318" s="33" t="s">
        <v>639</v>
      </c>
      <c r="D1318" s="33" t="s">
        <v>105</v>
      </c>
      <c r="E1318">
        <v>1</v>
      </c>
      <c r="F1318" s="34">
        <v>9.6064814814814819E-4</v>
      </c>
      <c r="G1318" s="34">
        <v>9.6064814814814819E-4</v>
      </c>
      <c r="H1318" s="34">
        <v>0.22537037037037036</v>
      </c>
      <c r="I1318" s="34">
        <v>0.20120370370370369</v>
      </c>
      <c r="J1318" s="35">
        <v>0.89276910435497125</v>
      </c>
      <c r="K1318" s="33" t="s">
        <v>618</v>
      </c>
      <c r="L1318" s="33" t="s">
        <v>601</v>
      </c>
    </row>
    <row r="1319" spans="1:12" x14ac:dyDescent="0.25">
      <c r="A1319" s="32">
        <v>46248</v>
      </c>
      <c r="B1319" s="33" t="s">
        <v>32</v>
      </c>
      <c r="C1319" s="33" t="s">
        <v>524</v>
      </c>
      <c r="D1319" s="33" t="s">
        <v>147</v>
      </c>
      <c r="E1319">
        <v>6</v>
      </c>
      <c r="F1319" s="34">
        <v>2.9907407407407407E-2</v>
      </c>
      <c r="G1319" s="34">
        <v>4.9845679012345675E-3</v>
      </c>
      <c r="H1319" s="34">
        <v>0.2590277777777778</v>
      </c>
      <c r="I1319" s="34">
        <v>4.3946759259259262E-2</v>
      </c>
      <c r="J1319" s="35">
        <v>0.1696604110813226</v>
      </c>
      <c r="K1319" s="33" t="s">
        <v>501</v>
      </c>
      <c r="L1319" s="33" t="s">
        <v>274</v>
      </c>
    </row>
    <row r="1320" spans="1:12" x14ac:dyDescent="0.25">
      <c r="A1320" s="32">
        <v>46248</v>
      </c>
      <c r="B1320" s="33" t="s">
        <v>32</v>
      </c>
      <c r="C1320" s="33" t="s">
        <v>640</v>
      </c>
      <c r="D1320" s="33" t="s">
        <v>105</v>
      </c>
      <c r="E1320">
        <v>3</v>
      </c>
      <c r="F1320" s="34">
        <v>3.2199074074074074E-2</v>
      </c>
      <c r="G1320" s="34">
        <v>1.0733024691358025E-2</v>
      </c>
      <c r="H1320" s="34">
        <v>0.17247685185185185</v>
      </c>
      <c r="I1320" s="34">
        <v>0.13219907407407408</v>
      </c>
      <c r="J1320" s="35">
        <v>0.76647429875184536</v>
      </c>
      <c r="K1320" s="33" t="s">
        <v>619</v>
      </c>
      <c r="L1320" s="33" t="s">
        <v>601</v>
      </c>
    </row>
    <row r="1321" spans="1:12" x14ac:dyDescent="0.25">
      <c r="A1321" s="32">
        <v>46248</v>
      </c>
      <c r="B1321" s="33" t="s">
        <v>32</v>
      </c>
      <c r="C1321" s="33" t="s">
        <v>669</v>
      </c>
      <c r="D1321" s="33" t="s">
        <v>32</v>
      </c>
      <c r="E1321">
        <v>32</v>
      </c>
      <c r="F1321" s="34">
        <v>9.6469907407407407E-2</v>
      </c>
      <c r="G1321" s="34">
        <v>3.0146846064814815E-3</v>
      </c>
      <c r="H1321" s="34">
        <v>0.26047453703703705</v>
      </c>
      <c r="I1321" s="34">
        <v>4.193287037037037E-2</v>
      </c>
      <c r="J1321" s="35">
        <v>0.16098644745612087</v>
      </c>
      <c r="K1321" s="33" t="s">
        <v>668</v>
      </c>
      <c r="L1321" s="33" t="s">
        <v>233</v>
      </c>
    </row>
    <row r="1322" spans="1:12" x14ac:dyDescent="0.25">
      <c r="A1322" s="32">
        <v>46248</v>
      </c>
      <c r="B1322" s="33" t="s">
        <v>32</v>
      </c>
      <c r="C1322" s="33" t="s">
        <v>306</v>
      </c>
      <c r="D1322" s="33" t="s">
        <v>32</v>
      </c>
      <c r="E1322">
        <v>39</v>
      </c>
      <c r="F1322" s="34">
        <v>0.18174768518518519</v>
      </c>
      <c r="G1322" s="34">
        <v>4.6601970560303891E-3</v>
      </c>
      <c r="H1322" s="34">
        <v>0.26071759259259258</v>
      </c>
      <c r="I1322" s="34">
        <v>4.8680555555555553E-2</v>
      </c>
      <c r="J1322" s="35">
        <v>0.18671757080706738</v>
      </c>
      <c r="K1322" s="33" t="s">
        <v>305</v>
      </c>
      <c r="L1322" s="33" t="s">
        <v>100</v>
      </c>
    </row>
    <row r="1323" spans="1:12" x14ac:dyDescent="0.25">
      <c r="A1323" s="32">
        <v>46248</v>
      </c>
      <c r="B1323" s="33" t="s">
        <v>32</v>
      </c>
      <c r="C1323" s="33" t="s">
        <v>641</v>
      </c>
      <c r="D1323" s="33" t="s">
        <v>105</v>
      </c>
      <c r="E1323">
        <v>1</v>
      </c>
      <c r="F1323" s="34">
        <v>3.3564814814814816E-3</v>
      </c>
      <c r="G1323" s="34">
        <v>3.3564814814814816E-3</v>
      </c>
      <c r="H1323" s="34">
        <v>0.21501157407407406</v>
      </c>
      <c r="I1323" s="34">
        <v>0.20385416666666667</v>
      </c>
      <c r="J1323" s="35">
        <v>0.94810787532970886</v>
      </c>
      <c r="K1323" s="33" t="s">
        <v>620</v>
      </c>
      <c r="L1323" s="33" t="s">
        <v>601</v>
      </c>
    </row>
    <row r="1324" spans="1:12" x14ac:dyDescent="0.25">
      <c r="A1324" s="32">
        <v>46248</v>
      </c>
      <c r="B1324" s="33" t="s">
        <v>32</v>
      </c>
      <c r="C1324" s="33" t="s">
        <v>532</v>
      </c>
      <c r="D1324" s="33" t="s">
        <v>32</v>
      </c>
      <c r="E1324">
        <v>31</v>
      </c>
      <c r="F1324" s="34">
        <v>6.2962962962962957E-2</v>
      </c>
      <c r="G1324" s="34">
        <v>2.0310633213859019E-3</v>
      </c>
      <c r="H1324" s="34">
        <v>0.26374999999999998</v>
      </c>
      <c r="I1324" s="34">
        <v>5.6273148148148149E-2</v>
      </c>
      <c r="J1324" s="35">
        <v>0.21335790767070389</v>
      </c>
      <c r="K1324" s="33" t="s">
        <v>276</v>
      </c>
      <c r="L1324" s="33" t="s">
        <v>233</v>
      </c>
    </row>
    <row r="1325" spans="1:12" x14ac:dyDescent="0.25">
      <c r="A1325" s="32">
        <v>46248</v>
      </c>
      <c r="B1325" s="33" t="s">
        <v>32</v>
      </c>
      <c r="C1325" s="33" t="s">
        <v>533</v>
      </c>
      <c r="D1325" s="33" t="s">
        <v>32</v>
      </c>
      <c r="E1325">
        <v>21</v>
      </c>
      <c r="F1325" s="34">
        <v>0.12325231481481481</v>
      </c>
      <c r="G1325" s="34">
        <v>5.8691578483245146E-3</v>
      </c>
      <c r="H1325" s="34">
        <v>0.26652777777777775</v>
      </c>
      <c r="I1325" s="34">
        <v>3.5185185185185187E-2</v>
      </c>
      <c r="J1325" s="35">
        <v>0.13201320132013203</v>
      </c>
      <c r="K1325" s="33" t="s">
        <v>278</v>
      </c>
      <c r="L1325" s="33" t="s">
        <v>233</v>
      </c>
    </row>
    <row r="1326" spans="1:12" x14ac:dyDescent="0.25">
      <c r="A1326" s="32">
        <v>46248</v>
      </c>
      <c r="B1326" s="33" t="s">
        <v>32</v>
      </c>
      <c r="C1326" s="33" t="s">
        <v>511</v>
      </c>
      <c r="D1326" s="33" t="s">
        <v>80</v>
      </c>
      <c r="E1326">
        <v>2</v>
      </c>
      <c r="F1326" s="34">
        <v>1.4143518518518519E-2</v>
      </c>
      <c r="G1326" s="34">
        <v>7.0717592592592594E-3</v>
      </c>
      <c r="H1326" s="34">
        <v>0.26217592592592592</v>
      </c>
      <c r="I1326" s="34">
        <v>7.2187500000000002E-2</v>
      </c>
      <c r="J1326" s="35">
        <v>0.2753399258343634</v>
      </c>
      <c r="K1326" s="33" t="s">
        <v>313</v>
      </c>
      <c r="L1326" s="33" t="s">
        <v>78</v>
      </c>
    </row>
    <row r="1327" spans="1:12" x14ac:dyDescent="0.25">
      <c r="A1327" s="32">
        <v>46248</v>
      </c>
      <c r="B1327" s="33" t="s">
        <v>32</v>
      </c>
      <c r="C1327" s="33" t="s">
        <v>549</v>
      </c>
      <c r="D1327" s="33" t="s">
        <v>105</v>
      </c>
      <c r="E1327">
        <v>2</v>
      </c>
      <c r="F1327" s="34">
        <v>1.9004629629629628E-2</v>
      </c>
      <c r="G1327" s="34">
        <v>9.5023148148148141E-3</v>
      </c>
      <c r="H1327" s="34">
        <v>0.22278935185185186</v>
      </c>
      <c r="I1327" s="34">
        <v>0.18429398148148149</v>
      </c>
      <c r="J1327" s="35">
        <v>0.82721180321055643</v>
      </c>
      <c r="K1327" s="33" t="s">
        <v>225</v>
      </c>
      <c r="L1327" s="33" t="s">
        <v>601</v>
      </c>
    </row>
    <row r="1328" spans="1:12" x14ac:dyDescent="0.25">
      <c r="A1328" s="32">
        <v>46248</v>
      </c>
      <c r="B1328" s="33" t="s">
        <v>32</v>
      </c>
      <c r="C1328" s="33" t="s">
        <v>534</v>
      </c>
      <c r="D1328" s="33" t="s">
        <v>32</v>
      </c>
      <c r="E1328">
        <v>23</v>
      </c>
      <c r="F1328" s="34">
        <v>9.0300925925925923E-2</v>
      </c>
      <c r="G1328" s="34">
        <v>3.9261272141706922E-3</v>
      </c>
      <c r="H1328" s="34">
        <v>0.25458333333333333</v>
      </c>
      <c r="I1328" s="34">
        <v>4.4143518518518519E-2</v>
      </c>
      <c r="J1328" s="35">
        <v>0.1733951627568649</v>
      </c>
      <c r="K1328" s="33" t="s">
        <v>280</v>
      </c>
      <c r="L1328" s="33" t="s">
        <v>233</v>
      </c>
    </row>
    <row r="1329" spans="1:12" x14ac:dyDescent="0.25">
      <c r="A1329" s="32">
        <v>46248</v>
      </c>
      <c r="B1329" s="33" t="s">
        <v>32</v>
      </c>
      <c r="C1329" s="33" t="s">
        <v>535</v>
      </c>
      <c r="D1329" s="33" t="s">
        <v>32</v>
      </c>
      <c r="E1329">
        <v>30</v>
      </c>
      <c r="F1329" s="34">
        <v>9.1597222222222219E-2</v>
      </c>
      <c r="G1329" s="34">
        <v>3.0532407407407405E-3</v>
      </c>
      <c r="H1329" s="34">
        <v>0.25734953703703706</v>
      </c>
      <c r="I1329" s="34">
        <v>4.3402777777777776E-2</v>
      </c>
      <c r="J1329" s="35">
        <v>0.16865302451090622</v>
      </c>
      <c r="K1329" s="33" t="s">
        <v>282</v>
      </c>
      <c r="L1329" s="33" t="s">
        <v>233</v>
      </c>
    </row>
    <row r="1330" spans="1:12" x14ac:dyDescent="0.25">
      <c r="A1330" s="32">
        <v>46248</v>
      </c>
      <c r="B1330" s="33" t="s">
        <v>32</v>
      </c>
      <c r="C1330" s="33" t="s">
        <v>557</v>
      </c>
      <c r="D1330" s="33" t="s">
        <v>147</v>
      </c>
      <c r="E1330">
        <v>5</v>
      </c>
      <c r="F1330" s="34">
        <v>2.9502314814814815E-2</v>
      </c>
      <c r="G1330" s="34">
        <v>5.9004629629629633E-3</v>
      </c>
      <c r="H1330" s="34">
        <v>0.26984953703703701</v>
      </c>
      <c r="I1330" s="34">
        <v>3.6203703703703703E-2</v>
      </c>
      <c r="J1330" s="35">
        <v>0.13416255629423118</v>
      </c>
      <c r="K1330" s="33" t="s">
        <v>227</v>
      </c>
      <c r="L1330" s="33" t="s">
        <v>146</v>
      </c>
    </row>
    <row r="1331" spans="1:12" x14ac:dyDescent="0.25">
      <c r="A1331" s="32">
        <v>46248</v>
      </c>
      <c r="B1331" s="33" t="s">
        <v>32</v>
      </c>
      <c r="C1331" s="33" t="s">
        <v>678</v>
      </c>
      <c r="D1331" s="33" t="s">
        <v>147</v>
      </c>
      <c r="E1331">
        <v>2</v>
      </c>
      <c r="F1331" s="34">
        <v>3.8078703703703703E-3</v>
      </c>
      <c r="G1331" s="34">
        <v>1.9039351851851852E-3</v>
      </c>
      <c r="H1331" s="34">
        <v>0.26135416666666667</v>
      </c>
      <c r="I1331" s="34">
        <v>3.9363425925925927E-2</v>
      </c>
      <c r="J1331" s="35">
        <v>0.15061334750453922</v>
      </c>
      <c r="K1331" s="33" t="s">
        <v>677</v>
      </c>
      <c r="L1331" s="33" t="s">
        <v>274</v>
      </c>
    </row>
    <row r="1332" spans="1:12" x14ac:dyDescent="0.25">
      <c r="A1332" s="32">
        <v>46248</v>
      </c>
      <c r="B1332" s="33" t="s">
        <v>600</v>
      </c>
      <c r="C1332" s="33" t="s">
        <v>598</v>
      </c>
      <c r="D1332" s="33" t="s">
        <v>284</v>
      </c>
      <c r="E1332">
        <v>1</v>
      </c>
      <c r="F1332" s="34">
        <v>1.1574074074074073E-5</v>
      </c>
      <c r="G1332" s="34">
        <v>1.1574074074074073E-5</v>
      </c>
      <c r="H1332" s="34">
        <v>0</v>
      </c>
      <c r="I1332" s="34">
        <v>0</v>
      </c>
      <c r="J1332" s="35">
        <v>0</v>
      </c>
      <c r="K1332" s="33" t="s">
        <v>598</v>
      </c>
      <c r="L1332" s="33" t="s">
        <v>284</v>
      </c>
    </row>
    <row r="1333" spans="1:12" x14ac:dyDescent="0.25">
      <c r="A1333" s="32">
        <v>46248</v>
      </c>
      <c r="B1333" s="33" t="s">
        <v>600</v>
      </c>
      <c r="C1333" s="33" t="s">
        <v>545</v>
      </c>
      <c r="D1333" s="33" t="s">
        <v>600</v>
      </c>
      <c r="E1333">
        <v>26</v>
      </c>
      <c r="F1333" s="34">
        <v>5.6574074074074075E-2</v>
      </c>
      <c r="G1333" s="34">
        <v>2.1759259259259258E-3</v>
      </c>
      <c r="H1333" s="34">
        <v>0.23456018518518518</v>
      </c>
      <c r="I1333" s="34">
        <v>6.8854166666666661E-2</v>
      </c>
      <c r="J1333" s="35">
        <v>0.29354584032369485</v>
      </c>
      <c r="K1333" s="33" t="s">
        <v>201</v>
      </c>
      <c r="L1333" s="33" t="s">
        <v>601</v>
      </c>
    </row>
    <row r="1334" spans="1:12" x14ac:dyDescent="0.25">
      <c r="A1334" s="32">
        <v>46248</v>
      </c>
      <c r="B1334" s="33" t="s">
        <v>600</v>
      </c>
      <c r="C1334" s="33" t="s">
        <v>543</v>
      </c>
      <c r="D1334" s="33" t="s">
        <v>600</v>
      </c>
      <c r="E1334">
        <v>27</v>
      </c>
      <c r="F1334" s="34">
        <v>0.10400462962962963</v>
      </c>
      <c r="G1334" s="34">
        <v>3.8520233196159123E-3</v>
      </c>
      <c r="H1334" s="34">
        <v>0.24815972222222221</v>
      </c>
      <c r="I1334" s="34">
        <v>0.12364583333333333</v>
      </c>
      <c r="J1334" s="35">
        <v>0.49825101441164127</v>
      </c>
      <c r="K1334" s="33" t="s">
        <v>293</v>
      </c>
      <c r="L1334" s="33" t="s">
        <v>104</v>
      </c>
    </row>
    <row r="1335" spans="1:12" x14ac:dyDescent="0.25">
      <c r="A1335" s="32">
        <v>46249</v>
      </c>
      <c r="B1335" s="33" t="s">
        <v>147</v>
      </c>
      <c r="C1335" s="33" t="s">
        <v>563</v>
      </c>
      <c r="D1335" s="33" t="s">
        <v>147</v>
      </c>
      <c r="E1335">
        <v>9</v>
      </c>
      <c r="F1335" s="34">
        <v>2.4826388888888887E-2</v>
      </c>
      <c r="G1335" s="34">
        <v>2.7584876543209876E-3</v>
      </c>
      <c r="H1335" s="34">
        <v>0.26822916666666669</v>
      </c>
      <c r="I1335" s="34">
        <v>3.1342592592592596E-2</v>
      </c>
      <c r="J1335" s="35">
        <v>0.11685005393743259</v>
      </c>
      <c r="K1335" s="33" t="s">
        <v>193</v>
      </c>
      <c r="L1335" s="33" t="s">
        <v>274</v>
      </c>
    </row>
    <row r="1336" spans="1:12" x14ac:dyDescent="0.25">
      <c r="A1336" s="32">
        <v>46249</v>
      </c>
      <c r="B1336" s="33" t="s">
        <v>147</v>
      </c>
      <c r="C1336" s="33" t="s">
        <v>514</v>
      </c>
      <c r="D1336" s="33" t="s">
        <v>147</v>
      </c>
      <c r="E1336">
        <v>10</v>
      </c>
      <c r="F1336" s="34">
        <v>2.7847222222222221E-2</v>
      </c>
      <c r="G1336" s="34">
        <v>2.7847222222222223E-3</v>
      </c>
      <c r="H1336" s="34">
        <v>0.23289351851851853</v>
      </c>
      <c r="I1336" s="34">
        <v>3.3206018518518517E-2</v>
      </c>
      <c r="J1336" s="35">
        <v>0.14258026041148991</v>
      </c>
      <c r="K1336" s="33" t="s">
        <v>150</v>
      </c>
      <c r="L1336" s="33" t="s">
        <v>146</v>
      </c>
    </row>
    <row r="1337" spans="1:12" x14ac:dyDescent="0.25">
      <c r="A1337" s="32">
        <v>46249</v>
      </c>
      <c r="B1337" s="33" t="s">
        <v>147</v>
      </c>
      <c r="C1337" s="33" t="s">
        <v>515</v>
      </c>
      <c r="D1337" s="33" t="s">
        <v>147</v>
      </c>
      <c r="E1337">
        <v>9</v>
      </c>
      <c r="F1337" s="34">
        <v>1.4363425925925925E-2</v>
      </c>
      <c r="G1337" s="34">
        <v>1.5959362139917695E-3</v>
      </c>
      <c r="H1337" s="34">
        <v>0.26</v>
      </c>
      <c r="I1337" s="34">
        <v>3.5277777777777776E-2</v>
      </c>
      <c r="J1337" s="35">
        <v>0.13568376068376067</v>
      </c>
      <c r="K1337" s="33" t="s">
        <v>154</v>
      </c>
      <c r="L1337" s="33" t="s">
        <v>146</v>
      </c>
    </row>
    <row r="1338" spans="1:12" x14ac:dyDescent="0.25">
      <c r="A1338" s="32">
        <v>46249</v>
      </c>
      <c r="B1338" s="33" t="s">
        <v>147</v>
      </c>
      <c r="C1338" s="33" t="s">
        <v>544</v>
      </c>
      <c r="D1338" s="33" t="s">
        <v>147</v>
      </c>
      <c r="E1338">
        <v>11</v>
      </c>
      <c r="F1338" s="34">
        <v>1.5810185185185184E-2</v>
      </c>
      <c r="G1338" s="34">
        <v>1.4372895622895621E-3</v>
      </c>
      <c r="H1338" s="34">
        <v>0.26384259259259257</v>
      </c>
      <c r="I1338" s="34">
        <v>4.2951388888888886E-2</v>
      </c>
      <c r="J1338" s="35">
        <v>0.16279171784523599</v>
      </c>
      <c r="K1338" s="33" t="s">
        <v>160</v>
      </c>
      <c r="L1338" s="33" t="s">
        <v>146</v>
      </c>
    </row>
    <row r="1339" spans="1:12" x14ac:dyDescent="0.25">
      <c r="A1339" s="32">
        <v>46249</v>
      </c>
      <c r="B1339" s="33" t="s">
        <v>147</v>
      </c>
      <c r="C1339" s="33" t="s">
        <v>517</v>
      </c>
      <c r="D1339" s="33" t="s">
        <v>147</v>
      </c>
      <c r="E1339">
        <v>10</v>
      </c>
      <c r="F1339" s="34">
        <v>5.4803240740740743E-2</v>
      </c>
      <c r="G1339" s="34">
        <v>5.4803240740740741E-3</v>
      </c>
      <c r="H1339" s="34">
        <v>0.25144675925925924</v>
      </c>
      <c r="I1339" s="34">
        <v>6.1851851851851852E-2</v>
      </c>
      <c r="J1339" s="35">
        <v>0.24598388952819333</v>
      </c>
      <c r="K1339" s="33" t="s">
        <v>499</v>
      </c>
      <c r="L1339" s="33" t="s">
        <v>146</v>
      </c>
    </row>
    <row r="1340" spans="1:12" x14ac:dyDescent="0.25">
      <c r="A1340" s="32">
        <v>46249</v>
      </c>
      <c r="B1340" s="33" t="s">
        <v>147</v>
      </c>
      <c r="C1340" s="33" t="s">
        <v>518</v>
      </c>
      <c r="D1340" s="33" t="s">
        <v>147</v>
      </c>
      <c r="E1340">
        <v>11</v>
      </c>
      <c r="F1340" s="34">
        <v>4.4363425925925924E-2</v>
      </c>
      <c r="G1340" s="34">
        <v>4.0330387205387208E-3</v>
      </c>
      <c r="H1340" s="34">
        <v>0.26807870370370368</v>
      </c>
      <c r="I1340" s="34">
        <v>3.2638888888888891E-2</v>
      </c>
      <c r="J1340" s="35">
        <v>0.12175114411536139</v>
      </c>
      <c r="K1340" s="33" t="s">
        <v>500</v>
      </c>
      <c r="L1340" s="33" t="s">
        <v>274</v>
      </c>
    </row>
    <row r="1341" spans="1:12" x14ac:dyDescent="0.25">
      <c r="A1341" s="32">
        <v>46249</v>
      </c>
      <c r="B1341" s="33" t="s">
        <v>147</v>
      </c>
      <c r="C1341" s="33" t="s">
        <v>519</v>
      </c>
      <c r="D1341" s="33" t="s">
        <v>147</v>
      </c>
      <c r="E1341">
        <v>14</v>
      </c>
      <c r="F1341" s="34">
        <v>3.9456018518518515E-2</v>
      </c>
      <c r="G1341" s="34">
        <v>2.8182870370370367E-3</v>
      </c>
      <c r="H1341" s="34">
        <v>0.25416666666666665</v>
      </c>
      <c r="I1341" s="34">
        <v>3.4814814814814812E-2</v>
      </c>
      <c r="J1341" s="35">
        <v>0.13697632058287795</v>
      </c>
      <c r="K1341" s="33" t="s">
        <v>164</v>
      </c>
      <c r="L1341" s="33" t="s">
        <v>146</v>
      </c>
    </row>
    <row r="1342" spans="1:12" x14ac:dyDescent="0.25">
      <c r="A1342" s="32">
        <v>46249</v>
      </c>
      <c r="B1342" s="33" t="s">
        <v>147</v>
      </c>
      <c r="C1342" s="33" t="s">
        <v>167</v>
      </c>
      <c r="D1342" s="33" t="s">
        <v>147</v>
      </c>
      <c r="E1342">
        <v>9</v>
      </c>
      <c r="F1342" s="34">
        <v>3.3171296296296296E-2</v>
      </c>
      <c r="G1342" s="34">
        <v>3.6856995884773664E-3</v>
      </c>
      <c r="H1342" s="34">
        <v>0.26251157407407405</v>
      </c>
      <c r="I1342" s="34">
        <v>3.5520833333333335E-2</v>
      </c>
      <c r="J1342" s="35">
        <v>0.13531149420219568</v>
      </c>
      <c r="K1342" s="33" t="s">
        <v>166</v>
      </c>
      <c r="L1342" s="33" t="s">
        <v>146</v>
      </c>
    </row>
    <row r="1343" spans="1:12" x14ac:dyDescent="0.25">
      <c r="A1343" s="32">
        <v>46249</v>
      </c>
      <c r="B1343" s="33" t="s">
        <v>147</v>
      </c>
      <c r="C1343" s="33" t="s">
        <v>658</v>
      </c>
      <c r="D1343" s="33" t="s">
        <v>147</v>
      </c>
      <c r="E1343">
        <v>7</v>
      </c>
      <c r="F1343" s="34">
        <v>3.0729166666666665E-2</v>
      </c>
      <c r="G1343" s="34">
        <v>4.3898809523809524E-3</v>
      </c>
      <c r="H1343" s="34">
        <v>0.22349537037037037</v>
      </c>
      <c r="I1343" s="34">
        <v>2.9791666666666668E-2</v>
      </c>
      <c r="J1343" s="35">
        <v>0.13329880890730192</v>
      </c>
      <c r="K1343" s="33" t="s">
        <v>657</v>
      </c>
      <c r="L1343" s="33" t="s">
        <v>274</v>
      </c>
    </row>
    <row r="1344" spans="1:12" x14ac:dyDescent="0.25">
      <c r="A1344" s="32">
        <v>46249</v>
      </c>
      <c r="B1344" s="33" t="s">
        <v>147</v>
      </c>
      <c r="C1344" s="33" t="s">
        <v>520</v>
      </c>
      <c r="D1344" s="33" t="s">
        <v>147</v>
      </c>
      <c r="E1344">
        <v>6</v>
      </c>
      <c r="F1344" s="34">
        <v>1.3113425925925926E-2</v>
      </c>
      <c r="G1344" s="34">
        <v>2.1855709876543211E-3</v>
      </c>
      <c r="H1344" s="34">
        <v>0.25307870370370372</v>
      </c>
      <c r="I1344" s="34">
        <v>4.0208333333333332E-2</v>
      </c>
      <c r="J1344" s="35">
        <v>0.15887679502423852</v>
      </c>
      <c r="K1344" s="33" t="s">
        <v>168</v>
      </c>
      <c r="L1344" s="33" t="s">
        <v>274</v>
      </c>
    </row>
    <row r="1345" spans="1:12" x14ac:dyDescent="0.25">
      <c r="A1345" s="32">
        <v>46249</v>
      </c>
      <c r="B1345" s="33" t="s">
        <v>147</v>
      </c>
      <c r="C1345" s="33" t="s">
        <v>521</v>
      </c>
      <c r="D1345" s="33" t="s">
        <v>147</v>
      </c>
      <c r="E1345">
        <v>10</v>
      </c>
      <c r="F1345" s="34">
        <v>5.2291666666666667E-2</v>
      </c>
      <c r="G1345" s="34">
        <v>5.2291666666666667E-3</v>
      </c>
      <c r="H1345" s="34">
        <v>0.25790509259259259</v>
      </c>
      <c r="I1345" s="34">
        <v>3.6585648148148145E-2</v>
      </c>
      <c r="J1345" s="35">
        <v>0.14185702104743525</v>
      </c>
      <c r="K1345" s="33" t="s">
        <v>170</v>
      </c>
      <c r="L1345" s="33" t="s">
        <v>146</v>
      </c>
    </row>
    <row r="1346" spans="1:12" x14ac:dyDescent="0.25">
      <c r="A1346" s="32">
        <v>46249</v>
      </c>
      <c r="B1346" s="33" t="s">
        <v>147</v>
      </c>
      <c r="C1346" s="33" t="s">
        <v>633</v>
      </c>
      <c r="D1346" s="33" t="s">
        <v>147</v>
      </c>
      <c r="E1346">
        <v>6</v>
      </c>
      <c r="F1346" s="34">
        <v>3.6041666666666666E-2</v>
      </c>
      <c r="G1346" s="34">
        <v>6.0069444444444441E-3</v>
      </c>
      <c r="H1346" s="34">
        <v>0.26296296296296295</v>
      </c>
      <c r="I1346" s="34">
        <v>7.0231481481481478E-2</v>
      </c>
      <c r="J1346" s="35">
        <v>0.2670774647887324</v>
      </c>
      <c r="K1346" s="33" t="s">
        <v>606</v>
      </c>
      <c r="L1346" s="33" t="s">
        <v>146</v>
      </c>
    </row>
    <row r="1347" spans="1:12" x14ac:dyDescent="0.25">
      <c r="A1347" s="32">
        <v>46249</v>
      </c>
      <c r="B1347" s="33" t="s">
        <v>147</v>
      </c>
      <c r="C1347" s="33" t="s">
        <v>522</v>
      </c>
      <c r="D1347" s="33" t="s">
        <v>147</v>
      </c>
      <c r="E1347">
        <v>10</v>
      </c>
      <c r="F1347" s="34">
        <v>3.0162037037037036E-2</v>
      </c>
      <c r="G1347" s="34">
        <v>3.0162037037037037E-3</v>
      </c>
      <c r="H1347" s="34">
        <v>0.25673611111111111</v>
      </c>
      <c r="I1347" s="34">
        <v>4.4467592592592593E-2</v>
      </c>
      <c r="J1347" s="35">
        <v>0.1732034983319809</v>
      </c>
      <c r="K1347" s="33" t="s">
        <v>178</v>
      </c>
      <c r="L1347" s="33" t="s">
        <v>146</v>
      </c>
    </row>
    <row r="1348" spans="1:12" x14ac:dyDescent="0.25">
      <c r="A1348" s="32">
        <v>46249</v>
      </c>
      <c r="B1348" s="33" t="s">
        <v>147</v>
      </c>
      <c r="C1348" s="33" t="s">
        <v>523</v>
      </c>
      <c r="D1348" s="33" t="s">
        <v>147</v>
      </c>
      <c r="E1348">
        <v>5</v>
      </c>
      <c r="F1348" s="34">
        <v>2.5289351851851851E-2</v>
      </c>
      <c r="G1348" s="34">
        <v>5.0578703703703706E-3</v>
      </c>
      <c r="H1348" s="34">
        <v>0.25916666666666666</v>
      </c>
      <c r="I1348" s="34">
        <v>3.622685185185185E-2</v>
      </c>
      <c r="J1348" s="35">
        <v>0.13978206502322257</v>
      </c>
      <c r="K1348" s="33" t="s">
        <v>180</v>
      </c>
      <c r="L1348" s="33" t="s">
        <v>146</v>
      </c>
    </row>
    <row r="1349" spans="1:12" x14ac:dyDescent="0.25">
      <c r="A1349" s="32">
        <v>46249</v>
      </c>
      <c r="B1349" s="33" t="s">
        <v>147</v>
      </c>
      <c r="C1349" s="33" t="s">
        <v>566</v>
      </c>
      <c r="D1349" s="33" t="s">
        <v>147</v>
      </c>
      <c r="E1349">
        <v>5</v>
      </c>
      <c r="F1349" s="34">
        <v>5.4976851851851853E-3</v>
      </c>
      <c r="G1349" s="34">
        <v>1.0995370370370371E-3</v>
      </c>
      <c r="H1349" s="34">
        <v>0.25915509259259262</v>
      </c>
      <c r="I1349" s="34">
        <v>3.6041666666666666E-2</v>
      </c>
      <c r="J1349" s="35">
        <v>0.13907373498280556</v>
      </c>
      <c r="K1349" s="33" t="s">
        <v>207</v>
      </c>
      <c r="L1349" s="33" t="s">
        <v>274</v>
      </c>
    </row>
    <row r="1350" spans="1:12" x14ac:dyDescent="0.25">
      <c r="A1350" s="32">
        <v>46249</v>
      </c>
      <c r="B1350" s="33" t="s">
        <v>147</v>
      </c>
      <c r="C1350" s="33" t="s">
        <v>524</v>
      </c>
      <c r="D1350" s="33" t="s">
        <v>147</v>
      </c>
      <c r="E1350">
        <v>9</v>
      </c>
      <c r="F1350" s="34">
        <v>2.4479166666666666E-2</v>
      </c>
      <c r="G1350" s="34">
        <v>2.7199074074074074E-3</v>
      </c>
      <c r="H1350" s="34">
        <v>0.27043981481481483</v>
      </c>
      <c r="I1350" s="34">
        <v>2.9849537037037036E-2</v>
      </c>
      <c r="J1350" s="35">
        <v>0.11037404776170504</v>
      </c>
      <c r="K1350" s="33" t="s">
        <v>501</v>
      </c>
      <c r="L1350" s="33" t="s">
        <v>274</v>
      </c>
    </row>
    <row r="1351" spans="1:12" x14ac:dyDescent="0.25">
      <c r="A1351" s="32">
        <v>46249</v>
      </c>
      <c r="B1351" s="33" t="s">
        <v>147</v>
      </c>
      <c r="C1351" s="33" t="s">
        <v>557</v>
      </c>
      <c r="D1351" s="33" t="s">
        <v>147</v>
      </c>
      <c r="E1351">
        <v>8</v>
      </c>
      <c r="F1351" s="34">
        <v>5.9814814814814814E-2</v>
      </c>
      <c r="G1351" s="34">
        <v>7.4768518518518517E-3</v>
      </c>
      <c r="H1351" s="34">
        <v>0.26138888888888889</v>
      </c>
      <c r="I1351" s="34">
        <v>3.5844907407407409E-2</v>
      </c>
      <c r="J1351" s="35">
        <v>0.13713248317392845</v>
      </c>
      <c r="K1351" s="33" t="s">
        <v>227</v>
      </c>
      <c r="L1351" s="33" t="s">
        <v>146</v>
      </c>
    </row>
    <row r="1352" spans="1:12" x14ac:dyDescent="0.25">
      <c r="A1352" s="32">
        <v>46249</v>
      </c>
      <c r="B1352" s="33" t="s">
        <v>105</v>
      </c>
      <c r="C1352" s="33" t="s">
        <v>513</v>
      </c>
      <c r="D1352" s="33" t="s">
        <v>105</v>
      </c>
      <c r="E1352">
        <v>2</v>
      </c>
      <c r="F1352" s="34">
        <v>5.2499999999999998E-2</v>
      </c>
      <c r="G1352" s="34">
        <v>2.6249999999999999E-2</v>
      </c>
      <c r="H1352" s="34">
        <v>0.25190972222222224</v>
      </c>
      <c r="I1352" s="34">
        <v>0.22954861111111111</v>
      </c>
      <c r="J1352" s="35">
        <v>0.91123363197794616</v>
      </c>
      <c r="K1352" s="33" t="s">
        <v>148</v>
      </c>
      <c r="L1352" s="33" t="s">
        <v>104</v>
      </c>
    </row>
    <row r="1353" spans="1:12" x14ac:dyDescent="0.25">
      <c r="A1353" s="32">
        <v>46249</v>
      </c>
      <c r="B1353" s="33" t="s">
        <v>105</v>
      </c>
      <c r="C1353" s="33" t="s">
        <v>631</v>
      </c>
      <c r="D1353" s="33" t="s">
        <v>105</v>
      </c>
      <c r="E1353">
        <v>1</v>
      </c>
      <c r="F1353" s="34">
        <v>2.7777777777777776E-2</v>
      </c>
      <c r="G1353" s="34">
        <v>2.7777777777777776E-2</v>
      </c>
      <c r="H1353" s="34">
        <v>0.24533564814814815</v>
      </c>
      <c r="I1353" s="34">
        <v>0.23814814814814814</v>
      </c>
      <c r="J1353" s="35">
        <v>0.97070340142472988</v>
      </c>
      <c r="K1353" s="33" t="s">
        <v>608</v>
      </c>
      <c r="L1353" s="33" t="s">
        <v>601</v>
      </c>
    </row>
    <row r="1354" spans="1:12" x14ac:dyDescent="0.25">
      <c r="A1354" s="32">
        <v>46249</v>
      </c>
      <c r="B1354" s="33" t="s">
        <v>105</v>
      </c>
      <c r="C1354" s="33" t="s">
        <v>564</v>
      </c>
      <c r="D1354" s="33" t="s">
        <v>105</v>
      </c>
      <c r="E1354">
        <v>3</v>
      </c>
      <c r="F1354" s="34">
        <v>5.7337962962962966E-2</v>
      </c>
      <c r="G1354" s="34">
        <v>1.9112654320987656E-2</v>
      </c>
      <c r="H1354" s="34">
        <v>0.24645833333333333</v>
      </c>
      <c r="I1354" s="34">
        <v>0.24440972222222221</v>
      </c>
      <c r="J1354" s="35">
        <v>0.99168779938010698</v>
      </c>
      <c r="K1354" s="33" t="s">
        <v>197</v>
      </c>
      <c r="L1354" s="33" t="s">
        <v>601</v>
      </c>
    </row>
    <row r="1355" spans="1:12" x14ac:dyDescent="0.25">
      <c r="A1355" s="32">
        <v>46249</v>
      </c>
      <c r="B1355" s="33" t="s">
        <v>105</v>
      </c>
      <c r="C1355" s="33" t="s">
        <v>682</v>
      </c>
      <c r="D1355" s="33" t="s">
        <v>105</v>
      </c>
      <c r="E1355">
        <v>3</v>
      </c>
      <c r="F1355" s="34">
        <v>6.5740740740740738E-2</v>
      </c>
      <c r="G1355" s="34">
        <v>2.1913580246913578E-2</v>
      </c>
      <c r="H1355" s="34">
        <v>0.25715277777777779</v>
      </c>
      <c r="I1355" s="34">
        <v>0.24972222222222223</v>
      </c>
      <c r="J1355" s="35">
        <v>0.9711045098568728</v>
      </c>
      <c r="K1355" s="33" t="s">
        <v>681</v>
      </c>
      <c r="L1355" s="33" t="s">
        <v>601</v>
      </c>
    </row>
    <row r="1356" spans="1:12" x14ac:dyDescent="0.25">
      <c r="A1356" s="32">
        <v>46249</v>
      </c>
      <c r="B1356" s="33" t="s">
        <v>105</v>
      </c>
      <c r="C1356" s="33" t="s">
        <v>570</v>
      </c>
      <c r="D1356" s="33" t="s">
        <v>105</v>
      </c>
      <c r="E1356">
        <v>2</v>
      </c>
      <c r="F1356" s="34">
        <v>3.6550925925925924E-2</v>
      </c>
      <c r="G1356" s="34">
        <v>1.8275462962962962E-2</v>
      </c>
      <c r="H1356" s="34">
        <v>0.23776620370370372</v>
      </c>
      <c r="I1356" s="34">
        <v>0.22782407407407407</v>
      </c>
      <c r="J1356" s="35">
        <v>0.95818526992162778</v>
      </c>
      <c r="K1356" s="33" t="s">
        <v>112</v>
      </c>
      <c r="L1356" s="33" t="s">
        <v>104</v>
      </c>
    </row>
    <row r="1357" spans="1:12" x14ac:dyDescent="0.25">
      <c r="A1357" s="32">
        <v>46249</v>
      </c>
      <c r="B1357" s="33" t="s">
        <v>105</v>
      </c>
      <c r="C1357" s="33" t="s">
        <v>537</v>
      </c>
      <c r="D1357" s="33" t="s">
        <v>105</v>
      </c>
      <c r="E1357">
        <v>2</v>
      </c>
      <c r="F1357" s="34">
        <v>3.4768518518518518E-2</v>
      </c>
      <c r="G1357" s="34">
        <v>1.7384259259259259E-2</v>
      </c>
      <c r="H1357" s="34">
        <v>0.19375000000000001</v>
      </c>
      <c r="I1357" s="34">
        <v>0.17809027777777778</v>
      </c>
      <c r="J1357" s="35">
        <v>0.91917562724014334</v>
      </c>
      <c r="K1357" s="33" t="s">
        <v>42</v>
      </c>
      <c r="L1357" s="33" t="s">
        <v>104</v>
      </c>
    </row>
    <row r="1358" spans="1:12" x14ac:dyDescent="0.25">
      <c r="A1358" s="32">
        <v>46249</v>
      </c>
      <c r="B1358" s="33" t="s">
        <v>105</v>
      </c>
      <c r="C1358" s="33" t="s">
        <v>541</v>
      </c>
      <c r="D1358" s="33" t="s">
        <v>105</v>
      </c>
      <c r="E1358">
        <v>3</v>
      </c>
      <c r="F1358" s="34">
        <v>6.128472222222222E-2</v>
      </c>
      <c r="G1358" s="34">
        <v>2.042824074074074E-2</v>
      </c>
      <c r="H1358" s="34">
        <v>0.23019675925925925</v>
      </c>
      <c r="I1358" s="34">
        <v>0.21751157407407407</v>
      </c>
      <c r="J1358" s="35">
        <v>0.94489416260244352</v>
      </c>
      <c r="K1358" s="33" t="s">
        <v>114</v>
      </c>
      <c r="L1358" s="33" t="s">
        <v>104</v>
      </c>
    </row>
    <row r="1359" spans="1:12" x14ac:dyDescent="0.25">
      <c r="A1359" s="32">
        <v>46249</v>
      </c>
      <c r="B1359" s="33" t="s">
        <v>105</v>
      </c>
      <c r="C1359" s="33" t="s">
        <v>542</v>
      </c>
      <c r="D1359" s="33" t="s">
        <v>105</v>
      </c>
      <c r="E1359">
        <v>2</v>
      </c>
      <c r="F1359" s="34">
        <v>3.5046296296296298E-2</v>
      </c>
      <c r="G1359" s="34">
        <v>1.7523148148148149E-2</v>
      </c>
      <c r="H1359" s="34">
        <v>0.21509259259259259</v>
      </c>
      <c r="I1359" s="34">
        <v>0.20700231481481482</v>
      </c>
      <c r="J1359" s="35">
        <v>0.96238699956952223</v>
      </c>
      <c r="K1359" s="33" t="s">
        <v>287</v>
      </c>
      <c r="L1359" s="33" t="s">
        <v>104</v>
      </c>
    </row>
    <row r="1360" spans="1:12" x14ac:dyDescent="0.25">
      <c r="A1360" s="32">
        <v>46249</v>
      </c>
      <c r="B1360" s="33" t="s">
        <v>105</v>
      </c>
      <c r="C1360" s="33" t="s">
        <v>650</v>
      </c>
      <c r="D1360" s="33" t="s">
        <v>105</v>
      </c>
      <c r="E1360">
        <v>1</v>
      </c>
      <c r="F1360" s="34">
        <v>4.0011574074074074E-2</v>
      </c>
      <c r="G1360" s="34">
        <v>4.0011574074074074E-2</v>
      </c>
      <c r="H1360" s="34">
        <v>0.21606481481481482</v>
      </c>
      <c r="I1360" s="34">
        <v>0.19005787037037036</v>
      </c>
      <c r="J1360" s="35">
        <v>0.87963359760017135</v>
      </c>
      <c r="K1360" s="33" t="s">
        <v>649</v>
      </c>
      <c r="L1360" s="33" t="s">
        <v>104</v>
      </c>
    </row>
    <row r="1361" spans="1:12" x14ac:dyDescent="0.25">
      <c r="A1361" s="32">
        <v>46249</v>
      </c>
      <c r="B1361" s="33" t="s">
        <v>105</v>
      </c>
      <c r="C1361" s="33" t="s">
        <v>559</v>
      </c>
      <c r="D1361" s="33" t="s">
        <v>105</v>
      </c>
      <c r="E1361">
        <v>2</v>
      </c>
      <c r="F1361" s="34">
        <v>5.0069444444444444E-2</v>
      </c>
      <c r="G1361" s="34">
        <v>2.5034722222222222E-2</v>
      </c>
      <c r="H1361" s="34">
        <v>0.20898148148148149</v>
      </c>
      <c r="I1361" s="34">
        <v>0.19075231481481481</v>
      </c>
      <c r="J1361" s="35">
        <v>0.91277137793531227</v>
      </c>
      <c r="K1361" s="33" t="s">
        <v>289</v>
      </c>
      <c r="L1361" s="33" t="s">
        <v>104</v>
      </c>
    </row>
    <row r="1362" spans="1:12" x14ac:dyDescent="0.25">
      <c r="A1362" s="32">
        <v>46249</v>
      </c>
      <c r="B1362" s="33" t="s">
        <v>105</v>
      </c>
      <c r="C1362" s="33" t="s">
        <v>667</v>
      </c>
      <c r="D1362" s="33" t="s">
        <v>105</v>
      </c>
      <c r="E1362">
        <v>2</v>
      </c>
      <c r="F1362" s="34">
        <v>2.914351851851852E-2</v>
      </c>
      <c r="G1362" s="34">
        <v>1.457175925925926E-2</v>
      </c>
      <c r="H1362" s="34">
        <v>0.2232986111111111</v>
      </c>
      <c r="I1362" s="34">
        <v>0.21994212962962964</v>
      </c>
      <c r="J1362" s="35">
        <v>0.98496864147618313</v>
      </c>
      <c r="K1362" s="33" t="s">
        <v>297</v>
      </c>
      <c r="L1362" s="33" t="s">
        <v>104</v>
      </c>
    </row>
    <row r="1363" spans="1:12" x14ac:dyDescent="0.25">
      <c r="A1363" s="32">
        <v>46249</v>
      </c>
      <c r="B1363" s="33" t="s">
        <v>105</v>
      </c>
      <c r="C1363" s="33" t="s">
        <v>636</v>
      </c>
      <c r="D1363" s="33" t="s">
        <v>105</v>
      </c>
      <c r="E1363">
        <v>3</v>
      </c>
      <c r="F1363" s="34">
        <v>4.071759259259259E-2</v>
      </c>
      <c r="G1363" s="34">
        <v>1.3572530864197531E-2</v>
      </c>
      <c r="H1363" s="34">
        <v>0.17822916666666666</v>
      </c>
      <c r="I1363" s="34">
        <v>0.16592592592592592</v>
      </c>
      <c r="J1363" s="35">
        <v>0.93096954347684913</v>
      </c>
      <c r="K1363" s="33" t="s">
        <v>615</v>
      </c>
      <c r="L1363" s="33" t="s">
        <v>601</v>
      </c>
    </row>
    <row r="1364" spans="1:12" x14ac:dyDescent="0.25">
      <c r="A1364" s="32">
        <v>46249</v>
      </c>
      <c r="B1364" s="33" t="s">
        <v>105</v>
      </c>
      <c r="C1364" s="33" t="s">
        <v>637</v>
      </c>
      <c r="D1364" s="33" t="s">
        <v>105</v>
      </c>
      <c r="E1364">
        <v>2</v>
      </c>
      <c r="F1364" s="34">
        <v>4.2824074074074077E-2</v>
      </c>
      <c r="G1364" s="34">
        <v>2.1412037037037038E-2</v>
      </c>
      <c r="H1364" s="34">
        <v>0.20413194444444444</v>
      </c>
      <c r="I1364" s="34">
        <v>0.19038194444444445</v>
      </c>
      <c r="J1364" s="35">
        <v>0.93264160571525778</v>
      </c>
      <c r="K1364" s="33" t="s">
        <v>616</v>
      </c>
      <c r="L1364" s="33" t="s">
        <v>601</v>
      </c>
    </row>
    <row r="1365" spans="1:12" x14ac:dyDescent="0.25">
      <c r="A1365" s="32">
        <v>46249</v>
      </c>
      <c r="B1365" s="33" t="s">
        <v>105</v>
      </c>
      <c r="C1365" s="33" t="s">
        <v>512</v>
      </c>
      <c r="D1365" s="33" t="s">
        <v>105</v>
      </c>
      <c r="E1365">
        <v>2</v>
      </c>
      <c r="F1365" s="34">
        <v>7.8912037037037031E-2</v>
      </c>
      <c r="G1365" s="34">
        <v>3.9456018518518515E-2</v>
      </c>
      <c r="H1365" s="34">
        <v>0.24968750000000001</v>
      </c>
      <c r="I1365" s="34">
        <v>0.20827546296296295</v>
      </c>
      <c r="J1365" s="35">
        <v>0.83414453251749865</v>
      </c>
      <c r="K1365" s="33" t="s">
        <v>132</v>
      </c>
      <c r="L1365" s="33" t="s">
        <v>104</v>
      </c>
    </row>
    <row r="1366" spans="1:12" x14ac:dyDescent="0.25">
      <c r="A1366" s="32">
        <v>46249</v>
      </c>
      <c r="B1366" s="33" t="s">
        <v>105</v>
      </c>
      <c r="C1366" s="33" t="s">
        <v>560</v>
      </c>
      <c r="D1366" s="33" t="s">
        <v>105</v>
      </c>
      <c r="E1366">
        <v>1</v>
      </c>
      <c r="F1366" s="34">
        <v>2.642361111111111E-2</v>
      </c>
      <c r="G1366" s="34">
        <v>2.642361111111111E-2</v>
      </c>
      <c r="H1366" s="34">
        <v>0.24407407407407408</v>
      </c>
      <c r="I1366" s="34">
        <v>0.229375</v>
      </c>
      <c r="J1366" s="35">
        <v>0.93977617602427921</v>
      </c>
      <c r="K1366" s="33" t="s">
        <v>134</v>
      </c>
      <c r="L1366" s="33" t="s">
        <v>104</v>
      </c>
    </row>
    <row r="1367" spans="1:12" x14ac:dyDescent="0.25">
      <c r="A1367" s="32">
        <v>46249</v>
      </c>
      <c r="B1367" s="33" t="s">
        <v>105</v>
      </c>
      <c r="C1367" s="33" t="s">
        <v>546</v>
      </c>
      <c r="D1367" s="33" t="s">
        <v>105</v>
      </c>
      <c r="E1367">
        <v>2</v>
      </c>
      <c r="F1367" s="34">
        <v>3.0532407407407407E-2</v>
      </c>
      <c r="G1367" s="34">
        <v>1.5266203703703704E-2</v>
      </c>
      <c r="H1367" s="34">
        <v>0.1630787037037037</v>
      </c>
      <c r="I1367" s="34">
        <v>0.10702546296296296</v>
      </c>
      <c r="J1367" s="35">
        <v>0.65628105039034779</v>
      </c>
      <c r="K1367" s="33" t="s">
        <v>211</v>
      </c>
      <c r="L1367" s="33" t="s">
        <v>104</v>
      </c>
    </row>
    <row r="1368" spans="1:12" x14ac:dyDescent="0.25">
      <c r="A1368" s="32">
        <v>46249</v>
      </c>
      <c r="B1368" s="33" t="s">
        <v>105</v>
      </c>
      <c r="C1368" s="33" t="s">
        <v>639</v>
      </c>
      <c r="D1368" s="33" t="s">
        <v>105</v>
      </c>
      <c r="E1368">
        <v>2</v>
      </c>
      <c r="F1368" s="34">
        <v>5.2418981481481483E-2</v>
      </c>
      <c r="G1368" s="34">
        <v>2.6209490740740742E-2</v>
      </c>
      <c r="H1368" s="34">
        <v>0.20394675925925926</v>
      </c>
      <c r="I1368" s="34">
        <v>0.1821875</v>
      </c>
      <c r="J1368" s="35">
        <v>0.89330911980023842</v>
      </c>
      <c r="K1368" s="33" t="s">
        <v>618</v>
      </c>
      <c r="L1368" s="33" t="s">
        <v>601</v>
      </c>
    </row>
    <row r="1369" spans="1:12" x14ac:dyDescent="0.25">
      <c r="A1369" s="32">
        <v>46249</v>
      </c>
      <c r="B1369" s="33" t="s">
        <v>105</v>
      </c>
      <c r="C1369" s="33" t="s">
        <v>572</v>
      </c>
      <c r="D1369" s="33" t="s">
        <v>105</v>
      </c>
      <c r="E1369">
        <v>5</v>
      </c>
      <c r="F1369" s="34">
        <v>0.1303125</v>
      </c>
      <c r="G1369" s="34">
        <v>2.6062499999999999E-2</v>
      </c>
      <c r="H1369" s="34">
        <v>0.25009259259259259</v>
      </c>
      <c r="I1369" s="34">
        <v>0.21030092592592592</v>
      </c>
      <c r="J1369" s="35">
        <v>0.84089226212513879</v>
      </c>
      <c r="K1369" s="33" t="s">
        <v>213</v>
      </c>
      <c r="L1369" s="33" t="s">
        <v>601</v>
      </c>
    </row>
    <row r="1370" spans="1:12" x14ac:dyDescent="0.25">
      <c r="A1370" s="32">
        <v>46249</v>
      </c>
      <c r="B1370" s="33" t="s">
        <v>105</v>
      </c>
      <c r="C1370" s="33" t="s">
        <v>548</v>
      </c>
      <c r="D1370" s="33" t="s">
        <v>105</v>
      </c>
      <c r="E1370">
        <v>2</v>
      </c>
      <c r="F1370" s="34">
        <v>2.7719907407407408E-2</v>
      </c>
      <c r="G1370" s="34">
        <v>1.3859953703703704E-2</v>
      </c>
      <c r="H1370" s="34">
        <v>0.21106481481481482</v>
      </c>
      <c r="I1370" s="34">
        <v>0.18692129629629631</v>
      </c>
      <c r="J1370" s="35">
        <v>0.88561087957885509</v>
      </c>
      <c r="K1370" s="33" t="s">
        <v>219</v>
      </c>
      <c r="L1370" s="33" t="s">
        <v>104</v>
      </c>
    </row>
    <row r="1371" spans="1:12" x14ac:dyDescent="0.25">
      <c r="A1371" s="32">
        <v>46249</v>
      </c>
      <c r="B1371" s="33" t="s">
        <v>105</v>
      </c>
      <c r="C1371" s="33" t="s">
        <v>641</v>
      </c>
      <c r="D1371" s="33" t="s">
        <v>105</v>
      </c>
      <c r="E1371">
        <v>6</v>
      </c>
      <c r="F1371" s="34">
        <v>0.13603009259259261</v>
      </c>
      <c r="G1371" s="34">
        <v>2.2671682098765435E-2</v>
      </c>
      <c r="H1371" s="34">
        <v>0.23445601851851852</v>
      </c>
      <c r="I1371" s="34">
        <v>0.18447916666666667</v>
      </c>
      <c r="J1371" s="35">
        <v>0.78683911734215328</v>
      </c>
      <c r="K1371" s="33" t="s">
        <v>620</v>
      </c>
      <c r="L1371" s="33" t="s">
        <v>601</v>
      </c>
    </row>
    <row r="1372" spans="1:12" x14ac:dyDescent="0.25">
      <c r="A1372" s="32">
        <v>46249</v>
      </c>
      <c r="B1372" s="33" t="s">
        <v>105</v>
      </c>
      <c r="C1372" s="33" t="s">
        <v>556</v>
      </c>
      <c r="D1372" s="33" t="s">
        <v>105</v>
      </c>
      <c r="E1372">
        <v>3</v>
      </c>
      <c r="F1372" s="34">
        <v>5.7604166666666665E-2</v>
      </c>
      <c r="G1372" s="34">
        <v>1.9201388888888889E-2</v>
      </c>
      <c r="H1372" s="34">
        <v>0.24754629629629629</v>
      </c>
      <c r="I1372" s="34">
        <v>0.2129861111111111</v>
      </c>
      <c r="J1372" s="35">
        <v>0.86038900317935285</v>
      </c>
      <c r="K1372" s="33" t="s">
        <v>138</v>
      </c>
      <c r="L1372" s="33" t="s">
        <v>104</v>
      </c>
    </row>
    <row r="1373" spans="1:12" x14ac:dyDescent="0.25">
      <c r="A1373" s="32">
        <v>46249</v>
      </c>
      <c r="B1373" s="33" t="s">
        <v>105</v>
      </c>
      <c r="C1373" s="33" t="s">
        <v>674</v>
      </c>
      <c r="D1373" s="33" t="s">
        <v>105</v>
      </c>
      <c r="E1373">
        <v>2</v>
      </c>
      <c r="F1373" s="34">
        <v>4.7361111111111111E-2</v>
      </c>
      <c r="G1373" s="34">
        <v>2.3680555555555555E-2</v>
      </c>
      <c r="H1373" s="34">
        <v>0.24042824074074073</v>
      </c>
      <c r="I1373" s="34">
        <v>0.21812500000000001</v>
      </c>
      <c r="J1373" s="35">
        <v>0.90723535358397933</v>
      </c>
      <c r="K1373" s="33" t="s">
        <v>673</v>
      </c>
      <c r="L1373" s="33" t="s">
        <v>104</v>
      </c>
    </row>
    <row r="1374" spans="1:12" x14ac:dyDescent="0.25">
      <c r="A1374" s="32">
        <v>46249</v>
      </c>
      <c r="B1374" s="33" t="s">
        <v>105</v>
      </c>
      <c r="C1374" s="33" t="s">
        <v>549</v>
      </c>
      <c r="D1374" s="33" t="s">
        <v>105</v>
      </c>
      <c r="E1374">
        <v>1</v>
      </c>
      <c r="F1374" s="34">
        <v>3.3148148148148149E-2</v>
      </c>
      <c r="G1374" s="34">
        <v>3.3148148148148149E-2</v>
      </c>
      <c r="H1374" s="34">
        <v>0.2338425925925926</v>
      </c>
      <c r="I1374" s="34">
        <v>0.1333449074074074</v>
      </c>
      <c r="J1374" s="35">
        <v>0.57023361710552356</v>
      </c>
      <c r="K1374" s="33" t="s">
        <v>225</v>
      </c>
      <c r="L1374" s="33" t="s">
        <v>601</v>
      </c>
    </row>
    <row r="1375" spans="1:12" x14ac:dyDescent="0.25">
      <c r="A1375" s="32">
        <v>46249</v>
      </c>
      <c r="B1375" s="33" t="s">
        <v>105</v>
      </c>
      <c r="C1375" s="33" t="s">
        <v>571</v>
      </c>
      <c r="D1375" s="33" t="s">
        <v>105</v>
      </c>
      <c r="E1375">
        <v>3</v>
      </c>
      <c r="F1375" s="34">
        <v>8.0659722222222216E-2</v>
      </c>
      <c r="G1375" s="34">
        <v>2.6886574074074073E-2</v>
      </c>
      <c r="H1375" s="34">
        <v>0.25481481481481483</v>
      </c>
      <c r="I1375" s="34">
        <v>0.21152777777777779</v>
      </c>
      <c r="J1375" s="35">
        <v>0.8301235465116279</v>
      </c>
      <c r="K1375" s="33" t="s">
        <v>299</v>
      </c>
      <c r="L1375" s="33" t="s">
        <v>104</v>
      </c>
    </row>
    <row r="1376" spans="1:12" x14ac:dyDescent="0.25">
      <c r="A1376" s="32">
        <v>46249</v>
      </c>
      <c r="B1376" s="33" t="s">
        <v>105</v>
      </c>
      <c r="C1376" s="33" t="s">
        <v>676</v>
      </c>
      <c r="D1376" s="33" t="s">
        <v>105</v>
      </c>
      <c r="E1376">
        <v>3</v>
      </c>
      <c r="F1376" s="34">
        <v>7.9097222222222222E-2</v>
      </c>
      <c r="G1376" s="34">
        <v>2.6365740740740742E-2</v>
      </c>
      <c r="H1376" s="34">
        <v>0.25180555555555556</v>
      </c>
      <c r="I1376" s="34">
        <v>0.21401620370370369</v>
      </c>
      <c r="J1376" s="35">
        <v>0.84992645706931413</v>
      </c>
      <c r="K1376" s="33" t="s">
        <v>675</v>
      </c>
      <c r="L1376" s="33" t="s">
        <v>104</v>
      </c>
    </row>
    <row r="1377" spans="1:12" x14ac:dyDescent="0.25">
      <c r="A1377" s="32">
        <v>46249</v>
      </c>
      <c r="B1377" s="33" t="s">
        <v>32</v>
      </c>
      <c r="C1377" s="33" t="s">
        <v>562</v>
      </c>
      <c r="D1377" s="33" t="s">
        <v>80</v>
      </c>
      <c r="E1377">
        <v>3</v>
      </c>
      <c r="F1377" s="34">
        <v>2.7164351851851853E-2</v>
      </c>
      <c r="G1377" s="34">
        <v>9.0547839506172848E-3</v>
      </c>
      <c r="H1377" s="34">
        <v>0.26402777777777775</v>
      </c>
      <c r="I1377" s="34">
        <v>3.2627314814814817E-2</v>
      </c>
      <c r="J1377" s="35">
        <v>0.12357531123969842</v>
      </c>
      <c r="K1377" s="33" t="s">
        <v>186</v>
      </c>
      <c r="L1377" s="33" t="s">
        <v>78</v>
      </c>
    </row>
    <row r="1378" spans="1:12" x14ac:dyDescent="0.25">
      <c r="A1378" s="32">
        <v>46249</v>
      </c>
      <c r="B1378" s="33" t="s">
        <v>32</v>
      </c>
      <c r="C1378" s="33" t="s">
        <v>644</v>
      </c>
      <c r="D1378" s="33" t="s">
        <v>32</v>
      </c>
      <c r="E1378">
        <v>16</v>
      </c>
      <c r="F1378" s="34">
        <v>8.7928240740740737E-2</v>
      </c>
      <c r="G1378" s="34">
        <v>5.4955150462962961E-3</v>
      </c>
      <c r="H1378" s="34">
        <v>0.26254629629629628</v>
      </c>
      <c r="I1378" s="34">
        <v>3.2581018518518516E-2</v>
      </c>
      <c r="J1378" s="35">
        <v>0.12409627931581732</v>
      </c>
      <c r="K1378" s="33" t="s">
        <v>643</v>
      </c>
      <c r="L1378" s="33" t="s">
        <v>233</v>
      </c>
    </row>
    <row r="1379" spans="1:12" x14ac:dyDescent="0.25">
      <c r="A1379" s="32">
        <v>46249</v>
      </c>
      <c r="B1379" s="33" t="s">
        <v>32</v>
      </c>
      <c r="C1379" s="33" t="s">
        <v>563</v>
      </c>
      <c r="D1379" s="33" t="s">
        <v>147</v>
      </c>
      <c r="E1379">
        <v>5</v>
      </c>
      <c r="F1379" s="34">
        <v>9.1782407407407403E-3</v>
      </c>
      <c r="G1379" s="34">
        <v>1.8356481481481481E-3</v>
      </c>
      <c r="H1379" s="34">
        <v>0.26822916666666669</v>
      </c>
      <c r="I1379" s="34">
        <v>3.1342592592592596E-2</v>
      </c>
      <c r="J1379" s="35">
        <v>0.11685005393743259</v>
      </c>
      <c r="K1379" s="33" t="s">
        <v>193</v>
      </c>
      <c r="L1379" s="33" t="s">
        <v>274</v>
      </c>
    </row>
    <row r="1380" spans="1:12" x14ac:dyDescent="0.25">
      <c r="A1380" s="32">
        <v>46249</v>
      </c>
      <c r="B1380" s="33" t="s">
        <v>32</v>
      </c>
      <c r="C1380" s="33" t="s">
        <v>525</v>
      </c>
      <c r="D1380" s="33" t="s">
        <v>32</v>
      </c>
      <c r="E1380">
        <v>21</v>
      </c>
      <c r="F1380" s="34">
        <v>6.0034722222222225E-2</v>
      </c>
      <c r="G1380" s="34">
        <v>2.8587962962962963E-3</v>
      </c>
      <c r="H1380" s="34">
        <v>0.26202546296296297</v>
      </c>
      <c r="I1380" s="34">
        <v>4.4166666666666667E-2</v>
      </c>
      <c r="J1380" s="35">
        <v>0.16855868192057952</v>
      </c>
      <c r="K1380" s="33" t="s">
        <v>231</v>
      </c>
      <c r="L1380" s="33" t="s">
        <v>233</v>
      </c>
    </row>
    <row r="1381" spans="1:12" x14ac:dyDescent="0.25">
      <c r="A1381" s="32">
        <v>46249</v>
      </c>
      <c r="B1381" s="33" t="s">
        <v>32</v>
      </c>
      <c r="C1381" s="33" t="s">
        <v>550</v>
      </c>
      <c r="D1381" s="33" t="s">
        <v>32</v>
      </c>
      <c r="E1381">
        <v>18</v>
      </c>
      <c r="F1381" s="34">
        <v>2.78125E-2</v>
      </c>
      <c r="G1381" s="34">
        <v>1.5451388888888889E-3</v>
      </c>
      <c r="H1381" s="34">
        <v>0.2651736111111111</v>
      </c>
      <c r="I1381" s="34">
        <v>4.1319444444444443E-2</v>
      </c>
      <c r="J1381" s="35">
        <v>0.15582034830430799</v>
      </c>
      <c r="K1381" s="33" t="s">
        <v>234</v>
      </c>
      <c r="L1381" s="33" t="s">
        <v>233</v>
      </c>
    </row>
    <row r="1382" spans="1:12" x14ac:dyDescent="0.25">
      <c r="A1382" s="32">
        <v>46249</v>
      </c>
      <c r="B1382" s="33" t="s">
        <v>32</v>
      </c>
      <c r="C1382" s="33" t="s">
        <v>505</v>
      </c>
      <c r="D1382" s="33" t="s">
        <v>32</v>
      </c>
      <c r="E1382">
        <v>17</v>
      </c>
      <c r="F1382" s="34">
        <v>3.9155092592592596E-2</v>
      </c>
      <c r="G1382" s="34">
        <v>2.3032407407407411E-3</v>
      </c>
      <c r="H1382" s="34">
        <v>0.26231481481481483</v>
      </c>
      <c r="I1382" s="34">
        <v>4.3287037037037034E-2</v>
      </c>
      <c r="J1382" s="35">
        <v>0.16501941404871159</v>
      </c>
      <c r="K1382" s="33" t="s">
        <v>34</v>
      </c>
      <c r="L1382" s="33" t="s">
        <v>233</v>
      </c>
    </row>
    <row r="1383" spans="1:12" x14ac:dyDescent="0.25">
      <c r="A1383" s="32">
        <v>46249</v>
      </c>
      <c r="B1383" s="33" t="s">
        <v>32</v>
      </c>
      <c r="C1383" s="33" t="s">
        <v>551</v>
      </c>
      <c r="D1383" s="33" t="s">
        <v>32</v>
      </c>
      <c r="E1383">
        <v>1</v>
      </c>
      <c r="F1383" s="34">
        <v>1.3194444444444445E-3</v>
      </c>
      <c r="G1383" s="34">
        <v>1.3194444444444445E-3</v>
      </c>
      <c r="H1383" s="34">
        <v>0.22994212962962962</v>
      </c>
      <c r="I1383" s="34">
        <v>0.21041666666666667</v>
      </c>
      <c r="J1383" s="35">
        <v>0.91508531736044696</v>
      </c>
      <c r="K1383" s="33" t="s">
        <v>236</v>
      </c>
      <c r="L1383" s="33" t="s">
        <v>233</v>
      </c>
    </row>
    <row r="1384" spans="1:12" x14ac:dyDescent="0.25">
      <c r="A1384" s="32">
        <v>46249</v>
      </c>
      <c r="B1384" s="33" t="s">
        <v>32</v>
      </c>
      <c r="C1384" s="33" t="s">
        <v>514</v>
      </c>
      <c r="D1384" s="33" t="s">
        <v>147</v>
      </c>
      <c r="E1384">
        <v>7</v>
      </c>
      <c r="F1384" s="34">
        <v>1.1655092592592592E-2</v>
      </c>
      <c r="G1384" s="34">
        <v>1.6650132275132274E-3</v>
      </c>
      <c r="H1384" s="34">
        <v>0.23289351851851853</v>
      </c>
      <c r="I1384" s="34">
        <v>3.3206018518518517E-2</v>
      </c>
      <c r="J1384" s="35">
        <v>0.14258026041148991</v>
      </c>
      <c r="K1384" s="33" t="s">
        <v>150</v>
      </c>
      <c r="L1384" s="33" t="s">
        <v>146</v>
      </c>
    </row>
    <row r="1385" spans="1:12" x14ac:dyDescent="0.25">
      <c r="A1385" s="32">
        <v>46249</v>
      </c>
      <c r="B1385" s="33" t="s">
        <v>32</v>
      </c>
      <c r="C1385" s="33" t="s">
        <v>515</v>
      </c>
      <c r="D1385" s="33" t="s">
        <v>147</v>
      </c>
      <c r="E1385">
        <v>9</v>
      </c>
      <c r="F1385" s="34">
        <v>1.3263888888888889E-2</v>
      </c>
      <c r="G1385" s="34">
        <v>1.4737654320987655E-3</v>
      </c>
      <c r="H1385" s="34">
        <v>0.26</v>
      </c>
      <c r="I1385" s="34">
        <v>3.5277777777777776E-2</v>
      </c>
      <c r="J1385" s="35">
        <v>0.13568376068376067</v>
      </c>
      <c r="K1385" s="33" t="s">
        <v>154</v>
      </c>
      <c r="L1385" s="33" t="s">
        <v>146</v>
      </c>
    </row>
    <row r="1386" spans="1:12" x14ac:dyDescent="0.25">
      <c r="A1386" s="32">
        <v>46249</v>
      </c>
      <c r="B1386" s="33" t="s">
        <v>32</v>
      </c>
      <c r="C1386" s="33" t="s">
        <v>506</v>
      </c>
      <c r="D1386" s="33" t="s">
        <v>32</v>
      </c>
      <c r="E1386">
        <v>20</v>
      </c>
      <c r="F1386" s="34">
        <v>0.12880787037037036</v>
      </c>
      <c r="G1386" s="34">
        <v>6.440393518518518E-3</v>
      </c>
      <c r="H1386" s="34">
        <v>0.26467592592592593</v>
      </c>
      <c r="I1386" s="34">
        <v>4.1678240740740738E-2</v>
      </c>
      <c r="J1386" s="35">
        <v>0.15746895224768234</v>
      </c>
      <c r="K1386" s="33" t="s">
        <v>44</v>
      </c>
      <c r="L1386" s="33" t="s">
        <v>100</v>
      </c>
    </row>
    <row r="1387" spans="1:12" x14ac:dyDescent="0.25">
      <c r="A1387" s="32">
        <v>46249</v>
      </c>
      <c r="B1387" s="33" t="s">
        <v>32</v>
      </c>
      <c r="C1387" s="33" t="s">
        <v>527</v>
      </c>
      <c r="D1387" s="33" t="s">
        <v>32</v>
      </c>
      <c r="E1387">
        <v>1</v>
      </c>
      <c r="F1387" s="34">
        <v>2.6620370370370372E-4</v>
      </c>
      <c r="G1387" s="34">
        <v>2.6620370370370372E-4</v>
      </c>
      <c r="H1387" s="34">
        <v>0.22140046296296295</v>
      </c>
      <c r="I1387" s="34">
        <v>0.19663194444444446</v>
      </c>
      <c r="J1387" s="35">
        <v>0.88812797323435633</v>
      </c>
      <c r="K1387" s="33" t="s">
        <v>240</v>
      </c>
      <c r="L1387" s="33" t="s">
        <v>233</v>
      </c>
    </row>
    <row r="1388" spans="1:12" x14ac:dyDescent="0.25">
      <c r="A1388" s="32">
        <v>46249</v>
      </c>
      <c r="B1388" s="33" t="s">
        <v>32</v>
      </c>
      <c r="C1388" s="33" t="s">
        <v>646</v>
      </c>
      <c r="D1388" s="33" t="s">
        <v>32</v>
      </c>
      <c r="E1388">
        <v>28</v>
      </c>
      <c r="F1388" s="34">
        <v>0.11856481481481482</v>
      </c>
      <c r="G1388" s="34">
        <v>4.2344576719576723E-3</v>
      </c>
      <c r="H1388" s="34">
        <v>0.26594907407407409</v>
      </c>
      <c r="I1388" s="34">
        <v>3.5497685185185188E-2</v>
      </c>
      <c r="J1388" s="35">
        <v>0.13347549830272434</v>
      </c>
      <c r="K1388" s="33" t="s">
        <v>645</v>
      </c>
      <c r="L1388" s="33" t="s">
        <v>100</v>
      </c>
    </row>
    <row r="1389" spans="1:12" x14ac:dyDescent="0.25">
      <c r="A1389" s="32">
        <v>46249</v>
      </c>
      <c r="B1389" s="33" t="s">
        <v>32</v>
      </c>
      <c r="C1389" s="33" t="s">
        <v>544</v>
      </c>
      <c r="D1389" s="33" t="s">
        <v>147</v>
      </c>
      <c r="E1389">
        <v>7</v>
      </c>
      <c r="F1389" s="34">
        <v>1.2291666666666666E-2</v>
      </c>
      <c r="G1389" s="34">
        <v>1.7559523809523808E-3</v>
      </c>
      <c r="H1389" s="34">
        <v>0.26384259259259257</v>
      </c>
      <c r="I1389" s="34">
        <v>4.2951388888888886E-2</v>
      </c>
      <c r="J1389" s="35">
        <v>0.16279171784523599</v>
      </c>
      <c r="K1389" s="33" t="s">
        <v>160</v>
      </c>
      <c r="L1389" s="33" t="s">
        <v>146</v>
      </c>
    </row>
    <row r="1390" spans="1:12" x14ac:dyDescent="0.25">
      <c r="A1390" s="32">
        <v>46249</v>
      </c>
      <c r="B1390" s="33" t="s">
        <v>32</v>
      </c>
      <c r="C1390" s="33" t="s">
        <v>558</v>
      </c>
      <c r="D1390" s="33" t="s">
        <v>32</v>
      </c>
      <c r="E1390">
        <v>16</v>
      </c>
      <c r="F1390" s="34">
        <v>2.9502314814814815E-2</v>
      </c>
      <c r="G1390" s="34">
        <v>1.8438946759259259E-3</v>
      </c>
      <c r="H1390" s="34">
        <v>0.22873842592592591</v>
      </c>
      <c r="I1390" s="34">
        <v>4.1388888888888892E-2</v>
      </c>
      <c r="J1390" s="35">
        <v>0.18094418863532866</v>
      </c>
      <c r="K1390" s="33" t="s">
        <v>120</v>
      </c>
      <c r="L1390" s="33" t="s">
        <v>233</v>
      </c>
    </row>
    <row r="1391" spans="1:12" x14ac:dyDescent="0.25">
      <c r="A1391" s="32">
        <v>46249</v>
      </c>
      <c r="B1391" s="33" t="s">
        <v>32</v>
      </c>
      <c r="C1391" s="33" t="s">
        <v>507</v>
      </c>
      <c r="D1391" s="33" t="s">
        <v>32</v>
      </c>
      <c r="E1391">
        <v>16</v>
      </c>
      <c r="F1391" s="34">
        <v>9.6030092592592597E-2</v>
      </c>
      <c r="G1391" s="34">
        <v>6.0018807870370373E-3</v>
      </c>
      <c r="H1391" s="34">
        <v>0.26157407407407407</v>
      </c>
      <c r="I1391" s="34">
        <v>3.1261574074074074E-2</v>
      </c>
      <c r="J1391" s="35">
        <v>0.11951327433628318</v>
      </c>
      <c r="K1391" s="33" t="s">
        <v>46</v>
      </c>
      <c r="L1391" s="33" t="s">
        <v>100</v>
      </c>
    </row>
    <row r="1392" spans="1:12" x14ac:dyDescent="0.25">
      <c r="A1392" s="32">
        <v>46249</v>
      </c>
      <c r="B1392" s="33" t="s">
        <v>32</v>
      </c>
      <c r="C1392" s="33" t="s">
        <v>648</v>
      </c>
      <c r="D1392" s="33" t="s">
        <v>32</v>
      </c>
      <c r="E1392">
        <v>15</v>
      </c>
      <c r="F1392" s="34">
        <v>5.3101851851851851E-2</v>
      </c>
      <c r="G1392" s="34">
        <v>3.5401234567901236E-3</v>
      </c>
      <c r="H1392" s="34">
        <v>0.26100694444444444</v>
      </c>
      <c r="I1392" s="34">
        <v>3.7870370370370374E-2</v>
      </c>
      <c r="J1392" s="35">
        <v>0.14509334397587692</v>
      </c>
      <c r="K1392" s="33" t="s">
        <v>647</v>
      </c>
      <c r="L1392" s="33" t="s">
        <v>233</v>
      </c>
    </row>
    <row r="1393" spans="1:12" x14ac:dyDescent="0.25">
      <c r="A1393" s="32">
        <v>46249</v>
      </c>
      <c r="B1393" s="33" t="s">
        <v>32</v>
      </c>
      <c r="C1393" s="33" t="s">
        <v>568</v>
      </c>
      <c r="D1393" s="33" t="s">
        <v>32</v>
      </c>
      <c r="E1393">
        <v>19</v>
      </c>
      <c r="F1393" s="34">
        <v>5.5636574074074074E-2</v>
      </c>
      <c r="G1393" s="34">
        <v>2.9282407407407408E-3</v>
      </c>
      <c r="H1393" s="34">
        <v>0.26430555555555557</v>
      </c>
      <c r="I1393" s="34">
        <v>3.6863425925925924E-2</v>
      </c>
      <c r="J1393" s="35">
        <v>0.13947276230513223</v>
      </c>
      <c r="K1393" s="33" t="s">
        <v>246</v>
      </c>
      <c r="L1393" s="33" t="s">
        <v>233</v>
      </c>
    </row>
    <row r="1394" spans="1:12" x14ac:dyDescent="0.25">
      <c r="A1394" s="32">
        <v>46249</v>
      </c>
      <c r="B1394" s="33" t="s">
        <v>32</v>
      </c>
      <c r="C1394" s="33" t="s">
        <v>508</v>
      </c>
      <c r="D1394" s="33" t="s">
        <v>32</v>
      </c>
      <c r="E1394">
        <v>18</v>
      </c>
      <c r="F1394" s="34">
        <v>0.10054398148148148</v>
      </c>
      <c r="G1394" s="34">
        <v>5.5857767489711939E-3</v>
      </c>
      <c r="H1394" s="34">
        <v>0.2645601851851852</v>
      </c>
      <c r="I1394" s="34">
        <v>4.6493055555555558E-2</v>
      </c>
      <c r="J1394" s="35">
        <v>0.17573715985650537</v>
      </c>
      <c r="K1394" s="33" t="s">
        <v>48</v>
      </c>
      <c r="L1394" s="33" t="s">
        <v>100</v>
      </c>
    </row>
    <row r="1395" spans="1:12" x14ac:dyDescent="0.25">
      <c r="A1395" s="32">
        <v>46249</v>
      </c>
      <c r="B1395" s="33" t="s">
        <v>32</v>
      </c>
      <c r="C1395" s="33" t="s">
        <v>603</v>
      </c>
      <c r="D1395" s="33" t="s">
        <v>32</v>
      </c>
      <c r="E1395">
        <v>21</v>
      </c>
      <c r="F1395" s="34">
        <v>0.10782407407407407</v>
      </c>
      <c r="G1395" s="34">
        <v>5.1344797178130511E-3</v>
      </c>
      <c r="H1395" s="34">
        <v>0.26724537037037038</v>
      </c>
      <c r="I1395" s="34">
        <v>1.2361111111111111E-2</v>
      </c>
      <c r="J1395" s="35">
        <v>4.6253789519272406E-2</v>
      </c>
      <c r="K1395" s="33" t="s">
        <v>242</v>
      </c>
      <c r="L1395" s="33" t="s">
        <v>233</v>
      </c>
    </row>
    <row r="1396" spans="1:12" x14ac:dyDescent="0.25">
      <c r="A1396" s="32">
        <v>46249</v>
      </c>
      <c r="B1396" s="33" t="s">
        <v>32</v>
      </c>
      <c r="C1396" s="33" t="s">
        <v>518</v>
      </c>
      <c r="D1396" s="33" t="s">
        <v>147</v>
      </c>
      <c r="E1396">
        <v>3</v>
      </c>
      <c r="F1396" s="34">
        <v>1.7708333333333333E-2</v>
      </c>
      <c r="G1396" s="34">
        <v>5.9027777777777776E-3</v>
      </c>
      <c r="H1396" s="34">
        <v>0.26807870370370368</v>
      </c>
      <c r="I1396" s="34">
        <v>3.2638888888888891E-2</v>
      </c>
      <c r="J1396" s="35">
        <v>0.12175114411536139</v>
      </c>
      <c r="K1396" s="33" t="s">
        <v>500</v>
      </c>
      <c r="L1396" s="33" t="s">
        <v>274</v>
      </c>
    </row>
    <row r="1397" spans="1:12" x14ac:dyDescent="0.25">
      <c r="A1397" s="32">
        <v>46249</v>
      </c>
      <c r="B1397" s="33" t="s">
        <v>32</v>
      </c>
      <c r="C1397" s="33" t="s">
        <v>684</v>
      </c>
      <c r="D1397" s="33" t="s">
        <v>32</v>
      </c>
      <c r="E1397">
        <v>18</v>
      </c>
      <c r="F1397" s="34">
        <v>6.1111111111111109E-2</v>
      </c>
      <c r="G1397" s="34">
        <v>3.3950617283950617E-3</v>
      </c>
      <c r="H1397" s="34">
        <v>0.25569444444444445</v>
      </c>
      <c r="I1397" s="34">
        <v>4.0601851851851854E-2</v>
      </c>
      <c r="J1397" s="35">
        <v>0.15879051240267972</v>
      </c>
      <c r="K1397" s="33" t="s">
        <v>683</v>
      </c>
      <c r="L1397" s="33" t="s">
        <v>233</v>
      </c>
    </row>
    <row r="1398" spans="1:12" x14ac:dyDescent="0.25">
      <c r="A1398" s="32">
        <v>46249</v>
      </c>
      <c r="B1398" s="33" t="s">
        <v>32</v>
      </c>
      <c r="C1398" s="33" t="s">
        <v>654</v>
      </c>
      <c r="D1398" s="33" t="s">
        <v>32</v>
      </c>
      <c r="E1398">
        <v>20</v>
      </c>
      <c r="F1398" s="34">
        <v>0.13130787037037037</v>
      </c>
      <c r="G1398" s="34">
        <v>6.5653935185185181E-3</v>
      </c>
      <c r="H1398" s="34">
        <v>0.25460648148148146</v>
      </c>
      <c r="I1398" s="34">
        <v>3.0011574074074072E-2</v>
      </c>
      <c r="J1398" s="35">
        <v>0.11787435221383763</v>
      </c>
      <c r="K1398" s="33" t="s">
        <v>653</v>
      </c>
      <c r="L1398" s="33" t="s">
        <v>100</v>
      </c>
    </row>
    <row r="1399" spans="1:12" x14ac:dyDescent="0.25">
      <c r="A1399" s="32">
        <v>46249</v>
      </c>
      <c r="B1399" s="33" t="s">
        <v>32</v>
      </c>
      <c r="C1399" s="33" t="s">
        <v>519</v>
      </c>
      <c r="D1399" s="33" t="s">
        <v>147</v>
      </c>
      <c r="E1399">
        <v>6</v>
      </c>
      <c r="F1399" s="34">
        <v>5.8333333333333336E-3</v>
      </c>
      <c r="G1399" s="34">
        <v>9.722222222222223E-4</v>
      </c>
      <c r="H1399" s="34">
        <v>0.25416666666666665</v>
      </c>
      <c r="I1399" s="34">
        <v>3.4814814814814812E-2</v>
      </c>
      <c r="J1399" s="35">
        <v>0.13697632058287795</v>
      </c>
      <c r="K1399" s="33" t="s">
        <v>164</v>
      </c>
      <c r="L1399" s="33" t="s">
        <v>146</v>
      </c>
    </row>
    <row r="1400" spans="1:12" x14ac:dyDescent="0.25">
      <c r="A1400" s="32">
        <v>46249</v>
      </c>
      <c r="B1400" s="33" t="s">
        <v>32</v>
      </c>
      <c r="C1400" s="33" t="s">
        <v>656</v>
      </c>
      <c r="D1400" s="33" t="s">
        <v>32</v>
      </c>
      <c r="E1400">
        <v>19</v>
      </c>
      <c r="F1400" s="34">
        <v>8.8391203703703708E-2</v>
      </c>
      <c r="G1400" s="34">
        <v>4.6521686159844058E-3</v>
      </c>
      <c r="H1400" s="34">
        <v>0.25093749999999998</v>
      </c>
      <c r="I1400" s="34">
        <v>7.2129629629629627E-2</v>
      </c>
      <c r="J1400" s="35">
        <v>0.28744061620773953</v>
      </c>
      <c r="K1400" s="33" t="s">
        <v>655</v>
      </c>
      <c r="L1400" s="33" t="s">
        <v>100</v>
      </c>
    </row>
    <row r="1401" spans="1:12" x14ac:dyDescent="0.25">
      <c r="A1401" s="32">
        <v>46249</v>
      </c>
      <c r="B1401" s="33" t="s">
        <v>32</v>
      </c>
      <c r="C1401" s="33" t="s">
        <v>167</v>
      </c>
      <c r="D1401" s="33" t="s">
        <v>147</v>
      </c>
      <c r="E1401">
        <v>7</v>
      </c>
      <c r="F1401" s="34">
        <v>1.3842592592592592E-2</v>
      </c>
      <c r="G1401" s="34">
        <v>1.9775132275132276E-3</v>
      </c>
      <c r="H1401" s="34">
        <v>0.26251157407407405</v>
      </c>
      <c r="I1401" s="34">
        <v>3.5520833333333335E-2</v>
      </c>
      <c r="J1401" s="35">
        <v>0.13531149420219568</v>
      </c>
      <c r="K1401" s="33" t="s">
        <v>166</v>
      </c>
      <c r="L1401" s="33" t="s">
        <v>146</v>
      </c>
    </row>
    <row r="1402" spans="1:12" x14ac:dyDescent="0.25">
      <c r="A1402" s="32">
        <v>46249</v>
      </c>
      <c r="B1402" s="33" t="s">
        <v>32</v>
      </c>
      <c r="C1402" s="33" t="s">
        <v>658</v>
      </c>
      <c r="D1402" s="33" t="s">
        <v>147</v>
      </c>
      <c r="E1402">
        <v>4</v>
      </c>
      <c r="F1402" s="34">
        <v>6.851851851851852E-3</v>
      </c>
      <c r="G1402" s="34">
        <v>1.712962962962963E-3</v>
      </c>
      <c r="H1402" s="34">
        <v>0.22349537037037037</v>
      </c>
      <c r="I1402" s="34">
        <v>2.9791666666666668E-2</v>
      </c>
      <c r="J1402" s="35">
        <v>0.13329880890730192</v>
      </c>
      <c r="K1402" s="33" t="s">
        <v>657</v>
      </c>
      <c r="L1402" s="33" t="s">
        <v>274</v>
      </c>
    </row>
    <row r="1403" spans="1:12" x14ac:dyDescent="0.25">
      <c r="A1403" s="32">
        <v>46249</v>
      </c>
      <c r="B1403" s="33" t="s">
        <v>32</v>
      </c>
      <c r="C1403" s="33" t="s">
        <v>528</v>
      </c>
      <c r="D1403" s="33" t="s">
        <v>32</v>
      </c>
      <c r="E1403">
        <v>13</v>
      </c>
      <c r="F1403" s="34">
        <v>5.1249999999999997E-2</v>
      </c>
      <c r="G1403" s="34">
        <v>3.942307692307692E-3</v>
      </c>
      <c r="H1403" s="34">
        <v>0.26390046296296299</v>
      </c>
      <c r="I1403" s="34">
        <v>5.828703703703704E-2</v>
      </c>
      <c r="J1403" s="35">
        <v>0.22086750581114861</v>
      </c>
      <c r="K1403" s="33" t="s">
        <v>254</v>
      </c>
      <c r="L1403" s="33" t="s">
        <v>233</v>
      </c>
    </row>
    <row r="1404" spans="1:12" x14ac:dyDescent="0.25">
      <c r="A1404" s="32">
        <v>46249</v>
      </c>
      <c r="B1404" s="33" t="s">
        <v>32</v>
      </c>
      <c r="C1404" s="33" t="s">
        <v>520</v>
      </c>
      <c r="D1404" s="33" t="s">
        <v>147</v>
      </c>
      <c r="E1404">
        <v>4</v>
      </c>
      <c r="F1404" s="34">
        <v>5.9259259259259256E-3</v>
      </c>
      <c r="G1404" s="34">
        <v>1.4814814814814814E-3</v>
      </c>
      <c r="H1404" s="34">
        <v>0.25307870370370372</v>
      </c>
      <c r="I1404" s="34">
        <v>4.0208333333333332E-2</v>
      </c>
      <c r="J1404" s="35">
        <v>0.15887679502423852</v>
      </c>
      <c r="K1404" s="33" t="s">
        <v>168</v>
      </c>
      <c r="L1404" s="33" t="s">
        <v>274</v>
      </c>
    </row>
    <row r="1405" spans="1:12" x14ac:dyDescent="0.25">
      <c r="A1405" s="32">
        <v>46249</v>
      </c>
      <c r="B1405" s="33" t="s">
        <v>32</v>
      </c>
      <c r="C1405" s="33" t="s">
        <v>521</v>
      </c>
      <c r="D1405" s="33" t="s">
        <v>147</v>
      </c>
      <c r="E1405">
        <v>9</v>
      </c>
      <c r="F1405" s="34">
        <v>2.9305555555555557E-2</v>
      </c>
      <c r="G1405" s="34">
        <v>3.2561728395061728E-3</v>
      </c>
      <c r="H1405" s="34">
        <v>0.25790509259259259</v>
      </c>
      <c r="I1405" s="34">
        <v>3.6585648148148145E-2</v>
      </c>
      <c r="J1405" s="35">
        <v>0.14185702104743525</v>
      </c>
      <c r="K1405" s="33" t="s">
        <v>170</v>
      </c>
      <c r="L1405" s="33" t="s">
        <v>146</v>
      </c>
    </row>
    <row r="1406" spans="1:12" x14ac:dyDescent="0.25">
      <c r="A1406" s="32">
        <v>46249</v>
      </c>
      <c r="B1406" s="33" t="s">
        <v>32</v>
      </c>
      <c r="C1406" s="33" t="s">
        <v>633</v>
      </c>
      <c r="D1406" s="33" t="s">
        <v>147</v>
      </c>
      <c r="E1406">
        <v>4</v>
      </c>
      <c r="F1406" s="34">
        <v>2.6909722222222224E-2</v>
      </c>
      <c r="G1406" s="34">
        <v>6.7274305555555559E-3</v>
      </c>
      <c r="H1406" s="34">
        <v>0.26296296296296295</v>
      </c>
      <c r="I1406" s="34">
        <v>7.0231481481481478E-2</v>
      </c>
      <c r="J1406" s="35">
        <v>0.2670774647887324</v>
      </c>
      <c r="K1406" s="33" t="s">
        <v>606</v>
      </c>
      <c r="L1406" s="33" t="s">
        <v>146</v>
      </c>
    </row>
    <row r="1407" spans="1:12" x14ac:dyDescent="0.25">
      <c r="A1407" s="32">
        <v>46249</v>
      </c>
      <c r="B1407" s="33" t="s">
        <v>32</v>
      </c>
      <c r="C1407" s="33" t="s">
        <v>529</v>
      </c>
      <c r="D1407" s="33" t="s">
        <v>32</v>
      </c>
      <c r="E1407">
        <v>14</v>
      </c>
      <c r="F1407" s="34">
        <v>6.5798611111111113E-2</v>
      </c>
      <c r="G1407" s="34">
        <v>4.6999007936507934E-3</v>
      </c>
      <c r="H1407" s="34">
        <v>0.24570601851851853</v>
      </c>
      <c r="I1407" s="34">
        <v>4.9201388888888892E-2</v>
      </c>
      <c r="J1407" s="35">
        <v>0.20024494794856093</v>
      </c>
      <c r="K1407" s="33" t="s">
        <v>256</v>
      </c>
      <c r="L1407" s="33" t="s">
        <v>233</v>
      </c>
    </row>
    <row r="1408" spans="1:12" x14ac:dyDescent="0.25">
      <c r="A1408" s="32">
        <v>46249</v>
      </c>
      <c r="B1408" s="33" t="s">
        <v>32</v>
      </c>
      <c r="C1408" s="33" t="s">
        <v>662</v>
      </c>
      <c r="D1408" s="33" t="s">
        <v>32</v>
      </c>
      <c r="E1408">
        <v>28</v>
      </c>
      <c r="F1408" s="34">
        <v>9.8900462962962968E-2</v>
      </c>
      <c r="G1408" s="34">
        <v>3.5321593915343917E-3</v>
      </c>
      <c r="H1408" s="34">
        <v>0.25908564814814816</v>
      </c>
      <c r="I1408" s="34">
        <v>4.1377314814814818E-2</v>
      </c>
      <c r="J1408" s="35">
        <v>0.15970515970515972</v>
      </c>
      <c r="K1408" s="33" t="s">
        <v>661</v>
      </c>
      <c r="L1408" s="33" t="s">
        <v>100</v>
      </c>
    </row>
    <row r="1409" spans="1:12" x14ac:dyDescent="0.25">
      <c r="A1409" s="32">
        <v>46249</v>
      </c>
      <c r="B1409" s="33" t="s">
        <v>32</v>
      </c>
      <c r="C1409" s="33" t="s">
        <v>664</v>
      </c>
      <c r="D1409" s="33" t="s">
        <v>32</v>
      </c>
      <c r="E1409">
        <v>15</v>
      </c>
      <c r="F1409" s="34">
        <v>9.7557870370370364E-2</v>
      </c>
      <c r="G1409" s="34">
        <v>6.5038580246913578E-3</v>
      </c>
      <c r="H1409" s="34">
        <v>0.25107638888888889</v>
      </c>
      <c r="I1409" s="34">
        <v>2.9814814814814815E-2</v>
      </c>
      <c r="J1409" s="35">
        <v>0.11874798322039368</v>
      </c>
      <c r="K1409" s="33" t="s">
        <v>663</v>
      </c>
      <c r="L1409" s="33" t="s">
        <v>233</v>
      </c>
    </row>
    <row r="1410" spans="1:12" x14ac:dyDescent="0.25">
      <c r="A1410" s="32">
        <v>46249</v>
      </c>
      <c r="B1410" s="33" t="s">
        <v>32</v>
      </c>
      <c r="C1410" s="33" t="s">
        <v>666</v>
      </c>
      <c r="D1410" s="33" t="s">
        <v>32</v>
      </c>
      <c r="E1410">
        <v>41</v>
      </c>
      <c r="F1410" s="34">
        <v>0.15317129629629631</v>
      </c>
      <c r="G1410" s="34">
        <v>3.7358852755194219E-3</v>
      </c>
      <c r="H1410" s="34">
        <v>0.32119212962962962</v>
      </c>
      <c r="I1410" s="34">
        <v>2.2187499999999999E-2</v>
      </c>
      <c r="J1410" s="35">
        <v>6.9078591762459007E-2</v>
      </c>
      <c r="K1410" s="33" t="s">
        <v>665</v>
      </c>
      <c r="L1410" s="33" t="s">
        <v>100</v>
      </c>
    </row>
    <row r="1411" spans="1:12" x14ac:dyDescent="0.25">
      <c r="A1411" s="32">
        <v>46249</v>
      </c>
      <c r="B1411" s="33" t="s">
        <v>32</v>
      </c>
      <c r="C1411" s="33" t="s">
        <v>555</v>
      </c>
      <c r="D1411" s="33" t="s">
        <v>32</v>
      </c>
      <c r="E1411">
        <v>17</v>
      </c>
      <c r="F1411" s="34">
        <v>6.385416666666667E-2</v>
      </c>
      <c r="G1411" s="34">
        <v>3.7561274509803925E-3</v>
      </c>
      <c r="H1411" s="34">
        <v>0.2487037037037037</v>
      </c>
      <c r="I1411" s="34">
        <v>5.122685185185185E-2</v>
      </c>
      <c r="J1411" s="35">
        <v>0.20597542814594191</v>
      </c>
      <c r="K1411" s="33" t="s">
        <v>128</v>
      </c>
      <c r="L1411" s="33" t="s">
        <v>233</v>
      </c>
    </row>
    <row r="1412" spans="1:12" x14ac:dyDescent="0.25">
      <c r="A1412" s="32">
        <v>46249</v>
      </c>
      <c r="B1412" s="33" t="s">
        <v>32</v>
      </c>
      <c r="C1412" s="33" t="s">
        <v>522</v>
      </c>
      <c r="D1412" s="33" t="s">
        <v>147</v>
      </c>
      <c r="E1412">
        <v>3</v>
      </c>
      <c r="F1412" s="34">
        <v>2.1469907407407406E-2</v>
      </c>
      <c r="G1412" s="34">
        <v>7.1566358024691351E-3</v>
      </c>
      <c r="H1412" s="34">
        <v>0.25673611111111111</v>
      </c>
      <c r="I1412" s="34">
        <v>4.4467592592592593E-2</v>
      </c>
      <c r="J1412" s="35">
        <v>0.1732034983319809</v>
      </c>
      <c r="K1412" s="33" t="s">
        <v>178</v>
      </c>
      <c r="L1412" s="33" t="s">
        <v>146</v>
      </c>
    </row>
    <row r="1413" spans="1:12" x14ac:dyDescent="0.25">
      <c r="A1413" s="32">
        <v>46249</v>
      </c>
      <c r="B1413" s="33" t="s">
        <v>32</v>
      </c>
      <c r="C1413" s="33" t="s">
        <v>635</v>
      </c>
      <c r="D1413" s="33" t="s">
        <v>105</v>
      </c>
      <c r="E1413">
        <v>6</v>
      </c>
      <c r="F1413" s="34">
        <v>4.3969907407407409E-2</v>
      </c>
      <c r="G1413" s="34">
        <v>7.3283179012345679E-3</v>
      </c>
      <c r="H1413" s="34">
        <v>0.24</v>
      </c>
      <c r="I1413" s="34">
        <v>0.15628472222222223</v>
      </c>
      <c r="J1413" s="35">
        <v>0.65118634259259267</v>
      </c>
      <c r="K1413" s="33" t="s">
        <v>614</v>
      </c>
      <c r="L1413" s="33" t="s">
        <v>601</v>
      </c>
    </row>
    <row r="1414" spans="1:12" x14ac:dyDescent="0.25">
      <c r="A1414" s="32">
        <v>46249</v>
      </c>
      <c r="B1414" s="33" t="s">
        <v>32</v>
      </c>
      <c r="C1414" s="33" t="s">
        <v>523</v>
      </c>
      <c r="D1414" s="33" t="s">
        <v>147</v>
      </c>
      <c r="E1414">
        <v>6</v>
      </c>
      <c r="F1414" s="34">
        <v>3.1550925925925927E-2</v>
      </c>
      <c r="G1414" s="34">
        <v>5.2584876543209881E-3</v>
      </c>
      <c r="H1414" s="34">
        <v>0.25916666666666666</v>
      </c>
      <c r="I1414" s="34">
        <v>3.622685185185185E-2</v>
      </c>
      <c r="J1414" s="35">
        <v>0.13978206502322257</v>
      </c>
      <c r="K1414" s="33" t="s">
        <v>180</v>
      </c>
      <c r="L1414" s="33" t="s">
        <v>146</v>
      </c>
    </row>
    <row r="1415" spans="1:12" x14ac:dyDescent="0.25">
      <c r="A1415" s="32">
        <v>46249</v>
      </c>
      <c r="B1415" s="33" t="s">
        <v>32</v>
      </c>
      <c r="C1415" s="33" t="s">
        <v>566</v>
      </c>
      <c r="D1415" s="33" t="s">
        <v>147</v>
      </c>
      <c r="E1415">
        <v>8</v>
      </c>
      <c r="F1415" s="34">
        <v>3.5092592592592592E-2</v>
      </c>
      <c r="G1415" s="34">
        <v>4.386574074074074E-3</v>
      </c>
      <c r="H1415" s="34">
        <v>0.25915509259259262</v>
      </c>
      <c r="I1415" s="34">
        <v>3.6041666666666666E-2</v>
      </c>
      <c r="J1415" s="35">
        <v>0.13907373498280556</v>
      </c>
      <c r="K1415" s="33" t="s">
        <v>207</v>
      </c>
      <c r="L1415" s="33" t="s">
        <v>274</v>
      </c>
    </row>
    <row r="1416" spans="1:12" x14ac:dyDescent="0.25">
      <c r="A1416" s="32">
        <v>46249</v>
      </c>
      <c r="B1416" s="33" t="s">
        <v>32</v>
      </c>
      <c r="C1416" s="33" t="s">
        <v>567</v>
      </c>
      <c r="D1416" s="33" t="s">
        <v>105</v>
      </c>
      <c r="E1416">
        <v>1</v>
      </c>
      <c r="F1416" s="34">
        <v>1.2962962962962963E-2</v>
      </c>
      <c r="G1416" s="34">
        <v>1.2962962962962963E-2</v>
      </c>
      <c r="H1416" s="34">
        <v>0.15584490740740742</v>
      </c>
      <c r="I1416" s="34">
        <v>0.13971064814814815</v>
      </c>
      <c r="J1416" s="35">
        <v>0.89647233568510953</v>
      </c>
      <c r="K1416" s="33" t="s">
        <v>209</v>
      </c>
      <c r="L1416" s="33" t="s">
        <v>601</v>
      </c>
    </row>
    <row r="1417" spans="1:12" x14ac:dyDescent="0.25">
      <c r="A1417" s="32">
        <v>46249</v>
      </c>
      <c r="B1417" s="33" t="s">
        <v>32</v>
      </c>
      <c r="C1417" s="33" t="s">
        <v>510</v>
      </c>
      <c r="D1417" s="33" t="s">
        <v>32</v>
      </c>
      <c r="E1417">
        <v>25</v>
      </c>
      <c r="F1417" s="34">
        <v>0.12579861111111112</v>
      </c>
      <c r="G1417" s="34">
        <v>5.0319444444444448E-3</v>
      </c>
      <c r="H1417" s="34">
        <v>0.26162037037037039</v>
      </c>
      <c r="I1417" s="34">
        <v>3.8449074074074073E-2</v>
      </c>
      <c r="J1417" s="35">
        <v>0.14696513891346663</v>
      </c>
      <c r="K1417" s="33" t="s">
        <v>60</v>
      </c>
      <c r="L1417" s="33" t="s">
        <v>100</v>
      </c>
    </row>
    <row r="1418" spans="1:12" x14ac:dyDescent="0.25">
      <c r="A1418" s="32">
        <v>46249</v>
      </c>
      <c r="B1418" s="33" t="s">
        <v>32</v>
      </c>
      <c r="C1418" s="33" t="s">
        <v>524</v>
      </c>
      <c r="D1418" s="33" t="s">
        <v>147</v>
      </c>
      <c r="E1418">
        <v>5</v>
      </c>
      <c r="F1418" s="34">
        <v>2.2453703703703705E-2</v>
      </c>
      <c r="G1418" s="34">
        <v>4.4907407407407413E-3</v>
      </c>
      <c r="H1418" s="34">
        <v>0.27043981481481483</v>
      </c>
      <c r="I1418" s="34">
        <v>2.9849537037037036E-2</v>
      </c>
      <c r="J1418" s="35">
        <v>0.11037404776170504</v>
      </c>
      <c r="K1418" s="33" t="s">
        <v>501</v>
      </c>
      <c r="L1418" s="33" t="s">
        <v>274</v>
      </c>
    </row>
    <row r="1419" spans="1:12" x14ac:dyDescent="0.25">
      <c r="A1419" s="32">
        <v>46249</v>
      </c>
      <c r="B1419" s="33" t="s">
        <v>32</v>
      </c>
      <c r="C1419" s="33" t="s">
        <v>640</v>
      </c>
      <c r="D1419" s="33" t="s">
        <v>105</v>
      </c>
      <c r="E1419">
        <v>5</v>
      </c>
      <c r="F1419" s="34">
        <v>4.5613425925925925E-2</v>
      </c>
      <c r="G1419" s="34">
        <v>9.1226851851851851E-3</v>
      </c>
      <c r="H1419" s="34">
        <v>0.20988425925925927</v>
      </c>
      <c r="I1419" s="34">
        <v>0.14587962962962964</v>
      </c>
      <c r="J1419" s="35">
        <v>0.69504797617734637</v>
      </c>
      <c r="K1419" s="33" t="s">
        <v>619</v>
      </c>
      <c r="L1419" s="33" t="s">
        <v>601</v>
      </c>
    </row>
    <row r="1420" spans="1:12" x14ac:dyDescent="0.25">
      <c r="A1420" s="32">
        <v>46249</v>
      </c>
      <c r="B1420" s="33" t="s">
        <v>32</v>
      </c>
      <c r="C1420" s="33" t="s">
        <v>669</v>
      </c>
      <c r="D1420" s="33" t="s">
        <v>32</v>
      </c>
      <c r="E1420">
        <v>18</v>
      </c>
      <c r="F1420" s="34">
        <v>7.5219907407407402E-2</v>
      </c>
      <c r="G1420" s="34">
        <v>4.1788837448559664E-3</v>
      </c>
      <c r="H1420" s="34">
        <v>0.26322916666666668</v>
      </c>
      <c r="I1420" s="34">
        <v>3.6886574074074072E-2</v>
      </c>
      <c r="J1420" s="35">
        <v>0.14013102932770521</v>
      </c>
      <c r="K1420" s="33" t="s">
        <v>668</v>
      </c>
      <c r="L1420" s="33" t="s">
        <v>233</v>
      </c>
    </row>
    <row r="1421" spans="1:12" x14ac:dyDescent="0.25">
      <c r="A1421" s="32">
        <v>46249</v>
      </c>
      <c r="B1421" s="33" t="s">
        <v>32</v>
      </c>
      <c r="C1421" s="33" t="s">
        <v>306</v>
      </c>
      <c r="D1421" s="33" t="s">
        <v>32</v>
      </c>
      <c r="E1421">
        <v>27</v>
      </c>
      <c r="F1421" s="34">
        <v>7.1192129629629633E-2</v>
      </c>
      <c r="G1421" s="34">
        <v>2.6367455418381345E-3</v>
      </c>
      <c r="H1421" s="34">
        <v>0.26078703703703704</v>
      </c>
      <c r="I1421" s="34">
        <v>5.3854166666666668E-2</v>
      </c>
      <c r="J1421" s="35">
        <v>0.2065063021480561</v>
      </c>
      <c r="K1421" s="33" t="s">
        <v>305</v>
      </c>
      <c r="L1421" s="33" t="s">
        <v>100</v>
      </c>
    </row>
    <row r="1422" spans="1:12" x14ac:dyDescent="0.25">
      <c r="A1422" s="32">
        <v>46249</v>
      </c>
      <c r="B1422" s="33" t="s">
        <v>32</v>
      </c>
      <c r="C1422" s="33" t="s">
        <v>532</v>
      </c>
      <c r="D1422" s="33" t="s">
        <v>32</v>
      </c>
      <c r="E1422">
        <v>21</v>
      </c>
      <c r="F1422" s="34">
        <v>4.6666666666666669E-2</v>
      </c>
      <c r="G1422" s="34">
        <v>2.2222222222222222E-3</v>
      </c>
      <c r="H1422" s="34">
        <v>0.26505787037037037</v>
      </c>
      <c r="I1422" s="34">
        <v>5.1608796296296298E-2</v>
      </c>
      <c r="J1422" s="35">
        <v>0.19470765468756823</v>
      </c>
      <c r="K1422" s="33" t="s">
        <v>276</v>
      </c>
      <c r="L1422" s="33" t="s">
        <v>233</v>
      </c>
    </row>
    <row r="1423" spans="1:12" x14ac:dyDescent="0.25">
      <c r="A1423" s="32">
        <v>46249</v>
      </c>
      <c r="B1423" s="33" t="s">
        <v>32</v>
      </c>
      <c r="C1423" s="33" t="s">
        <v>533</v>
      </c>
      <c r="D1423" s="33" t="s">
        <v>32</v>
      </c>
      <c r="E1423">
        <v>15</v>
      </c>
      <c r="F1423" s="34">
        <v>6.9722222222222227E-2</v>
      </c>
      <c r="G1423" s="34">
        <v>4.6481481481481486E-3</v>
      </c>
      <c r="H1423" s="34">
        <v>0.26144675925925925</v>
      </c>
      <c r="I1423" s="34">
        <v>4.2094907407407407E-2</v>
      </c>
      <c r="J1423" s="35">
        <v>0.16100757005622207</v>
      </c>
      <c r="K1423" s="33" t="s">
        <v>278</v>
      </c>
      <c r="L1423" s="33" t="s">
        <v>233</v>
      </c>
    </row>
    <row r="1424" spans="1:12" x14ac:dyDescent="0.25">
      <c r="A1424" s="32">
        <v>46249</v>
      </c>
      <c r="B1424" s="33" t="s">
        <v>32</v>
      </c>
      <c r="C1424" s="33" t="s">
        <v>549</v>
      </c>
      <c r="D1424" s="33" t="s">
        <v>105</v>
      </c>
      <c r="E1424">
        <v>5</v>
      </c>
      <c r="F1424" s="34">
        <v>2.3935185185185184E-2</v>
      </c>
      <c r="G1424" s="34">
        <v>4.7870370370370367E-3</v>
      </c>
      <c r="H1424" s="34">
        <v>0.2338425925925926</v>
      </c>
      <c r="I1424" s="34">
        <v>0.1333449074074074</v>
      </c>
      <c r="J1424" s="35">
        <v>0.57023361710552356</v>
      </c>
      <c r="K1424" s="33" t="s">
        <v>225</v>
      </c>
      <c r="L1424" s="33" t="s">
        <v>601</v>
      </c>
    </row>
    <row r="1425" spans="1:12" x14ac:dyDescent="0.25">
      <c r="A1425" s="32">
        <v>46249</v>
      </c>
      <c r="B1425" s="33" t="s">
        <v>32</v>
      </c>
      <c r="C1425" s="33" t="s">
        <v>534</v>
      </c>
      <c r="D1425" s="33" t="s">
        <v>32</v>
      </c>
      <c r="E1425">
        <v>18</v>
      </c>
      <c r="F1425" s="34">
        <v>5.5983796296296295E-2</v>
      </c>
      <c r="G1425" s="34">
        <v>3.1102109053497942E-3</v>
      </c>
      <c r="H1425" s="34">
        <v>0.26515046296296296</v>
      </c>
      <c r="I1425" s="34">
        <v>3.6550925925925924E-2</v>
      </c>
      <c r="J1425" s="35">
        <v>0.13784975337203717</v>
      </c>
      <c r="K1425" s="33" t="s">
        <v>280</v>
      </c>
      <c r="L1425" s="33" t="s">
        <v>233</v>
      </c>
    </row>
    <row r="1426" spans="1:12" x14ac:dyDescent="0.25">
      <c r="A1426" s="32">
        <v>46249</v>
      </c>
      <c r="B1426" s="33" t="s">
        <v>32</v>
      </c>
      <c r="C1426" s="33" t="s">
        <v>535</v>
      </c>
      <c r="D1426" s="33" t="s">
        <v>32</v>
      </c>
      <c r="E1426">
        <v>20</v>
      </c>
      <c r="F1426" s="34">
        <v>4.9108796296296296E-2</v>
      </c>
      <c r="G1426" s="34">
        <v>2.4554398148148148E-3</v>
      </c>
      <c r="H1426" s="34">
        <v>0.2636574074074074</v>
      </c>
      <c r="I1426" s="34">
        <v>4.2488425925925923E-2</v>
      </c>
      <c r="J1426" s="35">
        <v>0.16115013169446882</v>
      </c>
      <c r="K1426" s="33" t="s">
        <v>282</v>
      </c>
      <c r="L1426" s="33" t="s">
        <v>233</v>
      </c>
    </row>
    <row r="1427" spans="1:12" x14ac:dyDescent="0.25">
      <c r="A1427" s="32">
        <v>46249</v>
      </c>
      <c r="B1427" s="33" t="s">
        <v>32</v>
      </c>
      <c r="C1427" s="33" t="s">
        <v>557</v>
      </c>
      <c r="D1427" s="33" t="s">
        <v>147</v>
      </c>
      <c r="E1427">
        <v>3</v>
      </c>
      <c r="F1427" s="34">
        <v>1.4861111111111111E-2</v>
      </c>
      <c r="G1427" s="34">
        <v>4.9537037037037041E-3</v>
      </c>
      <c r="H1427" s="34">
        <v>0.26138888888888889</v>
      </c>
      <c r="I1427" s="34">
        <v>3.5844907407407409E-2</v>
      </c>
      <c r="J1427" s="35">
        <v>0.13713248317392845</v>
      </c>
      <c r="K1427" s="33" t="s">
        <v>227</v>
      </c>
      <c r="L1427" s="33" t="s">
        <v>146</v>
      </c>
    </row>
    <row r="1428" spans="1:12" x14ac:dyDescent="0.25">
      <c r="A1428" s="32">
        <v>46249</v>
      </c>
      <c r="B1428" s="33" t="s">
        <v>600</v>
      </c>
      <c r="C1428" s="33" t="s">
        <v>598</v>
      </c>
      <c r="D1428" s="33" t="s">
        <v>284</v>
      </c>
      <c r="E1428">
        <v>48</v>
      </c>
      <c r="F1428" s="34">
        <v>5.5555555555555556E-4</v>
      </c>
      <c r="G1428" s="34">
        <v>1.1574074074074073E-5</v>
      </c>
      <c r="H1428" s="34">
        <v>0</v>
      </c>
      <c r="I1428" s="34">
        <v>0</v>
      </c>
      <c r="J1428" s="35">
        <v>0</v>
      </c>
      <c r="K1428" s="33" t="s">
        <v>598</v>
      </c>
      <c r="L1428" s="33" t="s">
        <v>284</v>
      </c>
    </row>
    <row r="1429" spans="1:12" x14ac:dyDescent="0.25">
      <c r="A1429" s="32">
        <v>46249</v>
      </c>
      <c r="B1429" s="33" t="s">
        <v>600</v>
      </c>
      <c r="C1429" s="33" t="s">
        <v>545</v>
      </c>
      <c r="D1429" s="33" t="s">
        <v>600</v>
      </c>
      <c r="E1429">
        <v>11</v>
      </c>
      <c r="F1429" s="34">
        <v>3.636574074074074E-2</v>
      </c>
      <c r="G1429" s="34">
        <v>3.3059764309764307E-3</v>
      </c>
      <c r="H1429" s="34">
        <v>0.25297453703703704</v>
      </c>
      <c r="I1429" s="34">
        <v>4.7442129629629633E-2</v>
      </c>
      <c r="J1429" s="35">
        <v>0.18753717344557808</v>
      </c>
      <c r="K1429" s="33" t="s">
        <v>201</v>
      </c>
      <c r="L1429" s="33" t="s">
        <v>601</v>
      </c>
    </row>
    <row r="1430" spans="1:12" x14ac:dyDescent="0.25">
      <c r="A1430" s="32">
        <v>46251</v>
      </c>
      <c r="B1430" s="33" t="s">
        <v>147</v>
      </c>
      <c r="C1430" s="33" t="s">
        <v>563</v>
      </c>
      <c r="D1430" s="33" t="s">
        <v>147</v>
      </c>
      <c r="E1430">
        <v>13</v>
      </c>
      <c r="F1430" s="34">
        <v>3.6944444444444446E-2</v>
      </c>
      <c r="G1430" s="34">
        <v>2.8418803418803419E-3</v>
      </c>
      <c r="H1430" s="34">
        <v>0.26521990740740742</v>
      </c>
      <c r="I1430" s="34">
        <v>3.484953703703704E-2</v>
      </c>
      <c r="J1430" s="35">
        <v>0.13139864717433997</v>
      </c>
      <c r="K1430" s="33" t="s">
        <v>193</v>
      </c>
      <c r="L1430" s="33" t="s">
        <v>274</v>
      </c>
    </row>
    <row r="1431" spans="1:12" x14ac:dyDescent="0.25">
      <c r="A1431" s="32">
        <v>46251</v>
      </c>
      <c r="B1431" s="33" t="s">
        <v>147</v>
      </c>
      <c r="C1431" s="33" t="s">
        <v>514</v>
      </c>
      <c r="D1431" s="33" t="s">
        <v>147</v>
      </c>
      <c r="E1431">
        <v>21</v>
      </c>
      <c r="F1431" s="34">
        <v>5.7361111111111113E-2</v>
      </c>
      <c r="G1431" s="34">
        <v>2.7314814814814814E-3</v>
      </c>
      <c r="H1431" s="34">
        <v>0.33994212962962961</v>
      </c>
      <c r="I1431" s="34">
        <v>2.4733796296296295E-2</v>
      </c>
      <c r="J1431" s="35">
        <v>7.275884375744783E-2</v>
      </c>
      <c r="K1431" s="33" t="s">
        <v>150</v>
      </c>
      <c r="L1431" s="33" t="s">
        <v>146</v>
      </c>
    </row>
    <row r="1432" spans="1:12" x14ac:dyDescent="0.25">
      <c r="A1432" s="32">
        <v>46251</v>
      </c>
      <c r="B1432" s="33" t="s">
        <v>147</v>
      </c>
      <c r="C1432" s="33" t="s">
        <v>516</v>
      </c>
      <c r="D1432" s="33" t="s">
        <v>147</v>
      </c>
      <c r="E1432">
        <v>20</v>
      </c>
      <c r="F1432" s="34">
        <v>3.8275462962962963E-2</v>
      </c>
      <c r="G1432" s="34">
        <v>1.9137731481481482E-3</v>
      </c>
      <c r="H1432" s="34">
        <v>0.28144675925925927</v>
      </c>
      <c r="I1432" s="34">
        <v>5.181712962962963E-2</v>
      </c>
      <c r="J1432" s="35">
        <v>0.18410988197557263</v>
      </c>
      <c r="K1432" s="33" t="s">
        <v>156</v>
      </c>
      <c r="L1432" s="33" t="s">
        <v>146</v>
      </c>
    </row>
    <row r="1433" spans="1:12" x14ac:dyDescent="0.25">
      <c r="A1433" s="32">
        <v>46251</v>
      </c>
      <c r="B1433" s="33" t="s">
        <v>147</v>
      </c>
      <c r="C1433" s="33" t="s">
        <v>517</v>
      </c>
      <c r="D1433" s="33" t="s">
        <v>147</v>
      </c>
      <c r="E1433">
        <v>12</v>
      </c>
      <c r="F1433" s="34">
        <v>4.7835648148148148E-2</v>
      </c>
      <c r="G1433" s="34">
        <v>3.9863040123456787E-3</v>
      </c>
      <c r="H1433" s="34">
        <v>0.24887731481481482</v>
      </c>
      <c r="I1433" s="34">
        <v>8.5787037037037037E-2</v>
      </c>
      <c r="J1433" s="35">
        <v>0.34469608891782544</v>
      </c>
      <c r="K1433" s="33" t="s">
        <v>499</v>
      </c>
      <c r="L1433" s="33" t="s">
        <v>146</v>
      </c>
    </row>
    <row r="1434" spans="1:12" x14ac:dyDescent="0.25">
      <c r="A1434" s="32">
        <v>46251</v>
      </c>
      <c r="B1434" s="33" t="s">
        <v>147</v>
      </c>
      <c r="C1434" s="33" t="s">
        <v>518</v>
      </c>
      <c r="D1434" s="33" t="s">
        <v>147</v>
      </c>
      <c r="E1434">
        <v>12</v>
      </c>
      <c r="F1434" s="34">
        <v>3.5185185185185187E-2</v>
      </c>
      <c r="G1434" s="34">
        <v>2.9320987654320989E-3</v>
      </c>
      <c r="H1434" s="34">
        <v>0.26172453703703702</v>
      </c>
      <c r="I1434" s="34">
        <v>2.4953703703703704E-2</v>
      </c>
      <c r="J1434" s="35">
        <v>9.5343386547561138E-2</v>
      </c>
      <c r="K1434" s="33" t="s">
        <v>500</v>
      </c>
      <c r="L1434" s="33" t="s">
        <v>274</v>
      </c>
    </row>
    <row r="1435" spans="1:12" x14ac:dyDescent="0.25">
      <c r="A1435" s="32">
        <v>46251</v>
      </c>
      <c r="B1435" s="33" t="s">
        <v>147</v>
      </c>
      <c r="C1435" s="33" t="s">
        <v>519</v>
      </c>
      <c r="D1435" s="33" t="s">
        <v>147</v>
      </c>
      <c r="E1435">
        <v>37</v>
      </c>
      <c r="F1435" s="34">
        <v>9.8449074074074078E-2</v>
      </c>
      <c r="G1435" s="34">
        <v>2.660785785785786E-3</v>
      </c>
      <c r="H1435" s="34">
        <v>0.36863425925925924</v>
      </c>
      <c r="I1435" s="34">
        <v>2.8136574074074074E-2</v>
      </c>
      <c r="J1435" s="35">
        <v>7.6326530612244897E-2</v>
      </c>
      <c r="K1435" s="33" t="s">
        <v>164</v>
      </c>
      <c r="L1435" s="33" t="s">
        <v>146</v>
      </c>
    </row>
    <row r="1436" spans="1:12" x14ac:dyDescent="0.25">
      <c r="A1436" s="32">
        <v>46251</v>
      </c>
      <c r="B1436" s="33" t="s">
        <v>147</v>
      </c>
      <c r="C1436" s="33" t="s">
        <v>167</v>
      </c>
      <c r="D1436" s="33" t="s">
        <v>147</v>
      </c>
      <c r="E1436">
        <v>18</v>
      </c>
      <c r="F1436" s="34">
        <v>5.1921296296296299E-2</v>
      </c>
      <c r="G1436" s="34">
        <v>2.8845164609053501E-3</v>
      </c>
      <c r="H1436" s="34">
        <v>0.26418981481481479</v>
      </c>
      <c r="I1436" s="34">
        <v>5.7418981481481481E-2</v>
      </c>
      <c r="J1436" s="35">
        <v>0.2173398755804784</v>
      </c>
      <c r="K1436" s="33" t="s">
        <v>166</v>
      </c>
      <c r="L1436" s="33" t="s">
        <v>146</v>
      </c>
    </row>
    <row r="1437" spans="1:12" x14ac:dyDescent="0.25">
      <c r="A1437" s="32">
        <v>46251</v>
      </c>
      <c r="B1437" s="33" t="s">
        <v>147</v>
      </c>
      <c r="C1437" s="33" t="s">
        <v>658</v>
      </c>
      <c r="D1437" s="33" t="s">
        <v>147</v>
      </c>
      <c r="E1437">
        <v>14</v>
      </c>
      <c r="F1437" s="34">
        <v>5.4189814814814816E-2</v>
      </c>
      <c r="G1437" s="34">
        <v>3.8707010582010584E-3</v>
      </c>
      <c r="H1437" s="34">
        <v>0.26478009259259261</v>
      </c>
      <c r="I1437" s="34">
        <v>4.1666666666666664E-2</v>
      </c>
      <c r="J1437" s="35">
        <v>0.1573632906412554</v>
      </c>
      <c r="K1437" s="33" t="s">
        <v>657</v>
      </c>
      <c r="L1437" s="33" t="s">
        <v>274</v>
      </c>
    </row>
    <row r="1438" spans="1:12" x14ac:dyDescent="0.25">
      <c r="A1438" s="32">
        <v>46251</v>
      </c>
      <c r="B1438" s="33" t="s">
        <v>147</v>
      </c>
      <c r="C1438" s="33" t="s">
        <v>520</v>
      </c>
      <c r="D1438" s="33" t="s">
        <v>147</v>
      </c>
      <c r="E1438">
        <v>12</v>
      </c>
      <c r="F1438" s="34">
        <v>3.1435185185185184E-2</v>
      </c>
      <c r="G1438" s="34">
        <v>2.6195987654320987E-3</v>
      </c>
      <c r="H1438" s="34">
        <v>0.26743055555555556</v>
      </c>
      <c r="I1438" s="34">
        <v>4.2708333333333334E-2</v>
      </c>
      <c r="J1438" s="35">
        <v>0.15969877953778239</v>
      </c>
      <c r="K1438" s="33" t="s">
        <v>168</v>
      </c>
      <c r="L1438" s="33" t="s">
        <v>274</v>
      </c>
    </row>
    <row r="1439" spans="1:12" x14ac:dyDescent="0.25">
      <c r="A1439" s="32">
        <v>46251</v>
      </c>
      <c r="B1439" s="33" t="s">
        <v>147</v>
      </c>
      <c r="C1439" s="33" t="s">
        <v>521</v>
      </c>
      <c r="D1439" s="33" t="s">
        <v>147</v>
      </c>
      <c r="E1439">
        <v>16</v>
      </c>
      <c r="F1439" s="34">
        <v>7.4143518518518525E-2</v>
      </c>
      <c r="G1439" s="34">
        <v>4.6339699074074078E-3</v>
      </c>
      <c r="H1439" s="34">
        <v>0.25533564814814813</v>
      </c>
      <c r="I1439" s="34">
        <v>4.1099537037037039E-2</v>
      </c>
      <c r="J1439" s="35">
        <v>0.16096278500521283</v>
      </c>
      <c r="K1439" s="33" t="s">
        <v>170</v>
      </c>
      <c r="L1439" s="33" t="s">
        <v>146</v>
      </c>
    </row>
    <row r="1440" spans="1:12" x14ac:dyDescent="0.25">
      <c r="A1440" s="32">
        <v>46251</v>
      </c>
      <c r="B1440" s="33" t="s">
        <v>147</v>
      </c>
      <c r="C1440" s="33" t="s">
        <v>633</v>
      </c>
      <c r="D1440" s="33" t="s">
        <v>147</v>
      </c>
      <c r="E1440">
        <v>10</v>
      </c>
      <c r="F1440" s="34">
        <v>4.1516203703703701E-2</v>
      </c>
      <c r="G1440" s="34">
        <v>4.1516203703703698E-3</v>
      </c>
      <c r="H1440" s="34">
        <v>0.26113425925925926</v>
      </c>
      <c r="I1440" s="34">
        <v>9.0173611111111107E-2</v>
      </c>
      <c r="J1440" s="35">
        <v>0.34531513163726618</v>
      </c>
      <c r="K1440" s="33" t="s">
        <v>606</v>
      </c>
      <c r="L1440" s="33" t="s">
        <v>146</v>
      </c>
    </row>
    <row r="1441" spans="1:12" x14ac:dyDescent="0.25">
      <c r="A1441" s="32">
        <v>46251</v>
      </c>
      <c r="B1441" s="33" t="s">
        <v>147</v>
      </c>
      <c r="C1441" s="33" t="s">
        <v>523</v>
      </c>
      <c r="D1441" s="33" t="s">
        <v>147</v>
      </c>
      <c r="E1441">
        <v>11</v>
      </c>
      <c r="F1441" s="34">
        <v>4.9016203703703701E-2</v>
      </c>
      <c r="G1441" s="34">
        <v>4.456018518518518E-3</v>
      </c>
      <c r="H1441" s="34">
        <v>0.26447916666666665</v>
      </c>
      <c r="I1441" s="34">
        <v>3.8449074074074073E-2</v>
      </c>
      <c r="J1441" s="35">
        <v>0.14537656995317491</v>
      </c>
      <c r="K1441" s="33" t="s">
        <v>180</v>
      </c>
      <c r="L1441" s="33" t="s">
        <v>146</v>
      </c>
    </row>
    <row r="1442" spans="1:12" x14ac:dyDescent="0.25">
      <c r="A1442" s="32">
        <v>46251</v>
      </c>
      <c r="B1442" s="33" t="s">
        <v>147</v>
      </c>
      <c r="C1442" s="33" t="s">
        <v>566</v>
      </c>
      <c r="D1442" s="33" t="s">
        <v>147</v>
      </c>
      <c r="E1442">
        <v>11</v>
      </c>
      <c r="F1442" s="34">
        <v>6.4189814814814811E-2</v>
      </c>
      <c r="G1442" s="34">
        <v>5.8354377104377101E-3</v>
      </c>
      <c r="H1442" s="34">
        <v>0.25912037037037039</v>
      </c>
      <c r="I1442" s="34">
        <v>3.6932870370370373E-2</v>
      </c>
      <c r="J1442" s="35">
        <v>0.14253171341790244</v>
      </c>
      <c r="K1442" s="33" t="s">
        <v>207</v>
      </c>
      <c r="L1442" s="33" t="s">
        <v>274</v>
      </c>
    </row>
    <row r="1443" spans="1:12" x14ac:dyDescent="0.25">
      <c r="A1443" s="32">
        <v>46251</v>
      </c>
      <c r="B1443" s="33" t="s">
        <v>147</v>
      </c>
      <c r="C1443" s="33" t="s">
        <v>524</v>
      </c>
      <c r="D1443" s="33" t="s">
        <v>147</v>
      </c>
      <c r="E1443">
        <v>17</v>
      </c>
      <c r="F1443" s="34">
        <v>6.9074074074074079E-2</v>
      </c>
      <c r="G1443" s="34">
        <v>4.0631808278867101E-3</v>
      </c>
      <c r="H1443" s="34">
        <v>0.26465277777777779</v>
      </c>
      <c r="I1443" s="34">
        <v>4.2777777777777776E-2</v>
      </c>
      <c r="J1443" s="35">
        <v>0.16163736552086064</v>
      </c>
      <c r="K1443" s="33" t="s">
        <v>501</v>
      </c>
      <c r="L1443" s="33" t="s">
        <v>274</v>
      </c>
    </row>
    <row r="1444" spans="1:12" x14ac:dyDescent="0.25">
      <c r="A1444" s="32">
        <v>46251</v>
      </c>
      <c r="B1444" s="33" t="s">
        <v>147</v>
      </c>
      <c r="C1444" s="33" t="s">
        <v>557</v>
      </c>
      <c r="D1444" s="33" t="s">
        <v>147</v>
      </c>
      <c r="E1444">
        <v>7</v>
      </c>
      <c r="F1444" s="34">
        <v>3.2245370370370369E-2</v>
      </c>
      <c r="G1444" s="34">
        <v>4.6064814814814814E-3</v>
      </c>
      <c r="H1444" s="34">
        <v>0.25421296296296297</v>
      </c>
      <c r="I1444" s="34">
        <v>4.3437499999999997E-2</v>
      </c>
      <c r="J1444" s="35">
        <v>0.17087051538881803</v>
      </c>
      <c r="K1444" s="33" t="s">
        <v>227</v>
      </c>
      <c r="L1444" s="33" t="s">
        <v>146</v>
      </c>
    </row>
    <row r="1445" spans="1:12" x14ac:dyDescent="0.25">
      <c r="A1445" s="32">
        <v>46251</v>
      </c>
      <c r="B1445" s="33" t="s">
        <v>147</v>
      </c>
      <c r="C1445" s="33" t="s">
        <v>678</v>
      </c>
      <c r="D1445" s="33" t="s">
        <v>147</v>
      </c>
      <c r="E1445">
        <v>8</v>
      </c>
      <c r="F1445" s="34">
        <v>3.5520833333333335E-2</v>
      </c>
      <c r="G1445" s="34">
        <v>4.4401041666666669E-3</v>
      </c>
      <c r="H1445" s="34">
        <v>0.25578703703703703</v>
      </c>
      <c r="I1445" s="34">
        <v>3.9074074074074074E-2</v>
      </c>
      <c r="J1445" s="35">
        <v>0.15276018099547511</v>
      </c>
      <c r="K1445" s="33" t="s">
        <v>677</v>
      </c>
      <c r="L1445" s="33" t="s">
        <v>274</v>
      </c>
    </row>
    <row r="1446" spans="1:12" x14ac:dyDescent="0.25">
      <c r="A1446" s="32">
        <v>46251</v>
      </c>
      <c r="B1446" s="33" t="s">
        <v>105</v>
      </c>
      <c r="C1446" s="33" t="s">
        <v>513</v>
      </c>
      <c r="D1446" s="33" t="s">
        <v>105</v>
      </c>
      <c r="E1446">
        <v>5</v>
      </c>
      <c r="F1446" s="34">
        <v>0.12752314814814814</v>
      </c>
      <c r="G1446" s="34">
        <v>2.5504629629629627E-2</v>
      </c>
      <c r="H1446" s="34">
        <v>0.23840277777777777</v>
      </c>
      <c r="I1446" s="34">
        <v>0.18625</v>
      </c>
      <c r="J1446" s="35">
        <v>0.78124089717448297</v>
      </c>
      <c r="K1446" s="33" t="s">
        <v>148</v>
      </c>
      <c r="L1446" s="33" t="s">
        <v>104</v>
      </c>
    </row>
    <row r="1447" spans="1:12" x14ac:dyDescent="0.25">
      <c r="A1447" s="32">
        <v>46251</v>
      </c>
      <c r="B1447" s="33" t="s">
        <v>105</v>
      </c>
      <c r="C1447" s="33" t="s">
        <v>631</v>
      </c>
      <c r="D1447" s="33" t="s">
        <v>105</v>
      </c>
      <c r="E1447">
        <v>4</v>
      </c>
      <c r="F1447" s="34">
        <v>0.1011574074074074</v>
      </c>
      <c r="G1447" s="34">
        <v>2.5289351851851851E-2</v>
      </c>
      <c r="H1447" s="34">
        <v>0.24725694444444443</v>
      </c>
      <c r="I1447" s="34">
        <v>0.16730324074074074</v>
      </c>
      <c r="J1447" s="35">
        <v>0.67663717642653187</v>
      </c>
      <c r="K1447" s="33" t="s">
        <v>608</v>
      </c>
      <c r="L1447" s="33" t="s">
        <v>601</v>
      </c>
    </row>
    <row r="1448" spans="1:12" x14ac:dyDescent="0.25">
      <c r="A1448" s="32">
        <v>46251</v>
      </c>
      <c r="B1448" s="33" t="s">
        <v>105</v>
      </c>
      <c r="C1448" s="33" t="s">
        <v>564</v>
      </c>
      <c r="D1448" s="33" t="s">
        <v>105</v>
      </c>
      <c r="E1448">
        <v>5</v>
      </c>
      <c r="F1448" s="34">
        <v>9.9456018518518513E-2</v>
      </c>
      <c r="G1448" s="34">
        <v>1.9891203703703703E-2</v>
      </c>
      <c r="H1448" s="34">
        <v>0.2484837962962963</v>
      </c>
      <c r="I1448" s="34">
        <v>0.18461805555555555</v>
      </c>
      <c r="J1448" s="35">
        <v>0.74297824770599463</v>
      </c>
      <c r="K1448" s="33" t="s">
        <v>197</v>
      </c>
      <c r="L1448" s="33" t="s">
        <v>601</v>
      </c>
    </row>
    <row r="1449" spans="1:12" x14ac:dyDescent="0.25">
      <c r="A1449" s="32">
        <v>46251</v>
      </c>
      <c r="B1449" s="33" t="s">
        <v>105</v>
      </c>
      <c r="C1449" s="33" t="s">
        <v>682</v>
      </c>
      <c r="D1449" s="33" t="s">
        <v>105</v>
      </c>
      <c r="E1449">
        <v>4</v>
      </c>
      <c r="F1449" s="34">
        <v>0.10657407407407407</v>
      </c>
      <c r="G1449" s="34">
        <v>2.6643518518518518E-2</v>
      </c>
      <c r="H1449" s="34">
        <v>0.19737268518518519</v>
      </c>
      <c r="I1449" s="34">
        <v>0.10440972222222222</v>
      </c>
      <c r="J1449" s="35">
        <v>0.52899783029378988</v>
      </c>
      <c r="K1449" s="33" t="s">
        <v>681</v>
      </c>
      <c r="L1449" s="33" t="s">
        <v>601</v>
      </c>
    </row>
    <row r="1450" spans="1:12" x14ac:dyDescent="0.25">
      <c r="A1450" s="32">
        <v>46251</v>
      </c>
      <c r="B1450" s="33" t="s">
        <v>105</v>
      </c>
      <c r="C1450" s="33" t="s">
        <v>570</v>
      </c>
      <c r="D1450" s="33" t="s">
        <v>105</v>
      </c>
      <c r="E1450">
        <v>6</v>
      </c>
      <c r="F1450" s="34">
        <v>0.17465277777777777</v>
      </c>
      <c r="G1450" s="34">
        <v>2.9108796296296296E-2</v>
      </c>
      <c r="H1450" s="34">
        <v>0.22872685185185185</v>
      </c>
      <c r="I1450" s="34">
        <v>0.14057870370370371</v>
      </c>
      <c r="J1450" s="35">
        <v>0.61461390547515438</v>
      </c>
      <c r="K1450" s="33" t="s">
        <v>112</v>
      </c>
      <c r="L1450" s="33" t="s">
        <v>104</v>
      </c>
    </row>
    <row r="1451" spans="1:12" x14ac:dyDescent="0.25">
      <c r="A1451" s="32">
        <v>46251</v>
      </c>
      <c r="B1451" s="33" t="s">
        <v>105</v>
      </c>
      <c r="C1451" s="33" t="s">
        <v>537</v>
      </c>
      <c r="D1451" s="33" t="s">
        <v>105</v>
      </c>
      <c r="E1451">
        <v>8</v>
      </c>
      <c r="F1451" s="34">
        <v>0.20041666666666666</v>
      </c>
      <c r="G1451" s="34">
        <v>2.5052083333333332E-2</v>
      </c>
      <c r="H1451" s="34">
        <v>0.26082175925925927</v>
      </c>
      <c r="I1451" s="34">
        <v>0.17253472222222221</v>
      </c>
      <c r="J1451" s="35">
        <v>0.6615043266030618</v>
      </c>
      <c r="K1451" s="33" t="s">
        <v>42</v>
      </c>
      <c r="L1451" s="33" t="s">
        <v>104</v>
      </c>
    </row>
    <row r="1452" spans="1:12" x14ac:dyDescent="0.25">
      <c r="A1452" s="32">
        <v>46251</v>
      </c>
      <c r="B1452" s="33" t="s">
        <v>105</v>
      </c>
      <c r="C1452" s="33" t="s">
        <v>541</v>
      </c>
      <c r="D1452" s="33" t="s">
        <v>105</v>
      </c>
      <c r="E1452">
        <v>6</v>
      </c>
      <c r="F1452" s="34">
        <v>0.12372685185185185</v>
      </c>
      <c r="G1452" s="34">
        <v>2.0621141975308642E-2</v>
      </c>
      <c r="H1452" s="34">
        <v>0.23199074074074075</v>
      </c>
      <c r="I1452" s="34">
        <v>0.18956018518518519</v>
      </c>
      <c r="J1452" s="35">
        <v>0.81710237477549397</v>
      </c>
      <c r="K1452" s="33" t="s">
        <v>114</v>
      </c>
      <c r="L1452" s="33" t="s">
        <v>104</v>
      </c>
    </row>
    <row r="1453" spans="1:12" x14ac:dyDescent="0.25">
      <c r="A1453" s="32">
        <v>46251</v>
      </c>
      <c r="B1453" s="33" t="s">
        <v>105</v>
      </c>
      <c r="C1453" s="33" t="s">
        <v>542</v>
      </c>
      <c r="D1453" s="33" t="s">
        <v>105</v>
      </c>
      <c r="E1453">
        <v>5</v>
      </c>
      <c r="F1453" s="34">
        <v>0.11726851851851852</v>
      </c>
      <c r="G1453" s="34">
        <v>2.3453703703703706E-2</v>
      </c>
      <c r="H1453" s="34">
        <v>0.23210648148148147</v>
      </c>
      <c r="I1453" s="34">
        <v>0.18108796296296295</v>
      </c>
      <c r="J1453" s="35">
        <v>0.78019347761045177</v>
      </c>
      <c r="K1453" s="33" t="s">
        <v>287</v>
      </c>
      <c r="L1453" s="33" t="s">
        <v>104</v>
      </c>
    </row>
    <row r="1454" spans="1:12" x14ac:dyDescent="0.25">
      <c r="A1454" s="32">
        <v>46251</v>
      </c>
      <c r="B1454" s="33" t="s">
        <v>105</v>
      </c>
      <c r="C1454" s="33" t="s">
        <v>650</v>
      </c>
      <c r="D1454" s="33" t="s">
        <v>105</v>
      </c>
      <c r="E1454">
        <v>8</v>
      </c>
      <c r="F1454" s="34">
        <v>0.19702546296296297</v>
      </c>
      <c r="G1454" s="34">
        <v>2.4628182870370371E-2</v>
      </c>
      <c r="H1454" s="34">
        <v>0.26094907407407408</v>
      </c>
      <c r="I1454" s="34">
        <v>0.15907407407407406</v>
      </c>
      <c r="J1454" s="35">
        <v>0.60959815488334956</v>
      </c>
      <c r="K1454" s="33" t="s">
        <v>649</v>
      </c>
      <c r="L1454" s="33" t="s">
        <v>104</v>
      </c>
    </row>
    <row r="1455" spans="1:12" x14ac:dyDescent="0.25">
      <c r="A1455" s="32">
        <v>46251</v>
      </c>
      <c r="B1455" s="33" t="s">
        <v>105</v>
      </c>
      <c r="C1455" s="33" t="s">
        <v>559</v>
      </c>
      <c r="D1455" s="33" t="s">
        <v>105</v>
      </c>
      <c r="E1455">
        <v>6</v>
      </c>
      <c r="F1455" s="34">
        <v>0.12430555555555556</v>
      </c>
      <c r="G1455" s="34">
        <v>2.0717592592592593E-2</v>
      </c>
      <c r="H1455" s="34">
        <v>0.19990740740740739</v>
      </c>
      <c r="I1455" s="34">
        <v>0.14797453703703703</v>
      </c>
      <c r="J1455" s="35">
        <v>0.74021537748957855</v>
      </c>
      <c r="K1455" s="33" t="s">
        <v>289</v>
      </c>
      <c r="L1455" s="33" t="s">
        <v>104</v>
      </c>
    </row>
    <row r="1456" spans="1:12" x14ac:dyDescent="0.25">
      <c r="A1456" s="32">
        <v>46251</v>
      </c>
      <c r="B1456" s="33" t="s">
        <v>105</v>
      </c>
      <c r="C1456" s="33" t="s">
        <v>634</v>
      </c>
      <c r="D1456" s="33" t="s">
        <v>105</v>
      </c>
      <c r="E1456">
        <v>6</v>
      </c>
      <c r="F1456" s="34">
        <v>0.12346064814814815</v>
      </c>
      <c r="G1456" s="34">
        <v>2.0576774691358025E-2</v>
      </c>
      <c r="H1456" s="34">
        <v>0.22391203703703705</v>
      </c>
      <c r="I1456" s="34">
        <v>0.18586805555555555</v>
      </c>
      <c r="J1456" s="35">
        <v>0.83009407629484122</v>
      </c>
      <c r="K1456" s="33" t="s">
        <v>612</v>
      </c>
      <c r="L1456" s="33" t="s">
        <v>601</v>
      </c>
    </row>
    <row r="1457" spans="1:12" x14ac:dyDescent="0.25">
      <c r="A1457" s="32">
        <v>46251</v>
      </c>
      <c r="B1457" s="33" t="s">
        <v>105</v>
      </c>
      <c r="C1457" s="33" t="s">
        <v>667</v>
      </c>
      <c r="D1457" s="33" t="s">
        <v>105</v>
      </c>
      <c r="E1457">
        <v>5</v>
      </c>
      <c r="F1457" s="34">
        <v>0.10866898148148148</v>
      </c>
      <c r="G1457" s="34">
        <v>2.1733796296296296E-2</v>
      </c>
      <c r="H1457" s="34">
        <v>0.23145833333333332</v>
      </c>
      <c r="I1457" s="34">
        <v>0.19460648148148149</v>
      </c>
      <c r="J1457" s="35">
        <v>0.84078407840784086</v>
      </c>
      <c r="K1457" s="33" t="s">
        <v>297</v>
      </c>
      <c r="L1457" s="33" t="s">
        <v>104</v>
      </c>
    </row>
    <row r="1458" spans="1:12" x14ac:dyDescent="0.25">
      <c r="A1458" s="32">
        <v>46251</v>
      </c>
      <c r="B1458" s="33" t="s">
        <v>105</v>
      </c>
      <c r="C1458" s="33" t="s">
        <v>635</v>
      </c>
      <c r="D1458" s="33" t="s">
        <v>105</v>
      </c>
      <c r="E1458">
        <v>7</v>
      </c>
      <c r="F1458" s="34">
        <v>0.15011574074074074</v>
      </c>
      <c r="G1458" s="34">
        <v>2.1445105820105819E-2</v>
      </c>
      <c r="H1458" s="34">
        <v>0.22576388888888888</v>
      </c>
      <c r="I1458" s="34">
        <v>0.17318287037037036</v>
      </c>
      <c r="J1458" s="35">
        <v>0.76709730339382753</v>
      </c>
      <c r="K1458" s="33" t="s">
        <v>614</v>
      </c>
      <c r="L1458" s="33" t="s">
        <v>601</v>
      </c>
    </row>
    <row r="1459" spans="1:12" x14ac:dyDescent="0.25">
      <c r="A1459" s="32">
        <v>46251</v>
      </c>
      <c r="B1459" s="33" t="s">
        <v>105</v>
      </c>
      <c r="C1459" s="33" t="s">
        <v>636</v>
      </c>
      <c r="D1459" s="33" t="s">
        <v>105</v>
      </c>
      <c r="E1459">
        <v>7</v>
      </c>
      <c r="F1459" s="34">
        <v>0.12212962962962963</v>
      </c>
      <c r="G1459" s="34">
        <v>1.7447089947089947E-2</v>
      </c>
      <c r="H1459" s="34">
        <v>0.25343749999999998</v>
      </c>
      <c r="I1459" s="34">
        <v>0.18644675925925927</v>
      </c>
      <c r="J1459" s="35">
        <v>0.73567155318080113</v>
      </c>
      <c r="K1459" s="33" t="s">
        <v>615</v>
      </c>
      <c r="L1459" s="33" t="s">
        <v>601</v>
      </c>
    </row>
    <row r="1460" spans="1:12" x14ac:dyDescent="0.25">
      <c r="A1460" s="32">
        <v>46251</v>
      </c>
      <c r="B1460" s="33" t="s">
        <v>105</v>
      </c>
      <c r="C1460" s="33" t="s">
        <v>637</v>
      </c>
      <c r="D1460" s="33" t="s">
        <v>105</v>
      </c>
      <c r="E1460">
        <v>3</v>
      </c>
      <c r="F1460" s="34">
        <v>6.9664351851851852E-2</v>
      </c>
      <c r="G1460" s="34">
        <v>2.3221450617283951E-2</v>
      </c>
      <c r="H1460" s="34">
        <v>0.21513888888888888</v>
      </c>
      <c r="I1460" s="34">
        <v>0.17310185185185184</v>
      </c>
      <c r="J1460" s="35">
        <v>0.80460512158381747</v>
      </c>
      <c r="K1460" s="33" t="s">
        <v>616</v>
      </c>
      <c r="L1460" s="33" t="s">
        <v>601</v>
      </c>
    </row>
    <row r="1461" spans="1:12" x14ac:dyDescent="0.25">
      <c r="A1461" s="32">
        <v>46251</v>
      </c>
      <c r="B1461" s="33" t="s">
        <v>105</v>
      </c>
      <c r="C1461" s="33" t="s">
        <v>567</v>
      </c>
      <c r="D1461" s="33" t="s">
        <v>105</v>
      </c>
      <c r="E1461">
        <v>2</v>
      </c>
      <c r="F1461" s="34">
        <v>4.1041666666666664E-2</v>
      </c>
      <c r="G1461" s="34">
        <v>2.0520833333333332E-2</v>
      </c>
      <c r="H1461" s="34">
        <v>0.24422453703703703</v>
      </c>
      <c r="I1461" s="34">
        <v>0.1633449074074074</v>
      </c>
      <c r="J1461" s="35">
        <v>0.66883086109663048</v>
      </c>
      <c r="K1461" s="33" t="s">
        <v>209</v>
      </c>
      <c r="L1461" s="33" t="s">
        <v>601</v>
      </c>
    </row>
    <row r="1462" spans="1:12" x14ac:dyDescent="0.25">
      <c r="A1462" s="32">
        <v>46251</v>
      </c>
      <c r="B1462" s="33" t="s">
        <v>105</v>
      </c>
      <c r="C1462" s="33" t="s">
        <v>512</v>
      </c>
      <c r="D1462" s="33" t="s">
        <v>105</v>
      </c>
      <c r="E1462">
        <v>6</v>
      </c>
      <c r="F1462" s="34">
        <v>0.17300925925925925</v>
      </c>
      <c r="G1462" s="34">
        <v>2.8834876543209875E-2</v>
      </c>
      <c r="H1462" s="34">
        <v>0.26076388888888891</v>
      </c>
      <c r="I1462" s="34">
        <v>0.14491898148148147</v>
      </c>
      <c r="J1462" s="35">
        <v>0.55574789169995553</v>
      </c>
      <c r="K1462" s="33" t="s">
        <v>132</v>
      </c>
      <c r="L1462" s="33" t="s">
        <v>104</v>
      </c>
    </row>
    <row r="1463" spans="1:12" x14ac:dyDescent="0.25">
      <c r="A1463" s="32">
        <v>46251</v>
      </c>
      <c r="B1463" s="33" t="s">
        <v>105</v>
      </c>
      <c r="C1463" s="33" t="s">
        <v>560</v>
      </c>
      <c r="D1463" s="33" t="s">
        <v>105</v>
      </c>
      <c r="E1463">
        <v>5</v>
      </c>
      <c r="F1463" s="34">
        <v>0.10200231481481481</v>
      </c>
      <c r="G1463" s="34">
        <v>2.0400462962962961E-2</v>
      </c>
      <c r="H1463" s="34">
        <v>0.25700231481481484</v>
      </c>
      <c r="I1463" s="34">
        <v>0.12718750000000001</v>
      </c>
      <c r="J1463" s="35">
        <v>0.49488853861742849</v>
      </c>
      <c r="K1463" s="33" t="s">
        <v>134</v>
      </c>
      <c r="L1463" s="33" t="s">
        <v>104</v>
      </c>
    </row>
    <row r="1464" spans="1:12" x14ac:dyDescent="0.25">
      <c r="A1464" s="32">
        <v>46251</v>
      </c>
      <c r="B1464" s="33" t="s">
        <v>105</v>
      </c>
      <c r="C1464" s="33" t="s">
        <v>546</v>
      </c>
      <c r="D1464" s="33" t="s">
        <v>105</v>
      </c>
      <c r="E1464">
        <v>3</v>
      </c>
      <c r="F1464" s="34">
        <v>9.5821759259259259E-2</v>
      </c>
      <c r="G1464" s="34">
        <v>3.1940586419753086E-2</v>
      </c>
      <c r="H1464" s="34">
        <v>0.19862268518518519</v>
      </c>
      <c r="I1464" s="34">
        <v>9.5914351851851848E-2</v>
      </c>
      <c r="J1464" s="35">
        <v>0.48289726705902913</v>
      </c>
      <c r="K1464" s="33" t="s">
        <v>211</v>
      </c>
      <c r="L1464" s="33" t="s">
        <v>104</v>
      </c>
    </row>
    <row r="1465" spans="1:12" x14ac:dyDescent="0.25">
      <c r="A1465" s="32">
        <v>46251</v>
      </c>
      <c r="B1465" s="33" t="s">
        <v>105</v>
      </c>
      <c r="C1465" s="33" t="s">
        <v>638</v>
      </c>
      <c r="D1465" s="33" t="s">
        <v>105</v>
      </c>
      <c r="E1465">
        <v>4</v>
      </c>
      <c r="F1465" s="34">
        <v>8.729166666666667E-2</v>
      </c>
      <c r="G1465" s="34">
        <v>2.1822916666666668E-2</v>
      </c>
      <c r="H1465" s="34">
        <v>0.20732638888888888</v>
      </c>
      <c r="I1465" s="34">
        <v>0.16583333333333333</v>
      </c>
      <c r="J1465" s="35">
        <v>0.79986601909227939</v>
      </c>
      <c r="K1465" s="33" t="s">
        <v>617</v>
      </c>
      <c r="L1465" s="33" t="s">
        <v>601</v>
      </c>
    </row>
    <row r="1466" spans="1:12" x14ac:dyDescent="0.25">
      <c r="A1466" s="32">
        <v>46251</v>
      </c>
      <c r="B1466" s="33" t="s">
        <v>105</v>
      </c>
      <c r="C1466" s="33" t="s">
        <v>561</v>
      </c>
      <c r="D1466" s="33" t="s">
        <v>105</v>
      </c>
      <c r="E1466">
        <v>9</v>
      </c>
      <c r="F1466" s="34">
        <v>0.21032407407407408</v>
      </c>
      <c r="G1466" s="34">
        <v>2.3369341563786009E-2</v>
      </c>
      <c r="H1466" s="34">
        <v>0.26689814814814816</v>
      </c>
      <c r="I1466" s="34">
        <v>0.15583333333333332</v>
      </c>
      <c r="J1466" s="35">
        <v>0.58386816999132696</v>
      </c>
      <c r="K1466" s="33" t="s">
        <v>136</v>
      </c>
      <c r="L1466" s="33" t="s">
        <v>104</v>
      </c>
    </row>
    <row r="1467" spans="1:12" x14ac:dyDescent="0.25">
      <c r="A1467" s="32">
        <v>46251</v>
      </c>
      <c r="B1467" s="33" t="s">
        <v>105</v>
      </c>
      <c r="C1467" s="33" t="s">
        <v>639</v>
      </c>
      <c r="D1467" s="33" t="s">
        <v>105</v>
      </c>
      <c r="E1467">
        <v>2</v>
      </c>
      <c r="F1467" s="34">
        <v>4.2534722222222224E-2</v>
      </c>
      <c r="G1467" s="34">
        <v>2.1267361111111112E-2</v>
      </c>
      <c r="H1467" s="34">
        <v>0.22547453703703704</v>
      </c>
      <c r="I1467" s="34">
        <v>0.16337962962962962</v>
      </c>
      <c r="J1467" s="35">
        <v>0.72460345978132534</v>
      </c>
      <c r="K1467" s="33" t="s">
        <v>618</v>
      </c>
      <c r="L1467" s="33" t="s">
        <v>601</v>
      </c>
    </row>
    <row r="1468" spans="1:12" x14ac:dyDescent="0.25">
      <c r="A1468" s="32">
        <v>46251</v>
      </c>
      <c r="B1468" s="33" t="s">
        <v>105</v>
      </c>
      <c r="C1468" s="33" t="s">
        <v>572</v>
      </c>
      <c r="D1468" s="33" t="s">
        <v>105</v>
      </c>
      <c r="E1468">
        <v>5</v>
      </c>
      <c r="F1468" s="34">
        <v>0.10659722222222222</v>
      </c>
      <c r="G1468" s="34">
        <v>2.1319444444444443E-2</v>
      </c>
      <c r="H1468" s="34">
        <v>0.23127314814814814</v>
      </c>
      <c r="I1468" s="34">
        <v>0.18539351851851851</v>
      </c>
      <c r="J1468" s="35">
        <v>0.80162145931338202</v>
      </c>
      <c r="K1468" s="33" t="s">
        <v>213</v>
      </c>
      <c r="L1468" s="33" t="s">
        <v>601</v>
      </c>
    </row>
    <row r="1469" spans="1:12" x14ac:dyDescent="0.25">
      <c r="A1469" s="32">
        <v>46251</v>
      </c>
      <c r="B1469" s="33" t="s">
        <v>105</v>
      </c>
      <c r="C1469" s="33" t="s">
        <v>641</v>
      </c>
      <c r="D1469" s="33" t="s">
        <v>105</v>
      </c>
      <c r="E1469">
        <v>3</v>
      </c>
      <c r="F1469" s="34">
        <v>7.7881944444444448E-2</v>
      </c>
      <c r="G1469" s="34">
        <v>2.5960648148148149E-2</v>
      </c>
      <c r="H1469" s="34">
        <v>0.24832175925925926</v>
      </c>
      <c r="I1469" s="34">
        <v>0.17280092592592591</v>
      </c>
      <c r="J1469" s="35">
        <v>0.69587508739221626</v>
      </c>
      <c r="K1469" s="33" t="s">
        <v>620</v>
      </c>
      <c r="L1469" s="33" t="s">
        <v>601</v>
      </c>
    </row>
    <row r="1470" spans="1:12" x14ac:dyDescent="0.25">
      <c r="A1470" s="32">
        <v>46251</v>
      </c>
      <c r="B1470" s="33" t="s">
        <v>105</v>
      </c>
      <c r="C1470" s="33" t="s">
        <v>556</v>
      </c>
      <c r="D1470" s="33" t="s">
        <v>105</v>
      </c>
      <c r="E1470">
        <v>7</v>
      </c>
      <c r="F1470" s="34">
        <v>0.13377314814814814</v>
      </c>
      <c r="G1470" s="34">
        <v>1.9110449735449734E-2</v>
      </c>
      <c r="H1470" s="34">
        <v>0.2525115740740741</v>
      </c>
      <c r="I1470" s="34">
        <v>0.12855324074074073</v>
      </c>
      <c r="J1470" s="35">
        <v>0.50909840949718099</v>
      </c>
      <c r="K1470" s="33" t="s">
        <v>138</v>
      </c>
      <c r="L1470" s="33" t="s">
        <v>104</v>
      </c>
    </row>
    <row r="1471" spans="1:12" x14ac:dyDescent="0.25">
      <c r="A1471" s="32">
        <v>46251</v>
      </c>
      <c r="B1471" s="33" t="s">
        <v>105</v>
      </c>
      <c r="C1471" s="33" t="s">
        <v>674</v>
      </c>
      <c r="D1471" s="33" t="s">
        <v>105</v>
      </c>
      <c r="E1471">
        <v>11</v>
      </c>
      <c r="F1471" s="34">
        <v>0.26430555555555557</v>
      </c>
      <c r="G1471" s="34">
        <v>2.402777777777778E-2</v>
      </c>
      <c r="H1471" s="34">
        <v>0.26390046296296299</v>
      </c>
      <c r="I1471" s="34">
        <v>0.12920138888888888</v>
      </c>
      <c r="J1471" s="35">
        <v>0.48958379018464093</v>
      </c>
      <c r="K1471" s="33" t="s">
        <v>673</v>
      </c>
      <c r="L1471" s="33" t="s">
        <v>104</v>
      </c>
    </row>
    <row r="1472" spans="1:12" x14ac:dyDescent="0.25">
      <c r="A1472" s="32">
        <v>46251</v>
      </c>
      <c r="B1472" s="33" t="s">
        <v>105</v>
      </c>
      <c r="C1472" s="33" t="s">
        <v>549</v>
      </c>
      <c r="D1472" s="33" t="s">
        <v>105</v>
      </c>
      <c r="E1472">
        <v>2</v>
      </c>
      <c r="F1472" s="34">
        <v>1.6435185185185185E-2</v>
      </c>
      <c r="G1472" s="34">
        <v>8.2175925925925923E-3</v>
      </c>
      <c r="H1472" s="34">
        <v>0.2449537037037037</v>
      </c>
      <c r="I1472" s="34">
        <v>0.15042824074074074</v>
      </c>
      <c r="J1472" s="35">
        <v>0.61410886410886412</v>
      </c>
      <c r="K1472" s="33" t="s">
        <v>225</v>
      </c>
      <c r="L1472" s="33" t="s">
        <v>601</v>
      </c>
    </row>
    <row r="1473" spans="1:12" x14ac:dyDescent="0.25">
      <c r="A1473" s="32">
        <v>46251</v>
      </c>
      <c r="B1473" s="33" t="s">
        <v>105</v>
      </c>
      <c r="C1473" s="33" t="s">
        <v>571</v>
      </c>
      <c r="D1473" s="33" t="s">
        <v>105</v>
      </c>
      <c r="E1473">
        <v>7</v>
      </c>
      <c r="F1473" s="34">
        <v>0.17284722222222224</v>
      </c>
      <c r="G1473" s="34">
        <v>2.4692460317460318E-2</v>
      </c>
      <c r="H1473" s="34">
        <v>0.25495370370370368</v>
      </c>
      <c r="I1473" s="34">
        <v>0.16641203703703702</v>
      </c>
      <c r="J1473" s="35">
        <v>0.65271472671145814</v>
      </c>
      <c r="K1473" s="33" t="s">
        <v>299</v>
      </c>
      <c r="L1473" s="33" t="s">
        <v>104</v>
      </c>
    </row>
    <row r="1474" spans="1:12" x14ac:dyDescent="0.25">
      <c r="A1474" s="32">
        <v>46251</v>
      </c>
      <c r="B1474" s="33" t="s">
        <v>105</v>
      </c>
      <c r="C1474" s="33" t="s">
        <v>676</v>
      </c>
      <c r="D1474" s="33" t="s">
        <v>105</v>
      </c>
      <c r="E1474">
        <v>7</v>
      </c>
      <c r="F1474" s="34">
        <v>0.19547453703703704</v>
      </c>
      <c r="G1474" s="34">
        <v>2.7924933862433863E-2</v>
      </c>
      <c r="H1474" s="34">
        <v>0.2587962962962963</v>
      </c>
      <c r="I1474" s="34">
        <v>0.14472222222222222</v>
      </c>
      <c r="J1474" s="35">
        <v>0.55921288014311266</v>
      </c>
      <c r="K1474" s="33" t="s">
        <v>675</v>
      </c>
      <c r="L1474" s="33" t="s">
        <v>104</v>
      </c>
    </row>
    <row r="1475" spans="1:12" x14ac:dyDescent="0.25">
      <c r="A1475" s="32">
        <v>46251</v>
      </c>
      <c r="B1475" s="33" t="s">
        <v>32</v>
      </c>
      <c r="C1475" s="33" t="s">
        <v>562</v>
      </c>
      <c r="D1475" s="33" t="s">
        <v>80</v>
      </c>
      <c r="E1475">
        <v>1</v>
      </c>
      <c r="F1475" s="34">
        <v>6.5972222222222224E-4</v>
      </c>
      <c r="G1475" s="34">
        <v>6.5972222222222224E-4</v>
      </c>
      <c r="H1475" s="34">
        <v>0.26685185185185184</v>
      </c>
      <c r="I1475" s="34">
        <v>3.4629629629629628E-2</v>
      </c>
      <c r="J1475" s="35">
        <v>0.12977099236641221</v>
      </c>
      <c r="K1475" s="33" t="s">
        <v>186</v>
      </c>
      <c r="L1475" s="33" t="s">
        <v>78</v>
      </c>
    </row>
    <row r="1476" spans="1:12" x14ac:dyDescent="0.25">
      <c r="A1476" s="32">
        <v>46251</v>
      </c>
      <c r="B1476" s="33" t="s">
        <v>32</v>
      </c>
      <c r="C1476" s="33" t="s">
        <v>644</v>
      </c>
      <c r="D1476" s="33" t="s">
        <v>32</v>
      </c>
      <c r="E1476">
        <v>23</v>
      </c>
      <c r="F1476" s="34">
        <v>0.13105324074074073</v>
      </c>
      <c r="G1476" s="34">
        <v>5.6979669887278579E-3</v>
      </c>
      <c r="H1476" s="34">
        <v>0.24790509259259258</v>
      </c>
      <c r="I1476" s="34">
        <v>4.9363425925925929E-2</v>
      </c>
      <c r="J1476" s="35">
        <v>0.19912227461599516</v>
      </c>
      <c r="K1476" s="33" t="s">
        <v>643</v>
      </c>
      <c r="L1476" s="33" t="s">
        <v>233</v>
      </c>
    </row>
    <row r="1477" spans="1:12" x14ac:dyDescent="0.25">
      <c r="A1477" s="32">
        <v>46251</v>
      </c>
      <c r="B1477" s="33" t="s">
        <v>32</v>
      </c>
      <c r="C1477" s="33" t="s">
        <v>563</v>
      </c>
      <c r="D1477" s="33" t="s">
        <v>147</v>
      </c>
      <c r="E1477">
        <v>7</v>
      </c>
      <c r="F1477" s="34">
        <v>3.4594907407407408E-2</v>
      </c>
      <c r="G1477" s="34">
        <v>4.9421296296296297E-3</v>
      </c>
      <c r="H1477" s="34">
        <v>0.26521990740740742</v>
      </c>
      <c r="I1477" s="34">
        <v>3.484953703703704E-2</v>
      </c>
      <c r="J1477" s="35">
        <v>0.13139864717433997</v>
      </c>
      <c r="K1477" s="33" t="s">
        <v>193</v>
      </c>
      <c r="L1477" s="33" t="s">
        <v>274</v>
      </c>
    </row>
    <row r="1478" spans="1:12" x14ac:dyDescent="0.25">
      <c r="A1478" s="32">
        <v>46251</v>
      </c>
      <c r="B1478" s="33" t="s">
        <v>32</v>
      </c>
      <c r="C1478" s="33" t="s">
        <v>525</v>
      </c>
      <c r="D1478" s="33" t="s">
        <v>32</v>
      </c>
      <c r="E1478">
        <v>32</v>
      </c>
      <c r="F1478" s="34">
        <v>0.15268518518518517</v>
      </c>
      <c r="G1478" s="34">
        <v>4.7714120370370367E-3</v>
      </c>
      <c r="H1478" s="34">
        <v>0.25634259259259257</v>
      </c>
      <c r="I1478" s="34">
        <v>5.935185185185185E-2</v>
      </c>
      <c r="J1478" s="35">
        <v>0.23153332129311904</v>
      </c>
      <c r="K1478" s="33" t="s">
        <v>231</v>
      </c>
      <c r="L1478" s="33" t="s">
        <v>233</v>
      </c>
    </row>
    <row r="1479" spans="1:12" x14ac:dyDescent="0.25">
      <c r="A1479" s="32">
        <v>46251</v>
      </c>
      <c r="B1479" s="33" t="s">
        <v>32</v>
      </c>
      <c r="C1479" s="33" t="s">
        <v>550</v>
      </c>
      <c r="D1479" s="33" t="s">
        <v>32</v>
      </c>
      <c r="E1479">
        <v>51</v>
      </c>
      <c r="F1479" s="34">
        <v>0.17695601851851853</v>
      </c>
      <c r="G1479" s="34">
        <v>3.4697258533042848E-3</v>
      </c>
      <c r="H1479" s="34">
        <v>0.34258101851851852</v>
      </c>
      <c r="I1479" s="34">
        <v>6.0127314814814814E-2</v>
      </c>
      <c r="J1479" s="35">
        <v>0.17551268623939997</v>
      </c>
      <c r="K1479" s="33" t="s">
        <v>234</v>
      </c>
      <c r="L1479" s="33" t="s">
        <v>233</v>
      </c>
    </row>
    <row r="1480" spans="1:12" x14ac:dyDescent="0.25">
      <c r="A1480" s="32">
        <v>46251</v>
      </c>
      <c r="B1480" s="33" t="s">
        <v>32</v>
      </c>
      <c r="C1480" s="33" t="s">
        <v>505</v>
      </c>
      <c r="D1480" s="33" t="s">
        <v>32</v>
      </c>
      <c r="E1480">
        <v>41</v>
      </c>
      <c r="F1480" s="34">
        <v>0.12640046296296295</v>
      </c>
      <c r="G1480" s="34">
        <v>3.0829381210478769E-3</v>
      </c>
      <c r="H1480" s="34">
        <v>0.26234953703703706</v>
      </c>
      <c r="I1480" s="34">
        <v>4.8009259259259258E-2</v>
      </c>
      <c r="J1480" s="35">
        <v>0.18299730886310495</v>
      </c>
      <c r="K1480" s="33" t="s">
        <v>34</v>
      </c>
      <c r="L1480" s="33" t="s">
        <v>233</v>
      </c>
    </row>
    <row r="1481" spans="1:12" x14ac:dyDescent="0.25">
      <c r="A1481" s="32">
        <v>46251</v>
      </c>
      <c r="B1481" s="33" t="s">
        <v>32</v>
      </c>
      <c r="C1481" s="33" t="s">
        <v>551</v>
      </c>
      <c r="D1481" s="33" t="s">
        <v>32</v>
      </c>
      <c r="E1481">
        <v>1</v>
      </c>
      <c r="F1481" s="34">
        <v>2.8124999999999999E-3</v>
      </c>
      <c r="G1481" s="34">
        <v>2.8124999999999999E-3</v>
      </c>
      <c r="H1481" s="34">
        <v>0.20268518518518519</v>
      </c>
      <c r="I1481" s="34">
        <v>0.19873842592592592</v>
      </c>
      <c r="J1481" s="35">
        <v>0.98052763819095468</v>
      </c>
      <c r="K1481" s="33" t="s">
        <v>236</v>
      </c>
      <c r="L1481" s="33" t="s">
        <v>233</v>
      </c>
    </row>
    <row r="1482" spans="1:12" x14ac:dyDescent="0.25">
      <c r="A1482" s="32">
        <v>46251</v>
      </c>
      <c r="B1482" s="33" t="s">
        <v>32</v>
      </c>
      <c r="C1482" s="33" t="s">
        <v>526</v>
      </c>
      <c r="D1482" s="33" t="s">
        <v>32</v>
      </c>
      <c r="E1482">
        <v>5</v>
      </c>
      <c r="F1482" s="34">
        <v>1.4340277777777778E-2</v>
      </c>
      <c r="G1482" s="34">
        <v>2.8680555555555555E-3</v>
      </c>
      <c r="H1482" s="34">
        <v>0.24703703703703703</v>
      </c>
      <c r="I1482" s="34">
        <v>0.22835648148148149</v>
      </c>
      <c r="J1482" s="35">
        <v>0.92438155922038989</v>
      </c>
      <c r="K1482" s="33" t="s">
        <v>238</v>
      </c>
      <c r="L1482" s="33" t="s">
        <v>233</v>
      </c>
    </row>
    <row r="1483" spans="1:12" x14ac:dyDescent="0.25">
      <c r="A1483" s="32">
        <v>46251</v>
      </c>
      <c r="B1483" s="33" t="s">
        <v>32</v>
      </c>
      <c r="C1483" s="33" t="s">
        <v>631</v>
      </c>
      <c r="D1483" s="33" t="s">
        <v>105</v>
      </c>
      <c r="E1483">
        <v>7</v>
      </c>
      <c r="F1483" s="34">
        <v>4.3391203703703703E-2</v>
      </c>
      <c r="G1483" s="34">
        <v>6.1987433862433858E-3</v>
      </c>
      <c r="H1483" s="34">
        <v>0.24725694444444443</v>
      </c>
      <c r="I1483" s="34">
        <v>0.16730324074074074</v>
      </c>
      <c r="J1483" s="35">
        <v>0.67663717642653187</v>
      </c>
      <c r="K1483" s="33" t="s">
        <v>608</v>
      </c>
      <c r="L1483" s="33" t="s">
        <v>601</v>
      </c>
    </row>
    <row r="1484" spans="1:12" x14ac:dyDescent="0.25">
      <c r="A1484" s="32">
        <v>46251</v>
      </c>
      <c r="B1484" s="33" t="s">
        <v>32</v>
      </c>
      <c r="C1484" s="33" t="s">
        <v>564</v>
      </c>
      <c r="D1484" s="33" t="s">
        <v>105</v>
      </c>
      <c r="E1484">
        <v>6</v>
      </c>
      <c r="F1484" s="34">
        <v>2.6087962962962962E-2</v>
      </c>
      <c r="G1484" s="34">
        <v>4.3479938271604934E-3</v>
      </c>
      <c r="H1484" s="34">
        <v>0.2484837962962963</v>
      </c>
      <c r="I1484" s="34">
        <v>0.18461805555555555</v>
      </c>
      <c r="J1484" s="35">
        <v>0.74297824770599463</v>
      </c>
      <c r="K1484" s="33" t="s">
        <v>197</v>
      </c>
      <c r="L1484" s="33" t="s">
        <v>601</v>
      </c>
    </row>
    <row r="1485" spans="1:12" x14ac:dyDescent="0.25">
      <c r="A1485" s="32">
        <v>46251</v>
      </c>
      <c r="B1485" s="33" t="s">
        <v>32</v>
      </c>
      <c r="C1485" s="33" t="s">
        <v>514</v>
      </c>
      <c r="D1485" s="33" t="s">
        <v>147</v>
      </c>
      <c r="E1485">
        <v>26</v>
      </c>
      <c r="F1485" s="34">
        <v>8.458333333333333E-2</v>
      </c>
      <c r="G1485" s="34">
        <v>3.2532051282051283E-3</v>
      </c>
      <c r="H1485" s="34">
        <v>0.33994212962962961</v>
      </c>
      <c r="I1485" s="34">
        <v>2.4733796296296295E-2</v>
      </c>
      <c r="J1485" s="35">
        <v>7.275884375744783E-2</v>
      </c>
      <c r="K1485" s="33" t="s">
        <v>150</v>
      </c>
      <c r="L1485" s="33" t="s">
        <v>146</v>
      </c>
    </row>
    <row r="1486" spans="1:12" x14ac:dyDescent="0.25">
      <c r="A1486" s="32">
        <v>46251</v>
      </c>
      <c r="B1486" s="33" t="s">
        <v>32</v>
      </c>
      <c r="C1486" s="33" t="s">
        <v>682</v>
      </c>
      <c r="D1486" s="33" t="s">
        <v>105</v>
      </c>
      <c r="E1486">
        <v>1</v>
      </c>
      <c r="F1486" s="34">
        <v>2.1550925925925925E-2</v>
      </c>
      <c r="G1486" s="34">
        <v>2.1550925925925925E-2</v>
      </c>
      <c r="H1486" s="34">
        <v>0.19737268518518519</v>
      </c>
      <c r="I1486" s="34">
        <v>0.10440972222222222</v>
      </c>
      <c r="J1486" s="35">
        <v>0.52899783029378988</v>
      </c>
      <c r="K1486" s="33" t="s">
        <v>681</v>
      </c>
      <c r="L1486" s="33" t="s">
        <v>601</v>
      </c>
    </row>
    <row r="1487" spans="1:12" x14ac:dyDescent="0.25">
      <c r="A1487" s="32">
        <v>46251</v>
      </c>
      <c r="B1487" s="33" t="s">
        <v>32</v>
      </c>
      <c r="C1487" s="33" t="s">
        <v>537</v>
      </c>
      <c r="D1487" s="33" t="s">
        <v>105</v>
      </c>
      <c r="E1487">
        <v>1</v>
      </c>
      <c r="F1487" s="34">
        <v>1.0069444444444445E-2</v>
      </c>
      <c r="G1487" s="34">
        <v>1.0069444444444445E-2</v>
      </c>
      <c r="H1487" s="34">
        <v>0.26082175925925927</v>
      </c>
      <c r="I1487" s="34">
        <v>0.17253472222222221</v>
      </c>
      <c r="J1487" s="35">
        <v>0.6615043266030618</v>
      </c>
      <c r="K1487" s="33" t="s">
        <v>42</v>
      </c>
      <c r="L1487" s="33" t="s">
        <v>104</v>
      </c>
    </row>
    <row r="1488" spans="1:12" x14ac:dyDescent="0.25">
      <c r="A1488" s="32">
        <v>46251</v>
      </c>
      <c r="B1488" s="33" t="s">
        <v>32</v>
      </c>
      <c r="C1488" s="33" t="s">
        <v>516</v>
      </c>
      <c r="D1488" s="33" t="s">
        <v>147</v>
      </c>
      <c r="E1488">
        <v>13</v>
      </c>
      <c r="F1488" s="34">
        <v>5.7673611111111113E-2</v>
      </c>
      <c r="G1488" s="34">
        <v>4.4364316239316245E-3</v>
      </c>
      <c r="H1488" s="34">
        <v>0.28144675925925927</v>
      </c>
      <c r="I1488" s="34">
        <v>5.181712962962963E-2</v>
      </c>
      <c r="J1488" s="35">
        <v>0.18410988197557263</v>
      </c>
      <c r="K1488" s="33" t="s">
        <v>156</v>
      </c>
      <c r="L1488" s="33" t="s">
        <v>146</v>
      </c>
    </row>
    <row r="1489" spans="1:12" x14ac:dyDescent="0.25">
      <c r="A1489" s="32">
        <v>46251</v>
      </c>
      <c r="B1489" s="33" t="s">
        <v>32</v>
      </c>
      <c r="C1489" s="33" t="s">
        <v>506</v>
      </c>
      <c r="D1489" s="33" t="s">
        <v>32</v>
      </c>
      <c r="E1489">
        <v>41</v>
      </c>
      <c r="F1489" s="34">
        <v>0.20730324074074075</v>
      </c>
      <c r="G1489" s="34">
        <v>5.0561766034327013E-3</v>
      </c>
      <c r="H1489" s="34">
        <v>0.25714120370370369</v>
      </c>
      <c r="I1489" s="34">
        <v>3.5115740740740739E-2</v>
      </c>
      <c r="J1489" s="35">
        <v>0.13656209209164152</v>
      </c>
      <c r="K1489" s="33" t="s">
        <v>44</v>
      </c>
      <c r="L1489" s="33" t="s">
        <v>100</v>
      </c>
    </row>
    <row r="1490" spans="1:12" x14ac:dyDescent="0.25">
      <c r="A1490" s="32">
        <v>46251</v>
      </c>
      <c r="B1490" s="33" t="s">
        <v>32</v>
      </c>
      <c r="C1490" s="33" t="s">
        <v>527</v>
      </c>
      <c r="D1490" s="33" t="s">
        <v>32</v>
      </c>
      <c r="E1490">
        <v>1</v>
      </c>
      <c r="F1490" s="34">
        <v>1.050925925925926E-2</v>
      </c>
      <c r="G1490" s="34">
        <v>1.050925925925926E-2</v>
      </c>
      <c r="H1490" s="34">
        <v>0.22604166666666667</v>
      </c>
      <c r="I1490" s="34">
        <v>0.21248842592592593</v>
      </c>
      <c r="J1490" s="35">
        <v>0.94004096262160775</v>
      </c>
      <c r="K1490" s="33" t="s">
        <v>240</v>
      </c>
      <c r="L1490" s="33" t="s">
        <v>233</v>
      </c>
    </row>
    <row r="1491" spans="1:12" x14ac:dyDescent="0.25">
      <c r="A1491" s="32">
        <v>46251</v>
      </c>
      <c r="B1491" s="33" t="s">
        <v>32</v>
      </c>
      <c r="C1491" s="33" t="s">
        <v>646</v>
      </c>
      <c r="D1491" s="33" t="s">
        <v>32</v>
      </c>
      <c r="E1491">
        <v>34</v>
      </c>
      <c r="F1491" s="34">
        <v>0.22961805555555556</v>
      </c>
      <c r="G1491" s="34">
        <v>6.7534722222222223E-3</v>
      </c>
      <c r="H1491" s="34">
        <v>0.26614583333333336</v>
      </c>
      <c r="I1491" s="34">
        <v>3.9525462962962964E-2</v>
      </c>
      <c r="J1491" s="35">
        <v>0.14851054577081974</v>
      </c>
      <c r="K1491" s="33" t="s">
        <v>645</v>
      </c>
      <c r="L1491" s="33" t="s">
        <v>100</v>
      </c>
    </row>
    <row r="1492" spans="1:12" x14ac:dyDescent="0.25">
      <c r="A1492" s="32">
        <v>46251</v>
      </c>
      <c r="B1492" s="33" t="s">
        <v>32</v>
      </c>
      <c r="C1492" s="33" t="s">
        <v>558</v>
      </c>
      <c r="D1492" s="33" t="s">
        <v>32</v>
      </c>
      <c r="E1492">
        <v>46</v>
      </c>
      <c r="F1492" s="34">
        <v>0.12819444444444444</v>
      </c>
      <c r="G1492" s="34">
        <v>2.7868357487922705E-3</v>
      </c>
      <c r="H1492" s="34">
        <v>0.22047453703703704</v>
      </c>
      <c r="I1492" s="34">
        <v>3.9293981481481478E-2</v>
      </c>
      <c r="J1492" s="35">
        <v>0.17822457871804293</v>
      </c>
      <c r="K1492" s="33" t="s">
        <v>120</v>
      </c>
      <c r="L1492" s="33" t="s">
        <v>233</v>
      </c>
    </row>
    <row r="1493" spans="1:12" x14ac:dyDescent="0.25">
      <c r="A1493" s="32">
        <v>46251</v>
      </c>
      <c r="B1493" s="33" t="s">
        <v>32</v>
      </c>
      <c r="C1493" s="33" t="s">
        <v>507</v>
      </c>
      <c r="D1493" s="33" t="s">
        <v>32</v>
      </c>
      <c r="E1493">
        <v>36</v>
      </c>
      <c r="F1493" s="34">
        <v>0.18385416666666668</v>
      </c>
      <c r="G1493" s="34">
        <v>5.1070601851851858E-3</v>
      </c>
      <c r="H1493" s="34">
        <v>0.26501157407407405</v>
      </c>
      <c r="I1493" s="34">
        <v>3.2060185185185185E-2</v>
      </c>
      <c r="J1493" s="35">
        <v>0.12097654714591433</v>
      </c>
      <c r="K1493" s="33" t="s">
        <v>46</v>
      </c>
      <c r="L1493" s="33" t="s">
        <v>100</v>
      </c>
    </row>
    <row r="1494" spans="1:12" x14ac:dyDescent="0.25">
      <c r="A1494" s="32">
        <v>46251</v>
      </c>
      <c r="B1494" s="33" t="s">
        <v>32</v>
      </c>
      <c r="C1494" s="33" t="s">
        <v>517</v>
      </c>
      <c r="D1494" s="33" t="s">
        <v>147</v>
      </c>
      <c r="E1494">
        <v>4</v>
      </c>
      <c r="F1494" s="34">
        <v>2.1840277777777778E-2</v>
      </c>
      <c r="G1494" s="34">
        <v>5.4600694444444445E-3</v>
      </c>
      <c r="H1494" s="34">
        <v>0.24887731481481482</v>
      </c>
      <c r="I1494" s="34">
        <v>8.5787037037037037E-2</v>
      </c>
      <c r="J1494" s="35">
        <v>0.34469608891782544</v>
      </c>
      <c r="K1494" s="33" t="s">
        <v>499</v>
      </c>
      <c r="L1494" s="33" t="s">
        <v>146</v>
      </c>
    </row>
    <row r="1495" spans="1:12" x14ac:dyDescent="0.25">
      <c r="A1495" s="32">
        <v>46251</v>
      </c>
      <c r="B1495" s="33" t="s">
        <v>32</v>
      </c>
      <c r="C1495" s="33" t="s">
        <v>648</v>
      </c>
      <c r="D1495" s="33" t="s">
        <v>32</v>
      </c>
      <c r="E1495">
        <v>47</v>
      </c>
      <c r="F1495" s="34">
        <v>0.15559027777777779</v>
      </c>
      <c r="G1495" s="34">
        <v>3.3104314420803783E-3</v>
      </c>
      <c r="H1495" s="34">
        <v>0.26177083333333334</v>
      </c>
      <c r="I1495" s="34">
        <v>4.8900462962962965E-2</v>
      </c>
      <c r="J1495" s="35">
        <v>0.18680638457797233</v>
      </c>
      <c r="K1495" s="33" t="s">
        <v>647</v>
      </c>
      <c r="L1495" s="33" t="s">
        <v>233</v>
      </c>
    </row>
    <row r="1496" spans="1:12" x14ac:dyDescent="0.25">
      <c r="A1496" s="32">
        <v>46251</v>
      </c>
      <c r="B1496" s="33" t="s">
        <v>32</v>
      </c>
      <c r="C1496" s="33" t="s">
        <v>652</v>
      </c>
      <c r="D1496" s="33" t="s">
        <v>32</v>
      </c>
      <c r="E1496">
        <v>39</v>
      </c>
      <c r="F1496" s="34">
        <v>0.18327546296296296</v>
      </c>
      <c r="G1496" s="34">
        <v>4.6993708452041788E-3</v>
      </c>
      <c r="H1496" s="34">
        <v>0.25627314814814817</v>
      </c>
      <c r="I1496" s="34">
        <v>6.6481481481481475E-2</v>
      </c>
      <c r="J1496" s="35">
        <v>0.25941649354168544</v>
      </c>
      <c r="K1496" s="33" t="s">
        <v>651</v>
      </c>
      <c r="L1496" s="33" t="s">
        <v>100</v>
      </c>
    </row>
    <row r="1497" spans="1:12" x14ac:dyDescent="0.25">
      <c r="A1497" s="32">
        <v>46251</v>
      </c>
      <c r="B1497" s="33" t="s">
        <v>32</v>
      </c>
      <c r="C1497" s="33" t="s">
        <v>568</v>
      </c>
      <c r="D1497" s="33" t="s">
        <v>32</v>
      </c>
      <c r="E1497">
        <v>58</v>
      </c>
      <c r="F1497" s="34">
        <v>0.19655092592592593</v>
      </c>
      <c r="G1497" s="34">
        <v>3.3888090676883783E-3</v>
      </c>
      <c r="H1497" s="34">
        <v>0.35091435185185182</v>
      </c>
      <c r="I1497" s="34">
        <v>5.7465277777777775E-2</v>
      </c>
      <c r="J1497" s="35">
        <v>0.16375869916553976</v>
      </c>
      <c r="K1497" s="33" t="s">
        <v>246</v>
      </c>
      <c r="L1497" s="33" t="s">
        <v>233</v>
      </c>
    </row>
    <row r="1498" spans="1:12" x14ac:dyDescent="0.25">
      <c r="A1498" s="32">
        <v>46251</v>
      </c>
      <c r="B1498" s="33" t="s">
        <v>32</v>
      </c>
      <c r="C1498" s="33" t="s">
        <v>508</v>
      </c>
      <c r="D1498" s="33" t="s">
        <v>32</v>
      </c>
      <c r="E1498">
        <v>40</v>
      </c>
      <c r="F1498" s="34">
        <v>0.16140046296296295</v>
      </c>
      <c r="G1498" s="34">
        <v>4.0350115740740737E-3</v>
      </c>
      <c r="H1498" s="34">
        <v>0.2630439814814815</v>
      </c>
      <c r="I1498" s="34">
        <v>5.2199074074074071E-2</v>
      </c>
      <c r="J1498" s="35">
        <v>0.19844238130857567</v>
      </c>
      <c r="K1498" s="33" t="s">
        <v>48</v>
      </c>
      <c r="L1498" s="33" t="s">
        <v>100</v>
      </c>
    </row>
    <row r="1499" spans="1:12" x14ac:dyDescent="0.25">
      <c r="A1499" s="32">
        <v>46251</v>
      </c>
      <c r="B1499" s="33" t="s">
        <v>32</v>
      </c>
      <c r="C1499" s="33" t="s">
        <v>538</v>
      </c>
      <c r="D1499" s="33" t="s">
        <v>32</v>
      </c>
      <c r="E1499">
        <v>5</v>
      </c>
      <c r="F1499" s="34">
        <v>3.1053240740740742E-2</v>
      </c>
      <c r="G1499" s="34">
        <v>6.2106481481481483E-3</v>
      </c>
      <c r="H1499" s="34">
        <v>0.19699074074074074</v>
      </c>
      <c r="I1499" s="34">
        <v>0.16480324074074074</v>
      </c>
      <c r="J1499" s="35">
        <v>0.83660399529964746</v>
      </c>
      <c r="K1499" s="33" t="s">
        <v>50</v>
      </c>
      <c r="L1499" s="33" t="s">
        <v>100</v>
      </c>
    </row>
    <row r="1500" spans="1:12" x14ac:dyDescent="0.25">
      <c r="A1500" s="32">
        <v>46251</v>
      </c>
      <c r="B1500" s="33" t="s">
        <v>32</v>
      </c>
      <c r="C1500" s="33" t="s">
        <v>603</v>
      </c>
      <c r="D1500" s="33" t="s">
        <v>32</v>
      </c>
      <c r="E1500">
        <v>24</v>
      </c>
      <c r="F1500" s="34">
        <v>0.19856481481481481</v>
      </c>
      <c r="G1500" s="34">
        <v>8.2735339506172841E-3</v>
      </c>
      <c r="H1500" s="34">
        <v>0.25783564814814813</v>
      </c>
      <c r="I1500" s="34">
        <v>2.4791666666666667E-2</v>
      </c>
      <c r="J1500" s="35">
        <v>9.6152982897158512E-2</v>
      </c>
      <c r="K1500" s="33" t="s">
        <v>242</v>
      </c>
      <c r="L1500" s="33" t="s">
        <v>233</v>
      </c>
    </row>
    <row r="1501" spans="1:12" x14ac:dyDescent="0.25">
      <c r="A1501" s="32">
        <v>46251</v>
      </c>
      <c r="B1501" s="33" t="s">
        <v>32</v>
      </c>
      <c r="C1501" s="33" t="s">
        <v>518</v>
      </c>
      <c r="D1501" s="33" t="s">
        <v>147</v>
      </c>
      <c r="E1501">
        <v>13</v>
      </c>
      <c r="F1501" s="34">
        <v>3.9247685185185184E-2</v>
      </c>
      <c r="G1501" s="34">
        <v>3.0190527065527065E-3</v>
      </c>
      <c r="H1501" s="34">
        <v>0.26172453703703702</v>
      </c>
      <c r="I1501" s="34">
        <v>2.4953703703703704E-2</v>
      </c>
      <c r="J1501" s="35">
        <v>9.5343386547561138E-2</v>
      </c>
      <c r="K1501" s="33" t="s">
        <v>500</v>
      </c>
      <c r="L1501" s="33" t="s">
        <v>274</v>
      </c>
    </row>
    <row r="1502" spans="1:12" x14ac:dyDescent="0.25">
      <c r="A1502" s="32">
        <v>46251</v>
      </c>
      <c r="B1502" s="33" t="s">
        <v>32</v>
      </c>
      <c r="C1502" s="33" t="s">
        <v>684</v>
      </c>
      <c r="D1502" s="33" t="s">
        <v>32</v>
      </c>
      <c r="E1502">
        <v>38</v>
      </c>
      <c r="F1502" s="34">
        <v>0.1439236111111111</v>
      </c>
      <c r="G1502" s="34">
        <v>3.7874634502923971E-3</v>
      </c>
      <c r="H1502" s="34">
        <v>0.25793981481481482</v>
      </c>
      <c r="I1502" s="34">
        <v>5.4629629629629632E-2</v>
      </c>
      <c r="J1502" s="35">
        <v>0.21179215651081398</v>
      </c>
      <c r="K1502" s="33" t="s">
        <v>683</v>
      </c>
      <c r="L1502" s="33" t="s">
        <v>233</v>
      </c>
    </row>
    <row r="1503" spans="1:12" x14ac:dyDescent="0.25">
      <c r="A1503" s="32">
        <v>46251</v>
      </c>
      <c r="B1503" s="33" t="s">
        <v>32</v>
      </c>
      <c r="C1503" s="33" t="s">
        <v>654</v>
      </c>
      <c r="D1503" s="33" t="s">
        <v>32</v>
      </c>
      <c r="E1503">
        <v>30</v>
      </c>
      <c r="F1503" s="34">
        <v>0.19188657407407408</v>
      </c>
      <c r="G1503" s="34">
        <v>6.3962191358024698E-3</v>
      </c>
      <c r="H1503" s="34">
        <v>0.26325231481481481</v>
      </c>
      <c r="I1503" s="34">
        <v>6.3611111111111104E-2</v>
      </c>
      <c r="J1503" s="35">
        <v>0.24163552429105295</v>
      </c>
      <c r="K1503" s="33" t="s">
        <v>653</v>
      </c>
      <c r="L1503" s="33" t="s">
        <v>100</v>
      </c>
    </row>
    <row r="1504" spans="1:12" x14ac:dyDescent="0.25">
      <c r="A1504" s="32">
        <v>46251</v>
      </c>
      <c r="B1504" s="33" t="s">
        <v>32</v>
      </c>
      <c r="C1504" s="33" t="s">
        <v>509</v>
      </c>
      <c r="D1504" s="33" t="s">
        <v>32</v>
      </c>
      <c r="E1504">
        <v>8</v>
      </c>
      <c r="F1504" s="34">
        <v>4.1365740740740738E-2</v>
      </c>
      <c r="G1504" s="34">
        <v>5.1707175925925922E-3</v>
      </c>
      <c r="H1504" s="34">
        <v>0.25163194444444442</v>
      </c>
      <c r="I1504" s="34">
        <v>0.21611111111111111</v>
      </c>
      <c r="J1504" s="35">
        <v>0.85883813991996694</v>
      </c>
      <c r="K1504" s="33" t="s">
        <v>52</v>
      </c>
      <c r="L1504" s="33" t="s">
        <v>100</v>
      </c>
    </row>
    <row r="1505" spans="1:12" x14ac:dyDescent="0.25">
      <c r="A1505" s="32">
        <v>46251</v>
      </c>
      <c r="B1505" s="33" t="s">
        <v>32</v>
      </c>
      <c r="C1505" s="33" t="s">
        <v>519</v>
      </c>
      <c r="D1505" s="33" t="s">
        <v>147</v>
      </c>
      <c r="E1505">
        <v>20</v>
      </c>
      <c r="F1505" s="34">
        <v>3.7199074074074072E-2</v>
      </c>
      <c r="G1505" s="34">
        <v>1.8599537037037035E-3</v>
      </c>
      <c r="H1505" s="34">
        <v>0.36863425925925924</v>
      </c>
      <c r="I1505" s="34">
        <v>2.8136574074074074E-2</v>
      </c>
      <c r="J1505" s="35">
        <v>7.6326530612244897E-2</v>
      </c>
      <c r="K1505" s="33" t="s">
        <v>164</v>
      </c>
      <c r="L1505" s="33" t="s">
        <v>146</v>
      </c>
    </row>
    <row r="1506" spans="1:12" x14ac:dyDescent="0.25">
      <c r="A1506" s="32">
        <v>46251</v>
      </c>
      <c r="B1506" s="33" t="s">
        <v>32</v>
      </c>
      <c r="C1506" s="33" t="s">
        <v>656</v>
      </c>
      <c r="D1506" s="33" t="s">
        <v>32</v>
      </c>
      <c r="E1506">
        <v>36</v>
      </c>
      <c r="F1506" s="34">
        <v>0.166875</v>
      </c>
      <c r="G1506" s="34">
        <v>4.6354166666666662E-3</v>
      </c>
      <c r="H1506" s="34">
        <v>0.26194444444444442</v>
      </c>
      <c r="I1506" s="34">
        <v>4.0648148148148149E-2</v>
      </c>
      <c r="J1506" s="35">
        <v>0.1551785083068222</v>
      </c>
      <c r="K1506" s="33" t="s">
        <v>655</v>
      </c>
      <c r="L1506" s="33" t="s">
        <v>100</v>
      </c>
    </row>
    <row r="1507" spans="1:12" x14ac:dyDescent="0.25">
      <c r="A1507" s="32">
        <v>46251</v>
      </c>
      <c r="B1507" s="33" t="s">
        <v>32</v>
      </c>
      <c r="C1507" s="33" t="s">
        <v>167</v>
      </c>
      <c r="D1507" s="33" t="s">
        <v>147</v>
      </c>
      <c r="E1507">
        <v>12</v>
      </c>
      <c r="F1507" s="34">
        <v>3.8703703703703705E-2</v>
      </c>
      <c r="G1507" s="34">
        <v>3.2253086419753089E-3</v>
      </c>
      <c r="H1507" s="34">
        <v>0.26418981481481479</v>
      </c>
      <c r="I1507" s="34">
        <v>5.7418981481481481E-2</v>
      </c>
      <c r="J1507" s="35">
        <v>0.2173398755804784</v>
      </c>
      <c r="K1507" s="33" t="s">
        <v>166</v>
      </c>
      <c r="L1507" s="33" t="s">
        <v>146</v>
      </c>
    </row>
    <row r="1508" spans="1:12" x14ac:dyDescent="0.25">
      <c r="A1508" s="32">
        <v>46251</v>
      </c>
      <c r="B1508" s="33" t="s">
        <v>32</v>
      </c>
      <c r="C1508" s="33" t="s">
        <v>658</v>
      </c>
      <c r="D1508" s="33" t="s">
        <v>147</v>
      </c>
      <c r="E1508">
        <v>7</v>
      </c>
      <c r="F1508" s="34">
        <v>2.4525462962962964E-2</v>
      </c>
      <c r="G1508" s="34">
        <v>3.5036375661375665E-3</v>
      </c>
      <c r="H1508" s="34">
        <v>0.26478009259259261</v>
      </c>
      <c r="I1508" s="34">
        <v>4.1666666666666664E-2</v>
      </c>
      <c r="J1508" s="35">
        <v>0.1573632906412554</v>
      </c>
      <c r="K1508" s="33" t="s">
        <v>657</v>
      </c>
      <c r="L1508" s="33" t="s">
        <v>274</v>
      </c>
    </row>
    <row r="1509" spans="1:12" x14ac:dyDescent="0.25">
      <c r="A1509" s="32">
        <v>46251</v>
      </c>
      <c r="B1509" s="33" t="s">
        <v>32</v>
      </c>
      <c r="C1509" s="33" t="s">
        <v>660</v>
      </c>
      <c r="D1509" s="33" t="s">
        <v>32</v>
      </c>
      <c r="E1509">
        <v>4</v>
      </c>
      <c r="F1509" s="34">
        <v>2.6365740740740742E-2</v>
      </c>
      <c r="G1509" s="34">
        <v>6.5914351851851854E-3</v>
      </c>
      <c r="H1509" s="34">
        <v>0.25552083333333331</v>
      </c>
      <c r="I1509" s="34">
        <v>0.23150462962962962</v>
      </c>
      <c r="J1509" s="35">
        <v>0.90601078045024241</v>
      </c>
      <c r="K1509" s="33" t="s">
        <v>659</v>
      </c>
      <c r="L1509" s="33" t="s">
        <v>100</v>
      </c>
    </row>
    <row r="1510" spans="1:12" x14ac:dyDescent="0.25">
      <c r="A1510" s="32">
        <v>46251</v>
      </c>
      <c r="B1510" s="33" t="s">
        <v>32</v>
      </c>
      <c r="C1510" s="33" t="s">
        <v>528</v>
      </c>
      <c r="D1510" s="33" t="s">
        <v>32</v>
      </c>
      <c r="E1510">
        <v>30</v>
      </c>
      <c r="F1510" s="34">
        <v>0.10811342592592593</v>
      </c>
      <c r="G1510" s="34">
        <v>3.6037808641975312E-3</v>
      </c>
      <c r="H1510" s="34">
        <v>0.26186342592592593</v>
      </c>
      <c r="I1510" s="34">
        <v>6.2696759259259258E-2</v>
      </c>
      <c r="J1510" s="35">
        <v>0.23942541436464088</v>
      </c>
      <c r="K1510" s="33" t="s">
        <v>254</v>
      </c>
      <c r="L1510" s="33" t="s">
        <v>233</v>
      </c>
    </row>
    <row r="1511" spans="1:12" x14ac:dyDescent="0.25">
      <c r="A1511" s="32">
        <v>46251</v>
      </c>
      <c r="B1511" s="33" t="s">
        <v>32</v>
      </c>
      <c r="C1511" s="33" t="s">
        <v>520</v>
      </c>
      <c r="D1511" s="33" t="s">
        <v>147</v>
      </c>
      <c r="E1511">
        <v>9</v>
      </c>
      <c r="F1511" s="34">
        <v>3.2581018518518516E-2</v>
      </c>
      <c r="G1511" s="34">
        <v>3.6201131687242797E-3</v>
      </c>
      <c r="H1511" s="34">
        <v>0.26743055555555556</v>
      </c>
      <c r="I1511" s="34">
        <v>4.2708333333333334E-2</v>
      </c>
      <c r="J1511" s="35">
        <v>0.15969877953778239</v>
      </c>
      <c r="K1511" s="33" t="s">
        <v>168</v>
      </c>
      <c r="L1511" s="33" t="s">
        <v>274</v>
      </c>
    </row>
    <row r="1512" spans="1:12" x14ac:dyDescent="0.25">
      <c r="A1512" s="32">
        <v>46251</v>
      </c>
      <c r="B1512" s="33" t="s">
        <v>32</v>
      </c>
      <c r="C1512" s="33" t="s">
        <v>521</v>
      </c>
      <c r="D1512" s="33" t="s">
        <v>147</v>
      </c>
      <c r="E1512">
        <v>9</v>
      </c>
      <c r="F1512" s="34">
        <v>4.4444444444444446E-2</v>
      </c>
      <c r="G1512" s="34">
        <v>4.9382716049382715E-3</v>
      </c>
      <c r="H1512" s="34">
        <v>0.25533564814814813</v>
      </c>
      <c r="I1512" s="34">
        <v>4.1099537037037039E-2</v>
      </c>
      <c r="J1512" s="35">
        <v>0.16096278500521283</v>
      </c>
      <c r="K1512" s="33" t="s">
        <v>170</v>
      </c>
      <c r="L1512" s="33" t="s">
        <v>146</v>
      </c>
    </row>
    <row r="1513" spans="1:12" x14ac:dyDescent="0.25">
      <c r="A1513" s="32">
        <v>46251</v>
      </c>
      <c r="B1513" s="33" t="s">
        <v>32</v>
      </c>
      <c r="C1513" s="33" t="s">
        <v>633</v>
      </c>
      <c r="D1513" s="33" t="s">
        <v>147</v>
      </c>
      <c r="E1513">
        <v>6</v>
      </c>
      <c r="F1513" s="34">
        <v>3.9143518518518522E-2</v>
      </c>
      <c r="G1513" s="34">
        <v>6.52391975308642E-3</v>
      </c>
      <c r="H1513" s="34">
        <v>0.26113425925925926</v>
      </c>
      <c r="I1513" s="34">
        <v>9.0173611111111107E-2</v>
      </c>
      <c r="J1513" s="35">
        <v>0.34531513163726618</v>
      </c>
      <c r="K1513" s="33" t="s">
        <v>606</v>
      </c>
      <c r="L1513" s="33" t="s">
        <v>146</v>
      </c>
    </row>
    <row r="1514" spans="1:12" x14ac:dyDescent="0.25">
      <c r="A1514" s="32">
        <v>46251</v>
      </c>
      <c r="B1514" s="33" t="s">
        <v>32</v>
      </c>
      <c r="C1514" s="33" t="s">
        <v>529</v>
      </c>
      <c r="D1514" s="33" t="s">
        <v>32</v>
      </c>
      <c r="E1514">
        <v>23</v>
      </c>
      <c r="F1514" s="34">
        <v>0.14925925925925926</v>
      </c>
      <c r="G1514" s="34">
        <v>6.4895330112721417E-3</v>
      </c>
      <c r="H1514" s="34">
        <v>0.24186342592592591</v>
      </c>
      <c r="I1514" s="34">
        <v>4.0219907407407406E-2</v>
      </c>
      <c r="J1514" s="35">
        <v>0.16629181222185002</v>
      </c>
      <c r="K1514" s="33" t="s">
        <v>256</v>
      </c>
      <c r="L1514" s="33" t="s">
        <v>233</v>
      </c>
    </row>
    <row r="1515" spans="1:12" x14ac:dyDescent="0.25">
      <c r="A1515" s="32">
        <v>46251</v>
      </c>
      <c r="B1515" s="33" t="s">
        <v>32</v>
      </c>
      <c r="C1515" s="33" t="s">
        <v>662</v>
      </c>
      <c r="D1515" s="33" t="s">
        <v>32</v>
      </c>
      <c r="E1515">
        <v>35</v>
      </c>
      <c r="F1515" s="34">
        <v>0.17398148148148149</v>
      </c>
      <c r="G1515" s="34">
        <v>4.9708994708994713E-3</v>
      </c>
      <c r="H1515" s="34">
        <v>0.23791666666666667</v>
      </c>
      <c r="I1515" s="34">
        <v>5.0995370370370371E-2</v>
      </c>
      <c r="J1515" s="35">
        <v>0.21434131153920996</v>
      </c>
      <c r="K1515" s="33" t="s">
        <v>661</v>
      </c>
      <c r="L1515" s="33" t="s">
        <v>100</v>
      </c>
    </row>
    <row r="1516" spans="1:12" x14ac:dyDescent="0.25">
      <c r="A1516" s="32">
        <v>46251</v>
      </c>
      <c r="B1516" s="33" t="s">
        <v>32</v>
      </c>
      <c r="C1516" s="33" t="s">
        <v>664</v>
      </c>
      <c r="D1516" s="33" t="s">
        <v>32</v>
      </c>
      <c r="E1516">
        <v>23</v>
      </c>
      <c r="F1516" s="34">
        <v>0.15177083333333333</v>
      </c>
      <c r="G1516" s="34">
        <v>6.598731884057971E-3</v>
      </c>
      <c r="H1516" s="34">
        <v>0.21340277777777777</v>
      </c>
      <c r="I1516" s="34">
        <v>2.3252314814814816E-2</v>
      </c>
      <c r="J1516" s="35">
        <v>0.10895975702353836</v>
      </c>
      <c r="K1516" s="33" t="s">
        <v>663</v>
      </c>
      <c r="L1516" s="33" t="s">
        <v>233</v>
      </c>
    </row>
    <row r="1517" spans="1:12" x14ac:dyDescent="0.25">
      <c r="A1517" s="32">
        <v>46251</v>
      </c>
      <c r="B1517" s="33" t="s">
        <v>32</v>
      </c>
      <c r="C1517" s="33" t="s">
        <v>666</v>
      </c>
      <c r="D1517" s="33" t="s">
        <v>32</v>
      </c>
      <c r="E1517">
        <v>39</v>
      </c>
      <c r="F1517" s="34">
        <v>0.21702546296296296</v>
      </c>
      <c r="G1517" s="34">
        <v>5.5647554605887939E-3</v>
      </c>
      <c r="H1517" s="34">
        <v>0.26521990740740742</v>
      </c>
      <c r="I1517" s="34">
        <v>5.1967592592592593E-2</v>
      </c>
      <c r="J1517" s="35">
        <v>0.19594152301985598</v>
      </c>
      <c r="K1517" s="33" t="s">
        <v>665</v>
      </c>
      <c r="L1517" s="33" t="s">
        <v>100</v>
      </c>
    </row>
    <row r="1518" spans="1:12" x14ac:dyDescent="0.25">
      <c r="A1518" s="32">
        <v>46251</v>
      </c>
      <c r="B1518" s="33" t="s">
        <v>32</v>
      </c>
      <c r="C1518" s="33" t="s">
        <v>530</v>
      </c>
      <c r="D1518" s="33" t="s">
        <v>80</v>
      </c>
      <c r="E1518">
        <v>1</v>
      </c>
      <c r="F1518" s="34">
        <v>5.4386574074074073E-2</v>
      </c>
      <c r="G1518" s="34">
        <v>5.4386574074074073E-2</v>
      </c>
      <c r="H1518" s="34">
        <v>0.58961805555555558</v>
      </c>
      <c r="I1518" s="34">
        <v>2.2430555555555554E-2</v>
      </c>
      <c r="J1518" s="35">
        <v>3.8042518108474171E-2</v>
      </c>
      <c r="K1518" s="33" t="s">
        <v>264</v>
      </c>
      <c r="L1518" s="33" t="s">
        <v>78</v>
      </c>
    </row>
    <row r="1519" spans="1:12" x14ac:dyDescent="0.25">
      <c r="A1519" s="32">
        <v>46251</v>
      </c>
      <c r="B1519" s="33" t="s">
        <v>32</v>
      </c>
      <c r="C1519" s="33" t="s">
        <v>555</v>
      </c>
      <c r="D1519" s="33" t="s">
        <v>32</v>
      </c>
      <c r="E1519">
        <v>33</v>
      </c>
      <c r="F1519" s="34">
        <v>0.13149305555555554</v>
      </c>
      <c r="G1519" s="34">
        <v>3.9846380471380465E-3</v>
      </c>
      <c r="H1519" s="34">
        <v>0.23776620370370372</v>
      </c>
      <c r="I1519" s="34">
        <v>3.72337962962963E-2</v>
      </c>
      <c r="J1519" s="35">
        <v>0.15659835467069075</v>
      </c>
      <c r="K1519" s="33" t="s">
        <v>128</v>
      </c>
      <c r="L1519" s="33" t="s">
        <v>233</v>
      </c>
    </row>
    <row r="1520" spans="1:12" x14ac:dyDescent="0.25">
      <c r="A1520" s="32">
        <v>46251</v>
      </c>
      <c r="B1520" s="33" t="s">
        <v>32</v>
      </c>
      <c r="C1520" s="33" t="s">
        <v>635</v>
      </c>
      <c r="D1520" s="33" t="s">
        <v>105</v>
      </c>
      <c r="E1520">
        <v>7</v>
      </c>
      <c r="F1520" s="34">
        <v>1.6458333333333332E-2</v>
      </c>
      <c r="G1520" s="34">
        <v>2.3511904761904759E-3</v>
      </c>
      <c r="H1520" s="34">
        <v>0.22576388888888888</v>
      </c>
      <c r="I1520" s="34">
        <v>0.17318287037037036</v>
      </c>
      <c r="J1520" s="35">
        <v>0.76709730339382753</v>
      </c>
      <c r="K1520" s="33" t="s">
        <v>614</v>
      </c>
      <c r="L1520" s="33" t="s">
        <v>601</v>
      </c>
    </row>
    <row r="1521" spans="1:12" x14ac:dyDescent="0.25">
      <c r="A1521" s="32">
        <v>46251</v>
      </c>
      <c r="B1521" s="33" t="s">
        <v>32</v>
      </c>
      <c r="C1521" s="33" t="s">
        <v>523</v>
      </c>
      <c r="D1521" s="33" t="s">
        <v>147</v>
      </c>
      <c r="E1521">
        <v>8</v>
      </c>
      <c r="F1521" s="34">
        <v>5.0821759259259261E-2</v>
      </c>
      <c r="G1521" s="34">
        <v>6.3527199074074076E-3</v>
      </c>
      <c r="H1521" s="34">
        <v>0.26447916666666665</v>
      </c>
      <c r="I1521" s="34">
        <v>3.8449074074074073E-2</v>
      </c>
      <c r="J1521" s="35">
        <v>0.14537656995317491</v>
      </c>
      <c r="K1521" s="33" t="s">
        <v>180</v>
      </c>
      <c r="L1521" s="33" t="s">
        <v>146</v>
      </c>
    </row>
    <row r="1522" spans="1:12" x14ac:dyDescent="0.25">
      <c r="A1522" s="32">
        <v>46251</v>
      </c>
      <c r="B1522" s="33" t="s">
        <v>32</v>
      </c>
      <c r="C1522" s="33" t="s">
        <v>636</v>
      </c>
      <c r="D1522" s="33" t="s">
        <v>105</v>
      </c>
      <c r="E1522">
        <v>4</v>
      </c>
      <c r="F1522" s="34">
        <v>2.9814814814814815E-2</v>
      </c>
      <c r="G1522" s="34">
        <v>7.4537037037037037E-3</v>
      </c>
      <c r="H1522" s="34">
        <v>0.25343749999999998</v>
      </c>
      <c r="I1522" s="34">
        <v>0.18644675925925927</v>
      </c>
      <c r="J1522" s="35">
        <v>0.73567155318080113</v>
      </c>
      <c r="K1522" s="33" t="s">
        <v>615</v>
      </c>
      <c r="L1522" s="33" t="s">
        <v>601</v>
      </c>
    </row>
    <row r="1523" spans="1:12" x14ac:dyDescent="0.25">
      <c r="A1523" s="32">
        <v>46251</v>
      </c>
      <c r="B1523" s="33" t="s">
        <v>32</v>
      </c>
      <c r="C1523" s="33" t="s">
        <v>97</v>
      </c>
      <c r="D1523" s="33" t="s">
        <v>80</v>
      </c>
      <c r="E1523">
        <v>1</v>
      </c>
      <c r="F1523" s="34">
        <v>1.1574074074074073E-3</v>
      </c>
      <c r="G1523" s="34">
        <v>1.1574074074074073E-3</v>
      </c>
      <c r="H1523" s="34">
        <v>0.33895833333333331</v>
      </c>
      <c r="I1523" s="34">
        <v>9.2164351851851858E-2</v>
      </c>
      <c r="J1523" s="35">
        <v>0.27190466434473815</v>
      </c>
      <c r="K1523" s="33" t="s">
        <v>96</v>
      </c>
      <c r="L1523" s="33" t="s">
        <v>78</v>
      </c>
    </row>
    <row r="1524" spans="1:12" x14ac:dyDescent="0.25">
      <c r="A1524" s="32">
        <v>46251</v>
      </c>
      <c r="B1524" s="33" t="s">
        <v>32</v>
      </c>
      <c r="C1524" s="33" t="s">
        <v>566</v>
      </c>
      <c r="D1524" s="33" t="s">
        <v>147</v>
      </c>
      <c r="E1524">
        <v>8</v>
      </c>
      <c r="F1524" s="34">
        <v>2.6886574074074073E-2</v>
      </c>
      <c r="G1524" s="34">
        <v>3.3608217592592591E-3</v>
      </c>
      <c r="H1524" s="34">
        <v>0.25912037037037039</v>
      </c>
      <c r="I1524" s="34">
        <v>3.6932870370370373E-2</v>
      </c>
      <c r="J1524" s="35">
        <v>0.14253171341790244</v>
      </c>
      <c r="K1524" s="33" t="s">
        <v>207</v>
      </c>
      <c r="L1524" s="33" t="s">
        <v>274</v>
      </c>
    </row>
    <row r="1525" spans="1:12" x14ac:dyDescent="0.25">
      <c r="A1525" s="32">
        <v>46251</v>
      </c>
      <c r="B1525" s="33" t="s">
        <v>32</v>
      </c>
      <c r="C1525" s="33" t="s">
        <v>637</v>
      </c>
      <c r="D1525" s="33" t="s">
        <v>105</v>
      </c>
      <c r="E1525">
        <v>4</v>
      </c>
      <c r="F1525" s="34">
        <v>1.4560185185185185E-2</v>
      </c>
      <c r="G1525" s="34">
        <v>3.6400462962962962E-3</v>
      </c>
      <c r="H1525" s="34">
        <v>0.21513888888888888</v>
      </c>
      <c r="I1525" s="34">
        <v>0.17310185185185184</v>
      </c>
      <c r="J1525" s="35">
        <v>0.80460512158381747</v>
      </c>
      <c r="K1525" s="33" t="s">
        <v>616</v>
      </c>
      <c r="L1525" s="33" t="s">
        <v>601</v>
      </c>
    </row>
    <row r="1526" spans="1:12" x14ac:dyDescent="0.25">
      <c r="A1526" s="32">
        <v>46251</v>
      </c>
      <c r="B1526" s="33" t="s">
        <v>32</v>
      </c>
      <c r="C1526" s="33" t="s">
        <v>567</v>
      </c>
      <c r="D1526" s="33" t="s">
        <v>105</v>
      </c>
      <c r="E1526">
        <v>4</v>
      </c>
      <c r="F1526" s="34">
        <v>4.5254629629629631E-2</v>
      </c>
      <c r="G1526" s="34">
        <v>1.1313657407407408E-2</v>
      </c>
      <c r="H1526" s="34">
        <v>0.24422453703703703</v>
      </c>
      <c r="I1526" s="34">
        <v>0.1633449074074074</v>
      </c>
      <c r="J1526" s="35">
        <v>0.66883086109663048</v>
      </c>
      <c r="K1526" s="33" t="s">
        <v>209</v>
      </c>
      <c r="L1526" s="33" t="s">
        <v>601</v>
      </c>
    </row>
    <row r="1527" spans="1:12" x14ac:dyDescent="0.25">
      <c r="A1527" s="32">
        <v>46251</v>
      </c>
      <c r="B1527" s="33" t="s">
        <v>32</v>
      </c>
      <c r="C1527" s="33" t="s">
        <v>510</v>
      </c>
      <c r="D1527" s="33" t="s">
        <v>32</v>
      </c>
      <c r="E1527">
        <v>44</v>
      </c>
      <c r="F1527" s="34">
        <v>0.18652777777777776</v>
      </c>
      <c r="G1527" s="34">
        <v>4.2392676767676763E-3</v>
      </c>
      <c r="H1527" s="34">
        <v>0.26405092592592594</v>
      </c>
      <c r="I1527" s="34">
        <v>3.3240740740740737E-2</v>
      </c>
      <c r="J1527" s="35">
        <v>0.12588761286929076</v>
      </c>
      <c r="K1527" s="33" t="s">
        <v>60</v>
      </c>
      <c r="L1527" s="33" t="s">
        <v>100</v>
      </c>
    </row>
    <row r="1528" spans="1:12" x14ac:dyDescent="0.25">
      <c r="A1528" s="32">
        <v>46251</v>
      </c>
      <c r="B1528" s="33" t="s">
        <v>32</v>
      </c>
      <c r="C1528" s="33" t="s">
        <v>512</v>
      </c>
      <c r="D1528" s="33" t="s">
        <v>105</v>
      </c>
      <c r="E1528">
        <v>7</v>
      </c>
      <c r="F1528" s="34">
        <v>4.3402777777777776E-2</v>
      </c>
      <c r="G1528" s="34">
        <v>6.2003968253968251E-3</v>
      </c>
      <c r="H1528" s="34">
        <v>0.26076388888888891</v>
      </c>
      <c r="I1528" s="34">
        <v>0.14491898148148147</v>
      </c>
      <c r="J1528" s="35">
        <v>0.55574789169995553</v>
      </c>
      <c r="K1528" s="33" t="s">
        <v>132</v>
      </c>
      <c r="L1528" s="33" t="s">
        <v>104</v>
      </c>
    </row>
    <row r="1529" spans="1:12" x14ac:dyDescent="0.25">
      <c r="A1529" s="32">
        <v>46251</v>
      </c>
      <c r="B1529" s="33" t="s">
        <v>32</v>
      </c>
      <c r="C1529" s="33" t="s">
        <v>560</v>
      </c>
      <c r="D1529" s="33" t="s">
        <v>105</v>
      </c>
      <c r="E1529">
        <v>17</v>
      </c>
      <c r="F1529" s="34">
        <v>5.5370370370370368E-2</v>
      </c>
      <c r="G1529" s="34">
        <v>3.2570806100217864E-3</v>
      </c>
      <c r="H1529" s="34">
        <v>0.25700231481481484</v>
      </c>
      <c r="I1529" s="34">
        <v>0.12718750000000001</v>
      </c>
      <c r="J1529" s="35">
        <v>0.49488853861742849</v>
      </c>
      <c r="K1529" s="33" t="s">
        <v>134</v>
      </c>
      <c r="L1529" s="33" t="s">
        <v>104</v>
      </c>
    </row>
    <row r="1530" spans="1:12" x14ac:dyDescent="0.25">
      <c r="A1530" s="32">
        <v>46251</v>
      </c>
      <c r="B1530" s="33" t="s">
        <v>32</v>
      </c>
      <c r="C1530" s="33" t="s">
        <v>546</v>
      </c>
      <c r="D1530" s="33" t="s">
        <v>105</v>
      </c>
      <c r="E1530">
        <v>2</v>
      </c>
      <c r="F1530" s="34">
        <v>3.1631944444444442E-2</v>
      </c>
      <c r="G1530" s="34">
        <v>1.5815972222222221E-2</v>
      </c>
      <c r="H1530" s="34">
        <v>0.19862268518518519</v>
      </c>
      <c r="I1530" s="34">
        <v>9.5914351851851848E-2</v>
      </c>
      <c r="J1530" s="35">
        <v>0.48289726705902913</v>
      </c>
      <c r="K1530" s="33" t="s">
        <v>211</v>
      </c>
      <c r="L1530" s="33" t="s">
        <v>104</v>
      </c>
    </row>
    <row r="1531" spans="1:12" x14ac:dyDescent="0.25">
      <c r="A1531" s="32">
        <v>46251</v>
      </c>
      <c r="B1531" s="33" t="s">
        <v>32</v>
      </c>
      <c r="C1531" s="33" t="s">
        <v>638</v>
      </c>
      <c r="D1531" s="33" t="s">
        <v>105</v>
      </c>
      <c r="E1531">
        <v>2</v>
      </c>
      <c r="F1531" s="34">
        <v>1.3101851851851852E-2</v>
      </c>
      <c r="G1531" s="34">
        <v>6.5509259259259262E-3</v>
      </c>
      <c r="H1531" s="34">
        <v>0.20732638888888888</v>
      </c>
      <c r="I1531" s="34">
        <v>0.16583333333333333</v>
      </c>
      <c r="J1531" s="35">
        <v>0.79986601909227939</v>
      </c>
      <c r="K1531" s="33" t="s">
        <v>617</v>
      </c>
      <c r="L1531" s="33" t="s">
        <v>601</v>
      </c>
    </row>
    <row r="1532" spans="1:12" x14ac:dyDescent="0.25">
      <c r="A1532" s="32">
        <v>46251</v>
      </c>
      <c r="B1532" s="33" t="s">
        <v>32</v>
      </c>
      <c r="C1532" s="33" t="s">
        <v>561</v>
      </c>
      <c r="D1532" s="33" t="s">
        <v>105</v>
      </c>
      <c r="E1532">
        <v>2</v>
      </c>
      <c r="F1532" s="34">
        <v>3.1631944444444442E-2</v>
      </c>
      <c r="G1532" s="34">
        <v>1.5815972222222221E-2</v>
      </c>
      <c r="H1532" s="34">
        <v>0.26689814814814816</v>
      </c>
      <c r="I1532" s="34">
        <v>0.15583333333333332</v>
      </c>
      <c r="J1532" s="35">
        <v>0.58386816999132696</v>
      </c>
      <c r="K1532" s="33" t="s">
        <v>136</v>
      </c>
      <c r="L1532" s="33" t="s">
        <v>104</v>
      </c>
    </row>
    <row r="1533" spans="1:12" x14ac:dyDescent="0.25">
      <c r="A1533" s="32">
        <v>46251</v>
      </c>
      <c r="B1533" s="33" t="s">
        <v>32</v>
      </c>
      <c r="C1533" s="33" t="s">
        <v>639</v>
      </c>
      <c r="D1533" s="33" t="s">
        <v>105</v>
      </c>
      <c r="E1533">
        <v>5</v>
      </c>
      <c r="F1533" s="34">
        <v>4.3090277777777776E-2</v>
      </c>
      <c r="G1533" s="34">
        <v>8.6180555555555559E-3</v>
      </c>
      <c r="H1533" s="34">
        <v>0.22547453703703704</v>
      </c>
      <c r="I1533" s="34">
        <v>0.16337962962962962</v>
      </c>
      <c r="J1533" s="35">
        <v>0.72460345978132534</v>
      </c>
      <c r="K1533" s="33" t="s">
        <v>618</v>
      </c>
      <c r="L1533" s="33" t="s">
        <v>601</v>
      </c>
    </row>
    <row r="1534" spans="1:12" x14ac:dyDescent="0.25">
      <c r="A1534" s="32">
        <v>46251</v>
      </c>
      <c r="B1534" s="33" t="s">
        <v>32</v>
      </c>
      <c r="C1534" s="33" t="s">
        <v>524</v>
      </c>
      <c r="D1534" s="33" t="s">
        <v>147</v>
      </c>
      <c r="E1534">
        <v>5</v>
      </c>
      <c r="F1534" s="34">
        <v>1.2175925925925925E-2</v>
      </c>
      <c r="G1534" s="34">
        <v>2.4351851851851852E-3</v>
      </c>
      <c r="H1534" s="34">
        <v>0.26465277777777779</v>
      </c>
      <c r="I1534" s="34">
        <v>4.2777777777777776E-2</v>
      </c>
      <c r="J1534" s="35">
        <v>0.16163736552086064</v>
      </c>
      <c r="K1534" s="33" t="s">
        <v>501</v>
      </c>
      <c r="L1534" s="33" t="s">
        <v>274</v>
      </c>
    </row>
    <row r="1535" spans="1:12" x14ac:dyDescent="0.25">
      <c r="A1535" s="32">
        <v>46251</v>
      </c>
      <c r="B1535" s="33" t="s">
        <v>32</v>
      </c>
      <c r="C1535" s="33" t="s">
        <v>572</v>
      </c>
      <c r="D1535" s="33" t="s">
        <v>105</v>
      </c>
      <c r="E1535">
        <v>1</v>
      </c>
      <c r="F1535" s="34">
        <v>1.5405092592592592E-2</v>
      </c>
      <c r="G1535" s="34">
        <v>1.5405092592592592E-2</v>
      </c>
      <c r="H1535" s="34">
        <v>0.23127314814814814</v>
      </c>
      <c r="I1535" s="34">
        <v>0.18539351851851851</v>
      </c>
      <c r="J1535" s="35">
        <v>0.80162145931338202</v>
      </c>
      <c r="K1535" s="33" t="s">
        <v>213</v>
      </c>
      <c r="L1535" s="33" t="s">
        <v>601</v>
      </c>
    </row>
    <row r="1536" spans="1:12" x14ac:dyDescent="0.25">
      <c r="A1536" s="32">
        <v>46251</v>
      </c>
      <c r="B1536" s="33" t="s">
        <v>32</v>
      </c>
      <c r="C1536" s="33" t="s">
        <v>669</v>
      </c>
      <c r="D1536" s="33" t="s">
        <v>32</v>
      </c>
      <c r="E1536">
        <v>46</v>
      </c>
      <c r="F1536" s="34">
        <v>0.14076388888888888</v>
      </c>
      <c r="G1536" s="34">
        <v>3.060084541062802E-3</v>
      </c>
      <c r="H1536" s="34">
        <v>0.26314814814814813</v>
      </c>
      <c r="I1536" s="34">
        <v>6.4537037037037032E-2</v>
      </c>
      <c r="J1536" s="35">
        <v>0.24524982406755805</v>
      </c>
      <c r="K1536" s="33" t="s">
        <v>668</v>
      </c>
      <c r="L1536" s="33" t="s">
        <v>233</v>
      </c>
    </row>
    <row r="1537" spans="1:12" x14ac:dyDescent="0.25">
      <c r="A1537" s="32">
        <v>46251</v>
      </c>
      <c r="B1537" s="33" t="s">
        <v>32</v>
      </c>
      <c r="C1537" s="33" t="s">
        <v>306</v>
      </c>
      <c r="D1537" s="33" t="s">
        <v>32</v>
      </c>
      <c r="E1537">
        <v>36</v>
      </c>
      <c r="F1537" s="34">
        <v>0.20211805555555556</v>
      </c>
      <c r="G1537" s="34">
        <v>5.614390432098766E-3</v>
      </c>
      <c r="H1537" s="34">
        <v>0.26178240740740738</v>
      </c>
      <c r="I1537" s="34">
        <v>5.2037037037037034E-2</v>
      </c>
      <c r="J1537" s="35">
        <v>0.19877973295605272</v>
      </c>
      <c r="K1537" s="33" t="s">
        <v>305</v>
      </c>
      <c r="L1537" s="33" t="s">
        <v>100</v>
      </c>
    </row>
    <row r="1538" spans="1:12" x14ac:dyDescent="0.25">
      <c r="A1538" s="32">
        <v>46251</v>
      </c>
      <c r="B1538" s="33" t="s">
        <v>32</v>
      </c>
      <c r="C1538" s="33" t="s">
        <v>641</v>
      </c>
      <c r="D1538" s="33" t="s">
        <v>105</v>
      </c>
      <c r="E1538">
        <v>6</v>
      </c>
      <c r="F1538" s="34">
        <v>4.6574074074074073E-2</v>
      </c>
      <c r="G1538" s="34">
        <v>7.7623456790123458E-3</v>
      </c>
      <c r="H1538" s="34">
        <v>0.24832175925925926</v>
      </c>
      <c r="I1538" s="34">
        <v>0.17280092592592591</v>
      </c>
      <c r="J1538" s="35">
        <v>0.69587508739221626</v>
      </c>
      <c r="K1538" s="33" t="s">
        <v>620</v>
      </c>
      <c r="L1538" s="33" t="s">
        <v>601</v>
      </c>
    </row>
    <row r="1539" spans="1:12" x14ac:dyDescent="0.25">
      <c r="A1539" s="32">
        <v>46251</v>
      </c>
      <c r="B1539" s="33" t="s">
        <v>32</v>
      </c>
      <c r="C1539" s="33" t="s">
        <v>556</v>
      </c>
      <c r="D1539" s="33" t="s">
        <v>105</v>
      </c>
      <c r="E1539">
        <v>15</v>
      </c>
      <c r="F1539" s="34">
        <v>7.0520833333333338E-2</v>
      </c>
      <c r="G1539" s="34">
        <v>4.7013888888888895E-3</v>
      </c>
      <c r="H1539" s="34">
        <v>0.2525115740740741</v>
      </c>
      <c r="I1539" s="34">
        <v>0.12855324074074073</v>
      </c>
      <c r="J1539" s="35">
        <v>0.50909840949718099</v>
      </c>
      <c r="K1539" s="33" t="s">
        <v>138</v>
      </c>
      <c r="L1539" s="33" t="s">
        <v>104</v>
      </c>
    </row>
    <row r="1540" spans="1:12" x14ac:dyDescent="0.25">
      <c r="A1540" s="32">
        <v>46251</v>
      </c>
      <c r="B1540" s="33" t="s">
        <v>32</v>
      </c>
      <c r="C1540" s="33" t="s">
        <v>532</v>
      </c>
      <c r="D1540" s="33" t="s">
        <v>32</v>
      </c>
      <c r="E1540">
        <v>44</v>
      </c>
      <c r="F1540" s="34">
        <v>0.1295138888888889</v>
      </c>
      <c r="G1540" s="34">
        <v>2.9434974747474751E-3</v>
      </c>
      <c r="H1540" s="34">
        <v>0.30274305555555553</v>
      </c>
      <c r="I1540" s="34">
        <v>5.8819444444444445E-2</v>
      </c>
      <c r="J1540" s="35">
        <v>0.1942883358183278</v>
      </c>
      <c r="K1540" s="33" t="s">
        <v>276</v>
      </c>
      <c r="L1540" s="33" t="s">
        <v>233</v>
      </c>
    </row>
    <row r="1541" spans="1:12" x14ac:dyDescent="0.25">
      <c r="A1541" s="32">
        <v>46251</v>
      </c>
      <c r="B1541" s="33" t="s">
        <v>32</v>
      </c>
      <c r="C1541" s="33" t="s">
        <v>533</v>
      </c>
      <c r="D1541" s="33" t="s">
        <v>32</v>
      </c>
      <c r="E1541">
        <v>29</v>
      </c>
      <c r="F1541" s="34">
        <v>0.15189814814814814</v>
      </c>
      <c r="G1541" s="34">
        <v>5.2378671775223495E-3</v>
      </c>
      <c r="H1541" s="34">
        <v>0.26603009259259258</v>
      </c>
      <c r="I1541" s="34">
        <v>4.3287037037037034E-2</v>
      </c>
      <c r="J1541" s="35">
        <v>0.1627148140091364</v>
      </c>
      <c r="K1541" s="33" t="s">
        <v>278</v>
      </c>
      <c r="L1541" s="33" t="s">
        <v>233</v>
      </c>
    </row>
    <row r="1542" spans="1:12" x14ac:dyDescent="0.25">
      <c r="A1542" s="32">
        <v>46251</v>
      </c>
      <c r="B1542" s="33" t="s">
        <v>32</v>
      </c>
      <c r="C1542" s="33" t="s">
        <v>674</v>
      </c>
      <c r="D1542" s="33" t="s">
        <v>105</v>
      </c>
      <c r="E1542">
        <v>4</v>
      </c>
      <c r="F1542" s="34">
        <v>1.6689814814814814E-2</v>
      </c>
      <c r="G1542" s="34">
        <v>4.1724537037037034E-3</v>
      </c>
      <c r="H1542" s="34">
        <v>0.26390046296296299</v>
      </c>
      <c r="I1542" s="34">
        <v>0.12920138888888888</v>
      </c>
      <c r="J1542" s="35">
        <v>0.48958379018464093</v>
      </c>
      <c r="K1542" s="33" t="s">
        <v>673</v>
      </c>
      <c r="L1542" s="33" t="s">
        <v>104</v>
      </c>
    </row>
    <row r="1543" spans="1:12" x14ac:dyDescent="0.25">
      <c r="A1543" s="32">
        <v>46251</v>
      </c>
      <c r="B1543" s="33" t="s">
        <v>32</v>
      </c>
      <c r="C1543" s="33" t="s">
        <v>549</v>
      </c>
      <c r="D1543" s="33" t="s">
        <v>105</v>
      </c>
      <c r="E1543">
        <v>8</v>
      </c>
      <c r="F1543" s="34">
        <v>4.7453703703703706E-2</v>
      </c>
      <c r="G1543" s="34">
        <v>5.9317129629629633E-3</v>
      </c>
      <c r="H1543" s="34">
        <v>0.2449537037037037</v>
      </c>
      <c r="I1543" s="34">
        <v>0.15042824074074074</v>
      </c>
      <c r="J1543" s="35">
        <v>0.61410886410886412</v>
      </c>
      <c r="K1543" s="33" t="s">
        <v>225</v>
      </c>
      <c r="L1543" s="33" t="s">
        <v>601</v>
      </c>
    </row>
    <row r="1544" spans="1:12" x14ac:dyDescent="0.25">
      <c r="A1544" s="32">
        <v>46251</v>
      </c>
      <c r="B1544" s="33" t="s">
        <v>32</v>
      </c>
      <c r="C1544" s="33" t="s">
        <v>71</v>
      </c>
      <c r="D1544" s="33" t="s">
        <v>80</v>
      </c>
      <c r="E1544">
        <v>1</v>
      </c>
      <c r="F1544" s="34">
        <v>6.0069444444444441E-3</v>
      </c>
      <c r="G1544" s="34">
        <v>6.0069444444444441E-3</v>
      </c>
      <c r="H1544" s="34">
        <v>0.34225694444444443</v>
      </c>
      <c r="I1544" s="34">
        <v>0.10289351851851852</v>
      </c>
      <c r="J1544" s="35">
        <v>0.30063237631463258</v>
      </c>
      <c r="K1544" s="33" t="s">
        <v>70</v>
      </c>
      <c r="L1544" s="33" t="s">
        <v>78</v>
      </c>
    </row>
    <row r="1545" spans="1:12" x14ac:dyDescent="0.25">
      <c r="A1545" s="32">
        <v>46251</v>
      </c>
      <c r="B1545" s="33" t="s">
        <v>32</v>
      </c>
      <c r="C1545" s="33" t="s">
        <v>534</v>
      </c>
      <c r="D1545" s="33" t="s">
        <v>32</v>
      </c>
      <c r="E1545">
        <v>50</v>
      </c>
      <c r="F1545" s="34">
        <v>0.13556712962962963</v>
      </c>
      <c r="G1545" s="34">
        <v>2.7113425925925929E-3</v>
      </c>
      <c r="H1545" s="34">
        <v>0.26401620370370371</v>
      </c>
      <c r="I1545" s="34">
        <v>3.3530092592592591E-2</v>
      </c>
      <c r="J1545" s="35">
        <v>0.12700013151549691</v>
      </c>
      <c r="K1545" s="33" t="s">
        <v>280</v>
      </c>
      <c r="L1545" s="33" t="s">
        <v>233</v>
      </c>
    </row>
    <row r="1546" spans="1:12" x14ac:dyDescent="0.25">
      <c r="A1546" s="32">
        <v>46251</v>
      </c>
      <c r="B1546" s="33" t="s">
        <v>32</v>
      </c>
      <c r="C1546" s="33" t="s">
        <v>535</v>
      </c>
      <c r="D1546" s="33" t="s">
        <v>32</v>
      </c>
      <c r="E1546">
        <v>50</v>
      </c>
      <c r="F1546" s="34">
        <v>0.12358796296296297</v>
      </c>
      <c r="G1546" s="34">
        <v>2.4717592592592595E-3</v>
      </c>
      <c r="H1546" s="34">
        <v>0.26256944444444447</v>
      </c>
      <c r="I1546" s="34">
        <v>4.2673611111111114E-2</v>
      </c>
      <c r="J1546" s="35">
        <v>0.16252314202591905</v>
      </c>
      <c r="K1546" s="33" t="s">
        <v>282</v>
      </c>
      <c r="L1546" s="33" t="s">
        <v>233</v>
      </c>
    </row>
    <row r="1547" spans="1:12" x14ac:dyDescent="0.25">
      <c r="A1547" s="32">
        <v>46251</v>
      </c>
      <c r="B1547" s="33" t="s">
        <v>32</v>
      </c>
      <c r="C1547" s="33" t="s">
        <v>557</v>
      </c>
      <c r="D1547" s="33" t="s">
        <v>147</v>
      </c>
      <c r="E1547">
        <v>10</v>
      </c>
      <c r="F1547" s="34">
        <v>3.4432870370370371E-2</v>
      </c>
      <c r="G1547" s="34">
        <v>3.4432870370370372E-3</v>
      </c>
      <c r="H1547" s="34">
        <v>0.25421296296296297</v>
      </c>
      <c r="I1547" s="34">
        <v>4.3437499999999997E-2</v>
      </c>
      <c r="J1547" s="35">
        <v>0.17087051538881803</v>
      </c>
      <c r="K1547" s="33" t="s">
        <v>227</v>
      </c>
      <c r="L1547" s="33" t="s">
        <v>146</v>
      </c>
    </row>
    <row r="1548" spans="1:12" x14ac:dyDescent="0.25">
      <c r="A1548" s="32">
        <v>46251</v>
      </c>
      <c r="B1548" s="33" t="s">
        <v>32</v>
      </c>
      <c r="C1548" s="33" t="s">
        <v>676</v>
      </c>
      <c r="D1548" s="33" t="s">
        <v>105</v>
      </c>
      <c r="E1548">
        <v>2</v>
      </c>
      <c r="F1548" s="34">
        <v>4.9305555555555552E-3</v>
      </c>
      <c r="G1548" s="34">
        <v>2.4652777777777776E-3</v>
      </c>
      <c r="H1548" s="34">
        <v>0.2587962962962963</v>
      </c>
      <c r="I1548" s="34">
        <v>0.14472222222222222</v>
      </c>
      <c r="J1548" s="35">
        <v>0.55921288014311266</v>
      </c>
      <c r="K1548" s="33" t="s">
        <v>675</v>
      </c>
      <c r="L1548" s="33" t="s">
        <v>104</v>
      </c>
    </row>
    <row r="1549" spans="1:12" x14ac:dyDescent="0.25">
      <c r="A1549" s="32">
        <v>46251</v>
      </c>
      <c r="B1549" s="33" t="s">
        <v>32</v>
      </c>
      <c r="C1549" s="33" t="s">
        <v>678</v>
      </c>
      <c r="D1549" s="33" t="s">
        <v>147</v>
      </c>
      <c r="E1549">
        <v>9</v>
      </c>
      <c r="F1549" s="34">
        <v>2.2118055555555554E-2</v>
      </c>
      <c r="G1549" s="34">
        <v>2.4575617283950617E-3</v>
      </c>
      <c r="H1549" s="34">
        <v>0.25578703703703703</v>
      </c>
      <c r="I1549" s="34">
        <v>3.9074074074074074E-2</v>
      </c>
      <c r="J1549" s="35">
        <v>0.15276018099547511</v>
      </c>
      <c r="K1549" s="33" t="s">
        <v>677</v>
      </c>
      <c r="L1549" s="33" t="s">
        <v>274</v>
      </c>
    </row>
    <row r="1550" spans="1:12" x14ac:dyDescent="0.25">
      <c r="A1550" s="32">
        <v>46251</v>
      </c>
      <c r="B1550" s="33" t="s">
        <v>600</v>
      </c>
      <c r="C1550" s="33" t="s">
        <v>598</v>
      </c>
      <c r="D1550" s="33" t="s">
        <v>284</v>
      </c>
      <c r="E1550">
        <v>22</v>
      </c>
      <c r="F1550" s="34">
        <v>2.5462962962962961E-4</v>
      </c>
      <c r="G1550" s="34">
        <v>1.1574074074074073E-5</v>
      </c>
      <c r="H1550" s="34">
        <v>0</v>
      </c>
      <c r="I1550" s="34">
        <v>0</v>
      </c>
      <c r="J1550" s="35">
        <v>0</v>
      </c>
      <c r="K1550" s="33" t="s">
        <v>598</v>
      </c>
      <c r="L1550" s="33" t="s">
        <v>284</v>
      </c>
    </row>
    <row r="1551" spans="1:12" x14ac:dyDescent="0.25">
      <c r="A1551" s="32">
        <v>46251</v>
      </c>
      <c r="B1551" s="33" t="s">
        <v>600</v>
      </c>
      <c r="C1551" s="33" t="s">
        <v>545</v>
      </c>
      <c r="D1551" s="33" t="s">
        <v>600</v>
      </c>
      <c r="E1551">
        <v>28</v>
      </c>
      <c r="F1551" s="34">
        <v>6.0266203703703704E-2</v>
      </c>
      <c r="G1551" s="34">
        <v>2.1523644179894182E-3</v>
      </c>
      <c r="H1551" s="34">
        <v>0.24884259259259259</v>
      </c>
      <c r="I1551" s="34">
        <v>5.9340277777777777E-2</v>
      </c>
      <c r="J1551" s="35">
        <v>0.23846511627906977</v>
      </c>
      <c r="K1551" s="33" t="s">
        <v>201</v>
      </c>
      <c r="L1551" s="33" t="s">
        <v>601</v>
      </c>
    </row>
    <row r="1552" spans="1:12" x14ac:dyDescent="0.25">
      <c r="A1552" s="32">
        <v>46251</v>
      </c>
      <c r="B1552" s="33" t="s">
        <v>600</v>
      </c>
      <c r="C1552" s="33" t="s">
        <v>543</v>
      </c>
      <c r="D1552" s="33" t="s">
        <v>600</v>
      </c>
      <c r="E1552">
        <v>21</v>
      </c>
      <c r="F1552" s="34">
        <v>4.3229166666666666E-2</v>
      </c>
      <c r="G1552" s="34">
        <v>2.0585317460317461E-3</v>
      </c>
      <c r="H1552" s="34">
        <v>0.22778935185185184</v>
      </c>
      <c r="I1552" s="34">
        <v>0.15372685185185186</v>
      </c>
      <c r="J1552" s="35">
        <v>0.67486408210964899</v>
      </c>
      <c r="K1552" s="33" t="s">
        <v>293</v>
      </c>
      <c r="L1552" s="33" t="s">
        <v>104</v>
      </c>
    </row>
    <row r="1553" spans="1:12" x14ac:dyDescent="0.25">
      <c r="A1553" s="32">
        <v>46252</v>
      </c>
      <c r="B1553" s="33" t="s">
        <v>147</v>
      </c>
      <c r="C1553" s="33" t="s">
        <v>563</v>
      </c>
      <c r="D1553" s="33" t="s">
        <v>147</v>
      </c>
      <c r="E1553">
        <v>13</v>
      </c>
      <c r="F1553" s="34">
        <v>5.0763888888888886E-2</v>
      </c>
      <c r="G1553" s="34">
        <v>3.9049145299145296E-3</v>
      </c>
      <c r="H1553" s="34">
        <v>0.26418981481481479</v>
      </c>
      <c r="I1553" s="34">
        <v>2.8159722222222221E-2</v>
      </c>
      <c r="J1553" s="35">
        <v>0.10658897748181899</v>
      </c>
      <c r="K1553" s="33" t="s">
        <v>193</v>
      </c>
      <c r="L1553" s="33" t="s">
        <v>274</v>
      </c>
    </row>
    <row r="1554" spans="1:12" x14ac:dyDescent="0.25">
      <c r="A1554" s="32">
        <v>46252</v>
      </c>
      <c r="B1554" s="33" t="s">
        <v>147</v>
      </c>
      <c r="C1554" s="33" t="s">
        <v>514</v>
      </c>
      <c r="D1554" s="33" t="s">
        <v>147</v>
      </c>
      <c r="E1554">
        <v>17</v>
      </c>
      <c r="F1554" s="34">
        <v>2.0289351851851854E-2</v>
      </c>
      <c r="G1554" s="34">
        <v>1.1934912854030502E-3</v>
      </c>
      <c r="H1554" s="34">
        <v>0.26621527777777776</v>
      </c>
      <c r="I1554" s="34">
        <v>3.650462962962963E-2</v>
      </c>
      <c r="J1554" s="35">
        <v>0.13712447284900658</v>
      </c>
      <c r="K1554" s="33" t="s">
        <v>150</v>
      </c>
      <c r="L1554" s="33" t="s">
        <v>146</v>
      </c>
    </row>
    <row r="1555" spans="1:12" x14ac:dyDescent="0.25">
      <c r="A1555" s="32">
        <v>46252</v>
      </c>
      <c r="B1555" s="33" t="s">
        <v>147</v>
      </c>
      <c r="C1555" s="33" t="s">
        <v>515</v>
      </c>
      <c r="D1555" s="33" t="s">
        <v>147</v>
      </c>
      <c r="E1555">
        <v>13</v>
      </c>
      <c r="F1555" s="34">
        <v>3.0787037037037036E-2</v>
      </c>
      <c r="G1555" s="34">
        <v>2.3682336182336183E-3</v>
      </c>
      <c r="H1555" s="34">
        <v>0.25840277777777776</v>
      </c>
      <c r="I1555" s="34">
        <v>2.7650462962962963E-2</v>
      </c>
      <c r="J1555" s="35">
        <v>0.10700528531756698</v>
      </c>
      <c r="K1555" s="33" t="s">
        <v>154</v>
      </c>
      <c r="L1555" s="33" t="s">
        <v>146</v>
      </c>
    </row>
    <row r="1556" spans="1:12" x14ac:dyDescent="0.25">
      <c r="A1556" s="32">
        <v>46252</v>
      </c>
      <c r="B1556" s="33" t="s">
        <v>147</v>
      </c>
      <c r="C1556" s="33" t="s">
        <v>516</v>
      </c>
      <c r="D1556" s="33" t="s">
        <v>147</v>
      </c>
      <c r="E1556">
        <v>16</v>
      </c>
      <c r="F1556" s="34">
        <v>5.6875000000000002E-2</v>
      </c>
      <c r="G1556" s="34">
        <v>3.5546875000000001E-3</v>
      </c>
      <c r="H1556" s="34">
        <v>0.27206018518518521</v>
      </c>
      <c r="I1556" s="34">
        <v>4.9548611111111113E-2</v>
      </c>
      <c r="J1556" s="35">
        <v>0.18212371309452904</v>
      </c>
      <c r="K1556" s="33" t="s">
        <v>156</v>
      </c>
      <c r="L1556" s="33" t="s">
        <v>146</v>
      </c>
    </row>
    <row r="1557" spans="1:12" x14ac:dyDescent="0.25">
      <c r="A1557" s="32">
        <v>46252</v>
      </c>
      <c r="B1557" s="33" t="s">
        <v>147</v>
      </c>
      <c r="C1557" s="33" t="s">
        <v>544</v>
      </c>
      <c r="D1557" s="33" t="s">
        <v>147</v>
      </c>
      <c r="E1557">
        <v>13</v>
      </c>
      <c r="F1557" s="34">
        <v>6.4780092592592597E-2</v>
      </c>
      <c r="G1557" s="34">
        <v>4.9830840455840457E-3</v>
      </c>
      <c r="H1557" s="34">
        <v>0.25717592592592592</v>
      </c>
      <c r="I1557" s="34">
        <v>5.0219907407407408E-2</v>
      </c>
      <c r="J1557" s="35">
        <v>0.19527452745274529</v>
      </c>
      <c r="K1557" s="33" t="s">
        <v>160</v>
      </c>
      <c r="L1557" s="33" t="s">
        <v>146</v>
      </c>
    </row>
    <row r="1558" spans="1:12" x14ac:dyDescent="0.25">
      <c r="A1558" s="32">
        <v>46252</v>
      </c>
      <c r="B1558" s="33" t="s">
        <v>147</v>
      </c>
      <c r="C1558" s="33" t="s">
        <v>517</v>
      </c>
      <c r="D1558" s="33" t="s">
        <v>147</v>
      </c>
      <c r="E1558">
        <v>6</v>
      </c>
      <c r="F1558" s="34">
        <v>5.016203703703704E-2</v>
      </c>
      <c r="G1558" s="34">
        <v>8.3603395061728394E-3</v>
      </c>
      <c r="H1558" s="34">
        <v>0.25658564814814816</v>
      </c>
      <c r="I1558" s="34">
        <v>6.0057870370370373E-2</v>
      </c>
      <c r="J1558" s="35">
        <v>0.23406558708105912</v>
      </c>
      <c r="K1558" s="33" t="s">
        <v>499</v>
      </c>
      <c r="L1558" s="33" t="s">
        <v>146</v>
      </c>
    </row>
    <row r="1559" spans="1:12" x14ac:dyDescent="0.25">
      <c r="A1559" s="32">
        <v>46252</v>
      </c>
      <c r="B1559" s="33" t="s">
        <v>147</v>
      </c>
      <c r="C1559" s="33" t="s">
        <v>518</v>
      </c>
      <c r="D1559" s="33" t="s">
        <v>147</v>
      </c>
      <c r="E1559">
        <v>13</v>
      </c>
      <c r="F1559" s="34">
        <v>5.7916666666666665E-2</v>
      </c>
      <c r="G1559" s="34">
        <v>4.4551282051282053E-3</v>
      </c>
      <c r="H1559" s="34">
        <v>0.26306712962962964</v>
      </c>
      <c r="I1559" s="34">
        <v>3.0729166666666665E-2</v>
      </c>
      <c r="J1559" s="35">
        <v>0.11681112235470104</v>
      </c>
      <c r="K1559" s="33" t="s">
        <v>500</v>
      </c>
      <c r="L1559" s="33" t="s">
        <v>274</v>
      </c>
    </row>
    <row r="1560" spans="1:12" x14ac:dyDescent="0.25">
      <c r="A1560" s="32">
        <v>46252</v>
      </c>
      <c r="B1560" s="33" t="s">
        <v>147</v>
      </c>
      <c r="C1560" s="33" t="s">
        <v>519</v>
      </c>
      <c r="D1560" s="33" t="s">
        <v>147</v>
      </c>
      <c r="E1560">
        <v>18</v>
      </c>
      <c r="F1560" s="34">
        <v>7.4004629629629629E-2</v>
      </c>
      <c r="G1560" s="34">
        <v>4.1113683127572019E-3</v>
      </c>
      <c r="H1560" s="34">
        <v>0.3190972222222222</v>
      </c>
      <c r="I1560" s="34">
        <v>2.7893518518518519E-2</v>
      </c>
      <c r="J1560" s="35">
        <v>8.7413855640188623E-2</v>
      </c>
      <c r="K1560" s="33" t="s">
        <v>164</v>
      </c>
      <c r="L1560" s="33" t="s">
        <v>146</v>
      </c>
    </row>
    <row r="1561" spans="1:12" x14ac:dyDescent="0.25">
      <c r="A1561" s="32">
        <v>46252</v>
      </c>
      <c r="B1561" s="33" t="s">
        <v>147</v>
      </c>
      <c r="C1561" s="33" t="s">
        <v>167</v>
      </c>
      <c r="D1561" s="33" t="s">
        <v>147</v>
      </c>
      <c r="E1561">
        <v>18</v>
      </c>
      <c r="F1561" s="34">
        <v>5.5312500000000001E-2</v>
      </c>
      <c r="G1561" s="34">
        <v>3.0729166666666665E-3</v>
      </c>
      <c r="H1561" s="34">
        <v>0.25939814814814816</v>
      </c>
      <c r="I1561" s="34">
        <v>3.5543981481481482E-2</v>
      </c>
      <c r="J1561" s="35">
        <v>0.13702480813849724</v>
      </c>
      <c r="K1561" s="33" t="s">
        <v>166</v>
      </c>
      <c r="L1561" s="33" t="s">
        <v>146</v>
      </c>
    </row>
    <row r="1562" spans="1:12" x14ac:dyDescent="0.25">
      <c r="A1562" s="32">
        <v>46252</v>
      </c>
      <c r="B1562" s="33" t="s">
        <v>147</v>
      </c>
      <c r="C1562" s="33" t="s">
        <v>658</v>
      </c>
      <c r="D1562" s="33" t="s">
        <v>147</v>
      </c>
      <c r="E1562">
        <v>20</v>
      </c>
      <c r="F1562" s="34">
        <v>5.5520833333333332E-2</v>
      </c>
      <c r="G1562" s="34">
        <v>2.7760416666666667E-3</v>
      </c>
      <c r="H1562" s="34">
        <v>0.25637731481481479</v>
      </c>
      <c r="I1562" s="34">
        <v>2.9270833333333333E-2</v>
      </c>
      <c r="J1562" s="35">
        <v>0.11417091779152183</v>
      </c>
      <c r="K1562" s="33" t="s">
        <v>657</v>
      </c>
      <c r="L1562" s="33" t="s">
        <v>274</v>
      </c>
    </row>
    <row r="1563" spans="1:12" x14ac:dyDescent="0.25">
      <c r="A1563" s="32">
        <v>46252</v>
      </c>
      <c r="B1563" s="33" t="s">
        <v>147</v>
      </c>
      <c r="C1563" s="33" t="s">
        <v>520</v>
      </c>
      <c r="D1563" s="33" t="s">
        <v>147</v>
      </c>
      <c r="E1563">
        <v>15</v>
      </c>
      <c r="F1563" s="34">
        <v>5.5775462962962964E-2</v>
      </c>
      <c r="G1563" s="34">
        <v>3.7183641975308641E-3</v>
      </c>
      <c r="H1563" s="34">
        <v>0.26399305555555558</v>
      </c>
      <c r="I1563" s="34">
        <v>3.6585648148148145E-2</v>
      </c>
      <c r="J1563" s="35">
        <v>0.13858564601692311</v>
      </c>
      <c r="K1563" s="33" t="s">
        <v>168</v>
      </c>
      <c r="L1563" s="33" t="s">
        <v>274</v>
      </c>
    </row>
    <row r="1564" spans="1:12" x14ac:dyDescent="0.25">
      <c r="A1564" s="32">
        <v>46252</v>
      </c>
      <c r="B1564" s="33" t="s">
        <v>147</v>
      </c>
      <c r="C1564" s="33" t="s">
        <v>521</v>
      </c>
      <c r="D1564" s="33" t="s">
        <v>147</v>
      </c>
      <c r="E1564">
        <v>8</v>
      </c>
      <c r="F1564" s="34">
        <v>7.2418981481481487E-2</v>
      </c>
      <c r="G1564" s="34">
        <v>9.0523726851851859E-3</v>
      </c>
      <c r="H1564" s="34">
        <v>0.26351851851851854</v>
      </c>
      <c r="I1564" s="34">
        <v>4.7743055555555552E-2</v>
      </c>
      <c r="J1564" s="35">
        <v>0.1811753338018271</v>
      </c>
      <c r="K1564" s="33" t="s">
        <v>170</v>
      </c>
      <c r="L1564" s="33" t="s">
        <v>146</v>
      </c>
    </row>
    <row r="1565" spans="1:12" x14ac:dyDescent="0.25">
      <c r="A1565" s="32">
        <v>46252</v>
      </c>
      <c r="B1565" s="33" t="s">
        <v>147</v>
      </c>
      <c r="C1565" s="33" t="s">
        <v>633</v>
      </c>
      <c r="D1565" s="33" t="s">
        <v>147</v>
      </c>
      <c r="E1565">
        <v>8</v>
      </c>
      <c r="F1565" s="34">
        <v>6.2916666666666662E-2</v>
      </c>
      <c r="G1565" s="34">
        <v>7.8645833333333328E-3</v>
      </c>
      <c r="H1565" s="34">
        <v>0.25868055555555558</v>
      </c>
      <c r="I1565" s="34">
        <v>8.7499999999999994E-2</v>
      </c>
      <c r="J1565" s="35">
        <v>0.33825503355704695</v>
      </c>
      <c r="K1565" s="33" t="s">
        <v>606</v>
      </c>
      <c r="L1565" s="33" t="s">
        <v>146</v>
      </c>
    </row>
    <row r="1566" spans="1:12" x14ac:dyDescent="0.25">
      <c r="A1566" s="32">
        <v>46252</v>
      </c>
      <c r="B1566" s="33" t="s">
        <v>147</v>
      </c>
      <c r="C1566" s="33" t="s">
        <v>522</v>
      </c>
      <c r="D1566" s="33" t="s">
        <v>147</v>
      </c>
      <c r="E1566">
        <v>14</v>
      </c>
      <c r="F1566" s="34">
        <v>5.1736111111111108E-2</v>
      </c>
      <c r="G1566" s="34">
        <v>3.6954365079365078E-3</v>
      </c>
      <c r="H1566" s="34">
        <v>0.25515046296296295</v>
      </c>
      <c r="I1566" s="34">
        <v>3.1412037037037037E-2</v>
      </c>
      <c r="J1566" s="35">
        <v>0.12311181673848946</v>
      </c>
      <c r="K1566" s="33" t="s">
        <v>178</v>
      </c>
      <c r="L1566" s="33" t="s">
        <v>146</v>
      </c>
    </row>
    <row r="1567" spans="1:12" x14ac:dyDescent="0.25">
      <c r="A1567" s="32">
        <v>46252</v>
      </c>
      <c r="B1567" s="33" t="s">
        <v>147</v>
      </c>
      <c r="C1567" s="33" t="s">
        <v>523</v>
      </c>
      <c r="D1567" s="33" t="s">
        <v>147</v>
      </c>
      <c r="E1567">
        <v>8</v>
      </c>
      <c r="F1567" s="34">
        <v>4.4305555555555556E-2</v>
      </c>
      <c r="G1567" s="34">
        <v>5.5381944444444445E-3</v>
      </c>
      <c r="H1567" s="34">
        <v>0.2565277777777778</v>
      </c>
      <c r="I1567" s="34">
        <v>3.4594907407407408E-2</v>
      </c>
      <c r="J1567" s="35">
        <v>0.13485832882151236</v>
      </c>
      <c r="K1567" s="33" t="s">
        <v>180</v>
      </c>
      <c r="L1567" s="33" t="s">
        <v>146</v>
      </c>
    </row>
    <row r="1568" spans="1:12" x14ac:dyDescent="0.25">
      <c r="A1568" s="32">
        <v>46252</v>
      </c>
      <c r="B1568" s="33" t="s">
        <v>147</v>
      </c>
      <c r="C1568" s="33" t="s">
        <v>566</v>
      </c>
      <c r="D1568" s="33" t="s">
        <v>147</v>
      </c>
      <c r="E1568">
        <v>19</v>
      </c>
      <c r="F1568" s="34">
        <v>7.0995370370370375E-2</v>
      </c>
      <c r="G1568" s="34">
        <v>3.7365984405458093E-3</v>
      </c>
      <c r="H1568" s="34">
        <v>0.26549768518518518</v>
      </c>
      <c r="I1568" s="34">
        <v>3.2650462962962964E-2</v>
      </c>
      <c r="J1568" s="35">
        <v>0.12297833384192861</v>
      </c>
      <c r="K1568" s="33" t="s">
        <v>207</v>
      </c>
      <c r="L1568" s="33" t="s">
        <v>274</v>
      </c>
    </row>
    <row r="1569" spans="1:12" x14ac:dyDescent="0.25">
      <c r="A1569" s="32">
        <v>46252</v>
      </c>
      <c r="B1569" s="33" t="s">
        <v>147</v>
      </c>
      <c r="C1569" s="33" t="s">
        <v>524</v>
      </c>
      <c r="D1569" s="33" t="s">
        <v>147</v>
      </c>
      <c r="E1569">
        <v>16</v>
      </c>
      <c r="F1569" s="34">
        <v>6.4062499999999994E-2</v>
      </c>
      <c r="G1569" s="34">
        <v>4.0039062499999997E-3</v>
      </c>
      <c r="H1569" s="34">
        <v>0.25600694444444444</v>
      </c>
      <c r="I1569" s="34">
        <v>3.1805555555555552E-2</v>
      </c>
      <c r="J1569" s="35">
        <v>0.1242370812423708</v>
      </c>
      <c r="K1569" s="33" t="s">
        <v>501</v>
      </c>
      <c r="L1569" s="33" t="s">
        <v>274</v>
      </c>
    </row>
    <row r="1570" spans="1:12" x14ac:dyDescent="0.25">
      <c r="A1570" s="32">
        <v>46252</v>
      </c>
      <c r="B1570" s="33" t="s">
        <v>147</v>
      </c>
      <c r="C1570" s="33" t="s">
        <v>557</v>
      </c>
      <c r="D1570" s="33" t="s">
        <v>147</v>
      </c>
      <c r="E1570">
        <v>9</v>
      </c>
      <c r="F1570" s="34">
        <v>4.5289351851851851E-2</v>
      </c>
      <c r="G1570" s="34">
        <v>5.0321502057613168E-3</v>
      </c>
      <c r="H1570" s="34">
        <v>0.28675925925925927</v>
      </c>
      <c r="I1570" s="34">
        <v>4.5173611111111109E-2</v>
      </c>
      <c r="J1570" s="35">
        <v>0.15753148207943168</v>
      </c>
      <c r="K1570" s="33" t="s">
        <v>227</v>
      </c>
      <c r="L1570" s="33" t="s">
        <v>146</v>
      </c>
    </row>
    <row r="1571" spans="1:12" x14ac:dyDescent="0.25">
      <c r="A1571" s="32">
        <v>46252</v>
      </c>
      <c r="B1571" s="33" t="s">
        <v>147</v>
      </c>
      <c r="C1571" s="33" t="s">
        <v>678</v>
      </c>
      <c r="D1571" s="33" t="s">
        <v>147</v>
      </c>
      <c r="E1571">
        <v>14</v>
      </c>
      <c r="F1571" s="34">
        <v>3.9629629629629633E-2</v>
      </c>
      <c r="G1571" s="34">
        <v>2.8306878306878307E-3</v>
      </c>
      <c r="H1571" s="34">
        <v>0.26087962962962963</v>
      </c>
      <c r="I1571" s="34">
        <v>2.8634259259259259E-2</v>
      </c>
      <c r="J1571" s="35">
        <v>0.10976042590949422</v>
      </c>
      <c r="K1571" s="33" t="s">
        <v>677</v>
      </c>
      <c r="L1571" s="33" t="s">
        <v>274</v>
      </c>
    </row>
    <row r="1572" spans="1:12" x14ac:dyDescent="0.25">
      <c r="A1572" s="32">
        <v>46252</v>
      </c>
      <c r="B1572" s="33" t="s">
        <v>105</v>
      </c>
      <c r="C1572" s="33" t="s">
        <v>513</v>
      </c>
      <c r="D1572" s="33" t="s">
        <v>105</v>
      </c>
      <c r="E1572">
        <v>7</v>
      </c>
      <c r="F1572" s="34">
        <v>0.18591435185185184</v>
      </c>
      <c r="G1572" s="34">
        <v>2.6559193121693119E-2</v>
      </c>
      <c r="H1572" s="34">
        <v>0.23429398148148148</v>
      </c>
      <c r="I1572" s="34">
        <v>0.17737268518518517</v>
      </c>
      <c r="J1572" s="35">
        <v>0.75705182038235441</v>
      </c>
      <c r="K1572" s="33" t="s">
        <v>148</v>
      </c>
      <c r="L1572" s="33" t="s">
        <v>104</v>
      </c>
    </row>
    <row r="1573" spans="1:12" x14ac:dyDescent="0.25">
      <c r="A1573" s="32">
        <v>46252</v>
      </c>
      <c r="B1573" s="33" t="s">
        <v>105</v>
      </c>
      <c r="C1573" s="33" t="s">
        <v>569</v>
      </c>
      <c r="D1573" s="33" t="s">
        <v>105</v>
      </c>
      <c r="E1573">
        <v>3</v>
      </c>
      <c r="F1573" s="34">
        <v>5.7939814814814812E-2</v>
      </c>
      <c r="G1573" s="34">
        <v>1.931327160493827E-2</v>
      </c>
      <c r="H1573" s="34">
        <v>0.25187500000000002</v>
      </c>
      <c r="I1573" s="34">
        <v>0.13761574074074073</v>
      </c>
      <c r="J1573" s="35">
        <v>0.54636522378457852</v>
      </c>
      <c r="K1573" s="33" t="s">
        <v>493</v>
      </c>
      <c r="L1573" s="33" t="s">
        <v>104</v>
      </c>
    </row>
    <row r="1574" spans="1:12" x14ac:dyDescent="0.25">
      <c r="A1574" s="32">
        <v>46252</v>
      </c>
      <c r="B1574" s="33" t="s">
        <v>105</v>
      </c>
      <c r="C1574" s="33" t="s">
        <v>631</v>
      </c>
      <c r="D1574" s="33" t="s">
        <v>105</v>
      </c>
      <c r="E1574">
        <v>1</v>
      </c>
      <c r="F1574" s="34">
        <v>2.9756944444444444E-2</v>
      </c>
      <c r="G1574" s="34">
        <v>2.9756944444444444E-2</v>
      </c>
      <c r="H1574" s="34">
        <v>0.25006944444444446</v>
      </c>
      <c r="I1574" s="34">
        <v>9.7361111111111107E-2</v>
      </c>
      <c r="J1574" s="35">
        <v>0.38933629547347953</v>
      </c>
      <c r="K1574" s="33" t="s">
        <v>608</v>
      </c>
      <c r="L1574" s="33" t="s">
        <v>601</v>
      </c>
    </row>
    <row r="1575" spans="1:12" x14ac:dyDescent="0.25">
      <c r="A1575" s="32">
        <v>46252</v>
      </c>
      <c r="B1575" s="33" t="s">
        <v>105</v>
      </c>
      <c r="C1575" s="33" t="s">
        <v>564</v>
      </c>
      <c r="D1575" s="33" t="s">
        <v>105</v>
      </c>
      <c r="E1575">
        <v>2</v>
      </c>
      <c r="F1575" s="34">
        <v>5.9004629629629629E-2</v>
      </c>
      <c r="G1575" s="34">
        <v>2.9502314814814815E-2</v>
      </c>
      <c r="H1575" s="34">
        <v>0.23475694444444445</v>
      </c>
      <c r="I1575" s="34">
        <v>0.12922453703703704</v>
      </c>
      <c r="J1575" s="35">
        <v>0.55046097717300202</v>
      </c>
      <c r="K1575" s="33" t="s">
        <v>197</v>
      </c>
      <c r="L1575" s="33" t="s">
        <v>601</v>
      </c>
    </row>
    <row r="1576" spans="1:12" x14ac:dyDescent="0.25">
      <c r="A1576" s="32">
        <v>46252</v>
      </c>
      <c r="B1576" s="33" t="s">
        <v>105</v>
      </c>
      <c r="C1576" s="33" t="s">
        <v>570</v>
      </c>
      <c r="D1576" s="33" t="s">
        <v>105</v>
      </c>
      <c r="E1576">
        <v>6</v>
      </c>
      <c r="F1576" s="34">
        <v>0.1491550925925926</v>
      </c>
      <c r="G1576" s="34">
        <v>2.4859182098765434E-2</v>
      </c>
      <c r="H1576" s="34">
        <v>0.23850694444444445</v>
      </c>
      <c r="I1576" s="34">
        <v>0.17688657407407407</v>
      </c>
      <c r="J1576" s="35">
        <v>0.74164118988693162</v>
      </c>
      <c r="K1576" s="33" t="s">
        <v>112</v>
      </c>
      <c r="L1576" s="33" t="s">
        <v>104</v>
      </c>
    </row>
    <row r="1577" spans="1:12" x14ac:dyDescent="0.25">
      <c r="A1577" s="32">
        <v>46252</v>
      </c>
      <c r="B1577" s="33" t="s">
        <v>105</v>
      </c>
      <c r="C1577" s="33" t="s">
        <v>537</v>
      </c>
      <c r="D1577" s="33" t="s">
        <v>105</v>
      </c>
      <c r="E1577">
        <v>4</v>
      </c>
      <c r="F1577" s="34">
        <v>5.1053240740740739E-2</v>
      </c>
      <c r="G1577" s="34">
        <v>1.2763310185185185E-2</v>
      </c>
      <c r="H1577" s="34">
        <v>0.26255787037037037</v>
      </c>
      <c r="I1577" s="34">
        <v>0.14054398148148148</v>
      </c>
      <c r="J1577" s="35">
        <v>0.53528763500110199</v>
      </c>
      <c r="K1577" s="33" t="s">
        <v>42</v>
      </c>
      <c r="L1577" s="33" t="s">
        <v>104</v>
      </c>
    </row>
    <row r="1578" spans="1:12" x14ac:dyDescent="0.25">
      <c r="A1578" s="32">
        <v>46252</v>
      </c>
      <c r="B1578" s="33" t="s">
        <v>105</v>
      </c>
      <c r="C1578" s="33" t="s">
        <v>541</v>
      </c>
      <c r="D1578" s="33" t="s">
        <v>105</v>
      </c>
      <c r="E1578">
        <v>5</v>
      </c>
      <c r="F1578" s="34">
        <v>0.13328703703703704</v>
      </c>
      <c r="G1578" s="34">
        <v>2.6657407407407407E-2</v>
      </c>
      <c r="H1578" s="34">
        <v>0.25037037037037035</v>
      </c>
      <c r="I1578" s="34">
        <v>0.15925925925925927</v>
      </c>
      <c r="J1578" s="35">
        <v>0.63609467455621305</v>
      </c>
      <c r="K1578" s="33" t="s">
        <v>114</v>
      </c>
      <c r="L1578" s="33" t="s">
        <v>104</v>
      </c>
    </row>
    <row r="1579" spans="1:12" x14ac:dyDescent="0.25">
      <c r="A1579" s="32">
        <v>46252</v>
      </c>
      <c r="B1579" s="33" t="s">
        <v>105</v>
      </c>
      <c r="C1579" s="33" t="s">
        <v>632</v>
      </c>
      <c r="D1579" s="33" t="s">
        <v>105</v>
      </c>
      <c r="E1579">
        <v>6</v>
      </c>
      <c r="F1579" s="34">
        <v>0.13267361111111112</v>
      </c>
      <c r="G1579" s="34">
        <v>2.2112268518518521E-2</v>
      </c>
      <c r="H1579" s="34">
        <v>0.24482638888888889</v>
      </c>
      <c r="I1579" s="34">
        <v>0.22296296296296297</v>
      </c>
      <c r="J1579" s="35">
        <v>0.91069824611166272</v>
      </c>
      <c r="K1579" s="33" t="s">
        <v>609</v>
      </c>
      <c r="L1579" s="33" t="s">
        <v>601</v>
      </c>
    </row>
    <row r="1580" spans="1:12" x14ac:dyDescent="0.25">
      <c r="A1580" s="32">
        <v>46252</v>
      </c>
      <c r="B1580" s="33" t="s">
        <v>105</v>
      </c>
      <c r="C1580" s="33" t="s">
        <v>542</v>
      </c>
      <c r="D1580" s="33" t="s">
        <v>105</v>
      </c>
      <c r="E1580">
        <v>6</v>
      </c>
      <c r="F1580" s="34">
        <v>0.12590277777777778</v>
      </c>
      <c r="G1580" s="34">
        <v>2.0983796296296296E-2</v>
      </c>
      <c r="H1580" s="34">
        <v>0.23337962962962963</v>
      </c>
      <c r="I1580" s="34">
        <v>0.17163194444444443</v>
      </c>
      <c r="J1580" s="35">
        <v>0.73541955961118821</v>
      </c>
      <c r="K1580" s="33" t="s">
        <v>287</v>
      </c>
      <c r="L1580" s="33" t="s">
        <v>104</v>
      </c>
    </row>
    <row r="1581" spans="1:12" x14ac:dyDescent="0.25">
      <c r="A1581" s="32">
        <v>46252</v>
      </c>
      <c r="B1581" s="33" t="s">
        <v>105</v>
      </c>
      <c r="C1581" s="33" t="s">
        <v>650</v>
      </c>
      <c r="D1581" s="33" t="s">
        <v>105</v>
      </c>
      <c r="E1581">
        <v>6</v>
      </c>
      <c r="F1581" s="34">
        <v>0.11421296296296296</v>
      </c>
      <c r="G1581" s="34">
        <v>1.9035493827160493E-2</v>
      </c>
      <c r="H1581" s="34">
        <v>0.26151620370370371</v>
      </c>
      <c r="I1581" s="34">
        <v>0.13744212962962962</v>
      </c>
      <c r="J1581" s="35">
        <v>0.525558751936269</v>
      </c>
      <c r="K1581" s="33" t="s">
        <v>649</v>
      </c>
      <c r="L1581" s="33" t="s">
        <v>104</v>
      </c>
    </row>
    <row r="1582" spans="1:12" x14ac:dyDescent="0.25">
      <c r="A1582" s="32">
        <v>46252</v>
      </c>
      <c r="B1582" s="33" t="s">
        <v>105</v>
      </c>
      <c r="C1582" s="33" t="s">
        <v>559</v>
      </c>
      <c r="D1582" s="33" t="s">
        <v>105</v>
      </c>
      <c r="E1582">
        <v>5</v>
      </c>
      <c r="F1582" s="34">
        <v>8.082175925925926E-2</v>
      </c>
      <c r="G1582" s="34">
        <v>1.6164351851851853E-2</v>
      </c>
      <c r="H1582" s="34">
        <v>0.33309027777777778</v>
      </c>
      <c r="I1582" s="34">
        <v>0.16501157407407407</v>
      </c>
      <c r="J1582" s="35">
        <v>0.49539594843462248</v>
      </c>
      <c r="K1582" s="33" t="s">
        <v>289</v>
      </c>
      <c r="L1582" s="33" t="s">
        <v>104</v>
      </c>
    </row>
    <row r="1583" spans="1:12" x14ac:dyDescent="0.25">
      <c r="A1583" s="32">
        <v>46252</v>
      </c>
      <c r="B1583" s="33" t="s">
        <v>105</v>
      </c>
      <c r="C1583" s="33" t="s">
        <v>634</v>
      </c>
      <c r="D1583" s="33" t="s">
        <v>105</v>
      </c>
      <c r="E1583">
        <v>4</v>
      </c>
      <c r="F1583" s="34">
        <v>9.3657407407407411E-2</v>
      </c>
      <c r="G1583" s="34">
        <v>2.3414351851851853E-2</v>
      </c>
      <c r="H1583" s="34">
        <v>0.23636574074074074</v>
      </c>
      <c r="I1583" s="34">
        <v>0.2170138888888889</v>
      </c>
      <c r="J1583" s="35">
        <v>0.91812750954852618</v>
      </c>
      <c r="K1583" s="33" t="s">
        <v>612</v>
      </c>
      <c r="L1583" s="33" t="s">
        <v>601</v>
      </c>
    </row>
    <row r="1584" spans="1:12" x14ac:dyDescent="0.25">
      <c r="A1584" s="32">
        <v>46252</v>
      </c>
      <c r="B1584" s="33" t="s">
        <v>105</v>
      </c>
      <c r="C1584" s="33" t="s">
        <v>667</v>
      </c>
      <c r="D1584" s="33" t="s">
        <v>105</v>
      </c>
      <c r="E1584">
        <v>5</v>
      </c>
      <c r="F1584" s="34">
        <v>9.8449074074074078E-2</v>
      </c>
      <c r="G1584" s="34">
        <v>1.9689814814814816E-2</v>
      </c>
      <c r="H1584" s="34">
        <v>0.24082175925925925</v>
      </c>
      <c r="I1584" s="34">
        <v>0.16762731481481483</v>
      </c>
      <c r="J1584" s="35">
        <v>0.69606382467438854</v>
      </c>
      <c r="K1584" s="33" t="s">
        <v>297</v>
      </c>
      <c r="L1584" s="33" t="s">
        <v>104</v>
      </c>
    </row>
    <row r="1585" spans="1:12" x14ac:dyDescent="0.25">
      <c r="A1585" s="32">
        <v>46252</v>
      </c>
      <c r="B1585" s="33" t="s">
        <v>105</v>
      </c>
      <c r="C1585" s="33" t="s">
        <v>635</v>
      </c>
      <c r="D1585" s="33" t="s">
        <v>105</v>
      </c>
      <c r="E1585">
        <v>1</v>
      </c>
      <c r="F1585" s="34">
        <v>2.0902777777777777E-2</v>
      </c>
      <c r="G1585" s="34">
        <v>2.0902777777777777E-2</v>
      </c>
      <c r="H1585" s="34">
        <v>0.21116898148148147</v>
      </c>
      <c r="I1585" s="34">
        <v>9.0162037037037041E-2</v>
      </c>
      <c r="J1585" s="35">
        <v>0.4269662921348315</v>
      </c>
      <c r="K1585" s="33" t="s">
        <v>614</v>
      </c>
      <c r="L1585" s="33" t="s">
        <v>601</v>
      </c>
    </row>
    <row r="1586" spans="1:12" x14ac:dyDescent="0.25">
      <c r="A1586" s="32">
        <v>46252</v>
      </c>
      <c r="B1586" s="33" t="s">
        <v>105</v>
      </c>
      <c r="C1586" s="33" t="s">
        <v>636</v>
      </c>
      <c r="D1586" s="33" t="s">
        <v>105</v>
      </c>
      <c r="E1586">
        <v>6</v>
      </c>
      <c r="F1586" s="34">
        <v>0.12859953703703703</v>
      </c>
      <c r="G1586" s="34">
        <v>2.1433256172839504E-2</v>
      </c>
      <c r="H1586" s="34">
        <v>0.23695601851851852</v>
      </c>
      <c r="I1586" s="34">
        <v>0.18756944444444446</v>
      </c>
      <c r="J1586" s="35">
        <v>0.79157915303082116</v>
      </c>
      <c r="K1586" s="33" t="s">
        <v>615</v>
      </c>
      <c r="L1586" s="33" t="s">
        <v>601</v>
      </c>
    </row>
    <row r="1587" spans="1:12" x14ac:dyDescent="0.25">
      <c r="A1587" s="32">
        <v>46252</v>
      </c>
      <c r="B1587" s="33" t="s">
        <v>105</v>
      </c>
      <c r="C1587" s="33" t="s">
        <v>567</v>
      </c>
      <c r="D1587" s="33" t="s">
        <v>105</v>
      </c>
      <c r="E1587">
        <v>2</v>
      </c>
      <c r="F1587" s="34">
        <v>4.6134259259259257E-2</v>
      </c>
      <c r="G1587" s="34">
        <v>2.3067129629629628E-2</v>
      </c>
      <c r="H1587" s="34">
        <v>0.24916666666666668</v>
      </c>
      <c r="I1587" s="34">
        <v>0.17927083333333332</v>
      </c>
      <c r="J1587" s="35">
        <v>0.71948160535117045</v>
      </c>
      <c r="K1587" s="33" t="s">
        <v>209</v>
      </c>
      <c r="L1587" s="33" t="s">
        <v>601</v>
      </c>
    </row>
    <row r="1588" spans="1:12" x14ac:dyDescent="0.25">
      <c r="A1588" s="32">
        <v>46252</v>
      </c>
      <c r="B1588" s="33" t="s">
        <v>105</v>
      </c>
      <c r="C1588" s="33" t="s">
        <v>512</v>
      </c>
      <c r="D1588" s="33" t="s">
        <v>105</v>
      </c>
      <c r="E1588">
        <v>5</v>
      </c>
      <c r="F1588" s="34">
        <v>0.10918981481481481</v>
      </c>
      <c r="G1588" s="34">
        <v>2.1837962962962962E-2</v>
      </c>
      <c r="H1588" s="34">
        <v>0.25962962962962965</v>
      </c>
      <c r="I1588" s="34">
        <v>0.15005787037037038</v>
      </c>
      <c r="J1588" s="35">
        <v>0.57796897289586302</v>
      </c>
      <c r="K1588" s="33" t="s">
        <v>132</v>
      </c>
      <c r="L1588" s="33" t="s">
        <v>104</v>
      </c>
    </row>
    <row r="1589" spans="1:12" x14ac:dyDescent="0.25">
      <c r="A1589" s="32">
        <v>46252</v>
      </c>
      <c r="B1589" s="33" t="s">
        <v>105</v>
      </c>
      <c r="C1589" s="33" t="s">
        <v>560</v>
      </c>
      <c r="D1589" s="33" t="s">
        <v>105</v>
      </c>
      <c r="E1589">
        <v>6</v>
      </c>
      <c r="F1589" s="34">
        <v>0.11271990740740741</v>
      </c>
      <c r="G1589" s="34">
        <v>1.8786651234567901E-2</v>
      </c>
      <c r="H1589" s="34">
        <v>0.26287037037037037</v>
      </c>
      <c r="I1589" s="34">
        <v>0.15902777777777777</v>
      </c>
      <c r="J1589" s="35">
        <v>0.60496653751320884</v>
      </c>
      <c r="K1589" s="33" t="s">
        <v>134</v>
      </c>
      <c r="L1589" s="33" t="s">
        <v>104</v>
      </c>
    </row>
    <row r="1590" spans="1:12" x14ac:dyDescent="0.25">
      <c r="A1590" s="32">
        <v>46252</v>
      </c>
      <c r="B1590" s="33" t="s">
        <v>105</v>
      </c>
      <c r="C1590" s="33" t="s">
        <v>546</v>
      </c>
      <c r="D1590" s="33" t="s">
        <v>105</v>
      </c>
      <c r="E1590">
        <v>8</v>
      </c>
      <c r="F1590" s="34">
        <v>0.1801851851851852</v>
      </c>
      <c r="G1590" s="34">
        <v>2.252314814814815E-2</v>
      </c>
      <c r="H1590" s="34">
        <v>0.23879629629629628</v>
      </c>
      <c r="I1590" s="34">
        <v>0.1373611111111111</v>
      </c>
      <c r="J1590" s="35">
        <v>0.57522295463357886</v>
      </c>
      <c r="K1590" s="33" t="s">
        <v>211</v>
      </c>
      <c r="L1590" s="33" t="s">
        <v>104</v>
      </c>
    </row>
    <row r="1591" spans="1:12" x14ac:dyDescent="0.25">
      <c r="A1591" s="32">
        <v>46252</v>
      </c>
      <c r="B1591" s="33" t="s">
        <v>105</v>
      </c>
      <c r="C1591" s="33" t="s">
        <v>638</v>
      </c>
      <c r="D1591" s="33" t="s">
        <v>105</v>
      </c>
      <c r="E1591">
        <v>2</v>
      </c>
      <c r="F1591" s="34">
        <v>5.3692129629629631E-2</v>
      </c>
      <c r="G1591" s="34">
        <v>2.6846064814814816E-2</v>
      </c>
      <c r="H1591" s="34">
        <v>0.23246527777777778</v>
      </c>
      <c r="I1591" s="34">
        <v>0.16084490740740739</v>
      </c>
      <c r="J1591" s="35">
        <v>0.69190938511326849</v>
      </c>
      <c r="K1591" s="33" t="s">
        <v>617</v>
      </c>
      <c r="L1591" s="33" t="s">
        <v>601</v>
      </c>
    </row>
    <row r="1592" spans="1:12" x14ac:dyDescent="0.25">
      <c r="A1592" s="32">
        <v>46252</v>
      </c>
      <c r="B1592" s="33" t="s">
        <v>105</v>
      </c>
      <c r="C1592" s="33" t="s">
        <v>561</v>
      </c>
      <c r="D1592" s="33" t="s">
        <v>105</v>
      </c>
      <c r="E1592">
        <v>7</v>
      </c>
      <c r="F1592" s="34">
        <v>0.19372685185185184</v>
      </c>
      <c r="G1592" s="34">
        <v>2.7675264550264551E-2</v>
      </c>
      <c r="H1592" s="34">
        <v>0.2598611111111111</v>
      </c>
      <c r="I1592" s="34">
        <v>0.18788194444444445</v>
      </c>
      <c r="J1592" s="35">
        <v>0.72300908605024061</v>
      </c>
      <c r="K1592" s="33" t="s">
        <v>136</v>
      </c>
      <c r="L1592" s="33" t="s">
        <v>104</v>
      </c>
    </row>
    <row r="1593" spans="1:12" x14ac:dyDescent="0.25">
      <c r="A1593" s="32">
        <v>46252</v>
      </c>
      <c r="B1593" s="33" t="s">
        <v>105</v>
      </c>
      <c r="C1593" s="33" t="s">
        <v>639</v>
      </c>
      <c r="D1593" s="33" t="s">
        <v>105</v>
      </c>
      <c r="E1593">
        <v>4</v>
      </c>
      <c r="F1593" s="34">
        <v>0.10932870370370371</v>
      </c>
      <c r="G1593" s="34">
        <v>2.7332175925925926E-2</v>
      </c>
      <c r="H1593" s="34">
        <v>0.23549768518518518</v>
      </c>
      <c r="I1593" s="34">
        <v>0.17685185185185184</v>
      </c>
      <c r="J1593" s="35">
        <v>0.75097065906521843</v>
      </c>
      <c r="K1593" s="33" t="s">
        <v>618</v>
      </c>
      <c r="L1593" s="33" t="s">
        <v>601</v>
      </c>
    </row>
    <row r="1594" spans="1:12" x14ac:dyDescent="0.25">
      <c r="A1594" s="32">
        <v>46252</v>
      </c>
      <c r="B1594" s="33" t="s">
        <v>105</v>
      </c>
      <c r="C1594" s="33" t="s">
        <v>572</v>
      </c>
      <c r="D1594" s="33" t="s">
        <v>105</v>
      </c>
      <c r="E1594">
        <v>3</v>
      </c>
      <c r="F1594" s="34">
        <v>8.3414351851851851E-2</v>
      </c>
      <c r="G1594" s="34">
        <v>2.7804783950617282E-2</v>
      </c>
      <c r="H1594" s="34">
        <v>0.24024305555555556</v>
      </c>
      <c r="I1594" s="34">
        <v>0.19159722222222222</v>
      </c>
      <c r="J1594" s="35">
        <v>0.7975140916317387</v>
      </c>
      <c r="K1594" s="33" t="s">
        <v>213</v>
      </c>
      <c r="L1594" s="33" t="s">
        <v>601</v>
      </c>
    </row>
    <row r="1595" spans="1:12" x14ac:dyDescent="0.25">
      <c r="A1595" s="32">
        <v>46252</v>
      </c>
      <c r="B1595" s="33" t="s">
        <v>105</v>
      </c>
      <c r="C1595" s="33" t="s">
        <v>548</v>
      </c>
      <c r="D1595" s="33" t="s">
        <v>105</v>
      </c>
      <c r="E1595">
        <v>6</v>
      </c>
      <c r="F1595" s="34">
        <v>0.12670138888888888</v>
      </c>
      <c r="G1595" s="34">
        <v>2.1116898148148145E-2</v>
      </c>
      <c r="H1595" s="34">
        <v>0.22593750000000001</v>
      </c>
      <c r="I1595" s="34">
        <v>0.16271990740740741</v>
      </c>
      <c r="J1595" s="35">
        <v>0.72019876030941032</v>
      </c>
      <c r="K1595" s="33" t="s">
        <v>219</v>
      </c>
      <c r="L1595" s="33" t="s">
        <v>104</v>
      </c>
    </row>
    <row r="1596" spans="1:12" x14ac:dyDescent="0.25">
      <c r="A1596" s="32">
        <v>46252</v>
      </c>
      <c r="B1596" s="33" t="s">
        <v>105</v>
      </c>
      <c r="C1596" s="33" t="s">
        <v>641</v>
      </c>
      <c r="D1596" s="33" t="s">
        <v>105</v>
      </c>
      <c r="E1596">
        <v>2</v>
      </c>
      <c r="F1596" s="34">
        <v>4.9062500000000002E-2</v>
      </c>
      <c r="G1596" s="34">
        <v>2.4531250000000001E-2</v>
      </c>
      <c r="H1596" s="34">
        <v>0.23960648148148148</v>
      </c>
      <c r="I1596" s="34">
        <v>0.16650462962962964</v>
      </c>
      <c r="J1596" s="35">
        <v>0.6949087044729978</v>
      </c>
      <c r="K1596" s="33" t="s">
        <v>620</v>
      </c>
      <c r="L1596" s="33" t="s">
        <v>601</v>
      </c>
    </row>
    <row r="1597" spans="1:12" x14ac:dyDescent="0.25">
      <c r="A1597" s="32">
        <v>46252</v>
      </c>
      <c r="B1597" s="33" t="s">
        <v>105</v>
      </c>
      <c r="C1597" s="33" t="s">
        <v>556</v>
      </c>
      <c r="D1597" s="33" t="s">
        <v>105</v>
      </c>
      <c r="E1597">
        <v>1</v>
      </c>
      <c r="F1597" s="34">
        <v>2.6215277777777778E-2</v>
      </c>
      <c r="G1597" s="34">
        <v>2.6215277777777778E-2</v>
      </c>
      <c r="H1597" s="34">
        <v>0.18796296296296297</v>
      </c>
      <c r="I1597" s="34">
        <v>8.998842592592593E-2</v>
      </c>
      <c r="J1597" s="35">
        <v>0.47875615763546797</v>
      </c>
      <c r="K1597" s="33" t="s">
        <v>138</v>
      </c>
      <c r="L1597" s="33" t="s">
        <v>104</v>
      </c>
    </row>
    <row r="1598" spans="1:12" x14ac:dyDescent="0.25">
      <c r="A1598" s="32">
        <v>46252</v>
      </c>
      <c r="B1598" s="33" t="s">
        <v>105</v>
      </c>
      <c r="C1598" s="33" t="s">
        <v>674</v>
      </c>
      <c r="D1598" s="33" t="s">
        <v>105</v>
      </c>
      <c r="E1598">
        <v>5</v>
      </c>
      <c r="F1598" s="34">
        <v>0.10712962962962963</v>
      </c>
      <c r="G1598" s="34">
        <v>2.1425925925925925E-2</v>
      </c>
      <c r="H1598" s="34">
        <v>0.2479513888888889</v>
      </c>
      <c r="I1598" s="34">
        <v>0.16212962962962962</v>
      </c>
      <c r="J1598" s="35">
        <v>0.65387667460206311</v>
      </c>
      <c r="K1598" s="33" t="s">
        <v>673</v>
      </c>
      <c r="L1598" s="33" t="s">
        <v>104</v>
      </c>
    </row>
    <row r="1599" spans="1:12" x14ac:dyDescent="0.25">
      <c r="A1599" s="32">
        <v>46252</v>
      </c>
      <c r="B1599" s="33" t="s">
        <v>105</v>
      </c>
      <c r="C1599" s="33" t="s">
        <v>571</v>
      </c>
      <c r="D1599" s="33" t="s">
        <v>105</v>
      </c>
      <c r="E1599">
        <v>10</v>
      </c>
      <c r="F1599" s="34">
        <v>0.21996527777777777</v>
      </c>
      <c r="G1599" s="34">
        <v>2.1996527777777778E-2</v>
      </c>
      <c r="H1599" s="34">
        <v>0.26443287037037039</v>
      </c>
      <c r="I1599" s="34">
        <v>0.13956018518518518</v>
      </c>
      <c r="J1599" s="35">
        <v>0.52777169869129414</v>
      </c>
      <c r="K1599" s="33" t="s">
        <v>299</v>
      </c>
      <c r="L1599" s="33" t="s">
        <v>104</v>
      </c>
    </row>
    <row r="1600" spans="1:12" x14ac:dyDescent="0.25">
      <c r="A1600" s="32">
        <v>46252</v>
      </c>
      <c r="B1600" s="33" t="s">
        <v>105</v>
      </c>
      <c r="C1600" s="33" t="s">
        <v>676</v>
      </c>
      <c r="D1600" s="33" t="s">
        <v>105</v>
      </c>
      <c r="E1600">
        <v>5</v>
      </c>
      <c r="F1600" s="34">
        <v>9.5000000000000001E-2</v>
      </c>
      <c r="G1600" s="34">
        <v>1.9E-2</v>
      </c>
      <c r="H1600" s="34">
        <v>0.25983796296296297</v>
      </c>
      <c r="I1600" s="34">
        <v>9.8194444444444445E-2</v>
      </c>
      <c r="J1600" s="35">
        <v>0.37790645879732737</v>
      </c>
      <c r="K1600" s="33" t="s">
        <v>675</v>
      </c>
      <c r="L1600" s="33" t="s">
        <v>104</v>
      </c>
    </row>
    <row r="1601" spans="1:12" x14ac:dyDescent="0.25">
      <c r="A1601" s="32">
        <v>46252</v>
      </c>
      <c r="B1601" s="33" t="s">
        <v>32</v>
      </c>
      <c r="C1601" s="33" t="s">
        <v>644</v>
      </c>
      <c r="D1601" s="33" t="s">
        <v>32</v>
      </c>
      <c r="E1601">
        <v>13</v>
      </c>
      <c r="F1601" s="34">
        <v>0.13306712962962963</v>
      </c>
      <c r="G1601" s="34">
        <v>1.0235933048433048E-2</v>
      </c>
      <c r="H1601" s="34">
        <v>0.26618055555555553</v>
      </c>
      <c r="I1601" s="34">
        <v>3.4548611111111113E-2</v>
      </c>
      <c r="J1601" s="35">
        <v>0.12979389512131492</v>
      </c>
      <c r="K1601" s="33" t="s">
        <v>643</v>
      </c>
      <c r="L1601" s="33" t="s">
        <v>233</v>
      </c>
    </row>
    <row r="1602" spans="1:12" x14ac:dyDescent="0.25">
      <c r="A1602" s="32">
        <v>46252</v>
      </c>
      <c r="B1602" s="33" t="s">
        <v>32</v>
      </c>
      <c r="C1602" s="33" t="s">
        <v>563</v>
      </c>
      <c r="D1602" s="33" t="s">
        <v>147</v>
      </c>
      <c r="E1602">
        <v>11</v>
      </c>
      <c r="F1602" s="34">
        <v>2.3078703703703702E-2</v>
      </c>
      <c r="G1602" s="34">
        <v>2.098063973063973E-3</v>
      </c>
      <c r="H1602" s="34">
        <v>0.26418981481481479</v>
      </c>
      <c r="I1602" s="34">
        <v>2.8159722222222221E-2</v>
      </c>
      <c r="J1602" s="35">
        <v>0.10658897748181899</v>
      </c>
      <c r="K1602" s="33" t="s">
        <v>193</v>
      </c>
      <c r="L1602" s="33" t="s">
        <v>274</v>
      </c>
    </row>
    <row r="1603" spans="1:12" x14ac:dyDescent="0.25">
      <c r="A1603" s="32">
        <v>46252</v>
      </c>
      <c r="B1603" s="33" t="s">
        <v>32</v>
      </c>
      <c r="C1603" s="33" t="s">
        <v>525</v>
      </c>
      <c r="D1603" s="33" t="s">
        <v>32</v>
      </c>
      <c r="E1603">
        <v>42</v>
      </c>
      <c r="F1603" s="34">
        <v>0.1270486111111111</v>
      </c>
      <c r="G1603" s="34">
        <v>3.0249669312169308E-3</v>
      </c>
      <c r="H1603" s="34">
        <v>0.25714120370370369</v>
      </c>
      <c r="I1603" s="34">
        <v>3.8055555555555558E-2</v>
      </c>
      <c r="J1603" s="35">
        <v>0.14799477877301168</v>
      </c>
      <c r="K1603" s="33" t="s">
        <v>231</v>
      </c>
      <c r="L1603" s="33" t="s">
        <v>233</v>
      </c>
    </row>
    <row r="1604" spans="1:12" x14ac:dyDescent="0.25">
      <c r="A1604" s="32">
        <v>46252</v>
      </c>
      <c r="B1604" s="33" t="s">
        <v>32</v>
      </c>
      <c r="C1604" s="33" t="s">
        <v>550</v>
      </c>
      <c r="D1604" s="33" t="s">
        <v>32</v>
      </c>
      <c r="E1604">
        <v>49</v>
      </c>
      <c r="F1604" s="34">
        <v>0.1761574074074074</v>
      </c>
      <c r="G1604" s="34">
        <v>3.5950491307634165E-3</v>
      </c>
      <c r="H1604" s="34">
        <v>0.34736111111111112</v>
      </c>
      <c r="I1604" s="34">
        <v>6.4664351851851848E-2</v>
      </c>
      <c r="J1604" s="35">
        <v>0.18615886978541915</v>
      </c>
      <c r="K1604" s="33" t="s">
        <v>234</v>
      </c>
      <c r="L1604" s="33" t="s">
        <v>233</v>
      </c>
    </row>
    <row r="1605" spans="1:12" x14ac:dyDescent="0.25">
      <c r="A1605" s="32">
        <v>46252</v>
      </c>
      <c r="B1605" s="33" t="s">
        <v>32</v>
      </c>
      <c r="C1605" s="33" t="s">
        <v>505</v>
      </c>
      <c r="D1605" s="33" t="s">
        <v>32</v>
      </c>
      <c r="E1605">
        <v>33</v>
      </c>
      <c r="F1605" s="34">
        <v>0.11782407407407407</v>
      </c>
      <c r="G1605" s="34">
        <v>3.5704264870931534E-3</v>
      </c>
      <c r="H1605" s="34">
        <v>0.26200231481481484</v>
      </c>
      <c r="I1605" s="34">
        <v>4.6377314814814816E-2</v>
      </c>
      <c r="J1605" s="35">
        <v>0.17701108804170163</v>
      </c>
      <c r="K1605" s="33" t="s">
        <v>34</v>
      </c>
      <c r="L1605" s="33" t="s">
        <v>233</v>
      </c>
    </row>
    <row r="1606" spans="1:12" x14ac:dyDescent="0.25">
      <c r="A1606" s="32">
        <v>46252</v>
      </c>
      <c r="B1606" s="33" t="s">
        <v>32</v>
      </c>
      <c r="C1606" s="33" t="s">
        <v>569</v>
      </c>
      <c r="D1606" s="33" t="s">
        <v>105</v>
      </c>
      <c r="E1606">
        <v>13</v>
      </c>
      <c r="F1606" s="34">
        <v>5.0462962962962966E-2</v>
      </c>
      <c r="G1606" s="34">
        <v>3.881766381766382E-3</v>
      </c>
      <c r="H1606" s="34">
        <v>0.25187500000000002</v>
      </c>
      <c r="I1606" s="34">
        <v>0.13761574074074073</v>
      </c>
      <c r="J1606" s="35">
        <v>0.54636522378457852</v>
      </c>
      <c r="K1606" s="33" t="s">
        <v>493</v>
      </c>
      <c r="L1606" s="33" t="s">
        <v>104</v>
      </c>
    </row>
    <row r="1607" spans="1:12" x14ac:dyDescent="0.25">
      <c r="A1607" s="32">
        <v>46252</v>
      </c>
      <c r="B1607" s="33" t="s">
        <v>32</v>
      </c>
      <c r="C1607" s="33" t="s">
        <v>631</v>
      </c>
      <c r="D1607" s="33" t="s">
        <v>105</v>
      </c>
      <c r="E1607">
        <v>13</v>
      </c>
      <c r="F1607" s="34">
        <v>8.8379629629629627E-2</v>
      </c>
      <c r="G1607" s="34">
        <v>6.7984330484330479E-3</v>
      </c>
      <c r="H1607" s="34">
        <v>0.25006944444444446</v>
      </c>
      <c r="I1607" s="34">
        <v>9.7361111111111107E-2</v>
      </c>
      <c r="J1607" s="35">
        <v>0.38933629547347953</v>
      </c>
      <c r="K1607" s="33" t="s">
        <v>608</v>
      </c>
      <c r="L1607" s="33" t="s">
        <v>601</v>
      </c>
    </row>
    <row r="1608" spans="1:12" x14ac:dyDescent="0.25">
      <c r="A1608" s="32">
        <v>46252</v>
      </c>
      <c r="B1608" s="33" t="s">
        <v>32</v>
      </c>
      <c r="C1608" s="33" t="s">
        <v>564</v>
      </c>
      <c r="D1608" s="33" t="s">
        <v>105</v>
      </c>
      <c r="E1608">
        <v>8</v>
      </c>
      <c r="F1608" s="34">
        <v>5.8680555555555555E-2</v>
      </c>
      <c r="G1608" s="34">
        <v>7.3350694444444444E-3</v>
      </c>
      <c r="H1608" s="34">
        <v>0.23475694444444445</v>
      </c>
      <c r="I1608" s="34">
        <v>0.12922453703703704</v>
      </c>
      <c r="J1608" s="35">
        <v>0.55046097717300202</v>
      </c>
      <c r="K1608" s="33" t="s">
        <v>197</v>
      </c>
      <c r="L1608" s="33" t="s">
        <v>601</v>
      </c>
    </row>
    <row r="1609" spans="1:12" x14ac:dyDescent="0.25">
      <c r="A1609" s="32">
        <v>46252</v>
      </c>
      <c r="B1609" s="33" t="s">
        <v>32</v>
      </c>
      <c r="C1609" s="33" t="s">
        <v>514</v>
      </c>
      <c r="D1609" s="33" t="s">
        <v>147</v>
      </c>
      <c r="E1609">
        <v>18</v>
      </c>
      <c r="F1609" s="34">
        <v>2.5497685185185186E-2</v>
      </c>
      <c r="G1609" s="34">
        <v>1.4165380658436215E-3</v>
      </c>
      <c r="H1609" s="34">
        <v>0.26621527777777776</v>
      </c>
      <c r="I1609" s="34">
        <v>3.650462962962963E-2</v>
      </c>
      <c r="J1609" s="35">
        <v>0.13712447284900658</v>
      </c>
      <c r="K1609" s="33" t="s">
        <v>150</v>
      </c>
      <c r="L1609" s="33" t="s">
        <v>146</v>
      </c>
    </row>
    <row r="1610" spans="1:12" x14ac:dyDescent="0.25">
      <c r="A1610" s="32">
        <v>46252</v>
      </c>
      <c r="B1610" s="33" t="s">
        <v>32</v>
      </c>
      <c r="C1610" s="33" t="s">
        <v>515</v>
      </c>
      <c r="D1610" s="33" t="s">
        <v>147</v>
      </c>
      <c r="E1610">
        <v>14</v>
      </c>
      <c r="F1610" s="34">
        <v>3.9155092592592596E-2</v>
      </c>
      <c r="G1610" s="34">
        <v>2.7967923280423283E-3</v>
      </c>
      <c r="H1610" s="34">
        <v>0.25840277777777776</v>
      </c>
      <c r="I1610" s="34">
        <v>2.7650462962962963E-2</v>
      </c>
      <c r="J1610" s="35">
        <v>0.10700528531756698</v>
      </c>
      <c r="K1610" s="33" t="s">
        <v>154</v>
      </c>
      <c r="L1610" s="33" t="s">
        <v>146</v>
      </c>
    </row>
    <row r="1611" spans="1:12" x14ac:dyDescent="0.25">
      <c r="A1611" s="32">
        <v>46252</v>
      </c>
      <c r="B1611" s="33" t="s">
        <v>32</v>
      </c>
      <c r="C1611" s="33" t="s">
        <v>537</v>
      </c>
      <c r="D1611" s="33" t="s">
        <v>105</v>
      </c>
      <c r="E1611">
        <v>11</v>
      </c>
      <c r="F1611" s="34">
        <v>4.9942129629629628E-2</v>
      </c>
      <c r="G1611" s="34">
        <v>4.5401936026936021E-3</v>
      </c>
      <c r="H1611" s="34">
        <v>0.26255787037037037</v>
      </c>
      <c r="I1611" s="34">
        <v>0.14054398148148148</v>
      </c>
      <c r="J1611" s="35">
        <v>0.53528763500110199</v>
      </c>
      <c r="K1611" s="33" t="s">
        <v>42</v>
      </c>
      <c r="L1611" s="33" t="s">
        <v>104</v>
      </c>
    </row>
    <row r="1612" spans="1:12" x14ac:dyDescent="0.25">
      <c r="A1612" s="32">
        <v>46252</v>
      </c>
      <c r="B1612" s="33" t="s">
        <v>32</v>
      </c>
      <c r="C1612" s="33" t="s">
        <v>516</v>
      </c>
      <c r="D1612" s="33" t="s">
        <v>147</v>
      </c>
      <c r="E1612">
        <v>10</v>
      </c>
      <c r="F1612" s="34">
        <v>1.7152777777777777E-2</v>
      </c>
      <c r="G1612" s="34">
        <v>1.7152777777777778E-3</v>
      </c>
      <c r="H1612" s="34">
        <v>0.27206018518518521</v>
      </c>
      <c r="I1612" s="34">
        <v>4.9548611111111113E-2</v>
      </c>
      <c r="J1612" s="35">
        <v>0.18212371309452904</v>
      </c>
      <c r="K1612" s="33" t="s">
        <v>156</v>
      </c>
      <c r="L1612" s="33" t="s">
        <v>146</v>
      </c>
    </row>
    <row r="1613" spans="1:12" x14ac:dyDescent="0.25">
      <c r="A1613" s="32">
        <v>46252</v>
      </c>
      <c r="B1613" s="33" t="s">
        <v>32</v>
      </c>
      <c r="C1613" s="33" t="s">
        <v>541</v>
      </c>
      <c r="D1613" s="33" t="s">
        <v>105</v>
      </c>
      <c r="E1613">
        <v>4</v>
      </c>
      <c r="F1613" s="34">
        <v>2.613425925925926E-2</v>
      </c>
      <c r="G1613" s="34">
        <v>6.533564814814815E-3</v>
      </c>
      <c r="H1613" s="34">
        <v>0.25037037037037035</v>
      </c>
      <c r="I1613" s="34">
        <v>0.15925925925925927</v>
      </c>
      <c r="J1613" s="35">
        <v>0.63609467455621305</v>
      </c>
      <c r="K1613" s="33" t="s">
        <v>114</v>
      </c>
      <c r="L1613" s="33" t="s">
        <v>104</v>
      </c>
    </row>
    <row r="1614" spans="1:12" x14ac:dyDescent="0.25">
      <c r="A1614" s="32">
        <v>46252</v>
      </c>
      <c r="B1614" s="33" t="s">
        <v>32</v>
      </c>
      <c r="C1614" s="33" t="s">
        <v>506</v>
      </c>
      <c r="D1614" s="33" t="s">
        <v>32</v>
      </c>
      <c r="E1614">
        <v>34</v>
      </c>
      <c r="F1614" s="34">
        <v>0.16697916666666668</v>
      </c>
      <c r="G1614" s="34">
        <v>4.911151960784314E-3</v>
      </c>
      <c r="H1614" s="34">
        <v>0.26118055555555558</v>
      </c>
      <c r="I1614" s="34">
        <v>5.1099537037037034E-2</v>
      </c>
      <c r="J1614" s="35">
        <v>0.19564832048214123</v>
      </c>
      <c r="K1614" s="33" t="s">
        <v>44</v>
      </c>
      <c r="L1614" s="33" t="s">
        <v>100</v>
      </c>
    </row>
    <row r="1615" spans="1:12" x14ac:dyDescent="0.25">
      <c r="A1615" s="32">
        <v>46252</v>
      </c>
      <c r="B1615" s="33" t="s">
        <v>32</v>
      </c>
      <c r="C1615" s="33" t="s">
        <v>310</v>
      </c>
      <c r="D1615" s="33" t="s">
        <v>80</v>
      </c>
      <c r="E1615">
        <v>1</v>
      </c>
      <c r="F1615" s="34">
        <v>8.8888888888888889E-3</v>
      </c>
      <c r="G1615" s="34">
        <v>8.8888888888888889E-3</v>
      </c>
      <c r="H1615" s="34">
        <v>0.34282407407407406</v>
      </c>
      <c r="I1615" s="34">
        <v>6.1828703703703705E-2</v>
      </c>
      <c r="J1615" s="35">
        <v>0.18035111411208643</v>
      </c>
      <c r="K1615" s="33" t="s">
        <v>309</v>
      </c>
      <c r="L1615" s="33" t="s">
        <v>78</v>
      </c>
    </row>
    <row r="1616" spans="1:12" x14ac:dyDescent="0.25">
      <c r="A1616" s="32">
        <v>46252</v>
      </c>
      <c r="B1616" s="33" t="s">
        <v>32</v>
      </c>
      <c r="C1616" s="33" t="s">
        <v>646</v>
      </c>
      <c r="D1616" s="33" t="s">
        <v>32</v>
      </c>
      <c r="E1616">
        <v>37</v>
      </c>
      <c r="F1616" s="34">
        <v>0.20971064814814816</v>
      </c>
      <c r="G1616" s="34">
        <v>5.6678553553553557E-3</v>
      </c>
      <c r="H1616" s="34">
        <v>0.26554398148148151</v>
      </c>
      <c r="I1616" s="34">
        <v>5.1979166666666667E-2</v>
      </c>
      <c r="J1616" s="35">
        <v>0.19574597916575859</v>
      </c>
      <c r="K1616" s="33" t="s">
        <v>645</v>
      </c>
      <c r="L1616" s="33" t="s">
        <v>100</v>
      </c>
    </row>
    <row r="1617" spans="1:12" x14ac:dyDescent="0.25">
      <c r="A1617" s="32">
        <v>46252</v>
      </c>
      <c r="B1617" s="33" t="s">
        <v>32</v>
      </c>
      <c r="C1617" s="33" t="s">
        <v>544</v>
      </c>
      <c r="D1617" s="33" t="s">
        <v>147</v>
      </c>
      <c r="E1617">
        <v>13</v>
      </c>
      <c r="F1617" s="34">
        <v>3.4965277777777776E-2</v>
      </c>
      <c r="G1617" s="34">
        <v>2.6896367521367518E-3</v>
      </c>
      <c r="H1617" s="34">
        <v>0.25717592592592592</v>
      </c>
      <c r="I1617" s="34">
        <v>5.0219907407407408E-2</v>
      </c>
      <c r="J1617" s="35">
        <v>0.19527452745274529</v>
      </c>
      <c r="K1617" s="33" t="s">
        <v>160</v>
      </c>
      <c r="L1617" s="33" t="s">
        <v>146</v>
      </c>
    </row>
    <row r="1618" spans="1:12" x14ac:dyDescent="0.25">
      <c r="A1618" s="32">
        <v>46252</v>
      </c>
      <c r="B1618" s="33" t="s">
        <v>32</v>
      </c>
      <c r="C1618" s="33" t="s">
        <v>558</v>
      </c>
      <c r="D1618" s="33" t="s">
        <v>32</v>
      </c>
      <c r="E1618">
        <v>35</v>
      </c>
      <c r="F1618" s="34">
        <v>9.5439814814814811E-2</v>
      </c>
      <c r="G1618" s="34">
        <v>2.7268518518518518E-3</v>
      </c>
      <c r="H1618" s="34">
        <v>0.26567129629629632</v>
      </c>
      <c r="I1618" s="34">
        <v>6.368055555555556E-2</v>
      </c>
      <c r="J1618" s="35">
        <v>0.23969678487409601</v>
      </c>
      <c r="K1618" s="33" t="s">
        <v>120</v>
      </c>
      <c r="L1618" s="33" t="s">
        <v>233</v>
      </c>
    </row>
    <row r="1619" spans="1:12" x14ac:dyDescent="0.25">
      <c r="A1619" s="32">
        <v>46252</v>
      </c>
      <c r="B1619" s="33" t="s">
        <v>32</v>
      </c>
      <c r="C1619" s="33" t="s">
        <v>507</v>
      </c>
      <c r="D1619" s="33" t="s">
        <v>32</v>
      </c>
      <c r="E1619">
        <v>40</v>
      </c>
      <c r="F1619" s="34">
        <v>0.16945601851851852</v>
      </c>
      <c r="G1619" s="34">
        <v>4.2364004629629626E-3</v>
      </c>
      <c r="H1619" s="34">
        <v>0.25780092592592591</v>
      </c>
      <c r="I1619" s="34">
        <v>4.0162037037037038E-2</v>
      </c>
      <c r="J1619" s="35">
        <v>0.15578701625213254</v>
      </c>
      <c r="K1619" s="33" t="s">
        <v>46</v>
      </c>
      <c r="L1619" s="33" t="s">
        <v>100</v>
      </c>
    </row>
    <row r="1620" spans="1:12" x14ac:dyDescent="0.25">
      <c r="A1620" s="32">
        <v>46252</v>
      </c>
      <c r="B1620" s="33" t="s">
        <v>32</v>
      </c>
      <c r="C1620" s="33" t="s">
        <v>517</v>
      </c>
      <c r="D1620" s="33" t="s">
        <v>147</v>
      </c>
      <c r="E1620">
        <v>5</v>
      </c>
      <c r="F1620" s="34">
        <v>2.4745370370370369E-2</v>
      </c>
      <c r="G1620" s="34">
        <v>4.9490740740740736E-3</v>
      </c>
      <c r="H1620" s="34">
        <v>0.25658564814814816</v>
      </c>
      <c r="I1620" s="34">
        <v>6.0057870370370373E-2</v>
      </c>
      <c r="J1620" s="35">
        <v>0.23406558708105912</v>
      </c>
      <c r="K1620" s="33" t="s">
        <v>499</v>
      </c>
      <c r="L1620" s="33" t="s">
        <v>146</v>
      </c>
    </row>
    <row r="1621" spans="1:12" x14ac:dyDescent="0.25">
      <c r="A1621" s="32">
        <v>46252</v>
      </c>
      <c r="B1621" s="33" t="s">
        <v>32</v>
      </c>
      <c r="C1621" s="33" t="s">
        <v>648</v>
      </c>
      <c r="D1621" s="33" t="s">
        <v>32</v>
      </c>
      <c r="E1621">
        <v>36</v>
      </c>
      <c r="F1621" s="34">
        <v>0.10160879629629629</v>
      </c>
      <c r="G1621" s="34">
        <v>2.8224665637860084E-3</v>
      </c>
      <c r="H1621" s="34">
        <v>0.25961805555555556</v>
      </c>
      <c r="I1621" s="34">
        <v>4.5543981481481484E-2</v>
      </c>
      <c r="J1621" s="35">
        <v>0.17542686460701709</v>
      </c>
      <c r="K1621" s="33" t="s">
        <v>647</v>
      </c>
      <c r="L1621" s="33" t="s">
        <v>233</v>
      </c>
    </row>
    <row r="1622" spans="1:12" x14ac:dyDescent="0.25">
      <c r="A1622" s="32">
        <v>46252</v>
      </c>
      <c r="B1622" s="33" t="s">
        <v>32</v>
      </c>
      <c r="C1622" s="33" t="s">
        <v>650</v>
      </c>
      <c r="D1622" s="33" t="s">
        <v>105</v>
      </c>
      <c r="E1622">
        <v>2</v>
      </c>
      <c r="F1622" s="34">
        <v>4.1423611111111112E-2</v>
      </c>
      <c r="G1622" s="34">
        <v>2.0711805555555556E-2</v>
      </c>
      <c r="H1622" s="34">
        <v>0.26151620370370371</v>
      </c>
      <c r="I1622" s="34">
        <v>0.13744212962962962</v>
      </c>
      <c r="J1622" s="35">
        <v>0.525558751936269</v>
      </c>
      <c r="K1622" s="33" t="s">
        <v>649</v>
      </c>
      <c r="L1622" s="33" t="s">
        <v>104</v>
      </c>
    </row>
    <row r="1623" spans="1:12" x14ac:dyDescent="0.25">
      <c r="A1623" s="32">
        <v>46252</v>
      </c>
      <c r="B1623" s="33" t="s">
        <v>32</v>
      </c>
      <c r="C1623" s="33" t="s">
        <v>568</v>
      </c>
      <c r="D1623" s="33" t="s">
        <v>32</v>
      </c>
      <c r="E1623">
        <v>36</v>
      </c>
      <c r="F1623" s="34">
        <v>0.1220949074074074</v>
      </c>
      <c r="G1623" s="34">
        <v>3.3915252057613167E-3</v>
      </c>
      <c r="H1623" s="34">
        <v>0.25984953703703706</v>
      </c>
      <c r="I1623" s="34">
        <v>4.2986111111111114E-2</v>
      </c>
      <c r="J1623" s="35">
        <v>0.16542692975813994</v>
      </c>
      <c r="K1623" s="33" t="s">
        <v>246</v>
      </c>
      <c r="L1623" s="33" t="s">
        <v>233</v>
      </c>
    </row>
    <row r="1624" spans="1:12" x14ac:dyDescent="0.25">
      <c r="A1624" s="32">
        <v>46252</v>
      </c>
      <c r="B1624" s="33" t="s">
        <v>32</v>
      </c>
      <c r="C1624" s="33" t="s">
        <v>508</v>
      </c>
      <c r="D1624" s="33" t="s">
        <v>32</v>
      </c>
      <c r="E1624">
        <v>38</v>
      </c>
      <c r="F1624" s="34">
        <v>0.14937500000000001</v>
      </c>
      <c r="G1624" s="34">
        <v>3.9309210526315792E-3</v>
      </c>
      <c r="H1624" s="34">
        <v>0.25548611111111114</v>
      </c>
      <c r="I1624" s="34">
        <v>8.1481481481481488E-2</v>
      </c>
      <c r="J1624" s="35">
        <v>0.31892724472229772</v>
      </c>
      <c r="K1624" s="33" t="s">
        <v>48</v>
      </c>
      <c r="L1624" s="33" t="s">
        <v>100</v>
      </c>
    </row>
    <row r="1625" spans="1:12" x14ac:dyDescent="0.25">
      <c r="A1625" s="32">
        <v>46252</v>
      </c>
      <c r="B1625" s="33" t="s">
        <v>32</v>
      </c>
      <c r="C1625" s="33" t="s">
        <v>538</v>
      </c>
      <c r="D1625" s="33" t="s">
        <v>32</v>
      </c>
      <c r="E1625">
        <v>2</v>
      </c>
      <c r="F1625" s="34">
        <v>5.2199074074074075E-3</v>
      </c>
      <c r="G1625" s="34">
        <v>2.6099537037037037E-3</v>
      </c>
      <c r="H1625" s="34">
        <v>0.21839120370370371</v>
      </c>
      <c r="I1625" s="34">
        <v>0.21285879629629631</v>
      </c>
      <c r="J1625" s="35">
        <v>0.9746674439556946</v>
      </c>
      <c r="K1625" s="33" t="s">
        <v>50</v>
      </c>
      <c r="L1625" s="33" t="s">
        <v>100</v>
      </c>
    </row>
    <row r="1626" spans="1:12" x14ac:dyDescent="0.25">
      <c r="A1626" s="32">
        <v>46252</v>
      </c>
      <c r="B1626" s="33" t="s">
        <v>32</v>
      </c>
      <c r="C1626" s="33" t="s">
        <v>603</v>
      </c>
      <c r="D1626" s="33" t="s">
        <v>32</v>
      </c>
      <c r="E1626">
        <v>17</v>
      </c>
      <c r="F1626" s="34">
        <v>0.14156250000000001</v>
      </c>
      <c r="G1626" s="34">
        <v>8.3272058823529414E-3</v>
      </c>
      <c r="H1626" s="34">
        <v>0.19774305555555555</v>
      </c>
      <c r="I1626" s="34">
        <v>1.1886574074074074E-2</v>
      </c>
      <c r="J1626" s="35">
        <v>6.0111208662569506E-2</v>
      </c>
      <c r="K1626" s="33" t="s">
        <v>242</v>
      </c>
      <c r="L1626" s="33" t="s">
        <v>233</v>
      </c>
    </row>
    <row r="1627" spans="1:12" x14ac:dyDescent="0.25">
      <c r="A1627" s="32">
        <v>46252</v>
      </c>
      <c r="B1627" s="33" t="s">
        <v>32</v>
      </c>
      <c r="C1627" s="33" t="s">
        <v>559</v>
      </c>
      <c r="D1627" s="33" t="s">
        <v>105</v>
      </c>
      <c r="E1627">
        <v>14</v>
      </c>
      <c r="F1627" s="34">
        <v>6.7430555555555549E-2</v>
      </c>
      <c r="G1627" s="34">
        <v>4.8164682539682535E-3</v>
      </c>
      <c r="H1627" s="34">
        <v>0.33309027777777778</v>
      </c>
      <c r="I1627" s="34">
        <v>0.16501157407407407</v>
      </c>
      <c r="J1627" s="35">
        <v>0.49539594843462248</v>
      </c>
      <c r="K1627" s="33" t="s">
        <v>289</v>
      </c>
      <c r="L1627" s="33" t="s">
        <v>104</v>
      </c>
    </row>
    <row r="1628" spans="1:12" x14ac:dyDescent="0.25">
      <c r="A1628" s="32">
        <v>46252</v>
      </c>
      <c r="B1628" s="33" t="s">
        <v>32</v>
      </c>
      <c r="C1628" s="33" t="s">
        <v>553</v>
      </c>
      <c r="D1628" s="33" t="s">
        <v>80</v>
      </c>
      <c r="E1628">
        <v>1</v>
      </c>
      <c r="F1628" s="34">
        <v>6.627314814814815E-2</v>
      </c>
      <c r="G1628" s="34">
        <v>6.627314814814815E-2</v>
      </c>
      <c r="H1628" s="34">
        <v>9.9432870370370366E-2</v>
      </c>
      <c r="I1628" s="34">
        <v>2.5057870370370369E-2</v>
      </c>
      <c r="J1628" s="35">
        <v>0.25200791526015598</v>
      </c>
      <c r="K1628" s="33" t="s">
        <v>252</v>
      </c>
      <c r="L1628" s="33" t="s">
        <v>78</v>
      </c>
    </row>
    <row r="1629" spans="1:12" x14ac:dyDescent="0.25">
      <c r="A1629" s="32">
        <v>46252</v>
      </c>
      <c r="B1629" s="33" t="s">
        <v>32</v>
      </c>
      <c r="C1629" s="33" t="s">
        <v>518</v>
      </c>
      <c r="D1629" s="33" t="s">
        <v>147</v>
      </c>
      <c r="E1629">
        <v>10</v>
      </c>
      <c r="F1629" s="34">
        <v>3.9212962962962963E-2</v>
      </c>
      <c r="G1629" s="34">
        <v>3.921296296296296E-3</v>
      </c>
      <c r="H1629" s="34">
        <v>0.26306712962962964</v>
      </c>
      <c r="I1629" s="34">
        <v>3.0729166666666665E-2</v>
      </c>
      <c r="J1629" s="35">
        <v>0.11681112235470104</v>
      </c>
      <c r="K1629" s="33" t="s">
        <v>500</v>
      </c>
      <c r="L1629" s="33" t="s">
        <v>274</v>
      </c>
    </row>
    <row r="1630" spans="1:12" x14ac:dyDescent="0.25">
      <c r="A1630" s="32">
        <v>46252</v>
      </c>
      <c r="B1630" s="33" t="s">
        <v>32</v>
      </c>
      <c r="C1630" s="33" t="s">
        <v>654</v>
      </c>
      <c r="D1630" s="33" t="s">
        <v>32</v>
      </c>
      <c r="E1630">
        <v>31</v>
      </c>
      <c r="F1630" s="34">
        <v>0.19832175925925927</v>
      </c>
      <c r="G1630" s="34">
        <v>6.3974761051373953E-3</v>
      </c>
      <c r="H1630" s="34">
        <v>0.26398148148148148</v>
      </c>
      <c r="I1630" s="34">
        <v>4.7812500000000001E-2</v>
      </c>
      <c r="J1630" s="35">
        <v>0.18112065941774816</v>
      </c>
      <c r="K1630" s="33" t="s">
        <v>653</v>
      </c>
      <c r="L1630" s="33" t="s">
        <v>100</v>
      </c>
    </row>
    <row r="1631" spans="1:12" x14ac:dyDescent="0.25">
      <c r="A1631" s="32">
        <v>46252</v>
      </c>
      <c r="B1631" s="33" t="s">
        <v>32</v>
      </c>
      <c r="C1631" s="33" t="s">
        <v>509</v>
      </c>
      <c r="D1631" s="33" t="s">
        <v>32</v>
      </c>
      <c r="E1631">
        <v>2</v>
      </c>
      <c r="F1631" s="34">
        <v>8.2754629629629636E-3</v>
      </c>
      <c r="G1631" s="34">
        <v>4.1377314814814818E-3</v>
      </c>
      <c r="H1631" s="34">
        <v>0.2452199074074074</v>
      </c>
      <c r="I1631" s="34">
        <v>0.23662037037037037</v>
      </c>
      <c r="J1631" s="35">
        <v>0.96493132581299856</v>
      </c>
      <c r="K1631" s="33" t="s">
        <v>52</v>
      </c>
      <c r="L1631" s="33" t="s">
        <v>100</v>
      </c>
    </row>
    <row r="1632" spans="1:12" x14ac:dyDescent="0.25">
      <c r="A1632" s="32">
        <v>46252</v>
      </c>
      <c r="B1632" s="33" t="s">
        <v>32</v>
      </c>
      <c r="C1632" s="33" t="s">
        <v>519</v>
      </c>
      <c r="D1632" s="33" t="s">
        <v>147</v>
      </c>
      <c r="E1632">
        <v>13</v>
      </c>
      <c r="F1632" s="34">
        <v>2.9548611111111112E-2</v>
      </c>
      <c r="G1632" s="34">
        <v>2.2729700854700855E-3</v>
      </c>
      <c r="H1632" s="34">
        <v>0.3190972222222222</v>
      </c>
      <c r="I1632" s="34">
        <v>2.7893518518518519E-2</v>
      </c>
      <c r="J1632" s="35">
        <v>8.7413855640188623E-2</v>
      </c>
      <c r="K1632" s="33" t="s">
        <v>164</v>
      </c>
      <c r="L1632" s="33" t="s">
        <v>146</v>
      </c>
    </row>
    <row r="1633" spans="1:12" x14ac:dyDescent="0.25">
      <c r="A1633" s="32">
        <v>46252</v>
      </c>
      <c r="B1633" s="33" t="s">
        <v>32</v>
      </c>
      <c r="C1633" s="33" t="s">
        <v>656</v>
      </c>
      <c r="D1633" s="33" t="s">
        <v>32</v>
      </c>
      <c r="E1633">
        <v>21</v>
      </c>
      <c r="F1633" s="34">
        <v>0.15135416666666668</v>
      </c>
      <c r="G1633" s="34">
        <v>7.2073412698412708E-3</v>
      </c>
      <c r="H1633" s="34">
        <v>0.24929398148148149</v>
      </c>
      <c r="I1633" s="34">
        <v>3.8460648148148147E-2</v>
      </c>
      <c r="J1633" s="35">
        <v>0.15427828589999534</v>
      </c>
      <c r="K1633" s="33" t="s">
        <v>655</v>
      </c>
      <c r="L1633" s="33" t="s">
        <v>100</v>
      </c>
    </row>
    <row r="1634" spans="1:12" x14ac:dyDescent="0.25">
      <c r="A1634" s="32">
        <v>46252</v>
      </c>
      <c r="B1634" s="33" t="s">
        <v>32</v>
      </c>
      <c r="C1634" s="33" t="s">
        <v>167</v>
      </c>
      <c r="D1634" s="33" t="s">
        <v>147</v>
      </c>
      <c r="E1634">
        <v>10</v>
      </c>
      <c r="F1634" s="34">
        <v>1.7349537037037038E-2</v>
      </c>
      <c r="G1634" s="34">
        <v>1.7349537037037038E-3</v>
      </c>
      <c r="H1634" s="34">
        <v>0.25939814814814816</v>
      </c>
      <c r="I1634" s="34">
        <v>3.5543981481481482E-2</v>
      </c>
      <c r="J1634" s="35">
        <v>0.13702480813849724</v>
      </c>
      <c r="K1634" s="33" t="s">
        <v>166</v>
      </c>
      <c r="L1634" s="33" t="s">
        <v>146</v>
      </c>
    </row>
    <row r="1635" spans="1:12" x14ac:dyDescent="0.25">
      <c r="A1635" s="32">
        <v>46252</v>
      </c>
      <c r="B1635" s="33" t="s">
        <v>32</v>
      </c>
      <c r="C1635" s="33" t="s">
        <v>658</v>
      </c>
      <c r="D1635" s="33" t="s">
        <v>147</v>
      </c>
      <c r="E1635">
        <v>4</v>
      </c>
      <c r="F1635" s="34">
        <v>1.3564814814814814E-2</v>
      </c>
      <c r="G1635" s="34">
        <v>3.3912037037037036E-3</v>
      </c>
      <c r="H1635" s="34">
        <v>0.25637731481481479</v>
      </c>
      <c r="I1635" s="34">
        <v>2.9270833333333333E-2</v>
      </c>
      <c r="J1635" s="35">
        <v>0.11417091779152183</v>
      </c>
      <c r="K1635" s="33" t="s">
        <v>657</v>
      </c>
      <c r="L1635" s="33" t="s">
        <v>274</v>
      </c>
    </row>
    <row r="1636" spans="1:12" x14ac:dyDescent="0.25">
      <c r="A1636" s="32">
        <v>46252</v>
      </c>
      <c r="B1636" s="33" t="s">
        <v>32</v>
      </c>
      <c r="C1636" s="33" t="s">
        <v>660</v>
      </c>
      <c r="D1636" s="33" t="s">
        <v>32</v>
      </c>
      <c r="E1636">
        <v>11</v>
      </c>
      <c r="F1636" s="34">
        <v>4.4560185185185182E-2</v>
      </c>
      <c r="G1636" s="34">
        <v>4.0509259259259257E-3</v>
      </c>
      <c r="H1636" s="34">
        <v>0.19811342592592593</v>
      </c>
      <c r="I1636" s="34">
        <v>0.16569444444444445</v>
      </c>
      <c r="J1636" s="35">
        <v>0.836361511947187</v>
      </c>
      <c r="K1636" s="33" t="s">
        <v>659</v>
      </c>
      <c r="L1636" s="33" t="s">
        <v>100</v>
      </c>
    </row>
    <row r="1637" spans="1:12" x14ac:dyDescent="0.25">
      <c r="A1637" s="32">
        <v>46252</v>
      </c>
      <c r="B1637" s="33" t="s">
        <v>32</v>
      </c>
      <c r="C1637" s="33" t="s">
        <v>528</v>
      </c>
      <c r="D1637" s="33" t="s">
        <v>32</v>
      </c>
      <c r="E1637">
        <v>22</v>
      </c>
      <c r="F1637" s="34">
        <v>0.10141203703703704</v>
      </c>
      <c r="G1637" s="34">
        <v>4.609638047138047E-3</v>
      </c>
      <c r="H1637" s="34">
        <v>0.26283564814814814</v>
      </c>
      <c r="I1637" s="34">
        <v>6.3738425925925921E-2</v>
      </c>
      <c r="J1637" s="35">
        <v>0.2425029723898014</v>
      </c>
      <c r="K1637" s="33" t="s">
        <v>254</v>
      </c>
      <c r="L1637" s="33" t="s">
        <v>233</v>
      </c>
    </row>
    <row r="1638" spans="1:12" x14ac:dyDescent="0.25">
      <c r="A1638" s="32">
        <v>46252</v>
      </c>
      <c r="B1638" s="33" t="s">
        <v>32</v>
      </c>
      <c r="C1638" s="33" t="s">
        <v>520</v>
      </c>
      <c r="D1638" s="33" t="s">
        <v>147</v>
      </c>
      <c r="E1638">
        <v>5</v>
      </c>
      <c r="F1638" s="34">
        <v>1.7106481481481483E-2</v>
      </c>
      <c r="G1638" s="34">
        <v>3.4212962962962964E-3</v>
      </c>
      <c r="H1638" s="34">
        <v>0.26399305555555558</v>
      </c>
      <c r="I1638" s="34">
        <v>3.6585648148148145E-2</v>
      </c>
      <c r="J1638" s="35">
        <v>0.13858564601692311</v>
      </c>
      <c r="K1638" s="33" t="s">
        <v>168</v>
      </c>
      <c r="L1638" s="33" t="s">
        <v>274</v>
      </c>
    </row>
    <row r="1639" spans="1:12" x14ac:dyDescent="0.25">
      <c r="A1639" s="32">
        <v>46252</v>
      </c>
      <c r="B1639" s="33" t="s">
        <v>32</v>
      </c>
      <c r="C1639" s="33" t="s">
        <v>521</v>
      </c>
      <c r="D1639" s="33" t="s">
        <v>147</v>
      </c>
      <c r="E1639">
        <v>12</v>
      </c>
      <c r="F1639" s="34">
        <v>3.7534722222222219E-2</v>
      </c>
      <c r="G1639" s="34">
        <v>3.1278935185185181E-3</v>
      </c>
      <c r="H1639" s="34">
        <v>0.26351851851851854</v>
      </c>
      <c r="I1639" s="34">
        <v>4.7743055555555552E-2</v>
      </c>
      <c r="J1639" s="35">
        <v>0.1811753338018271</v>
      </c>
      <c r="K1639" s="33" t="s">
        <v>170</v>
      </c>
      <c r="L1639" s="33" t="s">
        <v>146</v>
      </c>
    </row>
    <row r="1640" spans="1:12" x14ac:dyDescent="0.25">
      <c r="A1640" s="32">
        <v>46252</v>
      </c>
      <c r="B1640" s="33" t="s">
        <v>32</v>
      </c>
      <c r="C1640" s="33" t="s">
        <v>633</v>
      </c>
      <c r="D1640" s="33" t="s">
        <v>147</v>
      </c>
      <c r="E1640">
        <v>5</v>
      </c>
      <c r="F1640" s="34">
        <v>2.3784722222222221E-2</v>
      </c>
      <c r="G1640" s="34">
        <v>4.7569444444444439E-3</v>
      </c>
      <c r="H1640" s="34">
        <v>0.25868055555555558</v>
      </c>
      <c r="I1640" s="34">
        <v>8.7499999999999994E-2</v>
      </c>
      <c r="J1640" s="35">
        <v>0.33825503355704695</v>
      </c>
      <c r="K1640" s="33" t="s">
        <v>606</v>
      </c>
      <c r="L1640" s="33" t="s">
        <v>146</v>
      </c>
    </row>
    <row r="1641" spans="1:12" x14ac:dyDescent="0.25">
      <c r="A1641" s="32">
        <v>46252</v>
      </c>
      <c r="B1641" s="33" t="s">
        <v>32</v>
      </c>
      <c r="C1641" s="33" t="s">
        <v>634</v>
      </c>
      <c r="D1641" s="33" t="s">
        <v>105</v>
      </c>
      <c r="E1641">
        <v>1</v>
      </c>
      <c r="F1641" s="34">
        <v>6.7129629629629625E-4</v>
      </c>
      <c r="G1641" s="34">
        <v>6.7129629629629625E-4</v>
      </c>
      <c r="H1641" s="34">
        <v>0.23636574074074074</v>
      </c>
      <c r="I1641" s="34">
        <v>0.2170138888888889</v>
      </c>
      <c r="J1641" s="35">
        <v>0.91812750954852618</v>
      </c>
      <c r="K1641" s="33" t="s">
        <v>612</v>
      </c>
      <c r="L1641" s="33" t="s">
        <v>601</v>
      </c>
    </row>
    <row r="1642" spans="1:12" x14ac:dyDescent="0.25">
      <c r="A1642" s="32">
        <v>46252</v>
      </c>
      <c r="B1642" s="33" t="s">
        <v>32</v>
      </c>
      <c r="C1642" s="33" t="s">
        <v>529</v>
      </c>
      <c r="D1642" s="33" t="s">
        <v>32</v>
      </c>
      <c r="E1642">
        <v>18</v>
      </c>
      <c r="F1642" s="34">
        <v>0.11570601851851851</v>
      </c>
      <c r="G1642" s="34">
        <v>6.4281121399176952E-3</v>
      </c>
      <c r="H1642" s="34">
        <v>0.24166666666666667</v>
      </c>
      <c r="I1642" s="34">
        <v>5.212962962962963E-2</v>
      </c>
      <c r="J1642" s="35">
        <v>0.2157088122605364</v>
      </c>
      <c r="K1642" s="33" t="s">
        <v>256</v>
      </c>
      <c r="L1642" s="33" t="s">
        <v>233</v>
      </c>
    </row>
    <row r="1643" spans="1:12" x14ac:dyDescent="0.25">
      <c r="A1643" s="32">
        <v>46252</v>
      </c>
      <c r="B1643" s="33" t="s">
        <v>32</v>
      </c>
      <c r="C1643" s="33" t="s">
        <v>662</v>
      </c>
      <c r="D1643" s="33" t="s">
        <v>32</v>
      </c>
      <c r="E1643">
        <v>27</v>
      </c>
      <c r="F1643" s="34">
        <v>0.14656250000000001</v>
      </c>
      <c r="G1643" s="34">
        <v>5.4282407407407413E-3</v>
      </c>
      <c r="H1643" s="34">
        <v>0.26270833333333332</v>
      </c>
      <c r="I1643" s="34">
        <v>8.9687500000000003E-2</v>
      </c>
      <c r="J1643" s="35">
        <v>0.34139571768437749</v>
      </c>
      <c r="K1643" s="33" t="s">
        <v>661</v>
      </c>
      <c r="L1643" s="33" t="s">
        <v>100</v>
      </c>
    </row>
    <row r="1644" spans="1:12" x14ac:dyDescent="0.25">
      <c r="A1644" s="32">
        <v>46252</v>
      </c>
      <c r="B1644" s="33" t="s">
        <v>32</v>
      </c>
      <c r="C1644" s="33" t="s">
        <v>664</v>
      </c>
      <c r="D1644" s="33" t="s">
        <v>32</v>
      </c>
      <c r="E1644">
        <v>25</v>
      </c>
      <c r="F1644" s="34">
        <v>0.1419212962962963</v>
      </c>
      <c r="G1644" s="34">
        <v>5.6768518518518522E-3</v>
      </c>
      <c r="H1644" s="34">
        <v>0.25890046296296299</v>
      </c>
      <c r="I1644" s="34">
        <v>3.5787037037037034E-2</v>
      </c>
      <c r="J1644" s="35">
        <v>0.13822701059501988</v>
      </c>
      <c r="K1644" s="33" t="s">
        <v>663</v>
      </c>
      <c r="L1644" s="33" t="s">
        <v>233</v>
      </c>
    </row>
    <row r="1645" spans="1:12" x14ac:dyDescent="0.25">
      <c r="A1645" s="32">
        <v>46252</v>
      </c>
      <c r="B1645" s="33" t="s">
        <v>32</v>
      </c>
      <c r="C1645" s="33" t="s">
        <v>666</v>
      </c>
      <c r="D1645" s="33" t="s">
        <v>32</v>
      </c>
      <c r="E1645">
        <v>46</v>
      </c>
      <c r="F1645" s="34">
        <v>0.19690972222222222</v>
      </c>
      <c r="G1645" s="34">
        <v>4.2806461352657005E-3</v>
      </c>
      <c r="H1645" s="34">
        <v>0.26019675925925928</v>
      </c>
      <c r="I1645" s="34">
        <v>3.4490740740740738E-2</v>
      </c>
      <c r="J1645" s="35">
        <v>0.13255638094390818</v>
      </c>
      <c r="K1645" s="33" t="s">
        <v>665</v>
      </c>
      <c r="L1645" s="33" t="s">
        <v>100</v>
      </c>
    </row>
    <row r="1646" spans="1:12" x14ac:dyDescent="0.25">
      <c r="A1646" s="32">
        <v>46252</v>
      </c>
      <c r="B1646" s="33" t="s">
        <v>32</v>
      </c>
      <c r="C1646" s="33" t="s">
        <v>530</v>
      </c>
      <c r="D1646" s="33" t="s">
        <v>80</v>
      </c>
      <c r="E1646">
        <v>1</v>
      </c>
      <c r="F1646" s="34">
        <v>1.2592592592592593E-2</v>
      </c>
      <c r="G1646" s="34">
        <v>1.2592592592592593E-2</v>
      </c>
      <c r="H1646" s="34">
        <v>0.57762731481481477</v>
      </c>
      <c r="I1646" s="34">
        <v>4.7430555555555552E-2</v>
      </c>
      <c r="J1646" s="35">
        <v>8.2112729677199597E-2</v>
      </c>
      <c r="K1646" s="33" t="s">
        <v>264</v>
      </c>
      <c r="L1646" s="33" t="s">
        <v>78</v>
      </c>
    </row>
    <row r="1647" spans="1:12" x14ac:dyDescent="0.25">
      <c r="A1647" s="32">
        <v>46252</v>
      </c>
      <c r="B1647" s="33" t="s">
        <v>32</v>
      </c>
      <c r="C1647" s="33" t="s">
        <v>555</v>
      </c>
      <c r="D1647" s="33" t="s">
        <v>32</v>
      </c>
      <c r="E1647">
        <v>24</v>
      </c>
      <c r="F1647" s="34">
        <v>0.12351851851851851</v>
      </c>
      <c r="G1647" s="34">
        <v>5.1466049382716044E-3</v>
      </c>
      <c r="H1647" s="34">
        <v>0.24863425925925925</v>
      </c>
      <c r="I1647" s="34">
        <v>4.6053240740740742E-2</v>
      </c>
      <c r="J1647" s="35">
        <v>0.18522483940042828</v>
      </c>
      <c r="K1647" s="33" t="s">
        <v>128</v>
      </c>
      <c r="L1647" s="33" t="s">
        <v>233</v>
      </c>
    </row>
    <row r="1648" spans="1:12" x14ac:dyDescent="0.25">
      <c r="A1648" s="32">
        <v>46252</v>
      </c>
      <c r="B1648" s="33" t="s">
        <v>32</v>
      </c>
      <c r="C1648" s="33" t="s">
        <v>522</v>
      </c>
      <c r="D1648" s="33" t="s">
        <v>147</v>
      </c>
      <c r="E1648">
        <v>8</v>
      </c>
      <c r="F1648" s="34">
        <v>3.1909722222222221E-2</v>
      </c>
      <c r="G1648" s="34">
        <v>3.9887152777777777E-3</v>
      </c>
      <c r="H1648" s="34">
        <v>0.25515046296296295</v>
      </c>
      <c r="I1648" s="34">
        <v>3.1412037037037037E-2</v>
      </c>
      <c r="J1648" s="35">
        <v>0.12311181673848946</v>
      </c>
      <c r="K1648" s="33" t="s">
        <v>178</v>
      </c>
      <c r="L1648" s="33" t="s">
        <v>146</v>
      </c>
    </row>
    <row r="1649" spans="1:12" x14ac:dyDescent="0.25">
      <c r="A1649" s="32">
        <v>46252</v>
      </c>
      <c r="B1649" s="33" t="s">
        <v>32</v>
      </c>
      <c r="C1649" s="33" t="s">
        <v>667</v>
      </c>
      <c r="D1649" s="33" t="s">
        <v>105</v>
      </c>
      <c r="E1649">
        <v>10</v>
      </c>
      <c r="F1649" s="34">
        <v>2.4953703703703704E-2</v>
      </c>
      <c r="G1649" s="34">
        <v>2.4953703703703705E-3</v>
      </c>
      <c r="H1649" s="34">
        <v>0.24082175925925925</v>
      </c>
      <c r="I1649" s="34">
        <v>0.16762731481481483</v>
      </c>
      <c r="J1649" s="35">
        <v>0.69606382467438854</v>
      </c>
      <c r="K1649" s="33" t="s">
        <v>297</v>
      </c>
      <c r="L1649" s="33" t="s">
        <v>104</v>
      </c>
    </row>
    <row r="1650" spans="1:12" x14ac:dyDescent="0.25">
      <c r="A1650" s="32">
        <v>46252</v>
      </c>
      <c r="B1650" s="33" t="s">
        <v>32</v>
      </c>
      <c r="C1650" s="33" t="s">
        <v>635</v>
      </c>
      <c r="D1650" s="33" t="s">
        <v>105</v>
      </c>
      <c r="E1650">
        <v>26</v>
      </c>
      <c r="F1650" s="34">
        <v>8.684027777777778E-2</v>
      </c>
      <c r="G1650" s="34">
        <v>3.340010683760684E-3</v>
      </c>
      <c r="H1650" s="34">
        <v>0.21116898148148147</v>
      </c>
      <c r="I1650" s="34">
        <v>9.0162037037037041E-2</v>
      </c>
      <c r="J1650" s="35">
        <v>0.4269662921348315</v>
      </c>
      <c r="K1650" s="33" t="s">
        <v>614</v>
      </c>
      <c r="L1650" s="33" t="s">
        <v>601</v>
      </c>
    </row>
    <row r="1651" spans="1:12" x14ac:dyDescent="0.25">
      <c r="A1651" s="32">
        <v>46252</v>
      </c>
      <c r="B1651" s="33" t="s">
        <v>32</v>
      </c>
      <c r="C1651" s="33" t="s">
        <v>523</v>
      </c>
      <c r="D1651" s="33" t="s">
        <v>147</v>
      </c>
      <c r="E1651">
        <v>8</v>
      </c>
      <c r="F1651" s="34">
        <v>5.0081018518518518E-2</v>
      </c>
      <c r="G1651" s="34">
        <v>6.2601273148148147E-3</v>
      </c>
      <c r="H1651" s="34">
        <v>0.2565277777777778</v>
      </c>
      <c r="I1651" s="34">
        <v>3.4594907407407408E-2</v>
      </c>
      <c r="J1651" s="35">
        <v>0.13485832882151236</v>
      </c>
      <c r="K1651" s="33" t="s">
        <v>180</v>
      </c>
      <c r="L1651" s="33" t="s">
        <v>146</v>
      </c>
    </row>
    <row r="1652" spans="1:12" x14ac:dyDescent="0.25">
      <c r="A1652" s="32">
        <v>46252</v>
      </c>
      <c r="B1652" s="33" t="s">
        <v>32</v>
      </c>
      <c r="C1652" s="33" t="s">
        <v>636</v>
      </c>
      <c r="D1652" s="33" t="s">
        <v>105</v>
      </c>
      <c r="E1652">
        <v>4</v>
      </c>
      <c r="F1652" s="34">
        <v>1.9699074074074074E-2</v>
      </c>
      <c r="G1652" s="34">
        <v>4.9247685185185184E-3</v>
      </c>
      <c r="H1652" s="34">
        <v>0.23695601851851852</v>
      </c>
      <c r="I1652" s="34">
        <v>0.18756944444444446</v>
      </c>
      <c r="J1652" s="35">
        <v>0.79157915303082116</v>
      </c>
      <c r="K1652" s="33" t="s">
        <v>615</v>
      </c>
      <c r="L1652" s="33" t="s">
        <v>601</v>
      </c>
    </row>
    <row r="1653" spans="1:12" x14ac:dyDescent="0.25">
      <c r="A1653" s="32">
        <v>46252</v>
      </c>
      <c r="B1653" s="33" t="s">
        <v>32</v>
      </c>
      <c r="C1653" s="33" t="s">
        <v>566</v>
      </c>
      <c r="D1653" s="33" t="s">
        <v>147</v>
      </c>
      <c r="E1653">
        <v>6</v>
      </c>
      <c r="F1653" s="34">
        <v>2.1550925925925925E-2</v>
      </c>
      <c r="G1653" s="34">
        <v>3.5918209876543206E-3</v>
      </c>
      <c r="H1653" s="34">
        <v>0.26549768518518518</v>
      </c>
      <c r="I1653" s="34">
        <v>3.2650462962962964E-2</v>
      </c>
      <c r="J1653" s="35">
        <v>0.12297833384192861</v>
      </c>
      <c r="K1653" s="33" t="s">
        <v>207</v>
      </c>
      <c r="L1653" s="33" t="s">
        <v>274</v>
      </c>
    </row>
    <row r="1654" spans="1:12" x14ac:dyDescent="0.25">
      <c r="A1654" s="32">
        <v>46252</v>
      </c>
      <c r="B1654" s="33" t="s">
        <v>32</v>
      </c>
      <c r="C1654" s="33" t="s">
        <v>637</v>
      </c>
      <c r="D1654" s="33" t="s">
        <v>105</v>
      </c>
      <c r="E1654">
        <v>5</v>
      </c>
      <c r="F1654" s="34">
        <v>1.9710648148148147E-2</v>
      </c>
      <c r="G1654" s="34">
        <v>3.9421296296296296E-3</v>
      </c>
      <c r="H1654" s="34">
        <v>0.12408564814814815</v>
      </c>
      <c r="I1654" s="34">
        <v>8.7465277777777781E-2</v>
      </c>
      <c r="J1654" s="35">
        <v>0.70487827628019772</v>
      </c>
      <c r="K1654" s="33" t="s">
        <v>616</v>
      </c>
      <c r="L1654" s="33" t="s">
        <v>601</v>
      </c>
    </row>
    <row r="1655" spans="1:12" x14ac:dyDescent="0.25">
      <c r="A1655" s="32">
        <v>46252</v>
      </c>
      <c r="B1655" s="33" t="s">
        <v>32</v>
      </c>
      <c r="C1655" s="33" t="s">
        <v>567</v>
      </c>
      <c r="D1655" s="33" t="s">
        <v>105</v>
      </c>
      <c r="E1655">
        <v>5</v>
      </c>
      <c r="F1655" s="34">
        <v>4.1770833333333333E-2</v>
      </c>
      <c r="G1655" s="34">
        <v>8.354166666666666E-3</v>
      </c>
      <c r="H1655" s="34">
        <v>0.24916666666666668</v>
      </c>
      <c r="I1655" s="34">
        <v>0.17927083333333332</v>
      </c>
      <c r="J1655" s="35">
        <v>0.71948160535117045</v>
      </c>
      <c r="K1655" s="33" t="s">
        <v>209</v>
      </c>
      <c r="L1655" s="33" t="s">
        <v>601</v>
      </c>
    </row>
    <row r="1656" spans="1:12" x14ac:dyDescent="0.25">
      <c r="A1656" s="32">
        <v>46252</v>
      </c>
      <c r="B1656" s="33" t="s">
        <v>32</v>
      </c>
      <c r="C1656" s="33" t="s">
        <v>510</v>
      </c>
      <c r="D1656" s="33" t="s">
        <v>32</v>
      </c>
      <c r="E1656">
        <v>49</v>
      </c>
      <c r="F1656" s="34">
        <v>0.22875000000000001</v>
      </c>
      <c r="G1656" s="34">
        <v>4.668367346938776E-3</v>
      </c>
      <c r="H1656" s="34">
        <v>0.31065972222222221</v>
      </c>
      <c r="I1656" s="34">
        <v>4.0578703703703707E-2</v>
      </c>
      <c r="J1656" s="35">
        <v>0.13062106478894231</v>
      </c>
      <c r="K1656" s="33" t="s">
        <v>60</v>
      </c>
      <c r="L1656" s="33" t="s">
        <v>100</v>
      </c>
    </row>
    <row r="1657" spans="1:12" x14ac:dyDescent="0.25">
      <c r="A1657" s="32">
        <v>46252</v>
      </c>
      <c r="B1657" s="33" t="s">
        <v>32</v>
      </c>
      <c r="C1657" s="33" t="s">
        <v>512</v>
      </c>
      <c r="D1657" s="33" t="s">
        <v>105</v>
      </c>
      <c r="E1657">
        <v>6</v>
      </c>
      <c r="F1657" s="34">
        <v>5.0925925925925923E-2</v>
      </c>
      <c r="G1657" s="34">
        <v>8.4876543209876538E-3</v>
      </c>
      <c r="H1657" s="34">
        <v>0.25962962962962965</v>
      </c>
      <c r="I1657" s="34">
        <v>0.15005787037037038</v>
      </c>
      <c r="J1657" s="35">
        <v>0.57796897289586302</v>
      </c>
      <c r="K1657" s="33" t="s">
        <v>132</v>
      </c>
      <c r="L1657" s="33" t="s">
        <v>104</v>
      </c>
    </row>
    <row r="1658" spans="1:12" x14ac:dyDescent="0.25">
      <c r="A1658" s="32">
        <v>46252</v>
      </c>
      <c r="B1658" s="33" t="s">
        <v>32</v>
      </c>
      <c r="C1658" s="33" t="s">
        <v>560</v>
      </c>
      <c r="D1658" s="33" t="s">
        <v>105</v>
      </c>
      <c r="E1658">
        <v>3</v>
      </c>
      <c r="F1658" s="34">
        <v>3.6388888888888887E-2</v>
      </c>
      <c r="G1658" s="34">
        <v>1.2129629629629629E-2</v>
      </c>
      <c r="H1658" s="34">
        <v>0.26287037037037037</v>
      </c>
      <c r="I1658" s="34">
        <v>0.15902777777777777</v>
      </c>
      <c r="J1658" s="35">
        <v>0.60496653751320884</v>
      </c>
      <c r="K1658" s="33" t="s">
        <v>134</v>
      </c>
      <c r="L1658" s="33" t="s">
        <v>104</v>
      </c>
    </row>
    <row r="1659" spans="1:12" x14ac:dyDescent="0.25">
      <c r="A1659" s="32">
        <v>46252</v>
      </c>
      <c r="B1659" s="33" t="s">
        <v>32</v>
      </c>
      <c r="C1659" s="33" t="s">
        <v>546</v>
      </c>
      <c r="D1659" s="33" t="s">
        <v>105</v>
      </c>
      <c r="E1659">
        <v>1</v>
      </c>
      <c r="F1659" s="34">
        <v>1.238425925925926E-3</v>
      </c>
      <c r="G1659" s="34">
        <v>1.238425925925926E-3</v>
      </c>
      <c r="H1659" s="34">
        <v>0.23879629629629628</v>
      </c>
      <c r="I1659" s="34">
        <v>0.1373611111111111</v>
      </c>
      <c r="J1659" s="35">
        <v>0.57522295463357886</v>
      </c>
      <c r="K1659" s="33" t="s">
        <v>211</v>
      </c>
      <c r="L1659" s="33" t="s">
        <v>104</v>
      </c>
    </row>
    <row r="1660" spans="1:12" x14ac:dyDescent="0.25">
      <c r="A1660" s="32">
        <v>46252</v>
      </c>
      <c r="B1660" s="33" t="s">
        <v>32</v>
      </c>
      <c r="C1660" s="33" t="s">
        <v>638</v>
      </c>
      <c r="D1660" s="33" t="s">
        <v>105</v>
      </c>
      <c r="E1660">
        <v>7</v>
      </c>
      <c r="F1660" s="34">
        <v>4.1967592592592591E-2</v>
      </c>
      <c r="G1660" s="34">
        <v>5.9953703703703705E-3</v>
      </c>
      <c r="H1660" s="34">
        <v>0.23246527777777778</v>
      </c>
      <c r="I1660" s="34">
        <v>0.16084490740740739</v>
      </c>
      <c r="J1660" s="35">
        <v>0.69190938511326849</v>
      </c>
      <c r="K1660" s="33" t="s">
        <v>617</v>
      </c>
      <c r="L1660" s="33" t="s">
        <v>601</v>
      </c>
    </row>
    <row r="1661" spans="1:12" x14ac:dyDescent="0.25">
      <c r="A1661" s="32">
        <v>46252</v>
      </c>
      <c r="B1661" s="33" t="s">
        <v>32</v>
      </c>
      <c r="C1661" s="33" t="s">
        <v>639</v>
      </c>
      <c r="D1661" s="33" t="s">
        <v>105</v>
      </c>
      <c r="E1661">
        <v>2</v>
      </c>
      <c r="F1661" s="34">
        <v>2.0972222222222222E-2</v>
      </c>
      <c r="G1661" s="34">
        <v>1.0486111111111111E-2</v>
      </c>
      <c r="H1661" s="34">
        <v>0.23549768518518518</v>
      </c>
      <c r="I1661" s="34">
        <v>0.17685185185185184</v>
      </c>
      <c r="J1661" s="35">
        <v>0.75097065906521843</v>
      </c>
      <c r="K1661" s="33" t="s">
        <v>618</v>
      </c>
      <c r="L1661" s="33" t="s">
        <v>601</v>
      </c>
    </row>
    <row r="1662" spans="1:12" x14ac:dyDescent="0.25">
      <c r="A1662" s="32">
        <v>46252</v>
      </c>
      <c r="B1662" s="33" t="s">
        <v>32</v>
      </c>
      <c r="C1662" s="33" t="s">
        <v>524</v>
      </c>
      <c r="D1662" s="33" t="s">
        <v>147</v>
      </c>
      <c r="E1662">
        <v>6</v>
      </c>
      <c r="F1662" s="34">
        <v>1.6226851851851853E-2</v>
      </c>
      <c r="G1662" s="34">
        <v>2.7044753086419757E-3</v>
      </c>
      <c r="H1662" s="34">
        <v>0.25600694444444444</v>
      </c>
      <c r="I1662" s="34">
        <v>3.1805555555555552E-2</v>
      </c>
      <c r="J1662" s="35">
        <v>0.1242370812423708</v>
      </c>
      <c r="K1662" s="33" t="s">
        <v>501</v>
      </c>
      <c r="L1662" s="33" t="s">
        <v>274</v>
      </c>
    </row>
    <row r="1663" spans="1:12" x14ac:dyDescent="0.25">
      <c r="A1663" s="32">
        <v>46252</v>
      </c>
      <c r="B1663" s="33" t="s">
        <v>32</v>
      </c>
      <c r="C1663" s="33" t="s">
        <v>572</v>
      </c>
      <c r="D1663" s="33" t="s">
        <v>105</v>
      </c>
      <c r="E1663">
        <v>2</v>
      </c>
      <c r="F1663" s="34">
        <v>1.6469907407407409E-2</v>
      </c>
      <c r="G1663" s="34">
        <v>8.2349537037037044E-3</v>
      </c>
      <c r="H1663" s="34">
        <v>0.24024305555555556</v>
      </c>
      <c r="I1663" s="34">
        <v>0.19159722222222222</v>
      </c>
      <c r="J1663" s="35">
        <v>0.7975140916317387</v>
      </c>
      <c r="K1663" s="33" t="s">
        <v>213</v>
      </c>
      <c r="L1663" s="33" t="s">
        <v>601</v>
      </c>
    </row>
    <row r="1664" spans="1:12" x14ac:dyDescent="0.25">
      <c r="A1664" s="32">
        <v>46252</v>
      </c>
      <c r="B1664" s="33" t="s">
        <v>32</v>
      </c>
      <c r="C1664" s="33" t="s">
        <v>669</v>
      </c>
      <c r="D1664" s="33" t="s">
        <v>32</v>
      </c>
      <c r="E1664">
        <v>44</v>
      </c>
      <c r="F1664" s="34">
        <v>0.11648148148148148</v>
      </c>
      <c r="G1664" s="34">
        <v>2.6473063973063973E-3</v>
      </c>
      <c r="H1664" s="34">
        <v>0.2477199074074074</v>
      </c>
      <c r="I1664" s="34">
        <v>3.8692129629629632E-2</v>
      </c>
      <c r="J1664" s="35">
        <v>0.15619305704807737</v>
      </c>
      <c r="K1664" s="33" t="s">
        <v>668</v>
      </c>
      <c r="L1664" s="33" t="s">
        <v>233</v>
      </c>
    </row>
    <row r="1665" spans="1:12" x14ac:dyDescent="0.25">
      <c r="A1665" s="32">
        <v>46252</v>
      </c>
      <c r="B1665" s="33" t="s">
        <v>32</v>
      </c>
      <c r="C1665" s="33" t="s">
        <v>670</v>
      </c>
      <c r="D1665" s="33" t="s">
        <v>32</v>
      </c>
      <c r="E1665">
        <v>39</v>
      </c>
      <c r="F1665" s="34">
        <v>0.16310185185185186</v>
      </c>
      <c r="G1665" s="34">
        <v>4.1820987654320992E-3</v>
      </c>
      <c r="H1665" s="34">
        <v>0.26023148148148151</v>
      </c>
      <c r="I1665" s="34">
        <v>7.4293981481481475E-2</v>
      </c>
      <c r="J1665" s="35">
        <v>0.28549190535491897</v>
      </c>
      <c r="K1665" s="33" t="s">
        <v>744</v>
      </c>
      <c r="L1665" s="33" t="s">
        <v>100</v>
      </c>
    </row>
    <row r="1666" spans="1:12" x14ac:dyDescent="0.25">
      <c r="A1666" s="32">
        <v>46252</v>
      </c>
      <c r="B1666" s="33" t="s">
        <v>32</v>
      </c>
      <c r="C1666" s="33" t="s">
        <v>306</v>
      </c>
      <c r="D1666" s="33" t="s">
        <v>32</v>
      </c>
      <c r="E1666">
        <v>56</v>
      </c>
      <c r="F1666" s="34">
        <v>0.17637731481481481</v>
      </c>
      <c r="G1666" s="34">
        <v>3.1495949074074074E-3</v>
      </c>
      <c r="H1666" s="34">
        <v>0.26025462962962964</v>
      </c>
      <c r="I1666" s="34">
        <v>6.0925925925925925E-2</v>
      </c>
      <c r="J1666" s="35">
        <v>0.23410121853597793</v>
      </c>
      <c r="K1666" s="33" t="s">
        <v>305</v>
      </c>
      <c r="L1666" s="33" t="s">
        <v>100</v>
      </c>
    </row>
    <row r="1667" spans="1:12" x14ac:dyDescent="0.25">
      <c r="A1667" s="32">
        <v>46252</v>
      </c>
      <c r="B1667" s="33" t="s">
        <v>32</v>
      </c>
      <c r="C1667" s="33" t="s">
        <v>641</v>
      </c>
      <c r="D1667" s="33" t="s">
        <v>105</v>
      </c>
      <c r="E1667">
        <v>8</v>
      </c>
      <c r="F1667" s="34">
        <v>3.7025462962962961E-2</v>
      </c>
      <c r="G1667" s="34">
        <v>4.6281828703703702E-3</v>
      </c>
      <c r="H1667" s="34">
        <v>0.23960648148148148</v>
      </c>
      <c r="I1667" s="34">
        <v>0.16650462962962964</v>
      </c>
      <c r="J1667" s="35">
        <v>0.6949087044729978</v>
      </c>
      <c r="K1667" s="33" t="s">
        <v>620</v>
      </c>
      <c r="L1667" s="33" t="s">
        <v>601</v>
      </c>
    </row>
    <row r="1668" spans="1:12" x14ac:dyDescent="0.25">
      <c r="A1668" s="32">
        <v>46252</v>
      </c>
      <c r="B1668" s="33" t="s">
        <v>32</v>
      </c>
      <c r="C1668" s="33" t="s">
        <v>556</v>
      </c>
      <c r="D1668" s="33" t="s">
        <v>105</v>
      </c>
      <c r="E1668">
        <v>16</v>
      </c>
      <c r="F1668" s="34">
        <v>7.2638888888888892E-2</v>
      </c>
      <c r="G1668" s="34">
        <v>4.5399305555555557E-3</v>
      </c>
      <c r="H1668" s="34">
        <v>0.18796296296296297</v>
      </c>
      <c r="I1668" s="34">
        <v>8.998842592592593E-2</v>
      </c>
      <c r="J1668" s="35">
        <v>0.47875615763546797</v>
      </c>
      <c r="K1668" s="33" t="s">
        <v>138</v>
      </c>
      <c r="L1668" s="33" t="s">
        <v>104</v>
      </c>
    </row>
    <row r="1669" spans="1:12" x14ac:dyDescent="0.25">
      <c r="A1669" s="32">
        <v>46252</v>
      </c>
      <c r="B1669" s="33" t="s">
        <v>32</v>
      </c>
      <c r="C1669" s="33" t="s">
        <v>532</v>
      </c>
      <c r="D1669" s="33" t="s">
        <v>32</v>
      </c>
      <c r="E1669">
        <v>35</v>
      </c>
      <c r="F1669" s="34">
        <v>0.11486111111111111</v>
      </c>
      <c r="G1669" s="34">
        <v>3.2817460317460315E-3</v>
      </c>
      <c r="H1669" s="34">
        <v>0.26678240740740738</v>
      </c>
      <c r="I1669" s="34">
        <v>4.7222222222222221E-2</v>
      </c>
      <c r="J1669" s="35">
        <v>0.17700650759219089</v>
      </c>
      <c r="K1669" s="33" t="s">
        <v>276</v>
      </c>
      <c r="L1669" s="33" t="s">
        <v>233</v>
      </c>
    </row>
    <row r="1670" spans="1:12" x14ac:dyDescent="0.25">
      <c r="A1670" s="32">
        <v>46252</v>
      </c>
      <c r="B1670" s="33" t="s">
        <v>32</v>
      </c>
      <c r="C1670" s="33" t="s">
        <v>533</v>
      </c>
      <c r="D1670" s="33" t="s">
        <v>32</v>
      </c>
      <c r="E1670">
        <v>20</v>
      </c>
      <c r="F1670" s="34">
        <v>0.14175925925925925</v>
      </c>
      <c r="G1670" s="34">
        <v>7.0879629629629626E-3</v>
      </c>
      <c r="H1670" s="34">
        <v>0.26468750000000002</v>
      </c>
      <c r="I1670" s="34">
        <v>3.394675925925926E-2</v>
      </c>
      <c r="J1670" s="35">
        <v>0.12825221916131005</v>
      </c>
      <c r="K1670" s="33" t="s">
        <v>278</v>
      </c>
      <c r="L1670" s="33" t="s">
        <v>233</v>
      </c>
    </row>
    <row r="1671" spans="1:12" x14ac:dyDescent="0.25">
      <c r="A1671" s="32">
        <v>46252</v>
      </c>
      <c r="B1671" s="33" t="s">
        <v>32</v>
      </c>
      <c r="C1671" s="33" t="s">
        <v>511</v>
      </c>
      <c r="D1671" s="33" t="s">
        <v>80</v>
      </c>
      <c r="E1671">
        <v>3</v>
      </c>
      <c r="F1671" s="34">
        <v>3.9155092592592596E-2</v>
      </c>
      <c r="G1671" s="34">
        <v>1.3051697530864199E-2</v>
      </c>
      <c r="H1671" s="34">
        <v>0.25199074074074074</v>
      </c>
      <c r="I1671" s="34">
        <v>4.2986111111111114E-2</v>
      </c>
      <c r="J1671" s="35">
        <v>0.17058607385632923</v>
      </c>
      <c r="K1671" s="33" t="s">
        <v>313</v>
      </c>
      <c r="L1671" s="33" t="s">
        <v>78</v>
      </c>
    </row>
    <row r="1672" spans="1:12" x14ac:dyDescent="0.25">
      <c r="A1672" s="32">
        <v>46252</v>
      </c>
      <c r="B1672" s="33" t="s">
        <v>32</v>
      </c>
      <c r="C1672" s="33" t="s">
        <v>674</v>
      </c>
      <c r="D1672" s="33" t="s">
        <v>105</v>
      </c>
      <c r="E1672">
        <v>5</v>
      </c>
      <c r="F1672" s="34">
        <v>2.6712962962962963E-2</v>
      </c>
      <c r="G1672" s="34">
        <v>5.3425925925925924E-3</v>
      </c>
      <c r="H1672" s="34">
        <v>0.2479513888888889</v>
      </c>
      <c r="I1672" s="34">
        <v>0.16212962962962962</v>
      </c>
      <c r="J1672" s="35">
        <v>0.65387667460206311</v>
      </c>
      <c r="K1672" s="33" t="s">
        <v>673</v>
      </c>
      <c r="L1672" s="33" t="s">
        <v>104</v>
      </c>
    </row>
    <row r="1673" spans="1:12" x14ac:dyDescent="0.25">
      <c r="A1673" s="32">
        <v>46252</v>
      </c>
      <c r="B1673" s="33" t="s">
        <v>32</v>
      </c>
      <c r="C1673" s="33" t="s">
        <v>549</v>
      </c>
      <c r="D1673" s="33" t="s">
        <v>105</v>
      </c>
      <c r="E1673">
        <v>15</v>
      </c>
      <c r="F1673" s="34">
        <v>8.4224537037037042E-2</v>
      </c>
      <c r="G1673" s="34">
        <v>5.6149691358024691E-3</v>
      </c>
      <c r="H1673" s="34">
        <v>0.25597222222222221</v>
      </c>
      <c r="I1673" s="34">
        <v>0.11072916666666667</v>
      </c>
      <c r="J1673" s="35">
        <v>0.43258274552360287</v>
      </c>
      <c r="K1673" s="33" t="s">
        <v>225</v>
      </c>
      <c r="L1673" s="33" t="s">
        <v>601</v>
      </c>
    </row>
    <row r="1674" spans="1:12" x14ac:dyDescent="0.25">
      <c r="A1674" s="32">
        <v>46252</v>
      </c>
      <c r="B1674" s="33" t="s">
        <v>32</v>
      </c>
      <c r="C1674" s="33" t="s">
        <v>534</v>
      </c>
      <c r="D1674" s="33" t="s">
        <v>32</v>
      </c>
      <c r="E1674">
        <v>41</v>
      </c>
      <c r="F1674" s="34">
        <v>0.10310185185185185</v>
      </c>
      <c r="G1674" s="34">
        <v>2.5146793134598012E-3</v>
      </c>
      <c r="H1674" s="34">
        <v>0.26148148148148148</v>
      </c>
      <c r="I1674" s="34">
        <v>3.784722222222222E-2</v>
      </c>
      <c r="J1674" s="35">
        <v>0.14474150141643058</v>
      </c>
      <c r="K1674" s="33" t="s">
        <v>280</v>
      </c>
      <c r="L1674" s="33" t="s">
        <v>233</v>
      </c>
    </row>
    <row r="1675" spans="1:12" x14ac:dyDescent="0.25">
      <c r="A1675" s="32">
        <v>46252</v>
      </c>
      <c r="B1675" s="33" t="s">
        <v>32</v>
      </c>
      <c r="C1675" s="33" t="s">
        <v>535</v>
      </c>
      <c r="D1675" s="33" t="s">
        <v>32</v>
      </c>
      <c r="E1675">
        <v>55</v>
      </c>
      <c r="F1675" s="34">
        <v>9.256944444444444E-2</v>
      </c>
      <c r="G1675" s="34">
        <v>1.683080808080808E-3</v>
      </c>
      <c r="H1675" s="34">
        <v>0.26019675925925928</v>
      </c>
      <c r="I1675" s="34">
        <v>4.597222222222222E-2</v>
      </c>
      <c r="J1675" s="35">
        <v>0.17668253191584002</v>
      </c>
      <c r="K1675" s="33" t="s">
        <v>282</v>
      </c>
      <c r="L1675" s="33" t="s">
        <v>233</v>
      </c>
    </row>
    <row r="1676" spans="1:12" x14ac:dyDescent="0.25">
      <c r="A1676" s="32">
        <v>46252</v>
      </c>
      <c r="B1676" s="33" t="s">
        <v>32</v>
      </c>
      <c r="C1676" s="33" t="s">
        <v>557</v>
      </c>
      <c r="D1676" s="33" t="s">
        <v>147</v>
      </c>
      <c r="E1676">
        <v>5</v>
      </c>
      <c r="F1676" s="34">
        <v>7.4884259259259262E-2</v>
      </c>
      <c r="G1676" s="34">
        <v>1.4976851851851852E-2</v>
      </c>
      <c r="H1676" s="34">
        <v>0.28675925925925927</v>
      </c>
      <c r="I1676" s="34">
        <v>4.5173611111111109E-2</v>
      </c>
      <c r="J1676" s="35">
        <v>0.15753148207943168</v>
      </c>
      <c r="K1676" s="33" t="s">
        <v>227</v>
      </c>
      <c r="L1676" s="33" t="s">
        <v>146</v>
      </c>
    </row>
    <row r="1677" spans="1:12" x14ac:dyDescent="0.25">
      <c r="A1677" s="32">
        <v>46252</v>
      </c>
      <c r="B1677" s="33" t="s">
        <v>32</v>
      </c>
      <c r="C1677" s="33" t="s">
        <v>676</v>
      </c>
      <c r="D1677" s="33" t="s">
        <v>105</v>
      </c>
      <c r="E1677">
        <v>7</v>
      </c>
      <c r="F1677" s="34">
        <v>7.408564814814815E-2</v>
      </c>
      <c r="G1677" s="34">
        <v>1.0583664021164021E-2</v>
      </c>
      <c r="H1677" s="34">
        <v>0.25983796296296297</v>
      </c>
      <c r="I1677" s="34">
        <v>9.8194444444444445E-2</v>
      </c>
      <c r="J1677" s="35">
        <v>0.37790645879732737</v>
      </c>
      <c r="K1677" s="33" t="s">
        <v>675</v>
      </c>
      <c r="L1677" s="33" t="s">
        <v>104</v>
      </c>
    </row>
    <row r="1678" spans="1:12" x14ac:dyDescent="0.25">
      <c r="A1678" s="32">
        <v>46252</v>
      </c>
      <c r="B1678" s="33" t="s">
        <v>32</v>
      </c>
      <c r="C1678" s="33" t="s">
        <v>678</v>
      </c>
      <c r="D1678" s="33" t="s">
        <v>147</v>
      </c>
      <c r="E1678">
        <v>11</v>
      </c>
      <c r="F1678" s="34">
        <v>4.1180555555555554E-2</v>
      </c>
      <c r="G1678" s="34">
        <v>3.7436868686868685E-3</v>
      </c>
      <c r="H1678" s="34">
        <v>0.26087962962962963</v>
      </c>
      <c r="I1678" s="34">
        <v>2.8634259259259259E-2</v>
      </c>
      <c r="J1678" s="35">
        <v>0.10976042590949422</v>
      </c>
      <c r="K1678" s="33" t="s">
        <v>677</v>
      </c>
      <c r="L1678" s="33" t="s">
        <v>274</v>
      </c>
    </row>
    <row r="1679" spans="1:12" x14ac:dyDescent="0.25">
      <c r="A1679" s="32">
        <v>46252</v>
      </c>
      <c r="B1679" s="33" t="s">
        <v>600</v>
      </c>
      <c r="C1679" s="33" t="s">
        <v>545</v>
      </c>
      <c r="D1679" s="33" t="s">
        <v>600</v>
      </c>
      <c r="E1679">
        <v>25</v>
      </c>
      <c r="F1679" s="34">
        <v>9.4664351851851847E-2</v>
      </c>
      <c r="G1679" s="34">
        <v>3.7865740740740737E-3</v>
      </c>
      <c r="H1679" s="34">
        <v>0.24802083333333333</v>
      </c>
      <c r="I1679" s="34">
        <v>5.8113425925925923E-2</v>
      </c>
      <c r="J1679" s="35">
        <v>0.23430864716039013</v>
      </c>
      <c r="K1679" s="33" t="s">
        <v>201</v>
      </c>
      <c r="L1679" s="33" t="s">
        <v>601</v>
      </c>
    </row>
    <row r="1680" spans="1:12" x14ac:dyDescent="0.25">
      <c r="A1680" s="32">
        <v>46252</v>
      </c>
      <c r="B1680" s="33" t="s">
        <v>600</v>
      </c>
      <c r="C1680" s="33" t="s">
        <v>543</v>
      </c>
      <c r="D1680" s="33" t="s">
        <v>600</v>
      </c>
      <c r="E1680">
        <v>33</v>
      </c>
      <c r="F1680" s="34">
        <v>0.10811342592592593</v>
      </c>
      <c r="G1680" s="34">
        <v>3.2761644219977556E-3</v>
      </c>
      <c r="H1680" s="34">
        <v>0.2697222222222222</v>
      </c>
      <c r="I1680" s="34">
        <v>0.10071759259259259</v>
      </c>
      <c r="J1680" s="35">
        <v>0.37341228973566776</v>
      </c>
      <c r="K1680" s="33" t="s">
        <v>293</v>
      </c>
      <c r="L1680" s="33" t="s">
        <v>104</v>
      </c>
    </row>
    <row r="1681" spans="1:12" x14ac:dyDescent="0.25">
      <c r="A1681" s="32">
        <v>46253</v>
      </c>
      <c r="B1681" s="33" t="s">
        <v>147</v>
      </c>
      <c r="C1681" s="33" t="s">
        <v>563</v>
      </c>
      <c r="D1681" s="33" t="s">
        <v>147</v>
      </c>
      <c r="E1681">
        <v>14</v>
      </c>
      <c r="F1681" s="34">
        <v>4.1203703703703701E-2</v>
      </c>
      <c r="G1681" s="34">
        <v>2.9431216931216928E-3</v>
      </c>
      <c r="H1681" s="34">
        <v>0.26135416666666667</v>
      </c>
      <c r="I1681" s="34">
        <v>3.7997685185185183E-2</v>
      </c>
      <c r="J1681" s="35">
        <v>0.14538771533590186</v>
      </c>
      <c r="K1681" s="33" t="s">
        <v>193</v>
      </c>
      <c r="L1681" s="33" t="s">
        <v>274</v>
      </c>
    </row>
    <row r="1682" spans="1:12" x14ac:dyDescent="0.25">
      <c r="A1682" s="32">
        <v>46253</v>
      </c>
      <c r="B1682" s="33" t="s">
        <v>147</v>
      </c>
      <c r="C1682" s="33" t="s">
        <v>514</v>
      </c>
      <c r="D1682" s="33" t="s">
        <v>147</v>
      </c>
      <c r="E1682">
        <v>21</v>
      </c>
      <c r="F1682" s="34">
        <v>4.0555555555555553E-2</v>
      </c>
      <c r="G1682" s="34">
        <v>1.9312169312169312E-3</v>
      </c>
      <c r="H1682" s="34">
        <v>0.26569444444444446</v>
      </c>
      <c r="I1682" s="34">
        <v>2.8252314814814813E-2</v>
      </c>
      <c r="J1682" s="35">
        <v>0.10633385607248648</v>
      </c>
      <c r="K1682" s="33" t="s">
        <v>150</v>
      </c>
      <c r="L1682" s="33" t="s">
        <v>146</v>
      </c>
    </row>
    <row r="1683" spans="1:12" x14ac:dyDescent="0.25">
      <c r="A1683" s="32">
        <v>46253</v>
      </c>
      <c r="B1683" s="33" t="s">
        <v>147</v>
      </c>
      <c r="C1683" s="33" t="s">
        <v>515</v>
      </c>
      <c r="D1683" s="33" t="s">
        <v>147</v>
      </c>
      <c r="E1683">
        <v>15</v>
      </c>
      <c r="F1683" s="34">
        <v>5.2905092592592594E-2</v>
      </c>
      <c r="G1683" s="34">
        <v>3.5270061728395062E-3</v>
      </c>
      <c r="H1683" s="34">
        <v>0.26059027777777777</v>
      </c>
      <c r="I1683" s="34">
        <v>2.9953703703703705E-2</v>
      </c>
      <c r="J1683" s="35">
        <v>0.11494559182767045</v>
      </c>
      <c r="K1683" s="33" t="s">
        <v>154</v>
      </c>
      <c r="L1683" s="33" t="s">
        <v>146</v>
      </c>
    </row>
    <row r="1684" spans="1:12" x14ac:dyDescent="0.25">
      <c r="A1684" s="32">
        <v>46253</v>
      </c>
      <c r="B1684" s="33" t="s">
        <v>147</v>
      </c>
      <c r="C1684" s="33" t="s">
        <v>516</v>
      </c>
      <c r="D1684" s="33" t="s">
        <v>147</v>
      </c>
      <c r="E1684">
        <v>12</v>
      </c>
      <c r="F1684" s="34">
        <v>4.1180555555555554E-2</v>
      </c>
      <c r="G1684" s="34">
        <v>3.4317129629629628E-3</v>
      </c>
      <c r="H1684" s="34">
        <v>0.263125</v>
      </c>
      <c r="I1684" s="34">
        <v>3.7766203703703705E-2</v>
      </c>
      <c r="J1684" s="35">
        <v>0.14352951526348201</v>
      </c>
      <c r="K1684" s="33" t="s">
        <v>156</v>
      </c>
      <c r="L1684" s="33" t="s">
        <v>146</v>
      </c>
    </row>
    <row r="1685" spans="1:12" x14ac:dyDescent="0.25">
      <c r="A1685" s="32">
        <v>46253</v>
      </c>
      <c r="B1685" s="33" t="s">
        <v>147</v>
      </c>
      <c r="C1685" s="33" t="s">
        <v>544</v>
      </c>
      <c r="D1685" s="33" t="s">
        <v>147</v>
      </c>
      <c r="E1685">
        <v>12</v>
      </c>
      <c r="F1685" s="34">
        <v>2.7094907407407408E-2</v>
      </c>
      <c r="G1685" s="34">
        <v>2.257908950617284E-3</v>
      </c>
      <c r="H1685" s="34">
        <v>0.26478009259259261</v>
      </c>
      <c r="I1685" s="34">
        <v>4.5324074074074072E-2</v>
      </c>
      <c r="J1685" s="35">
        <v>0.17117629059754336</v>
      </c>
      <c r="K1685" s="33" t="s">
        <v>160</v>
      </c>
      <c r="L1685" s="33" t="s">
        <v>146</v>
      </c>
    </row>
    <row r="1686" spans="1:12" x14ac:dyDescent="0.25">
      <c r="A1686" s="32">
        <v>46253</v>
      </c>
      <c r="B1686" s="33" t="s">
        <v>147</v>
      </c>
      <c r="C1686" s="33" t="s">
        <v>517</v>
      </c>
      <c r="D1686" s="33" t="s">
        <v>147</v>
      </c>
      <c r="E1686">
        <v>2</v>
      </c>
      <c r="F1686" s="34">
        <v>1.4918981481481481E-2</v>
      </c>
      <c r="G1686" s="34">
        <v>7.4594907407407405E-3</v>
      </c>
      <c r="H1686" s="34">
        <v>6.3692129629629626E-2</v>
      </c>
      <c r="I1686" s="34">
        <v>1.3391203703703704E-2</v>
      </c>
      <c r="J1686" s="35">
        <v>0.21024895511539163</v>
      </c>
      <c r="K1686" s="33" t="s">
        <v>499</v>
      </c>
      <c r="L1686" s="33" t="s">
        <v>146</v>
      </c>
    </row>
    <row r="1687" spans="1:12" x14ac:dyDescent="0.25">
      <c r="A1687" s="32">
        <v>46253</v>
      </c>
      <c r="B1687" s="33" t="s">
        <v>147</v>
      </c>
      <c r="C1687" s="33" t="s">
        <v>518</v>
      </c>
      <c r="D1687" s="33" t="s">
        <v>147</v>
      </c>
      <c r="E1687">
        <v>12</v>
      </c>
      <c r="F1687" s="34">
        <v>3.5219907407407408E-2</v>
      </c>
      <c r="G1687" s="34">
        <v>2.9349922839506173E-3</v>
      </c>
      <c r="H1687" s="34">
        <v>0.26373842592592595</v>
      </c>
      <c r="I1687" s="34">
        <v>3.3402777777777781E-2</v>
      </c>
      <c r="J1687" s="35">
        <v>0.12665116074955018</v>
      </c>
      <c r="K1687" s="33" t="s">
        <v>500</v>
      </c>
      <c r="L1687" s="33" t="s">
        <v>274</v>
      </c>
    </row>
    <row r="1688" spans="1:12" x14ac:dyDescent="0.25">
      <c r="A1688" s="32">
        <v>46253</v>
      </c>
      <c r="B1688" s="33" t="s">
        <v>147</v>
      </c>
      <c r="C1688" s="33" t="s">
        <v>519</v>
      </c>
      <c r="D1688" s="33" t="s">
        <v>147</v>
      </c>
      <c r="E1688">
        <v>12</v>
      </c>
      <c r="F1688" s="34">
        <v>8.3171296296296299E-2</v>
      </c>
      <c r="G1688" s="34">
        <v>6.9309413580246918E-3</v>
      </c>
      <c r="H1688" s="34">
        <v>0.30957175925925928</v>
      </c>
      <c r="I1688" s="34">
        <v>3.425925925925926E-2</v>
      </c>
      <c r="J1688" s="35">
        <v>0.11066661681683927</v>
      </c>
      <c r="K1688" s="33" t="s">
        <v>164</v>
      </c>
      <c r="L1688" s="33" t="s">
        <v>146</v>
      </c>
    </row>
    <row r="1689" spans="1:12" x14ac:dyDescent="0.25">
      <c r="A1689" s="32">
        <v>46253</v>
      </c>
      <c r="B1689" s="33" t="s">
        <v>147</v>
      </c>
      <c r="C1689" s="33" t="s">
        <v>167</v>
      </c>
      <c r="D1689" s="33" t="s">
        <v>147</v>
      </c>
      <c r="E1689">
        <v>14</v>
      </c>
      <c r="F1689" s="34">
        <v>5.451388888888889E-2</v>
      </c>
      <c r="G1689" s="34">
        <v>3.8938492063492064E-3</v>
      </c>
      <c r="H1689" s="34">
        <v>0.25318287037037035</v>
      </c>
      <c r="I1689" s="34">
        <v>3.5092592592592592E-2</v>
      </c>
      <c r="J1689" s="35">
        <v>0.1386057142857143</v>
      </c>
      <c r="K1689" s="33" t="s">
        <v>166</v>
      </c>
      <c r="L1689" s="33" t="s">
        <v>146</v>
      </c>
    </row>
    <row r="1690" spans="1:12" x14ac:dyDescent="0.25">
      <c r="A1690" s="32">
        <v>46253</v>
      </c>
      <c r="B1690" s="33" t="s">
        <v>147</v>
      </c>
      <c r="C1690" s="33" t="s">
        <v>658</v>
      </c>
      <c r="D1690" s="33" t="s">
        <v>147</v>
      </c>
      <c r="E1690">
        <v>14</v>
      </c>
      <c r="F1690" s="34">
        <v>4.8449074074074075E-2</v>
      </c>
      <c r="G1690" s="34">
        <v>3.460648148148148E-3</v>
      </c>
      <c r="H1690" s="34">
        <v>0.26421296296296298</v>
      </c>
      <c r="I1690" s="34">
        <v>4.3888888888888887E-2</v>
      </c>
      <c r="J1690" s="35">
        <v>0.16611179253548272</v>
      </c>
      <c r="K1690" s="33" t="s">
        <v>657</v>
      </c>
      <c r="L1690" s="33" t="s">
        <v>274</v>
      </c>
    </row>
    <row r="1691" spans="1:12" x14ac:dyDescent="0.25">
      <c r="A1691" s="32">
        <v>46253</v>
      </c>
      <c r="B1691" s="33" t="s">
        <v>147</v>
      </c>
      <c r="C1691" s="33" t="s">
        <v>520</v>
      </c>
      <c r="D1691" s="33" t="s">
        <v>147</v>
      </c>
      <c r="E1691">
        <v>9</v>
      </c>
      <c r="F1691" s="34">
        <v>1.3657407407407408E-2</v>
      </c>
      <c r="G1691" s="34">
        <v>1.5174897119341565E-3</v>
      </c>
      <c r="H1691" s="34">
        <v>0.25293981481481481</v>
      </c>
      <c r="I1691" s="34">
        <v>5.3495370370370374E-2</v>
      </c>
      <c r="J1691" s="35">
        <v>0.21149446325615451</v>
      </c>
      <c r="K1691" s="33" t="s">
        <v>168</v>
      </c>
      <c r="L1691" s="33" t="s">
        <v>274</v>
      </c>
    </row>
    <row r="1692" spans="1:12" x14ac:dyDescent="0.25">
      <c r="A1692" s="32">
        <v>46253</v>
      </c>
      <c r="B1692" s="33" t="s">
        <v>147</v>
      </c>
      <c r="C1692" s="33" t="s">
        <v>521</v>
      </c>
      <c r="D1692" s="33" t="s">
        <v>147</v>
      </c>
      <c r="E1692">
        <v>8</v>
      </c>
      <c r="F1692" s="34">
        <v>3.9328703703703706E-2</v>
      </c>
      <c r="G1692" s="34">
        <v>4.9160879629629632E-3</v>
      </c>
      <c r="H1692" s="34">
        <v>0.22743055555555555</v>
      </c>
      <c r="I1692" s="34">
        <v>3.8993055555555559E-2</v>
      </c>
      <c r="J1692" s="35">
        <v>0.17145038167938934</v>
      </c>
      <c r="K1692" s="33" t="s">
        <v>170</v>
      </c>
      <c r="L1692" s="33" t="s">
        <v>146</v>
      </c>
    </row>
    <row r="1693" spans="1:12" x14ac:dyDescent="0.25">
      <c r="A1693" s="32">
        <v>46253</v>
      </c>
      <c r="B1693" s="33" t="s">
        <v>147</v>
      </c>
      <c r="C1693" s="33" t="s">
        <v>633</v>
      </c>
      <c r="D1693" s="33" t="s">
        <v>147</v>
      </c>
      <c r="E1693">
        <v>3</v>
      </c>
      <c r="F1693" s="34">
        <v>1.9560185185185184E-2</v>
      </c>
      <c r="G1693" s="34">
        <v>6.520061728395061E-3</v>
      </c>
      <c r="H1693" s="34">
        <v>0.26327546296296295</v>
      </c>
      <c r="I1693" s="34">
        <v>6.7476851851851857E-2</v>
      </c>
      <c r="J1693" s="35">
        <v>0.25629753374071312</v>
      </c>
      <c r="K1693" s="33" t="s">
        <v>606</v>
      </c>
      <c r="L1693" s="33" t="s">
        <v>146</v>
      </c>
    </row>
    <row r="1694" spans="1:12" x14ac:dyDescent="0.25">
      <c r="A1694" s="32">
        <v>46253</v>
      </c>
      <c r="B1694" s="33" t="s">
        <v>147</v>
      </c>
      <c r="C1694" s="33" t="s">
        <v>522</v>
      </c>
      <c r="D1694" s="33" t="s">
        <v>147</v>
      </c>
      <c r="E1694">
        <v>11</v>
      </c>
      <c r="F1694" s="34">
        <v>0.06</v>
      </c>
      <c r="G1694" s="34">
        <v>5.4545454545454541E-3</v>
      </c>
      <c r="H1694" s="34">
        <v>0.26614583333333336</v>
      </c>
      <c r="I1694" s="34">
        <v>3.2025462962962964E-2</v>
      </c>
      <c r="J1694" s="35">
        <v>0.12033050663187649</v>
      </c>
      <c r="K1694" s="33" t="s">
        <v>178</v>
      </c>
      <c r="L1694" s="33" t="s">
        <v>146</v>
      </c>
    </row>
    <row r="1695" spans="1:12" x14ac:dyDescent="0.25">
      <c r="A1695" s="32">
        <v>46253</v>
      </c>
      <c r="B1695" s="33" t="s">
        <v>147</v>
      </c>
      <c r="C1695" s="33" t="s">
        <v>523</v>
      </c>
      <c r="D1695" s="33" t="s">
        <v>147</v>
      </c>
      <c r="E1695">
        <v>9</v>
      </c>
      <c r="F1695" s="34">
        <v>3.5509259259259261E-2</v>
      </c>
      <c r="G1695" s="34">
        <v>3.9454732510288068E-3</v>
      </c>
      <c r="H1695" s="34">
        <v>0.26244212962962965</v>
      </c>
      <c r="I1695" s="34">
        <v>4.0034722222222222E-2</v>
      </c>
      <c r="J1695" s="35">
        <v>0.1525468577728776</v>
      </c>
      <c r="K1695" s="33" t="s">
        <v>180</v>
      </c>
      <c r="L1695" s="33" t="s">
        <v>146</v>
      </c>
    </row>
    <row r="1696" spans="1:12" x14ac:dyDescent="0.25">
      <c r="A1696" s="32">
        <v>46253</v>
      </c>
      <c r="B1696" s="33" t="s">
        <v>147</v>
      </c>
      <c r="C1696" s="33" t="s">
        <v>566</v>
      </c>
      <c r="D1696" s="33" t="s">
        <v>147</v>
      </c>
      <c r="E1696">
        <v>16</v>
      </c>
      <c r="F1696" s="34">
        <v>4.4097222222222225E-2</v>
      </c>
      <c r="G1696" s="34">
        <v>2.7560763888888891E-3</v>
      </c>
      <c r="H1696" s="34">
        <v>0.26204861111111111</v>
      </c>
      <c r="I1696" s="34">
        <v>3.5300925925925923E-2</v>
      </c>
      <c r="J1696" s="35">
        <v>0.13471136433903094</v>
      </c>
      <c r="K1696" s="33" t="s">
        <v>207</v>
      </c>
      <c r="L1696" s="33" t="s">
        <v>274</v>
      </c>
    </row>
    <row r="1697" spans="1:12" x14ac:dyDescent="0.25">
      <c r="A1697" s="32">
        <v>46253</v>
      </c>
      <c r="B1697" s="33" t="s">
        <v>147</v>
      </c>
      <c r="C1697" s="33" t="s">
        <v>524</v>
      </c>
      <c r="D1697" s="33" t="s">
        <v>147</v>
      </c>
      <c r="E1697">
        <v>9</v>
      </c>
      <c r="F1697" s="34">
        <v>3.5717592592592592E-2</v>
      </c>
      <c r="G1697" s="34">
        <v>3.9686213991769548E-3</v>
      </c>
      <c r="H1697" s="34">
        <v>0.26416666666666666</v>
      </c>
      <c r="I1697" s="34">
        <v>3.6377314814814814E-2</v>
      </c>
      <c r="J1697" s="35">
        <v>0.13770592358920433</v>
      </c>
      <c r="K1697" s="33" t="s">
        <v>501</v>
      </c>
      <c r="L1697" s="33" t="s">
        <v>274</v>
      </c>
    </row>
    <row r="1698" spans="1:12" x14ac:dyDescent="0.25">
      <c r="A1698" s="32">
        <v>46253</v>
      </c>
      <c r="B1698" s="33" t="s">
        <v>147</v>
      </c>
      <c r="C1698" s="33" t="s">
        <v>557</v>
      </c>
      <c r="D1698" s="33" t="s">
        <v>147</v>
      </c>
      <c r="E1698">
        <v>10</v>
      </c>
      <c r="F1698" s="34">
        <v>6.2384259259259257E-2</v>
      </c>
      <c r="G1698" s="34">
        <v>6.2384259259259259E-3</v>
      </c>
      <c r="H1698" s="34">
        <v>0.26535879629629627</v>
      </c>
      <c r="I1698" s="34">
        <v>4.4340277777777777E-2</v>
      </c>
      <c r="J1698" s="35">
        <v>0.16709556418196886</v>
      </c>
      <c r="K1698" s="33" t="s">
        <v>227</v>
      </c>
      <c r="L1698" s="33" t="s">
        <v>146</v>
      </c>
    </row>
    <row r="1699" spans="1:12" x14ac:dyDescent="0.25">
      <c r="A1699" s="32">
        <v>46253</v>
      </c>
      <c r="B1699" s="33" t="s">
        <v>147</v>
      </c>
      <c r="C1699" s="33" t="s">
        <v>678</v>
      </c>
      <c r="D1699" s="33" t="s">
        <v>147</v>
      </c>
      <c r="E1699">
        <v>14</v>
      </c>
      <c r="F1699" s="34">
        <v>2.7465277777777779E-2</v>
      </c>
      <c r="G1699" s="34">
        <v>1.9618055555555556E-3</v>
      </c>
      <c r="H1699" s="34">
        <v>0.26034722222222223</v>
      </c>
      <c r="I1699" s="34">
        <v>3.6701388888888888E-2</v>
      </c>
      <c r="J1699" s="35">
        <v>0.1409709255801547</v>
      </c>
      <c r="K1699" s="33" t="s">
        <v>677</v>
      </c>
      <c r="L1699" s="33" t="s">
        <v>274</v>
      </c>
    </row>
    <row r="1700" spans="1:12" x14ac:dyDescent="0.25">
      <c r="A1700" s="32">
        <v>46253</v>
      </c>
      <c r="B1700" s="33" t="s">
        <v>105</v>
      </c>
      <c r="C1700" s="33" t="s">
        <v>644</v>
      </c>
      <c r="D1700" s="33" t="s">
        <v>32</v>
      </c>
      <c r="E1700">
        <v>1</v>
      </c>
      <c r="F1700" s="34">
        <v>2.8703703703703703E-3</v>
      </c>
      <c r="G1700" s="34">
        <v>2.8703703703703703E-3</v>
      </c>
      <c r="H1700" s="34">
        <v>0.25679398148148147</v>
      </c>
      <c r="I1700" s="34">
        <v>4.1192129629629627E-2</v>
      </c>
      <c r="J1700" s="35">
        <v>0.1604092486591247</v>
      </c>
      <c r="K1700" s="33" t="s">
        <v>643</v>
      </c>
      <c r="L1700" s="33" t="s">
        <v>233</v>
      </c>
    </row>
    <row r="1701" spans="1:12" x14ac:dyDescent="0.25">
      <c r="A1701" s="32">
        <v>46253</v>
      </c>
      <c r="B1701" s="33" t="s">
        <v>105</v>
      </c>
      <c r="C1701" s="33" t="s">
        <v>513</v>
      </c>
      <c r="D1701" s="33" t="s">
        <v>105</v>
      </c>
      <c r="E1701">
        <v>1</v>
      </c>
      <c r="F1701" s="34">
        <v>2.1076388888888888E-2</v>
      </c>
      <c r="G1701" s="34">
        <v>2.1076388888888888E-2</v>
      </c>
      <c r="H1701" s="34">
        <v>0.24925925925925926</v>
      </c>
      <c r="I1701" s="34">
        <v>0.10504629629629629</v>
      </c>
      <c r="J1701" s="35">
        <v>0.42143387815750366</v>
      </c>
      <c r="K1701" s="33" t="s">
        <v>148</v>
      </c>
      <c r="L1701" s="33" t="s">
        <v>104</v>
      </c>
    </row>
    <row r="1702" spans="1:12" x14ac:dyDescent="0.25">
      <c r="A1702" s="32">
        <v>46253</v>
      </c>
      <c r="B1702" s="33" t="s">
        <v>105</v>
      </c>
      <c r="C1702" s="33" t="s">
        <v>550</v>
      </c>
      <c r="D1702" s="33" t="s">
        <v>32</v>
      </c>
      <c r="E1702">
        <v>6</v>
      </c>
      <c r="F1702" s="34">
        <v>2.5162037037037038E-2</v>
      </c>
      <c r="G1702" s="34">
        <v>4.1936728395061728E-3</v>
      </c>
      <c r="H1702" s="34">
        <v>0.34537037037037038</v>
      </c>
      <c r="I1702" s="34">
        <v>8.2361111111111107E-2</v>
      </c>
      <c r="J1702" s="35">
        <v>0.23847184986595171</v>
      </c>
      <c r="K1702" s="33" t="s">
        <v>234</v>
      </c>
      <c r="L1702" s="33" t="s">
        <v>233</v>
      </c>
    </row>
    <row r="1703" spans="1:12" x14ac:dyDescent="0.25">
      <c r="A1703" s="32">
        <v>46253</v>
      </c>
      <c r="B1703" s="33" t="s">
        <v>105</v>
      </c>
      <c r="C1703" s="33" t="s">
        <v>505</v>
      </c>
      <c r="D1703" s="33" t="s">
        <v>32</v>
      </c>
      <c r="E1703">
        <v>8</v>
      </c>
      <c r="F1703" s="34">
        <v>2.7800925925925927E-2</v>
      </c>
      <c r="G1703" s="34">
        <v>3.4751157407407409E-3</v>
      </c>
      <c r="H1703" s="34">
        <v>0.26069444444444445</v>
      </c>
      <c r="I1703" s="34">
        <v>4.7256944444444442E-2</v>
      </c>
      <c r="J1703" s="35">
        <v>0.18127330847096429</v>
      </c>
      <c r="K1703" s="33" t="s">
        <v>34</v>
      </c>
      <c r="L1703" s="33" t="s">
        <v>233</v>
      </c>
    </row>
    <row r="1704" spans="1:12" x14ac:dyDescent="0.25">
      <c r="A1704" s="32">
        <v>46253</v>
      </c>
      <c r="B1704" s="33" t="s">
        <v>105</v>
      </c>
      <c r="C1704" s="33" t="s">
        <v>551</v>
      </c>
      <c r="D1704" s="33" t="s">
        <v>32</v>
      </c>
      <c r="E1704">
        <v>1</v>
      </c>
      <c r="F1704" s="34">
        <v>3.8773148148148148E-3</v>
      </c>
      <c r="G1704" s="34">
        <v>3.8773148148148148E-3</v>
      </c>
      <c r="H1704" s="34">
        <v>0.19988425925925926</v>
      </c>
      <c r="I1704" s="34">
        <v>0.18265046296296297</v>
      </c>
      <c r="J1704" s="35">
        <v>0.91378112333526351</v>
      </c>
      <c r="K1704" s="33" t="s">
        <v>236</v>
      </c>
      <c r="L1704" s="33" t="s">
        <v>233</v>
      </c>
    </row>
    <row r="1705" spans="1:12" x14ac:dyDescent="0.25">
      <c r="A1705" s="32">
        <v>46253</v>
      </c>
      <c r="B1705" s="33" t="s">
        <v>105</v>
      </c>
      <c r="C1705" s="33" t="s">
        <v>631</v>
      </c>
      <c r="D1705" s="33" t="s">
        <v>105</v>
      </c>
      <c r="E1705">
        <v>2</v>
      </c>
      <c r="F1705" s="34">
        <v>5.4131944444444448E-2</v>
      </c>
      <c r="G1705" s="34">
        <v>2.7065972222222224E-2</v>
      </c>
      <c r="H1705" s="34">
        <v>0.22412037037037036</v>
      </c>
      <c r="I1705" s="34">
        <v>0.10903935185185185</v>
      </c>
      <c r="J1705" s="35">
        <v>0.48652137988019006</v>
      </c>
      <c r="K1705" s="33" t="s">
        <v>608</v>
      </c>
      <c r="L1705" s="33" t="s">
        <v>601</v>
      </c>
    </row>
    <row r="1706" spans="1:12" x14ac:dyDescent="0.25">
      <c r="A1706" s="32">
        <v>46253</v>
      </c>
      <c r="B1706" s="33" t="s">
        <v>105</v>
      </c>
      <c r="C1706" s="33" t="s">
        <v>564</v>
      </c>
      <c r="D1706" s="33" t="s">
        <v>105</v>
      </c>
      <c r="E1706">
        <v>1</v>
      </c>
      <c r="F1706" s="34">
        <v>2.900462962962963E-2</v>
      </c>
      <c r="G1706" s="34">
        <v>2.900462962962963E-2</v>
      </c>
      <c r="H1706" s="34">
        <v>0.23778935185185185</v>
      </c>
      <c r="I1706" s="34">
        <v>0.16009259259259259</v>
      </c>
      <c r="J1706" s="35">
        <v>0.67325383304940378</v>
      </c>
      <c r="K1706" s="33" t="s">
        <v>197</v>
      </c>
      <c r="L1706" s="33" t="s">
        <v>601</v>
      </c>
    </row>
    <row r="1707" spans="1:12" x14ac:dyDescent="0.25">
      <c r="A1707" s="32">
        <v>46253</v>
      </c>
      <c r="B1707" s="33" t="s">
        <v>105</v>
      </c>
      <c r="C1707" s="33" t="s">
        <v>570</v>
      </c>
      <c r="D1707" s="33" t="s">
        <v>105</v>
      </c>
      <c r="E1707">
        <v>3</v>
      </c>
      <c r="F1707" s="34">
        <v>0.13758101851851851</v>
      </c>
      <c r="G1707" s="34">
        <v>4.5860339506172833E-2</v>
      </c>
      <c r="H1707" s="34">
        <v>0.22173611111111111</v>
      </c>
      <c r="I1707" s="34">
        <v>0.10945601851851852</v>
      </c>
      <c r="J1707" s="35">
        <v>0.49363190312141147</v>
      </c>
      <c r="K1707" s="33" t="s">
        <v>112</v>
      </c>
      <c r="L1707" s="33" t="s">
        <v>104</v>
      </c>
    </row>
    <row r="1708" spans="1:12" x14ac:dyDescent="0.25">
      <c r="A1708" s="32">
        <v>46253</v>
      </c>
      <c r="B1708" s="33" t="s">
        <v>105</v>
      </c>
      <c r="C1708" s="33" t="s">
        <v>537</v>
      </c>
      <c r="D1708" s="33" t="s">
        <v>105</v>
      </c>
      <c r="E1708">
        <v>5</v>
      </c>
      <c r="F1708" s="34">
        <v>4.0706018518518516E-2</v>
      </c>
      <c r="G1708" s="34">
        <v>8.1412037037037026E-3</v>
      </c>
      <c r="H1708" s="34">
        <v>0.25865740740740739</v>
      </c>
      <c r="I1708" s="34">
        <v>0.12989583333333332</v>
      </c>
      <c r="J1708" s="35">
        <v>0.5021925899409343</v>
      </c>
      <c r="K1708" s="33" t="s">
        <v>42</v>
      </c>
      <c r="L1708" s="33" t="s">
        <v>104</v>
      </c>
    </row>
    <row r="1709" spans="1:12" x14ac:dyDescent="0.25">
      <c r="A1709" s="32">
        <v>46253</v>
      </c>
      <c r="B1709" s="33" t="s">
        <v>105</v>
      </c>
      <c r="C1709" s="33" t="s">
        <v>632</v>
      </c>
      <c r="D1709" s="33" t="s">
        <v>105</v>
      </c>
      <c r="E1709">
        <v>5</v>
      </c>
      <c r="F1709" s="34">
        <v>0.12490740740740741</v>
      </c>
      <c r="G1709" s="34">
        <v>2.4981481481481483E-2</v>
      </c>
      <c r="H1709" s="34">
        <v>7.2488425925925928E-2</v>
      </c>
      <c r="I1709" s="34">
        <v>4.2534722222222224E-2</v>
      </c>
      <c r="J1709" s="35">
        <v>0.58677949864282297</v>
      </c>
      <c r="K1709" s="33" t="s">
        <v>609</v>
      </c>
      <c r="L1709" s="33" t="s">
        <v>601</v>
      </c>
    </row>
    <row r="1710" spans="1:12" x14ac:dyDescent="0.25">
      <c r="A1710" s="32">
        <v>46253</v>
      </c>
      <c r="B1710" s="33" t="s">
        <v>105</v>
      </c>
      <c r="C1710" s="33" t="s">
        <v>558</v>
      </c>
      <c r="D1710" s="33" t="s">
        <v>32</v>
      </c>
      <c r="E1710">
        <v>10</v>
      </c>
      <c r="F1710" s="34">
        <v>1.6087962962962964E-2</v>
      </c>
      <c r="G1710" s="34">
        <v>1.6087962962962963E-3</v>
      </c>
      <c r="H1710" s="34">
        <v>0.25107638888888889</v>
      </c>
      <c r="I1710" s="34">
        <v>7.1516203703703707E-2</v>
      </c>
      <c r="J1710" s="35">
        <v>0.28483842714239616</v>
      </c>
      <c r="K1710" s="33" t="s">
        <v>120</v>
      </c>
      <c r="L1710" s="33" t="s">
        <v>233</v>
      </c>
    </row>
    <row r="1711" spans="1:12" x14ac:dyDescent="0.25">
      <c r="A1711" s="32">
        <v>46253</v>
      </c>
      <c r="B1711" s="33" t="s">
        <v>105</v>
      </c>
      <c r="C1711" s="33" t="s">
        <v>648</v>
      </c>
      <c r="D1711" s="33" t="s">
        <v>32</v>
      </c>
      <c r="E1711">
        <v>4</v>
      </c>
      <c r="F1711" s="34">
        <v>9.4560185185185181E-3</v>
      </c>
      <c r="G1711" s="34">
        <v>2.3640046296296295E-3</v>
      </c>
      <c r="H1711" s="34">
        <v>0.26407407407407407</v>
      </c>
      <c r="I1711" s="34">
        <v>5.6608796296296296E-2</v>
      </c>
      <c r="J1711" s="35">
        <v>0.21436711079943899</v>
      </c>
      <c r="K1711" s="33" t="s">
        <v>647</v>
      </c>
      <c r="L1711" s="33" t="s">
        <v>233</v>
      </c>
    </row>
    <row r="1712" spans="1:12" x14ac:dyDescent="0.25">
      <c r="A1712" s="32">
        <v>46253</v>
      </c>
      <c r="B1712" s="33" t="s">
        <v>105</v>
      </c>
      <c r="C1712" s="33" t="s">
        <v>568</v>
      </c>
      <c r="D1712" s="33" t="s">
        <v>32</v>
      </c>
      <c r="E1712">
        <v>5</v>
      </c>
      <c r="F1712" s="34">
        <v>2.8981481481481483E-2</v>
      </c>
      <c r="G1712" s="34">
        <v>5.7962962962962968E-3</v>
      </c>
      <c r="H1712" s="34">
        <v>0.35240740740740739</v>
      </c>
      <c r="I1712" s="34">
        <v>7.5798611111111108E-2</v>
      </c>
      <c r="J1712" s="35">
        <v>0.21508801891749868</v>
      </c>
      <c r="K1712" s="33" t="s">
        <v>246</v>
      </c>
      <c r="L1712" s="33" t="s">
        <v>233</v>
      </c>
    </row>
    <row r="1713" spans="1:12" x14ac:dyDescent="0.25">
      <c r="A1713" s="32">
        <v>46253</v>
      </c>
      <c r="B1713" s="33" t="s">
        <v>105</v>
      </c>
      <c r="C1713" s="33" t="s">
        <v>603</v>
      </c>
      <c r="D1713" s="33" t="s">
        <v>32</v>
      </c>
      <c r="E1713">
        <v>4</v>
      </c>
      <c r="F1713" s="34">
        <v>2.4826388888888887E-2</v>
      </c>
      <c r="G1713" s="34">
        <v>6.2065972222222219E-3</v>
      </c>
      <c r="H1713" s="34">
        <v>0.26204861111111111</v>
      </c>
      <c r="I1713" s="34">
        <v>4.1666666666666664E-2</v>
      </c>
      <c r="J1713" s="35">
        <v>0.15900357758049555</v>
      </c>
      <c r="K1713" s="33" t="s">
        <v>242</v>
      </c>
      <c r="L1713" s="33" t="s">
        <v>233</v>
      </c>
    </row>
    <row r="1714" spans="1:12" x14ac:dyDescent="0.25">
      <c r="A1714" s="32">
        <v>46253</v>
      </c>
      <c r="B1714" s="33" t="s">
        <v>105</v>
      </c>
      <c r="C1714" s="33" t="s">
        <v>559</v>
      </c>
      <c r="D1714" s="33" t="s">
        <v>105</v>
      </c>
      <c r="E1714">
        <v>2</v>
      </c>
      <c r="F1714" s="34">
        <v>4.8125000000000001E-2</v>
      </c>
      <c r="G1714" s="34">
        <v>2.4062500000000001E-2</v>
      </c>
      <c r="H1714" s="34">
        <v>0.32288194444444446</v>
      </c>
      <c r="I1714" s="34">
        <v>0.21273148148148149</v>
      </c>
      <c r="J1714" s="35">
        <v>0.65885220633042985</v>
      </c>
      <c r="K1714" s="33" t="s">
        <v>289</v>
      </c>
      <c r="L1714" s="33" t="s">
        <v>104</v>
      </c>
    </row>
    <row r="1715" spans="1:12" x14ac:dyDescent="0.25">
      <c r="A1715" s="32">
        <v>46253</v>
      </c>
      <c r="B1715" s="33" t="s">
        <v>105</v>
      </c>
      <c r="C1715" s="33" t="s">
        <v>684</v>
      </c>
      <c r="D1715" s="33" t="s">
        <v>32</v>
      </c>
      <c r="E1715">
        <v>4</v>
      </c>
      <c r="F1715" s="34">
        <v>2.4212962962962964E-2</v>
      </c>
      <c r="G1715" s="34">
        <v>6.053240740740741E-3</v>
      </c>
      <c r="H1715" s="34">
        <v>0.2582638888888889</v>
      </c>
      <c r="I1715" s="34">
        <v>6.0520833333333336E-2</v>
      </c>
      <c r="J1715" s="35">
        <v>0.23433718741597204</v>
      </c>
      <c r="K1715" s="33" t="s">
        <v>683</v>
      </c>
      <c r="L1715" s="33" t="s">
        <v>233</v>
      </c>
    </row>
    <row r="1716" spans="1:12" x14ac:dyDescent="0.25">
      <c r="A1716" s="32">
        <v>46253</v>
      </c>
      <c r="B1716" s="33" t="s">
        <v>105</v>
      </c>
      <c r="C1716" s="33" t="s">
        <v>634</v>
      </c>
      <c r="D1716" s="33" t="s">
        <v>105</v>
      </c>
      <c r="E1716">
        <v>1</v>
      </c>
      <c r="F1716" s="34">
        <v>2.792824074074074E-2</v>
      </c>
      <c r="G1716" s="34">
        <v>2.792824074074074E-2</v>
      </c>
      <c r="H1716" s="34">
        <v>2.1296296296296296E-2</v>
      </c>
      <c r="I1716" s="34">
        <v>1.3020833333333334E-2</v>
      </c>
      <c r="J1716" s="35">
        <v>0.61141304347826086</v>
      </c>
      <c r="K1716" s="33" t="s">
        <v>612</v>
      </c>
      <c r="L1716" s="33" t="s">
        <v>601</v>
      </c>
    </row>
    <row r="1717" spans="1:12" x14ac:dyDescent="0.25">
      <c r="A1717" s="32">
        <v>46253</v>
      </c>
      <c r="B1717" s="33" t="s">
        <v>105</v>
      </c>
      <c r="C1717" s="33" t="s">
        <v>555</v>
      </c>
      <c r="D1717" s="33" t="s">
        <v>32</v>
      </c>
      <c r="E1717">
        <v>5</v>
      </c>
      <c r="F1717" s="34">
        <v>2.6782407407407408E-2</v>
      </c>
      <c r="G1717" s="34">
        <v>5.3564814814814812E-3</v>
      </c>
      <c r="H1717" s="34">
        <v>0.23962962962962964</v>
      </c>
      <c r="I1717" s="34">
        <v>6.8368055555555557E-2</v>
      </c>
      <c r="J1717" s="35">
        <v>0.28530718701700153</v>
      </c>
      <c r="K1717" s="33" t="s">
        <v>128</v>
      </c>
      <c r="L1717" s="33" t="s">
        <v>233</v>
      </c>
    </row>
    <row r="1718" spans="1:12" x14ac:dyDescent="0.25">
      <c r="A1718" s="32">
        <v>46253</v>
      </c>
      <c r="B1718" s="33" t="s">
        <v>105</v>
      </c>
      <c r="C1718" s="33" t="s">
        <v>667</v>
      </c>
      <c r="D1718" s="33" t="s">
        <v>105</v>
      </c>
      <c r="E1718">
        <v>4</v>
      </c>
      <c r="F1718" s="34">
        <v>7.4062500000000003E-2</v>
      </c>
      <c r="G1718" s="34">
        <v>1.8515625000000001E-2</v>
      </c>
      <c r="H1718" s="34">
        <v>0.21861111111111112</v>
      </c>
      <c r="I1718" s="34">
        <v>0.18164351851851851</v>
      </c>
      <c r="J1718" s="35">
        <v>0.83089792460821676</v>
      </c>
      <c r="K1718" s="33" t="s">
        <v>297</v>
      </c>
      <c r="L1718" s="33" t="s">
        <v>104</v>
      </c>
    </row>
    <row r="1719" spans="1:12" x14ac:dyDescent="0.25">
      <c r="A1719" s="32">
        <v>46253</v>
      </c>
      <c r="B1719" s="33" t="s">
        <v>105</v>
      </c>
      <c r="C1719" s="33" t="s">
        <v>637</v>
      </c>
      <c r="D1719" s="33" t="s">
        <v>105</v>
      </c>
      <c r="E1719">
        <v>2</v>
      </c>
      <c r="F1719" s="34">
        <v>4.6238425925925926E-2</v>
      </c>
      <c r="G1719" s="34">
        <v>2.3119212962962963E-2</v>
      </c>
      <c r="H1719" s="34">
        <v>0.18019675925925926</v>
      </c>
      <c r="I1719" s="34">
        <v>0.10601851851851851</v>
      </c>
      <c r="J1719" s="35">
        <v>0.58834864153124788</v>
      </c>
      <c r="K1719" s="33" t="s">
        <v>616</v>
      </c>
      <c r="L1719" s="33" t="s">
        <v>601</v>
      </c>
    </row>
    <row r="1720" spans="1:12" x14ac:dyDescent="0.25">
      <c r="A1720" s="32">
        <v>46253</v>
      </c>
      <c r="B1720" s="33" t="s">
        <v>105</v>
      </c>
      <c r="C1720" s="33" t="s">
        <v>567</v>
      </c>
      <c r="D1720" s="33" t="s">
        <v>105</v>
      </c>
      <c r="E1720">
        <v>3</v>
      </c>
      <c r="F1720" s="34">
        <v>8.548611111111111E-2</v>
      </c>
      <c r="G1720" s="34">
        <v>2.8495370370370369E-2</v>
      </c>
      <c r="H1720" s="34">
        <v>0.24523148148148149</v>
      </c>
      <c r="I1720" s="34">
        <v>0.1401388888888889</v>
      </c>
      <c r="J1720" s="35">
        <v>0.57145554087219186</v>
      </c>
      <c r="K1720" s="33" t="s">
        <v>209</v>
      </c>
      <c r="L1720" s="33" t="s">
        <v>601</v>
      </c>
    </row>
    <row r="1721" spans="1:12" x14ac:dyDescent="0.25">
      <c r="A1721" s="32">
        <v>46253</v>
      </c>
      <c r="B1721" s="33" t="s">
        <v>105</v>
      </c>
      <c r="C1721" s="33" t="s">
        <v>512</v>
      </c>
      <c r="D1721" s="33" t="s">
        <v>105</v>
      </c>
      <c r="E1721">
        <v>4</v>
      </c>
      <c r="F1721" s="34">
        <v>2.8472222222222222E-2</v>
      </c>
      <c r="G1721" s="34">
        <v>7.1180555555555554E-3</v>
      </c>
      <c r="H1721" s="34">
        <v>0.2542476851851852</v>
      </c>
      <c r="I1721" s="34">
        <v>0.11395833333333333</v>
      </c>
      <c r="J1721" s="35">
        <v>0.4482177812172804</v>
      </c>
      <c r="K1721" s="33" t="s">
        <v>132</v>
      </c>
      <c r="L1721" s="33" t="s">
        <v>104</v>
      </c>
    </row>
    <row r="1722" spans="1:12" x14ac:dyDescent="0.25">
      <c r="A1722" s="32">
        <v>46253</v>
      </c>
      <c r="B1722" s="33" t="s">
        <v>105</v>
      </c>
      <c r="C1722" s="33" t="s">
        <v>546</v>
      </c>
      <c r="D1722" s="33" t="s">
        <v>105</v>
      </c>
      <c r="E1722">
        <v>3</v>
      </c>
      <c r="F1722" s="34">
        <v>9.0011574074074077E-2</v>
      </c>
      <c r="G1722" s="34">
        <v>3.0003858024691358E-2</v>
      </c>
      <c r="H1722" s="34">
        <v>0.18202546296296296</v>
      </c>
      <c r="I1722" s="34">
        <v>0.12922453703703704</v>
      </c>
      <c r="J1722" s="35">
        <v>0.70992560564634077</v>
      </c>
      <c r="K1722" s="33" t="s">
        <v>211</v>
      </c>
      <c r="L1722" s="33" t="s">
        <v>104</v>
      </c>
    </row>
    <row r="1723" spans="1:12" x14ac:dyDescent="0.25">
      <c r="A1723" s="32">
        <v>46253</v>
      </c>
      <c r="B1723" s="33" t="s">
        <v>105</v>
      </c>
      <c r="C1723" s="33" t="s">
        <v>638</v>
      </c>
      <c r="D1723" s="33" t="s">
        <v>105</v>
      </c>
      <c r="E1723">
        <v>1</v>
      </c>
      <c r="F1723" s="34">
        <v>3.4050925925925929E-2</v>
      </c>
      <c r="G1723" s="34">
        <v>3.4050925925925929E-2</v>
      </c>
      <c r="H1723" s="34">
        <v>0.22498842592592594</v>
      </c>
      <c r="I1723" s="34">
        <v>0.11540509259259259</v>
      </c>
      <c r="J1723" s="35">
        <v>0.51293790832861763</v>
      </c>
      <c r="K1723" s="33" t="s">
        <v>617</v>
      </c>
      <c r="L1723" s="33" t="s">
        <v>601</v>
      </c>
    </row>
    <row r="1724" spans="1:12" x14ac:dyDescent="0.25">
      <c r="A1724" s="32">
        <v>46253</v>
      </c>
      <c r="B1724" s="33" t="s">
        <v>105</v>
      </c>
      <c r="C1724" s="33" t="s">
        <v>561</v>
      </c>
      <c r="D1724" s="33" t="s">
        <v>105</v>
      </c>
      <c r="E1724">
        <v>4</v>
      </c>
      <c r="F1724" s="34">
        <v>3.6990740740740741E-2</v>
      </c>
      <c r="G1724" s="34">
        <v>9.2476851851851852E-3</v>
      </c>
      <c r="H1724" s="34">
        <v>0.25858796296296294</v>
      </c>
      <c r="I1724" s="34">
        <v>0.18502314814814816</v>
      </c>
      <c r="J1724" s="35">
        <v>0.71551338286635047</v>
      </c>
      <c r="K1724" s="33" t="s">
        <v>136</v>
      </c>
      <c r="L1724" s="33" t="s">
        <v>104</v>
      </c>
    </row>
    <row r="1725" spans="1:12" x14ac:dyDescent="0.25">
      <c r="A1725" s="32">
        <v>46253</v>
      </c>
      <c r="B1725" s="33" t="s">
        <v>105</v>
      </c>
      <c r="C1725" s="33" t="s">
        <v>572</v>
      </c>
      <c r="D1725" s="33" t="s">
        <v>105</v>
      </c>
      <c r="E1725">
        <v>5</v>
      </c>
      <c r="F1725" s="34">
        <v>0.13555555555555557</v>
      </c>
      <c r="G1725" s="34">
        <v>2.7111111111111114E-2</v>
      </c>
      <c r="H1725" s="34">
        <v>0.23623842592592592</v>
      </c>
      <c r="I1725" s="34">
        <v>0.17280092592592591</v>
      </c>
      <c r="J1725" s="35">
        <v>0.7314683259026995</v>
      </c>
      <c r="K1725" s="33" t="s">
        <v>213</v>
      </c>
      <c r="L1725" s="33" t="s">
        <v>601</v>
      </c>
    </row>
    <row r="1726" spans="1:12" x14ac:dyDescent="0.25">
      <c r="A1726" s="32">
        <v>46253</v>
      </c>
      <c r="B1726" s="33" t="s">
        <v>105</v>
      </c>
      <c r="C1726" s="33" t="s">
        <v>669</v>
      </c>
      <c r="D1726" s="33" t="s">
        <v>32</v>
      </c>
      <c r="E1726">
        <v>11</v>
      </c>
      <c r="F1726" s="34">
        <v>5.5370370370370368E-2</v>
      </c>
      <c r="G1726" s="34">
        <v>5.0336700336700334E-3</v>
      </c>
      <c r="H1726" s="34">
        <v>0.25267361111111108</v>
      </c>
      <c r="I1726" s="34">
        <v>5.9930555555555556E-2</v>
      </c>
      <c r="J1726" s="35">
        <v>0.23718565342861073</v>
      </c>
      <c r="K1726" s="33" t="s">
        <v>668</v>
      </c>
      <c r="L1726" s="33" t="s">
        <v>233</v>
      </c>
    </row>
    <row r="1727" spans="1:12" x14ac:dyDescent="0.25">
      <c r="A1727" s="32">
        <v>46253</v>
      </c>
      <c r="B1727" s="33" t="s">
        <v>105</v>
      </c>
      <c r="C1727" s="33" t="s">
        <v>548</v>
      </c>
      <c r="D1727" s="33" t="s">
        <v>105</v>
      </c>
      <c r="E1727">
        <v>4</v>
      </c>
      <c r="F1727" s="34">
        <v>5.2962962962962962E-2</v>
      </c>
      <c r="G1727" s="34">
        <v>1.324074074074074E-2</v>
      </c>
      <c r="H1727" s="34">
        <v>0.22462962962962962</v>
      </c>
      <c r="I1727" s="34">
        <v>0.19626157407407407</v>
      </c>
      <c r="J1727" s="35">
        <v>0.87371187139323991</v>
      </c>
      <c r="K1727" s="33" t="s">
        <v>219</v>
      </c>
      <c r="L1727" s="33" t="s">
        <v>104</v>
      </c>
    </row>
    <row r="1728" spans="1:12" x14ac:dyDescent="0.25">
      <c r="A1728" s="32">
        <v>46253</v>
      </c>
      <c r="B1728" s="33" t="s">
        <v>105</v>
      </c>
      <c r="C1728" s="33" t="s">
        <v>641</v>
      </c>
      <c r="D1728" s="33" t="s">
        <v>105</v>
      </c>
      <c r="E1728">
        <v>6</v>
      </c>
      <c r="F1728" s="34">
        <v>0.16145833333333334</v>
      </c>
      <c r="G1728" s="34">
        <v>2.6909722222222224E-2</v>
      </c>
      <c r="H1728" s="34">
        <v>0.24355324074074075</v>
      </c>
      <c r="I1728" s="34">
        <v>0.18274305555555556</v>
      </c>
      <c r="J1728" s="35">
        <v>0.75032077175307699</v>
      </c>
      <c r="K1728" s="33" t="s">
        <v>620</v>
      </c>
      <c r="L1728" s="33" t="s">
        <v>601</v>
      </c>
    </row>
    <row r="1729" spans="1:12" x14ac:dyDescent="0.25">
      <c r="A1729" s="32">
        <v>46253</v>
      </c>
      <c r="B1729" s="33" t="s">
        <v>105</v>
      </c>
      <c r="C1729" s="33" t="s">
        <v>532</v>
      </c>
      <c r="D1729" s="33" t="s">
        <v>32</v>
      </c>
      <c r="E1729">
        <v>11</v>
      </c>
      <c r="F1729" s="34">
        <v>2.042824074074074E-2</v>
      </c>
      <c r="G1729" s="34">
        <v>1.8571127946127946E-3</v>
      </c>
      <c r="H1729" s="34">
        <v>0.30656250000000002</v>
      </c>
      <c r="I1729" s="34">
        <v>6.9814814814814816E-2</v>
      </c>
      <c r="J1729" s="35">
        <v>0.22773436025219918</v>
      </c>
      <c r="K1729" s="33" t="s">
        <v>276</v>
      </c>
      <c r="L1729" s="33" t="s">
        <v>233</v>
      </c>
    </row>
    <row r="1730" spans="1:12" x14ac:dyDescent="0.25">
      <c r="A1730" s="32">
        <v>46253</v>
      </c>
      <c r="B1730" s="33" t="s">
        <v>105</v>
      </c>
      <c r="C1730" s="33" t="s">
        <v>533</v>
      </c>
      <c r="D1730" s="33" t="s">
        <v>32</v>
      </c>
      <c r="E1730">
        <v>6</v>
      </c>
      <c r="F1730" s="34">
        <v>5.9560185185185188E-2</v>
      </c>
      <c r="G1730" s="34">
        <v>9.926697530864198E-3</v>
      </c>
      <c r="H1730" s="34">
        <v>0.26606481481481481</v>
      </c>
      <c r="I1730" s="34">
        <v>4.2638888888888886E-2</v>
      </c>
      <c r="J1730" s="35">
        <v>0.16025752566556464</v>
      </c>
      <c r="K1730" s="33" t="s">
        <v>278</v>
      </c>
      <c r="L1730" s="33" t="s">
        <v>233</v>
      </c>
    </row>
    <row r="1731" spans="1:12" x14ac:dyDescent="0.25">
      <c r="A1731" s="32">
        <v>46253</v>
      </c>
      <c r="B1731" s="33" t="s">
        <v>105</v>
      </c>
      <c r="C1731" s="33" t="s">
        <v>549</v>
      </c>
      <c r="D1731" s="33" t="s">
        <v>105</v>
      </c>
      <c r="E1731">
        <v>6</v>
      </c>
      <c r="F1731" s="34">
        <v>0.17215277777777777</v>
      </c>
      <c r="G1731" s="34">
        <v>2.8692129629629626E-2</v>
      </c>
      <c r="H1731" s="34">
        <v>0.23064814814814816</v>
      </c>
      <c r="I1731" s="34">
        <v>0.15004629629629629</v>
      </c>
      <c r="J1731" s="35">
        <v>0.65054195102368517</v>
      </c>
      <c r="K1731" s="33" t="s">
        <v>225</v>
      </c>
      <c r="L1731" s="33" t="s">
        <v>601</v>
      </c>
    </row>
    <row r="1732" spans="1:12" x14ac:dyDescent="0.25">
      <c r="A1732" s="32">
        <v>46253</v>
      </c>
      <c r="B1732" s="33" t="s">
        <v>105</v>
      </c>
      <c r="C1732" s="33" t="s">
        <v>571</v>
      </c>
      <c r="D1732" s="33" t="s">
        <v>105</v>
      </c>
      <c r="E1732">
        <v>1</v>
      </c>
      <c r="F1732" s="34">
        <v>3.5046296296296298E-2</v>
      </c>
      <c r="G1732" s="34">
        <v>3.5046296296296298E-2</v>
      </c>
      <c r="H1732" s="34">
        <v>0.25849537037037035</v>
      </c>
      <c r="I1732" s="34">
        <v>0.15738425925925925</v>
      </c>
      <c r="J1732" s="35">
        <v>0.60884749708963914</v>
      </c>
      <c r="K1732" s="33" t="s">
        <v>299</v>
      </c>
      <c r="L1732" s="33" t="s">
        <v>104</v>
      </c>
    </row>
    <row r="1733" spans="1:12" x14ac:dyDescent="0.25">
      <c r="A1733" s="32">
        <v>46253</v>
      </c>
      <c r="B1733" s="33" t="s">
        <v>105</v>
      </c>
      <c r="C1733" s="33" t="s">
        <v>535</v>
      </c>
      <c r="D1733" s="33" t="s">
        <v>32</v>
      </c>
      <c r="E1733">
        <v>9</v>
      </c>
      <c r="F1733" s="34">
        <v>3.9675925925925927E-2</v>
      </c>
      <c r="G1733" s="34">
        <v>4.4084362139917696E-3</v>
      </c>
      <c r="H1733" s="34">
        <v>0.26181712962962961</v>
      </c>
      <c r="I1733" s="34">
        <v>4.7129629629629632E-2</v>
      </c>
      <c r="J1733" s="35">
        <v>0.18000972547632732</v>
      </c>
      <c r="K1733" s="33" t="s">
        <v>282</v>
      </c>
      <c r="L1733" s="33" t="s">
        <v>233</v>
      </c>
    </row>
    <row r="1734" spans="1:12" x14ac:dyDescent="0.25">
      <c r="A1734" s="32">
        <v>46253</v>
      </c>
      <c r="B1734" s="33" t="s">
        <v>105</v>
      </c>
      <c r="C1734" s="33" t="s">
        <v>676</v>
      </c>
      <c r="D1734" s="33" t="s">
        <v>105</v>
      </c>
      <c r="E1734">
        <v>1</v>
      </c>
      <c r="F1734" s="34">
        <v>1.6516203703703703E-2</v>
      </c>
      <c r="G1734" s="34">
        <v>1.6516203703703703E-2</v>
      </c>
      <c r="H1734" s="34">
        <v>0.25984953703703706</v>
      </c>
      <c r="I1734" s="34">
        <v>7.9942129629629627E-2</v>
      </c>
      <c r="J1734" s="35">
        <v>0.30764776624649232</v>
      </c>
      <c r="K1734" s="33" t="s">
        <v>675</v>
      </c>
      <c r="L1734" s="33" t="s">
        <v>104</v>
      </c>
    </row>
    <row r="1735" spans="1:12" x14ac:dyDescent="0.25">
      <c r="A1735" s="32">
        <v>46253</v>
      </c>
      <c r="B1735" s="33" t="s">
        <v>32</v>
      </c>
      <c r="C1735" s="33" t="s">
        <v>644</v>
      </c>
      <c r="D1735" s="33" t="s">
        <v>32</v>
      </c>
      <c r="E1735">
        <v>18</v>
      </c>
      <c r="F1735" s="34">
        <v>0.14901620370370369</v>
      </c>
      <c r="G1735" s="34">
        <v>8.2786779835390938E-3</v>
      </c>
      <c r="H1735" s="34">
        <v>0.25679398148148147</v>
      </c>
      <c r="I1735" s="34">
        <v>4.1192129629629627E-2</v>
      </c>
      <c r="J1735" s="35">
        <v>0.1604092486591247</v>
      </c>
      <c r="K1735" s="33" t="s">
        <v>643</v>
      </c>
      <c r="L1735" s="33" t="s">
        <v>233</v>
      </c>
    </row>
    <row r="1736" spans="1:12" x14ac:dyDescent="0.25">
      <c r="A1736" s="32">
        <v>46253</v>
      </c>
      <c r="B1736" s="33" t="s">
        <v>32</v>
      </c>
      <c r="C1736" s="33" t="s">
        <v>563</v>
      </c>
      <c r="D1736" s="33" t="s">
        <v>147</v>
      </c>
      <c r="E1736">
        <v>7</v>
      </c>
      <c r="F1736" s="34">
        <v>2.7905092592592592E-2</v>
      </c>
      <c r="G1736" s="34">
        <v>3.9864417989417993E-3</v>
      </c>
      <c r="H1736" s="34">
        <v>0.26135416666666667</v>
      </c>
      <c r="I1736" s="34">
        <v>3.7997685185185183E-2</v>
      </c>
      <c r="J1736" s="35">
        <v>0.14538771533590186</v>
      </c>
      <c r="K1736" s="33" t="s">
        <v>193</v>
      </c>
      <c r="L1736" s="33" t="s">
        <v>274</v>
      </c>
    </row>
    <row r="1737" spans="1:12" x14ac:dyDescent="0.25">
      <c r="A1737" s="32">
        <v>46253</v>
      </c>
      <c r="B1737" s="33" t="s">
        <v>32</v>
      </c>
      <c r="C1737" s="33" t="s">
        <v>513</v>
      </c>
      <c r="D1737" s="33" t="s">
        <v>105</v>
      </c>
      <c r="E1737">
        <v>11</v>
      </c>
      <c r="F1737" s="34">
        <v>9.0162037037037041E-2</v>
      </c>
      <c r="G1737" s="34">
        <v>8.1965488215488217E-3</v>
      </c>
      <c r="H1737" s="34">
        <v>0.24925925925925926</v>
      </c>
      <c r="I1737" s="34">
        <v>0.10504629629629629</v>
      </c>
      <c r="J1737" s="35">
        <v>0.42143387815750366</v>
      </c>
      <c r="K1737" s="33" t="s">
        <v>148</v>
      </c>
      <c r="L1737" s="33" t="s">
        <v>104</v>
      </c>
    </row>
    <row r="1738" spans="1:12" x14ac:dyDescent="0.25">
      <c r="A1738" s="32">
        <v>46253</v>
      </c>
      <c r="B1738" s="33" t="s">
        <v>32</v>
      </c>
      <c r="C1738" s="33" t="s">
        <v>550</v>
      </c>
      <c r="D1738" s="33" t="s">
        <v>32</v>
      </c>
      <c r="E1738">
        <v>36</v>
      </c>
      <c r="F1738" s="34">
        <v>0.15680555555555556</v>
      </c>
      <c r="G1738" s="34">
        <v>4.3557098765432097E-3</v>
      </c>
      <c r="H1738" s="34">
        <v>0.34537037037037038</v>
      </c>
      <c r="I1738" s="34">
        <v>8.2361111111111107E-2</v>
      </c>
      <c r="J1738" s="35">
        <v>0.23847184986595171</v>
      </c>
      <c r="K1738" s="33" t="s">
        <v>234</v>
      </c>
      <c r="L1738" s="33" t="s">
        <v>233</v>
      </c>
    </row>
    <row r="1739" spans="1:12" x14ac:dyDescent="0.25">
      <c r="A1739" s="32">
        <v>46253</v>
      </c>
      <c r="B1739" s="33" t="s">
        <v>32</v>
      </c>
      <c r="C1739" s="33" t="s">
        <v>505</v>
      </c>
      <c r="D1739" s="33" t="s">
        <v>32</v>
      </c>
      <c r="E1739">
        <v>25</v>
      </c>
      <c r="F1739" s="34">
        <v>0.10246527777777778</v>
      </c>
      <c r="G1739" s="34">
        <v>4.098611111111111E-3</v>
      </c>
      <c r="H1739" s="34">
        <v>0.26069444444444445</v>
      </c>
      <c r="I1739" s="34">
        <v>4.7256944444444442E-2</v>
      </c>
      <c r="J1739" s="35">
        <v>0.18127330847096429</v>
      </c>
      <c r="K1739" s="33" t="s">
        <v>34</v>
      </c>
      <c r="L1739" s="33" t="s">
        <v>233</v>
      </c>
    </row>
    <row r="1740" spans="1:12" x14ac:dyDescent="0.25">
      <c r="A1740" s="32">
        <v>46253</v>
      </c>
      <c r="B1740" s="33" t="s">
        <v>32</v>
      </c>
      <c r="C1740" s="33" t="s">
        <v>551</v>
      </c>
      <c r="D1740" s="33" t="s">
        <v>32</v>
      </c>
      <c r="E1740">
        <v>5</v>
      </c>
      <c r="F1740" s="34">
        <v>1.6377314814814813E-2</v>
      </c>
      <c r="G1740" s="34">
        <v>3.2754629629629627E-3</v>
      </c>
      <c r="H1740" s="34">
        <v>0.19988425925925926</v>
      </c>
      <c r="I1740" s="34">
        <v>0.18265046296296297</v>
      </c>
      <c r="J1740" s="35">
        <v>0.91378112333526351</v>
      </c>
      <c r="K1740" s="33" t="s">
        <v>236</v>
      </c>
      <c r="L1740" s="33" t="s">
        <v>233</v>
      </c>
    </row>
    <row r="1741" spans="1:12" x14ac:dyDescent="0.25">
      <c r="A1741" s="32">
        <v>46253</v>
      </c>
      <c r="B1741" s="33" t="s">
        <v>32</v>
      </c>
      <c r="C1741" s="33" t="s">
        <v>631</v>
      </c>
      <c r="D1741" s="33" t="s">
        <v>105</v>
      </c>
      <c r="E1741">
        <v>8</v>
      </c>
      <c r="F1741" s="34">
        <v>6.5613425925925922E-2</v>
      </c>
      <c r="G1741" s="34">
        <v>8.2016782407407403E-3</v>
      </c>
      <c r="H1741" s="34">
        <v>0.22412037037037036</v>
      </c>
      <c r="I1741" s="34">
        <v>0.10903935185185185</v>
      </c>
      <c r="J1741" s="35">
        <v>0.48652137988019006</v>
      </c>
      <c r="K1741" s="33" t="s">
        <v>608</v>
      </c>
      <c r="L1741" s="33" t="s">
        <v>601</v>
      </c>
    </row>
    <row r="1742" spans="1:12" x14ac:dyDescent="0.25">
      <c r="A1742" s="32">
        <v>46253</v>
      </c>
      <c r="B1742" s="33" t="s">
        <v>32</v>
      </c>
      <c r="C1742" s="33" t="s">
        <v>564</v>
      </c>
      <c r="D1742" s="33" t="s">
        <v>105</v>
      </c>
      <c r="E1742">
        <v>4</v>
      </c>
      <c r="F1742" s="34">
        <v>5.6678240740740737E-2</v>
      </c>
      <c r="G1742" s="34">
        <v>1.4169560185185184E-2</v>
      </c>
      <c r="H1742" s="34">
        <v>0.23778935185185185</v>
      </c>
      <c r="I1742" s="34">
        <v>0.16009259259259259</v>
      </c>
      <c r="J1742" s="35">
        <v>0.67325383304940378</v>
      </c>
      <c r="K1742" s="33" t="s">
        <v>197</v>
      </c>
      <c r="L1742" s="33" t="s">
        <v>601</v>
      </c>
    </row>
    <row r="1743" spans="1:12" x14ac:dyDescent="0.25">
      <c r="A1743" s="32">
        <v>46253</v>
      </c>
      <c r="B1743" s="33" t="s">
        <v>32</v>
      </c>
      <c r="C1743" s="33" t="s">
        <v>514</v>
      </c>
      <c r="D1743" s="33" t="s">
        <v>147</v>
      </c>
      <c r="E1743">
        <v>5</v>
      </c>
      <c r="F1743" s="34">
        <v>1.1574074074074073E-2</v>
      </c>
      <c r="G1743" s="34">
        <v>2.3148148148148147E-3</v>
      </c>
      <c r="H1743" s="34">
        <v>0.26569444444444446</v>
      </c>
      <c r="I1743" s="34">
        <v>2.8252314814814813E-2</v>
      </c>
      <c r="J1743" s="35">
        <v>0.10633385607248648</v>
      </c>
      <c r="K1743" s="33" t="s">
        <v>150</v>
      </c>
      <c r="L1743" s="33" t="s">
        <v>146</v>
      </c>
    </row>
    <row r="1744" spans="1:12" x14ac:dyDescent="0.25">
      <c r="A1744" s="32">
        <v>46253</v>
      </c>
      <c r="B1744" s="33" t="s">
        <v>32</v>
      </c>
      <c r="C1744" s="33" t="s">
        <v>515</v>
      </c>
      <c r="D1744" s="33" t="s">
        <v>147</v>
      </c>
      <c r="E1744">
        <v>5</v>
      </c>
      <c r="F1744" s="34">
        <v>2.6817129629629628E-2</v>
      </c>
      <c r="G1744" s="34">
        <v>5.363425925925926E-3</v>
      </c>
      <c r="H1744" s="34">
        <v>0.26059027777777777</v>
      </c>
      <c r="I1744" s="34">
        <v>2.9953703703703705E-2</v>
      </c>
      <c r="J1744" s="35">
        <v>0.11494559182767045</v>
      </c>
      <c r="K1744" s="33" t="s">
        <v>154</v>
      </c>
      <c r="L1744" s="33" t="s">
        <v>146</v>
      </c>
    </row>
    <row r="1745" spans="1:12" x14ac:dyDescent="0.25">
      <c r="A1745" s="32">
        <v>46253</v>
      </c>
      <c r="B1745" s="33" t="s">
        <v>32</v>
      </c>
      <c r="C1745" s="33" t="s">
        <v>537</v>
      </c>
      <c r="D1745" s="33" t="s">
        <v>105</v>
      </c>
      <c r="E1745">
        <v>11</v>
      </c>
      <c r="F1745" s="34">
        <v>5.46875E-2</v>
      </c>
      <c r="G1745" s="34">
        <v>4.971590909090909E-3</v>
      </c>
      <c r="H1745" s="34">
        <v>0.25865740740740739</v>
      </c>
      <c r="I1745" s="34">
        <v>0.12989583333333332</v>
      </c>
      <c r="J1745" s="35">
        <v>0.5021925899409343</v>
      </c>
      <c r="K1745" s="33" t="s">
        <v>42</v>
      </c>
      <c r="L1745" s="33" t="s">
        <v>104</v>
      </c>
    </row>
    <row r="1746" spans="1:12" x14ac:dyDescent="0.25">
      <c r="A1746" s="32">
        <v>46253</v>
      </c>
      <c r="B1746" s="33" t="s">
        <v>32</v>
      </c>
      <c r="C1746" s="33" t="s">
        <v>516</v>
      </c>
      <c r="D1746" s="33" t="s">
        <v>147</v>
      </c>
      <c r="E1746">
        <v>7</v>
      </c>
      <c r="F1746" s="34">
        <v>2.8449074074074075E-2</v>
      </c>
      <c r="G1746" s="34">
        <v>4.0641534391534393E-3</v>
      </c>
      <c r="H1746" s="34">
        <v>0.263125</v>
      </c>
      <c r="I1746" s="34">
        <v>3.7766203703703705E-2</v>
      </c>
      <c r="J1746" s="35">
        <v>0.14352951526348201</v>
      </c>
      <c r="K1746" s="33" t="s">
        <v>156</v>
      </c>
      <c r="L1746" s="33" t="s">
        <v>146</v>
      </c>
    </row>
    <row r="1747" spans="1:12" x14ac:dyDescent="0.25">
      <c r="A1747" s="32">
        <v>46253</v>
      </c>
      <c r="B1747" s="33" t="s">
        <v>32</v>
      </c>
      <c r="C1747" s="33" t="s">
        <v>541</v>
      </c>
      <c r="D1747" s="33" t="s">
        <v>105</v>
      </c>
      <c r="E1747">
        <v>19</v>
      </c>
      <c r="F1747" s="34">
        <v>8.5138888888888889E-2</v>
      </c>
      <c r="G1747" s="34">
        <v>4.4809941520467834E-3</v>
      </c>
      <c r="H1747" s="34">
        <v>0.25621527777777775</v>
      </c>
      <c r="I1747" s="34">
        <v>0.14030092592592591</v>
      </c>
      <c r="J1747" s="35">
        <v>0.54759000767945065</v>
      </c>
      <c r="K1747" s="33" t="s">
        <v>114</v>
      </c>
      <c r="L1747" s="33" t="s">
        <v>104</v>
      </c>
    </row>
    <row r="1748" spans="1:12" x14ac:dyDescent="0.25">
      <c r="A1748" s="32">
        <v>46253</v>
      </c>
      <c r="B1748" s="33" t="s">
        <v>32</v>
      </c>
      <c r="C1748" s="33" t="s">
        <v>506</v>
      </c>
      <c r="D1748" s="33" t="s">
        <v>32</v>
      </c>
      <c r="E1748">
        <v>29</v>
      </c>
      <c r="F1748" s="34">
        <v>0.14633101851851851</v>
      </c>
      <c r="G1748" s="34">
        <v>5.0458971902937414E-3</v>
      </c>
      <c r="H1748" s="34">
        <v>0.26055555555555554</v>
      </c>
      <c r="I1748" s="34">
        <v>3.5624999999999997E-2</v>
      </c>
      <c r="J1748" s="35">
        <v>0.13672707889125799</v>
      </c>
      <c r="K1748" s="33" t="s">
        <v>44</v>
      </c>
      <c r="L1748" s="33" t="s">
        <v>100</v>
      </c>
    </row>
    <row r="1749" spans="1:12" x14ac:dyDescent="0.25">
      <c r="A1749" s="32">
        <v>46253</v>
      </c>
      <c r="B1749" s="33" t="s">
        <v>32</v>
      </c>
      <c r="C1749" s="33" t="s">
        <v>527</v>
      </c>
      <c r="D1749" s="33" t="s">
        <v>32</v>
      </c>
      <c r="E1749">
        <v>5</v>
      </c>
      <c r="F1749" s="34">
        <v>3.8854166666666669E-2</v>
      </c>
      <c r="G1749" s="34">
        <v>7.7708333333333336E-3</v>
      </c>
      <c r="H1749" s="34">
        <v>0.23859953703703704</v>
      </c>
      <c r="I1749" s="34">
        <v>0.19814814814814816</v>
      </c>
      <c r="J1749" s="35">
        <v>0.83046325491147222</v>
      </c>
      <c r="K1749" s="33" t="s">
        <v>240</v>
      </c>
      <c r="L1749" s="33" t="s">
        <v>233</v>
      </c>
    </row>
    <row r="1750" spans="1:12" x14ac:dyDescent="0.25">
      <c r="A1750" s="32">
        <v>46253</v>
      </c>
      <c r="B1750" s="33" t="s">
        <v>32</v>
      </c>
      <c r="C1750" s="33" t="s">
        <v>646</v>
      </c>
      <c r="D1750" s="33" t="s">
        <v>32</v>
      </c>
      <c r="E1750">
        <v>39</v>
      </c>
      <c r="F1750" s="34">
        <v>0.16285879629629629</v>
      </c>
      <c r="G1750" s="34">
        <v>4.1758665716999047E-3</v>
      </c>
      <c r="H1750" s="34">
        <v>0.26685185185185184</v>
      </c>
      <c r="I1750" s="34">
        <v>3.9166666666666669E-2</v>
      </c>
      <c r="J1750" s="35">
        <v>0.1467730742539903</v>
      </c>
      <c r="K1750" s="33" t="s">
        <v>645</v>
      </c>
      <c r="L1750" s="33" t="s">
        <v>100</v>
      </c>
    </row>
    <row r="1751" spans="1:12" x14ac:dyDescent="0.25">
      <c r="A1751" s="32">
        <v>46253</v>
      </c>
      <c r="B1751" s="33" t="s">
        <v>32</v>
      </c>
      <c r="C1751" s="33" t="s">
        <v>544</v>
      </c>
      <c r="D1751" s="33" t="s">
        <v>147</v>
      </c>
      <c r="E1751">
        <v>10</v>
      </c>
      <c r="F1751" s="34">
        <v>2.6145833333333333E-2</v>
      </c>
      <c r="G1751" s="34">
        <v>2.6145833333333333E-3</v>
      </c>
      <c r="H1751" s="34">
        <v>0.26478009259259261</v>
      </c>
      <c r="I1751" s="34">
        <v>4.5324074074074072E-2</v>
      </c>
      <c r="J1751" s="35">
        <v>0.17117629059754336</v>
      </c>
      <c r="K1751" s="33" t="s">
        <v>160</v>
      </c>
      <c r="L1751" s="33" t="s">
        <v>146</v>
      </c>
    </row>
    <row r="1752" spans="1:12" x14ac:dyDescent="0.25">
      <c r="A1752" s="32">
        <v>46253</v>
      </c>
      <c r="B1752" s="33" t="s">
        <v>32</v>
      </c>
      <c r="C1752" s="33" t="s">
        <v>558</v>
      </c>
      <c r="D1752" s="33" t="s">
        <v>32</v>
      </c>
      <c r="E1752">
        <v>33</v>
      </c>
      <c r="F1752" s="34">
        <v>8.9837962962962967E-2</v>
      </c>
      <c r="G1752" s="34">
        <v>2.7223625140291806E-3</v>
      </c>
      <c r="H1752" s="34">
        <v>0.25107638888888889</v>
      </c>
      <c r="I1752" s="34">
        <v>7.1516203703703707E-2</v>
      </c>
      <c r="J1752" s="35">
        <v>0.28483842714239616</v>
      </c>
      <c r="K1752" s="33" t="s">
        <v>120</v>
      </c>
      <c r="L1752" s="33" t="s">
        <v>233</v>
      </c>
    </row>
    <row r="1753" spans="1:12" x14ac:dyDescent="0.25">
      <c r="A1753" s="32">
        <v>46253</v>
      </c>
      <c r="B1753" s="33" t="s">
        <v>32</v>
      </c>
      <c r="C1753" s="33" t="s">
        <v>507</v>
      </c>
      <c r="D1753" s="33" t="s">
        <v>32</v>
      </c>
      <c r="E1753">
        <v>31</v>
      </c>
      <c r="F1753" s="34">
        <v>0.14576388888888889</v>
      </c>
      <c r="G1753" s="34">
        <v>4.7020609318996417E-3</v>
      </c>
      <c r="H1753" s="34">
        <v>0.26424768518518521</v>
      </c>
      <c r="I1753" s="34">
        <v>4.8067129629629626E-2</v>
      </c>
      <c r="J1753" s="35">
        <v>0.18190180018396038</v>
      </c>
      <c r="K1753" s="33" t="s">
        <v>46</v>
      </c>
      <c r="L1753" s="33" t="s">
        <v>100</v>
      </c>
    </row>
    <row r="1754" spans="1:12" x14ac:dyDescent="0.25">
      <c r="A1754" s="32">
        <v>46253</v>
      </c>
      <c r="B1754" s="33" t="s">
        <v>32</v>
      </c>
      <c r="C1754" s="33" t="s">
        <v>648</v>
      </c>
      <c r="D1754" s="33" t="s">
        <v>32</v>
      </c>
      <c r="E1754">
        <v>28</v>
      </c>
      <c r="F1754" s="34">
        <v>0.10658564814814815</v>
      </c>
      <c r="G1754" s="34">
        <v>3.8066302910052911E-3</v>
      </c>
      <c r="H1754" s="34">
        <v>0.26407407407407407</v>
      </c>
      <c r="I1754" s="34">
        <v>5.6608796296296296E-2</v>
      </c>
      <c r="J1754" s="35">
        <v>0.21436711079943899</v>
      </c>
      <c r="K1754" s="33" t="s">
        <v>647</v>
      </c>
      <c r="L1754" s="33" t="s">
        <v>233</v>
      </c>
    </row>
    <row r="1755" spans="1:12" x14ac:dyDescent="0.25">
      <c r="A1755" s="32">
        <v>46253</v>
      </c>
      <c r="B1755" s="33" t="s">
        <v>32</v>
      </c>
      <c r="C1755" s="33" t="s">
        <v>650</v>
      </c>
      <c r="D1755" s="33" t="s">
        <v>105</v>
      </c>
      <c r="E1755">
        <v>10</v>
      </c>
      <c r="F1755" s="34">
        <v>6.7349537037037041E-2</v>
      </c>
      <c r="G1755" s="34">
        <v>6.7349537037037039E-3</v>
      </c>
      <c r="H1755" s="34">
        <v>0.25773148148148151</v>
      </c>
      <c r="I1755" s="34">
        <v>0.13054398148148147</v>
      </c>
      <c r="J1755" s="35">
        <v>0.50651158613256686</v>
      </c>
      <c r="K1755" s="33" t="s">
        <v>649</v>
      </c>
      <c r="L1755" s="33" t="s">
        <v>104</v>
      </c>
    </row>
    <row r="1756" spans="1:12" x14ac:dyDescent="0.25">
      <c r="A1756" s="32">
        <v>46253</v>
      </c>
      <c r="B1756" s="33" t="s">
        <v>32</v>
      </c>
      <c r="C1756" s="33" t="s">
        <v>652</v>
      </c>
      <c r="D1756" s="33" t="s">
        <v>32</v>
      </c>
      <c r="E1756">
        <v>17</v>
      </c>
      <c r="F1756" s="34">
        <v>0.14930555555555555</v>
      </c>
      <c r="G1756" s="34">
        <v>8.7826797385620915E-3</v>
      </c>
      <c r="H1756" s="34">
        <v>0.26481481481481484</v>
      </c>
      <c r="I1756" s="34">
        <v>6.9803240740740735E-2</v>
      </c>
      <c r="J1756" s="35">
        <v>0.2635926573426573</v>
      </c>
      <c r="K1756" s="33" t="s">
        <v>651</v>
      </c>
      <c r="L1756" s="33" t="s">
        <v>100</v>
      </c>
    </row>
    <row r="1757" spans="1:12" x14ac:dyDescent="0.25">
      <c r="A1757" s="32">
        <v>46253</v>
      </c>
      <c r="B1757" s="33" t="s">
        <v>32</v>
      </c>
      <c r="C1757" s="33" t="s">
        <v>568</v>
      </c>
      <c r="D1757" s="33" t="s">
        <v>32</v>
      </c>
      <c r="E1757">
        <v>45</v>
      </c>
      <c r="F1757" s="34">
        <v>0.12729166666666666</v>
      </c>
      <c r="G1757" s="34">
        <v>2.8287037037037035E-3</v>
      </c>
      <c r="H1757" s="34">
        <v>0.35240740740740739</v>
      </c>
      <c r="I1757" s="34">
        <v>7.5798611111111108E-2</v>
      </c>
      <c r="J1757" s="35">
        <v>0.21508801891749868</v>
      </c>
      <c r="K1757" s="33" t="s">
        <v>246</v>
      </c>
      <c r="L1757" s="33" t="s">
        <v>233</v>
      </c>
    </row>
    <row r="1758" spans="1:12" x14ac:dyDescent="0.25">
      <c r="A1758" s="32">
        <v>46253</v>
      </c>
      <c r="B1758" s="33" t="s">
        <v>32</v>
      </c>
      <c r="C1758" s="33" t="s">
        <v>508</v>
      </c>
      <c r="D1758" s="33" t="s">
        <v>32</v>
      </c>
      <c r="E1758">
        <v>31</v>
      </c>
      <c r="F1758" s="34">
        <v>0.10167824074074074</v>
      </c>
      <c r="G1758" s="34">
        <v>3.2799432497013139E-3</v>
      </c>
      <c r="H1758" s="34">
        <v>0.26287037037037037</v>
      </c>
      <c r="I1758" s="34">
        <v>4.4884259259259263E-2</v>
      </c>
      <c r="J1758" s="35">
        <v>0.17074674181049668</v>
      </c>
      <c r="K1758" s="33" t="s">
        <v>48</v>
      </c>
      <c r="L1758" s="33" t="s">
        <v>100</v>
      </c>
    </row>
    <row r="1759" spans="1:12" x14ac:dyDescent="0.25">
      <c r="A1759" s="32">
        <v>46253</v>
      </c>
      <c r="B1759" s="33" t="s">
        <v>32</v>
      </c>
      <c r="C1759" s="33" t="s">
        <v>603</v>
      </c>
      <c r="D1759" s="33" t="s">
        <v>32</v>
      </c>
      <c r="E1759">
        <v>23</v>
      </c>
      <c r="F1759" s="34">
        <v>0.14577546296296295</v>
      </c>
      <c r="G1759" s="34">
        <v>6.3380636070853461E-3</v>
      </c>
      <c r="H1759" s="34">
        <v>0.26204861111111111</v>
      </c>
      <c r="I1759" s="34">
        <v>4.1666666666666664E-2</v>
      </c>
      <c r="J1759" s="35">
        <v>0.15900357758049555</v>
      </c>
      <c r="K1759" s="33" t="s">
        <v>242</v>
      </c>
      <c r="L1759" s="33" t="s">
        <v>233</v>
      </c>
    </row>
    <row r="1760" spans="1:12" x14ac:dyDescent="0.25">
      <c r="A1760" s="32">
        <v>46253</v>
      </c>
      <c r="B1760" s="33" t="s">
        <v>32</v>
      </c>
      <c r="C1760" s="33" t="s">
        <v>559</v>
      </c>
      <c r="D1760" s="33" t="s">
        <v>105</v>
      </c>
      <c r="E1760">
        <v>9</v>
      </c>
      <c r="F1760" s="34">
        <v>4.0347222222222222E-2</v>
      </c>
      <c r="G1760" s="34">
        <v>4.483024691358025E-3</v>
      </c>
      <c r="H1760" s="34">
        <v>0.32288194444444446</v>
      </c>
      <c r="I1760" s="34">
        <v>0.21273148148148149</v>
      </c>
      <c r="J1760" s="35">
        <v>0.65885220633042985</v>
      </c>
      <c r="K1760" s="33" t="s">
        <v>289</v>
      </c>
      <c r="L1760" s="33" t="s">
        <v>104</v>
      </c>
    </row>
    <row r="1761" spans="1:12" x14ac:dyDescent="0.25">
      <c r="A1761" s="32">
        <v>46253</v>
      </c>
      <c r="B1761" s="33" t="s">
        <v>32</v>
      </c>
      <c r="C1761" s="33" t="s">
        <v>518</v>
      </c>
      <c r="D1761" s="33" t="s">
        <v>147</v>
      </c>
      <c r="E1761">
        <v>8</v>
      </c>
      <c r="F1761" s="34">
        <v>3.5567129629629629E-2</v>
      </c>
      <c r="G1761" s="34">
        <v>4.4458912037037036E-3</v>
      </c>
      <c r="H1761" s="34">
        <v>0.26373842592592595</v>
      </c>
      <c r="I1761" s="34">
        <v>3.3402777777777781E-2</v>
      </c>
      <c r="J1761" s="35">
        <v>0.12665116074955018</v>
      </c>
      <c r="K1761" s="33" t="s">
        <v>500</v>
      </c>
      <c r="L1761" s="33" t="s">
        <v>274</v>
      </c>
    </row>
    <row r="1762" spans="1:12" x14ac:dyDescent="0.25">
      <c r="A1762" s="32">
        <v>46253</v>
      </c>
      <c r="B1762" s="33" t="s">
        <v>32</v>
      </c>
      <c r="C1762" s="33" t="s">
        <v>684</v>
      </c>
      <c r="D1762" s="33" t="s">
        <v>32</v>
      </c>
      <c r="E1762">
        <v>27</v>
      </c>
      <c r="F1762" s="34">
        <v>9.707175925925926E-2</v>
      </c>
      <c r="G1762" s="34">
        <v>3.595250342935528E-3</v>
      </c>
      <c r="H1762" s="34">
        <v>0.2582638888888889</v>
      </c>
      <c r="I1762" s="34">
        <v>6.0520833333333336E-2</v>
      </c>
      <c r="J1762" s="35">
        <v>0.23433718741597204</v>
      </c>
      <c r="K1762" s="33" t="s">
        <v>683</v>
      </c>
      <c r="L1762" s="33" t="s">
        <v>233</v>
      </c>
    </row>
    <row r="1763" spans="1:12" x14ac:dyDescent="0.25">
      <c r="A1763" s="32">
        <v>46253</v>
      </c>
      <c r="B1763" s="33" t="s">
        <v>32</v>
      </c>
      <c r="C1763" s="33" t="s">
        <v>654</v>
      </c>
      <c r="D1763" s="33" t="s">
        <v>32</v>
      </c>
      <c r="E1763">
        <v>31</v>
      </c>
      <c r="F1763" s="34">
        <v>0.16087962962962962</v>
      </c>
      <c r="G1763" s="34">
        <v>5.1896654719235363E-3</v>
      </c>
      <c r="H1763" s="34">
        <v>0.25197916666666664</v>
      </c>
      <c r="I1763" s="34">
        <v>3.5578703703703703E-2</v>
      </c>
      <c r="J1763" s="35">
        <v>0.14119700519039088</v>
      </c>
      <c r="K1763" s="33" t="s">
        <v>653</v>
      </c>
      <c r="L1763" s="33" t="s">
        <v>100</v>
      </c>
    </row>
    <row r="1764" spans="1:12" x14ac:dyDescent="0.25">
      <c r="A1764" s="32">
        <v>46253</v>
      </c>
      <c r="B1764" s="33" t="s">
        <v>32</v>
      </c>
      <c r="C1764" s="33" t="s">
        <v>519</v>
      </c>
      <c r="D1764" s="33" t="s">
        <v>147</v>
      </c>
      <c r="E1764">
        <v>11</v>
      </c>
      <c r="F1764" s="34">
        <v>2.3680555555555555E-2</v>
      </c>
      <c r="G1764" s="34">
        <v>2.1527777777777778E-3</v>
      </c>
      <c r="H1764" s="34">
        <v>0.30957175925925928</v>
      </c>
      <c r="I1764" s="34">
        <v>3.425925925925926E-2</v>
      </c>
      <c r="J1764" s="35">
        <v>0.11066661681683927</v>
      </c>
      <c r="K1764" s="33" t="s">
        <v>164</v>
      </c>
      <c r="L1764" s="33" t="s">
        <v>146</v>
      </c>
    </row>
    <row r="1765" spans="1:12" x14ac:dyDescent="0.25">
      <c r="A1765" s="32">
        <v>46253</v>
      </c>
      <c r="B1765" s="33" t="s">
        <v>32</v>
      </c>
      <c r="C1765" s="33" t="s">
        <v>656</v>
      </c>
      <c r="D1765" s="33" t="s">
        <v>32</v>
      </c>
      <c r="E1765">
        <v>25</v>
      </c>
      <c r="F1765" s="34">
        <v>0.1506712962962963</v>
      </c>
      <c r="G1765" s="34">
        <v>6.0268518518518518E-3</v>
      </c>
      <c r="H1765" s="34">
        <v>0.26300925925925928</v>
      </c>
      <c r="I1765" s="34">
        <v>3.9583333333333331E-2</v>
      </c>
      <c r="J1765" s="35">
        <v>0.15050167224080266</v>
      </c>
      <c r="K1765" s="33" t="s">
        <v>655</v>
      </c>
      <c r="L1765" s="33" t="s">
        <v>100</v>
      </c>
    </row>
    <row r="1766" spans="1:12" x14ac:dyDescent="0.25">
      <c r="A1766" s="32">
        <v>46253</v>
      </c>
      <c r="B1766" s="33" t="s">
        <v>32</v>
      </c>
      <c r="C1766" s="33" t="s">
        <v>167</v>
      </c>
      <c r="D1766" s="33" t="s">
        <v>147</v>
      </c>
      <c r="E1766">
        <v>2</v>
      </c>
      <c r="F1766" s="34">
        <v>9.837962962962962E-4</v>
      </c>
      <c r="G1766" s="34">
        <v>4.918981481481481E-4</v>
      </c>
      <c r="H1766" s="34">
        <v>0.25318287037037035</v>
      </c>
      <c r="I1766" s="34">
        <v>3.5092592592592592E-2</v>
      </c>
      <c r="J1766" s="35">
        <v>0.1386057142857143</v>
      </c>
      <c r="K1766" s="33" t="s">
        <v>166</v>
      </c>
      <c r="L1766" s="33" t="s">
        <v>146</v>
      </c>
    </row>
    <row r="1767" spans="1:12" x14ac:dyDescent="0.25">
      <c r="A1767" s="32">
        <v>46253</v>
      </c>
      <c r="B1767" s="33" t="s">
        <v>32</v>
      </c>
      <c r="C1767" s="33" t="s">
        <v>658</v>
      </c>
      <c r="D1767" s="33" t="s">
        <v>147</v>
      </c>
      <c r="E1767">
        <v>4</v>
      </c>
      <c r="F1767" s="34">
        <v>1.2627314814814815E-2</v>
      </c>
      <c r="G1767" s="34">
        <v>3.1568287037037038E-3</v>
      </c>
      <c r="H1767" s="34">
        <v>0.26421296296296298</v>
      </c>
      <c r="I1767" s="34">
        <v>4.3888888888888887E-2</v>
      </c>
      <c r="J1767" s="35">
        <v>0.16611179253548272</v>
      </c>
      <c r="K1767" s="33" t="s">
        <v>657</v>
      </c>
      <c r="L1767" s="33" t="s">
        <v>274</v>
      </c>
    </row>
    <row r="1768" spans="1:12" x14ac:dyDescent="0.25">
      <c r="A1768" s="32">
        <v>46253</v>
      </c>
      <c r="B1768" s="33" t="s">
        <v>32</v>
      </c>
      <c r="C1768" s="33" t="s">
        <v>528</v>
      </c>
      <c r="D1768" s="33" t="s">
        <v>32</v>
      </c>
      <c r="E1768">
        <v>18</v>
      </c>
      <c r="F1768" s="34">
        <v>0.10266203703703704</v>
      </c>
      <c r="G1768" s="34">
        <v>5.7034465020576134E-3</v>
      </c>
      <c r="H1768" s="34">
        <v>0.26600694444444445</v>
      </c>
      <c r="I1768" s="34">
        <v>8.5277777777777772E-2</v>
      </c>
      <c r="J1768" s="35">
        <v>0.3205847800548231</v>
      </c>
      <c r="K1768" s="33" t="s">
        <v>254</v>
      </c>
      <c r="L1768" s="33" t="s">
        <v>233</v>
      </c>
    </row>
    <row r="1769" spans="1:12" x14ac:dyDescent="0.25">
      <c r="A1769" s="32">
        <v>46253</v>
      </c>
      <c r="B1769" s="33" t="s">
        <v>32</v>
      </c>
      <c r="C1769" s="33" t="s">
        <v>520</v>
      </c>
      <c r="D1769" s="33" t="s">
        <v>147</v>
      </c>
      <c r="E1769">
        <v>6</v>
      </c>
      <c r="F1769" s="34">
        <v>2.4965277777777777E-2</v>
      </c>
      <c r="G1769" s="34">
        <v>4.1608796296296298E-3</v>
      </c>
      <c r="H1769" s="34">
        <v>0.25293981481481481</v>
      </c>
      <c r="I1769" s="34">
        <v>5.3495370370370374E-2</v>
      </c>
      <c r="J1769" s="35">
        <v>0.21149446325615451</v>
      </c>
      <c r="K1769" s="33" t="s">
        <v>168</v>
      </c>
      <c r="L1769" s="33" t="s">
        <v>274</v>
      </c>
    </row>
    <row r="1770" spans="1:12" x14ac:dyDescent="0.25">
      <c r="A1770" s="32">
        <v>46253</v>
      </c>
      <c r="B1770" s="33" t="s">
        <v>32</v>
      </c>
      <c r="C1770" s="33" t="s">
        <v>521</v>
      </c>
      <c r="D1770" s="33" t="s">
        <v>147</v>
      </c>
      <c r="E1770">
        <v>6</v>
      </c>
      <c r="F1770" s="34">
        <v>1.2349537037037037E-2</v>
      </c>
      <c r="G1770" s="34">
        <v>2.0582561728395062E-3</v>
      </c>
      <c r="H1770" s="34">
        <v>0.22743055555555555</v>
      </c>
      <c r="I1770" s="34">
        <v>3.8993055555555559E-2</v>
      </c>
      <c r="J1770" s="35">
        <v>0.17145038167938934</v>
      </c>
      <c r="K1770" s="33" t="s">
        <v>170</v>
      </c>
      <c r="L1770" s="33" t="s">
        <v>146</v>
      </c>
    </row>
    <row r="1771" spans="1:12" x14ac:dyDescent="0.25">
      <c r="A1771" s="32">
        <v>46253</v>
      </c>
      <c r="B1771" s="33" t="s">
        <v>32</v>
      </c>
      <c r="C1771" s="33" t="s">
        <v>633</v>
      </c>
      <c r="D1771" s="33" t="s">
        <v>147</v>
      </c>
      <c r="E1771">
        <v>5</v>
      </c>
      <c r="F1771" s="34">
        <v>4.7719907407407405E-2</v>
      </c>
      <c r="G1771" s="34">
        <v>9.5439814814814814E-3</v>
      </c>
      <c r="H1771" s="34">
        <v>0.26327546296296295</v>
      </c>
      <c r="I1771" s="34">
        <v>6.7476851851851857E-2</v>
      </c>
      <c r="J1771" s="35">
        <v>0.25629753374071312</v>
      </c>
      <c r="K1771" s="33" t="s">
        <v>606</v>
      </c>
      <c r="L1771" s="33" t="s">
        <v>146</v>
      </c>
    </row>
    <row r="1772" spans="1:12" x14ac:dyDescent="0.25">
      <c r="A1772" s="32">
        <v>46253</v>
      </c>
      <c r="B1772" s="33" t="s">
        <v>32</v>
      </c>
      <c r="C1772" s="33" t="s">
        <v>529</v>
      </c>
      <c r="D1772" s="33" t="s">
        <v>32</v>
      </c>
      <c r="E1772">
        <v>23</v>
      </c>
      <c r="F1772" s="34">
        <v>0.14369212962962963</v>
      </c>
      <c r="G1772" s="34">
        <v>6.2474838969404185E-3</v>
      </c>
      <c r="H1772" s="34">
        <v>0.25230324074074073</v>
      </c>
      <c r="I1772" s="34">
        <v>3.847222222222222E-2</v>
      </c>
      <c r="J1772" s="35">
        <v>0.15248405890178449</v>
      </c>
      <c r="K1772" s="33" t="s">
        <v>256</v>
      </c>
      <c r="L1772" s="33" t="s">
        <v>233</v>
      </c>
    </row>
    <row r="1773" spans="1:12" x14ac:dyDescent="0.25">
      <c r="A1773" s="32">
        <v>46253</v>
      </c>
      <c r="B1773" s="33" t="s">
        <v>32</v>
      </c>
      <c r="C1773" s="33" t="s">
        <v>662</v>
      </c>
      <c r="D1773" s="33" t="s">
        <v>32</v>
      </c>
      <c r="E1773">
        <v>20</v>
      </c>
      <c r="F1773" s="34">
        <v>0.15082175925925925</v>
      </c>
      <c r="G1773" s="34">
        <v>7.541087962962963E-3</v>
      </c>
      <c r="H1773" s="34">
        <v>0.26015046296296296</v>
      </c>
      <c r="I1773" s="34">
        <v>4.8414351851851854E-2</v>
      </c>
      <c r="J1773" s="35">
        <v>0.18610134804466791</v>
      </c>
      <c r="K1773" s="33" t="s">
        <v>661</v>
      </c>
      <c r="L1773" s="33" t="s">
        <v>100</v>
      </c>
    </row>
    <row r="1774" spans="1:12" x14ac:dyDescent="0.25">
      <c r="A1774" s="32">
        <v>46253</v>
      </c>
      <c r="B1774" s="33" t="s">
        <v>32</v>
      </c>
      <c r="C1774" s="33" t="s">
        <v>666</v>
      </c>
      <c r="D1774" s="33" t="s">
        <v>32</v>
      </c>
      <c r="E1774">
        <v>38</v>
      </c>
      <c r="F1774" s="34">
        <v>0.13447916666666668</v>
      </c>
      <c r="G1774" s="34">
        <v>3.5389254385964916E-3</v>
      </c>
      <c r="H1774" s="34">
        <v>0.26243055555555556</v>
      </c>
      <c r="I1774" s="34">
        <v>3.1550925925925927E-2</v>
      </c>
      <c r="J1774" s="35">
        <v>0.12022580929699216</v>
      </c>
      <c r="K1774" s="33" t="s">
        <v>665</v>
      </c>
      <c r="L1774" s="33" t="s">
        <v>100</v>
      </c>
    </row>
    <row r="1775" spans="1:12" x14ac:dyDescent="0.25">
      <c r="A1775" s="32">
        <v>46253</v>
      </c>
      <c r="B1775" s="33" t="s">
        <v>32</v>
      </c>
      <c r="C1775" s="33" t="s">
        <v>530</v>
      </c>
      <c r="D1775" s="33" t="s">
        <v>80</v>
      </c>
      <c r="E1775">
        <v>1</v>
      </c>
      <c r="F1775" s="34">
        <v>7.1180555555555554E-3</v>
      </c>
      <c r="G1775" s="34">
        <v>7.1180555555555554E-3</v>
      </c>
      <c r="H1775" s="34">
        <v>0.9994791666666667</v>
      </c>
      <c r="I1775" s="34">
        <v>0.42890046296296297</v>
      </c>
      <c r="J1775" s="35">
        <v>0.42912396502808176</v>
      </c>
      <c r="K1775" s="33" t="s">
        <v>264</v>
      </c>
      <c r="L1775" s="33" t="s">
        <v>78</v>
      </c>
    </row>
    <row r="1776" spans="1:12" x14ac:dyDescent="0.25">
      <c r="A1776" s="32">
        <v>46253</v>
      </c>
      <c r="B1776" s="33" t="s">
        <v>32</v>
      </c>
      <c r="C1776" s="33" t="s">
        <v>555</v>
      </c>
      <c r="D1776" s="33" t="s">
        <v>32</v>
      </c>
      <c r="E1776">
        <v>29</v>
      </c>
      <c r="F1776" s="34">
        <v>7.9814814814814811E-2</v>
      </c>
      <c r="G1776" s="34">
        <v>2.7522349936143038E-3</v>
      </c>
      <c r="H1776" s="34">
        <v>0.23962962962962964</v>
      </c>
      <c r="I1776" s="34">
        <v>6.8368055555555557E-2</v>
      </c>
      <c r="J1776" s="35">
        <v>0.28530718701700153</v>
      </c>
      <c r="K1776" s="33" t="s">
        <v>128</v>
      </c>
      <c r="L1776" s="33" t="s">
        <v>233</v>
      </c>
    </row>
    <row r="1777" spans="1:12" x14ac:dyDescent="0.25">
      <c r="A1777" s="32">
        <v>46253</v>
      </c>
      <c r="B1777" s="33" t="s">
        <v>32</v>
      </c>
      <c r="C1777" s="33" t="s">
        <v>522</v>
      </c>
      <c r="D1777" s="33" t="s">
        <v>147</v>
      </c>
      <c r="E1777">
        <v>7</v>
      </c>
      <c r="F1777" s="34">
        <v>4.400462962962963E-2</v>
      </c>
      <c r="G1777" s="34">
        <v>6.2863756613756611E-3</v>
      </c>
      <c r="H1777" s="34">
        <v>0.26614583333333336</v>
      </c>
      <c r="I1777" s="34">
        <v>3.2025462962962964E-2</v>
      </c>
      <c r="J1777" s="35">
        <v>0.12033050663187649</v>
      </c>
      <c r="K1777" s="33" t="s">
        <v>178</v>
      </c>
      <c r="L1777" s="33" t="s">
        <v>146</v>
      </c>
    </row>
    <row r="1778" spans="1:12" x14ac:dyDescent="0.25">
      <c r="A1778" s="32">
        <v>46253</v>
      </c>
      <c r="B1778" s="33" t="s">
        <v>32</v>
      </c>
      <c r="C1778" s="33" t="s">
        <v>531</v>
      </c>
      <c r="D1778" s="33" t="s">
        <v>32</v>
      </c>
      <c r="E1778">
        <v>2</v>
      </c>
      <c r="F1778" s="34">
        <v>7.6504629629629631E-3</v>
      </c>
      <c r="G1778" s="34">
        <v>3.8252314814814815E-3</v>
      </c>
      <c r="H1778" s="34">
        <v>0.21628472222222223</v>
      </c>
      <c r="I1778" s="34">
        <v>0.20795138888888889</v>
      </c>
      <c r="J1778" s="35">
        <v>0.96147054101781992</v>
      </c>
      <c r="K1778" s="33" t="s">
        <v>266</v>
      </c>
      <c r="L1778" s="33" t="s">
        <v>233</v>
      </c>
    </row>
    <row r="1779" spans="1:12" x14ac:dyDescent="0.25">
      <c r="A1779" s="32">
        <v>46253</v>
      </c>
      <c r="B1779" s="33" t="s">
        <v>32</v>
      </c>
      <c r="C1779" s="33" t="s">
        <v>523</v>
      </c>
      <c r="D1779" s="33" t="s">
        <v>147</v>
      </c>
      <c r="E1779">
        <v>8</v>
      </c>
      <c r="F1779" s="34">
        <v>1.7476851851851851E-2</v>
      </c>
      <c r="G1779" s="34">
        <v>2.1846064814814814E-3</v>
      </c>
      <c r="H1779" s="34">
        <v>0.26244212962962965</v>
      </c>
      <c r="I1779" s="34">
        <v>4.0034722222222222E-2</v>
      </c>
      <c r="J1779" s="35">
        <v>0.1525468577728776</v>
      </c>
      <c r="K1779" s="33" t="s">
        <v>180</v>
      </c>
      <c r="L1779" s="33" t="s">
        <v>146</v>
      </c>
    </row>
    <row r="1780" spans="1:12" x14ac:dyDescent="0.25">
      <c r="A1780" s="32">
        <v>46253</v>
      </c>
      <c r="B1780" s="33" t="s">
        <v>32</v>
      </c>
      <c r="C1780" s="33" t="s">
        <v>97</v>
      </c>
      <c r="D1780" s="33" t="s">
        <v>80</v>
      </c>
      <c r="E1780">
        <v>1</v>
      </c>
      <c r="F1780" s="34">
        <v>1.9155092592592592E-2</v>
      </c>
      <c r="G1780" s="34">
        <v>1.9155092592592592E-2</v>
      </c>
      <c r="H1780" s="34">
        <v>0.34288194444444442</v>
      </c>
      <c r="I1780" s="34">
        <v>0.14186342592592593</v>
      </c>
      <c r="J1780" s="35">
        <v>0.41373839662447265</v>
      </c>
      <c r="K1780" s="33" t="s">
        <v>96</v>
      </c>
      <c r="L1780" s="33" t="s">
        <v>78</v>
      </c>
    </row>
    <row r="1781" spans="1:12" x14ac:dyDescent="0.25">
      <c r="A1781" s="32">
        <v>46253</v>
      </c>
      <c r="B1781" s="33" t="s">
        <v>32</v>
      </c>
      <c r="C1781" s="33" t="s">
        <v>566</v>
      </c>
      <c r="D1781" s="33" t="s">
        <v>147</v>
      </c>
      <c r="E1781">
        <v>6</v>
      </c>
      <c r="F1781" s="34">
        <v>1.2002314814814815E-2</v>
      </c>
      <c r="G1781" s="34">
        <v>2.0003858024691358E-3</v>
      </c>
      <c r="H1781" s="34">
        <v>0.26204861111111111</v>
      </c>
      <c r="I1781" s="34">
        <v>3.5300925925925923E-2</v>
      </c>
      <c r="J1781" s="35">
        <v>0.13471136433903094</v>
      </c>
      <c r="K1781" s="33" t="s">
        <v>207</v>
      </c>
      <c r="L1781" s="33" t="s">
        <v>274</v>
      </c>
    </row>
    <row r="1782" spans="1:12" x14ac:dyDescent="0.25">
      <c r="A1782" s="32">
        <v>46253</v>
      </c>
      <c r="B1782" s="33" t="s">
        <v>32</v>
      </c>
      <c r="C1782" s="33" t="s">
        <v>637</v>
      </c>
      <c r="D1782" s="33" t="s">
        <v>105</v>
      </c>
      <c r="E1782">
        <v>7</v>
      </c>
      <c r="F1782" s="34">
        <v>2.5057870370370369E-2</v>
      </c>
      <c r="G1782" s="34">
        <v>3.5796957671957669E-3</v>
      </c>
      <c r="H1782" s="34">
        <v>0.18019675925925926</v>
      </c>
      <c r="I1782" s="34">
        <v>0.10601851851851851</v>
      </c>
      <c r="J1782" s="35">
        <v>0.58834864153124788</v>
      </c>
      <c r="K1782" s="33" t="s">
        <v>616</v>
      </c>
      <c r="L1782" s="33" t="s">
        <v>601</v>
      </c>
    </row>
    <row r="1783" spans="1:12" x14ac:dyDescent="0.25">
      <c r="A1783" s="32">
        <v>46253</v>
      </c>
      <c r="B1783" s="33" t="s">
        <v>32</v>
      </c>
      <c r="C1783" s="33" t="s">
        <v>567</v>
      </c>
      <c r="D1783" s="33" t="s">
        <v>105</v>
      </c>
      <c r="E1783">
        <v>9</v>
      </c>
      <c r="F1783" s="34">
        <v>4.7592592592592596E-2</v>
      </c>
      <c r="G1783" s="34">
        <v>5.2880658436213999E-3</v>
      </c>
      <c r="H1783" s="34">
        <v>0.24523148148148149</v>
      </c>
      <c r="I1783" s="34">
        <v>0.1401388888888889</v>
      </c>
      <c r="J1783" s="35">
        <v>0.57145554087219186</v>
      </c>
      <c r="K1783" s="33" t="s">
        <v>209</v>
      </c>
      <c r="L1783" s="33" t="s">
        <v>601</v>
      </c>
    </row>
    <row r="1784" spans="1:12" x14ac:dyDescent="0.25">
      <c r="A1784" s="32">
        <v>46253</v>
      </c>
      <c r="B1784" s="33" t="s">
        <v>32</v>
      </c>
      <c r="C1784" s="33" t="s">
        <v>510</v>
      </c>
      <c r="D1784" s="33" t="s">
        <v>32</v>
      </c>
      <c r="E1784">
        <v>48</v>
      </c>
      <c r="F1784" s="34">
        <v>0.17064814814814816</v>
      </c>
      <c r="G1784" s="34">
        <v>3.55516975308642E-3</v>
      </c>
      <c r="H1784" s="34">
        <v>0.33231481481481484</v>
      </c>
      <c r="I1784" s="34">
        <v>3.4861111111111114E-2</v>
      </c>
      <c r="J1784" s="35">
        <v>0.10490387294511005</v>
      </c>
      <c r="K1784" s="33" t="s">
        <v>60</v>
      </c>
      <c r="L1784" s="33" t="s">
        <v>100</v>
      </c>
    </row>
    <row r="1785" spans="1:12" x14ac:dyDescent="0.25">
      <c r="A1785" s="32">
        <v>46253</v>
      </c>
      <c r="B1785" s="33" t="s">
        <v>32</v>
      </c>
      <c r="C1785" s="33" t="s">
        <v>512</v>
      </c>
      <c r="D1785" s="33" t="s">
        <v>105</v>
      </c>
      <c r="E1785">
        <v>8</v>
      </c>
      <c r="F1785" s="34">
        <v>6.5902777777777782E-2</v>
      </c>
      <c r="G1785" s="34">
        <v>8.2378472222222228E-3</v>
      </c>
      <c r="H1785" s="34">
        <v>0.2542476851851852</v>
      </c>
      <c r="I1785" s="34">
        <v>0.11395833333333333</v>
      </c>
      <c r="J1785" s="35">
        <v>0.4482177812172804</v>
      </c>
      <c r="K1785" s="33" t="s">
        <v>132</v>
      </c>
      <c r="L1785" s="33" t="s">
        <v>104</v>
      </c>
    </row>
    <row r="1786" spans="1:12" x14ac:dyDescent="0.25">
      <c r="A1786" s="32">
        <v>46253</v>
      </c>
      <c r="B1786" s="33" t="s">
        <v>32</v>
      </c>
      <c r="C1786" s="33" t="s">
        <v>560</v>
      </c>
      <c r="D1786" s="33" t="s">
        <v>105</v>
      </c>
      <c r="E1786">
        <v>7</v>
      </c>
      <c r="F1786" s="34">
        <v>3.8541666666666669E-2</v>
      </c>
      <c r="G1786" s="34">
        <v>5.5059523809523813E-3</v>
      </c>
      <c r="H1786" s="34">
        <v>0.15552083333333333</v>
      </c>
      <c r="I1786" s="34">
        <v>5.4120370370370367E-2</v>
      </c>
      <c r="J1786" s="35">
        <v>0.34799434397558976</v>
      </c>
      <c r="K1786" s="33" t="s">
        <v>134</v>
      </c>
      <c r="L1786" s="33" t="s">
        <v>104</v>
      </c>
    </row>
    <row r="1787" spans="1:12" x14ac:dyDescent="0.25">
      <c r="A1787" s="32">
        <v>46253</v>
      </c>
      <c r="B1787" s="33" t="s">
        <v>32</v>
      </c>
      <c r="C1787" s="33" t="s">
        <v>638</v>
      </c>
      <c r="D1787" s="33" t="s">
        <v>105</v>
      </c>
      <c r="E1787">
        <v>12</v>
      </c>
      <c r="F1787" s="34">
        <v>6.3831018518518523E-2</v>
      </c>
      <c r="G1787" s="34">
        <v>5.3192515432098769E-3</v>
      </c>
      <c r="H1787" s="34">
        <v>0.22498842592592594</v>
      </c>
      <c r="I1787" s="34">
        <v>0.11540509259259259</v>
      </c>
      <c r="J1787" s="35">
        <v>0.51293790832861763</v>
      </c>
      <c r="K1787" s="33" t="s">
        <v>617</v>
      </c>
      <c r="L1787" s="33" t="s">
        <v>601</v>
      </c>
    </row>
    <row r="1788" spans="1:12" x14ac:dyDescent="0.25">
      <c r="A1788" s="32">
        <v>46253</v>
      </c>
      <c r="B1788" s="33" t="s">
        <v>32</v>
      </c>
      <c r="C1788" s="33" t="s">
        <v>561</v>
      </c>
      <c r="D1788" s="33" t="s">
        <v>105</v>
      </c>
      <c r="E1788">
        <v>7</v>
      </c>
      <c r="F1788" s="34">
        <v>3.4837962962962966E-2</v>
      </c>
      <c r="G1788" s="34">
        <v>4.9768518518518521E-3</v>
      </c>
      <c r="H1788" s="34">
        <v>0.25858796296296294</v>
      </c>
      <c r="I1788" s="34">
        <v>0.18502314814814816</v>
      </c>
      <c r="J1788" s="35">
        <v>0.71551338286635047</v>
      </c>
      <c r="K1788" s="33" t="s">
        <v>136</v>
      </c>
      <c r="L1788" s="33" t="s">
        <v>104</v>
      </c>
    </row>
    <row r="1789" spans="1:12" x14ac:dyDescent="0.25">
      <c r="A1789" s="32">
        <v>46253</v>
      </c>
      <c r="B1789" s="33" t="s">
        <v>32</v>
      </c>
      <c r="C1789" s="33" t="s">
        <v>639</v>
      </c>
      <c r="D1789" s="33" t="s">
        <v>105</v>
      </c>
      <c r="E1789">
        <v>14</v>
      </c>
      <c r="F1789" s="34">
        <v>0.11814814814814815</v>
      </c>
      <c r="G1789" s="34">
        <v>8.4391534391534389E-3</v>
      </c>
      <c r="H1789" s="34">
        <v>0.23927083333333332</v>
      </c>
      <c r="I1789" s="34">
        <v>9.2175925925925925E-2</v>
      </c>
      <c r="J1789" s="35">
        <v>0.38523678227639918</v>
      </c>
      <c r="K1789" s="33" t="s">
        <v>618</v>
      </c>
      <c r="L1789" s="33" t="s">
        <v>601</v>
      </c>
    </row>
    <row r="1790" spans="1:12" x14ac:dyDescent="0.25">
      <c r="A1790" s="32">
        <v>46253</v>
      </c>
      <c r="B1790" s="33" t="s">
        <v>32</v>
      </c>
      <c r="C1790" s="33" t="s">
        <v>524</v>
      </c>
      <c r="D1790" s="33" t="s">
        <v>147</v>
      </c>
      <c r="E1790">
        <v>8</v>
      </c>
      <c r="F1790" s="34">
        <v>3.4814814814814812E-2</v>
      </c>
      <c r="G1790" s="34">
        <v>4.3518518518518515E-3</v>
      </c>
      <c r="H1790" s="34">
        <v>0.26416666666666666</v>
      </c>
      <c r="I1790" s="34">
        <v>3.6377314814814814E-2</v>
      </c>
      <c r="J1790" s="35">
        <v>0.13770592358920433</v>
      </c>
      <c r="K1790" s="33" t="s">
        <v>501</v>
      </c>
      <c r="L1790" s="33" t="s">
        <v>274</v>
      </c>
    </row>
    <row r="1791" spans="1:12" x14ac:dyDescent="0.25">
      <c r="A1791" s="32">
        <v>46253</v>
      </c>
      <c r="B1791" s="33" t="s">
        <v>32</v>
      </c>
      <c r="C1791" s="33" t="s">
        <v>572</v>
      </c>
      <c r="D1791" s="33" t="s">
        <v>105</v>
      </c>
      <c r="E1791">
        <v>1</v>
      </c>
      <c r="F1791" s="34">
        <v>2.5659722222222223E-2</v>
      </c>
      <c r="G1791" s="34">
        <v>2.5659722222222223E-2</v>
      </c>
      <c r="H1791" s="34">
        <v>0.23623842592592592</v>
      </c>
      <c r="I1791" s="34">
        <v>0.17280092592592591</v>
      </c>
      <c r="J1791" s="35">
        <v>0.7314683259026995</v>
      </c>
      <c r="K1791" s="33" t="s">
        <v>213</v>
      </c>
      <c r="L1791" s="33" t="s">
        <v>601</v>
      </c>
    </row>
    <row r="1792" spans="1:12" x14ac:dyDescent="0.25">
      <c r="A1792" s="32">
        <v>46253</v>
      </c>
      <c r="B1792" s="33" t="s">
        <v>32</v>
      </c>
      <c r="C1792" s="33" t="s">
        <v>669</v>
      </c>
      <c r="D1792" s="33" t="s">
        <v>32</v>
      </c>
      <c r="E1792">
        <v>28</v>
      </c>
      <c r="F1792" s="34">
        <v>7.6585648148148153E-2</v>
      </c>
      <c r="G1792" s="34">
        <v>2.7352017195767199E-3</v>
      </c>
      <c r="H1792" s="34">
        <v>0.25267361111111108</v>
      </c>
      <c r="I1792" s="34">
        <v>5.9930555555555556E-2</v>
      </c>
      <c r="J1792" s="35">
        <v>0.23718565342861073</v>
      </c>
      <c r="K1792" s="33" t="s">
        <v>668</v>
      </c>
      <c r="L1792" s="33" t="s">
        <v>233</v>
      </c>
    </row>
    <row r="1793" spans="1:12" x14ac:dyDescent="0.25">
      <c r="A1793" s="32">
        <v>46253</v>
      </c>
      <c r="B1793" s="33" t="s">
        <v>32</v>
      </c>
      <c r="C1793" s="33" t="s">
        <v>670</v>
      </c>
      <c r="D1793" s="33" t="s">
        <v>32</v>
      </c>
      <c r="E1793">
        <v>28</v>
      </c>
      <c r="F1793" s="34">
        <v>0.10797453703703704</v>
      </c>
      <c r="G1793" s="34">
        <v>3.8562334656084656E-3</v>
      </c>
      <c r="H1793" s="34">
        <v>0.25528935185185186</v>
      </c>
      <c r="I1793" s="34">
        <v>5.9027777777777776E-2</v>
      </c>
      <c r="J1793" s="35">
        <v>0.23121911411343335</v>
      </c>
      <c r="K1793" s="33" t="s">
        <v>744</v>
      </c>
      <c r="L1793" s="33" t="s">
        <v>100</v>
      </c>
    </row>
    <row r="1794" spans="1:12" x14ac:dyDescent="0.25">
      <c r="A1794" s="32">
        <v>46253</v>
      </c>
      <c r="B1794" s="33" t="s">
        <v>32</v>
      </c>
      <c r="C1794" s="33" t="s">
        <v>306</v>
      </c>
      <c r="D1794" s="33" t="s">
        <v>32</v>
      </c>
      <c r="E1794">
        <v>45</v>
      </c>
      <c r="F1794" s="34">
        <v>0.1097337962962963</v>
      </c>
      <c r="G1794" s="34">
        <v>2.4385288065843624E-3</v>
      </c>
      <c r="H1794" s="34">
        <v>0.26153935185185184</v>
      </c>
      <c r="I1794" s="34">
        <v>4.3969907407407409E-2</v>
      </c>
      <c r="J1794" s="35">
        <v>0.1681196619020224</v>
      </c>
      <c r="K1794" s="33" t="s">
        <v>305</v>
      </c>
      <c r="L1794" s="33" t="s">
        <v>100</v>
      </c>
    </row>
    <row r="1795" spans="1:12" x14ac:dyDescent="0.25">
      <c r="A1795" s="32">
        <v>46253</v>
      </c>
      <c r="B1795" s="33" t="s">
        <v>32</v>
      </c>
      <c r="C1795" s="33" t="s">
        <v>641</v>
      </c>
      <c r="D1795" s="33" t="s">
        <v>105</v>
      </c>
      <c r="E1795">
        <v>1</v>
      </c>
      <c r="F1795" s="34">
        <v>1.0902777777777779E-2</v>
      </c>
      <c r="G1795" s="34">
        <v>1.0902777777777779E-2</v>
      </c>
      <c r="H1795" s="34">
        <v>0.24355324074074075</v>
      </c>
      <c r="I1795" s="34">
        <v>0.18274305555555556</v>
      </c>
      <c r="J1795" s="35">
        <v>0.75032077175307699</v>
      </c>
      <c r="K1795" s="33" t="s">
        <v>620</v>
      </c>
      <c r="L1795" s="33" t="s">
        <v>601</v>
      </c>
    </row>
    <row r="1796" spans="1:12" x14ac:dyDescent="0.25">
      <c r="A1796" s="32">
        <v>46253</v>
      </c>
      <c r="B1796" s="33" t="s">
        <v>32</v>
      </c>
      <c r="C1796" s="33" t="s">
        <v>556</v>
      </c>
      <c r="D1796" s="33" t="s">
        <v>105</v>
      </c>
      <c r="E1796">
        <v>15</v>
      </c>
      <c r="F1796" s="34">
        <v>0.11665509259259259</v>
      </c>
      <c r="G1796" s="34">
        <v>7.7770061728395061E-3</v>
      </c>
      <c r="H1796" s="34">
        <v>0.24621527777777777</v>
      </c>
      <c r="I1796" s="34">
        <v>0.10739583333333333</v>
      </c>
      <c r="J1796" s="35">
        <v>0.43618671555492877</v>
      </c>
      <c r="K1796" s="33" t="s">
        <v>138</v>
      </c>
      <c r="L1796" s="33" t="s">
        <v>104</v>
      </c>
    </row>
    <row r="1797" spans="1:12" x14ac:dyDescent="0.25">
      <c r="A1797" s="32">
        <v>46253</v>
      </c>
      <c r="B1797" s="33" t="s">
        <v>32</v>
      </c>
      <c r="C1797" s="33" t="s">
        <v>532</v>
      </c>
      <c r="D1797" s="33" t="s">
        <v>32</v>
      </c>
      <c r="E1797">
        <v>39</v>
      </c>
      <c r="F1797" s="34">
        <v>0.12202546296296296</v>
      </c>
      <c r="G1797" s="34">
        <v>3.1288580246913579E-3</v>
      </c>
      <c r="H1797" s="34">
        <v>0.30656250000000002</v>
      </c>
      <c r="I1797" s="34">
        <v>6.9814814814814816E-2</v>
      </c>
      <c r="J1797" s="35">
        <v>0.22773436025219918</v>
      </c>
      <c r="K1797" s="33" t="s">
        <v>276</v>
      </c>
      <c r="L1797" s="33" t="s">
        <v>233</v>
      </c>
    </row>
    <row r="1798" spans="1:12" x14ac:dyDescent="0.25">
      <c r="A1798" s="32">
        <v>46253</v>
      </c>
      <c r="B1798" s="33" t="s">
        <v>32</v>
      </c>
      <c r="C1798" s="33" t="s">
        <v>533</v>
      </c>
      <c r="D1798" s="33" t="s">
        <v>32</v>
      </c>
      <c r="E1798">
        <v>19</v>
      </c>
      <c r="F1798" s="34">
        <v>8.7187500000000001E-2</v>
      </c>
      <c r="G1798" s="34">
        <v>4.5888157894736839E-3</v>
      </c>
      <c r="H1798" s="34">
        <v>0.26606481481481481</v>
      </c>
      <c r="I1798" s="34">
        <v>4.2638888888888886E-2</v>
      </c>
      <c r="J1798" s="35">
        <v>0.16025752566556464</v>
      </c>
      <c r="K1798" s="33" t="s">
        <v>278</v>
      </c>
      <c r="L1798" s="33" t="s">
        <v>233</v>
      </c>
    </row>
    <row r="1799" spans="1:12" x14ac:dyDescent="0.25">
      <c r="A1799" s="32">
        <v>46253</v>
      </c>
      <c r="B1799" s="33" t="s">
        <v>32</v>
      </c>
      <c r="C1799" s="33" t="s">
        <v>511</v>
      </c>
      <c r="D1799" s="33" t="s">
        <v>80</v>
      </c>
      <c r="E1799">
        <v>1</v>
      </c>
      <c r="F1799" s="34">
        <v>1.5740740740740741E-3</v>
      </c>
      <c r="G1799" s="34">
        <v>1.5740740740740741E-3</v>
      </c>
      <c r="H1799" s="34">
        <v>0.2505324074074074</v>
      </c>
      <c r="I1799" s="34">
        <v>4.6493055555555558E-2</v>
      </c>
      <c r="J1799" s="35">
        <v>0.18557701191906129</v>
      </c>
      <c r="K1799" s="33" t="s">
        <v>313</v>
      </c>
      <c r="L1799" s="33" t="s">
        <v>78</v>
      </c>
    </row>
    <row r="1800" spans="1:12" x14ac:dyDescent="0.25">
      <c r="A1800" s="32">
        <v>46253</v>
      </c>
      <c r="B1800" s="33" t="s">
        <v>32</v>
      </c>
      <c r="C1800" s="33" t="s">
        <v>674</v>
      </c>
      <c r="D1800" s="33" t="s">
        <v>105</v>
      </c>
      <c r="E1800">
        <v>12</v>
      </c>
      <c r="F1800" s="34">
        <v>9.8472222222222225E-2</v>
      </c>
      <c r="G1800" s="34">
        <v>8.2060185185185187E-3</v>
      </c>
      <c r="H1800" s="34">
        <v>0.25526620370370373</v>
      </c>
      <c r="I1800" s="34">
        <v>0.12863425925925925</v>
      </c>
      <c r="J1800" s="35">
        <v>0.50392201314894569</v>
      </c>
      <c r="K1800" s="33" t="s">
        <v>673</v>
      </c>
      <c r="L1800" s="33" t="s">
        <v>104</v>
      </c>
    </row>
    <row r="1801" spans="1:12" x14ac:dyDescent="0.25">
      <c r="A1801" s="32">
        <v>46253</v>
      </c>
      <c r="B1801" s="33" t="s">
        <v>32</v>
      </c>
      <c r="C1801" s="33" t="s">
        <v>549</v>
      </c>
      <c r="D1801" s="33" t="s">
        <v>105</v>
      </c>
      <c r="E1801">
        <v>1</v>
      </c>
      <c r="F1801" s="34">
        <v>2.476851851851852E-3</v>
      </c>
      <c r="G1801" s="34">
        <v>2.476851851851852E-3</v>
      </c>
      <c r="H1801" s="34">
        <v>0.23064814814814816</v>
      </c>
      <c r="I1801" s="34">
        <v>0.15004629629629629</v>
      </c>
      <c r="J1801" s="35">
        <v>0.65054195102368517</v>
      </c>
      <c r="K1801" s="33" t="s">
        <v>225</v>
      </c>
      <c r="L1801" s="33" t="s">
        <v>601</v>
      </c>
    </row>
    <row r="1802" spans="1:12" x14ac:dyDescent="0.25">
      <c r="A1802" s="32">
        <v>46253</v>
      </c>
      <c r="B1802" s="33" t="s">
        <v>32</v>
      </c>
      <c r="C1802" s="33" t="s">
        <v>71</v>
      </c>
      <c r="D1802" s="33" t="s">
        <v>80</v>
      </c>
      <c r="E1802">
        <v>1</v>
      </c>
      <c r="F1802" s="34">
        <v>4.6481481481481485E-2</v>
      </c>
      <c r="G1802" s="34">
        <v>4.6481481481481485E-2</v>
      </c>
      <c r="H1802" s="34">
        <v>0.34310185185185182</v>
      </c>
      <c r="I1802" s="34">
        <v>0.11596064814814815</v>
      </c>
      <c r="J1802" s="35">
        <v>0.3379773309944677</v>
      </c>
      <c r="K1802" s="33" t="s">
        <v>70</v>
      </c>
      <c r="L1802" s="33" t="s">
        <v>78</v>
      </c>
    </row>
    <row r="1803" spans="1:12" x14ac:dyDescent="0.25">
      <c r="A1803" s="32">
        <v>46253</v>
      </c>
      <c r="B1803" s="33" t="s">
        <v>32</v>
      </c>
      <c r="C1803" s="33" t="s">
        <v>534</v>
      </c>
      <c r="D1803" s="33" t="s">
        <v>32</v>
      </c>
      <c r="E1803">
        <v>5</v>
      </c>
      <c r="F1803" s="34">
        <v>2.599537037037037E-2</v>
      </c>
      <c r="G1803" s="34">
        <v>5.1990740740740738E-3</v>
      </c>
      <c r="H1803" s="34">
        <v>0.1019212962962963</v>
      </c>
      <c r="I1803" s="34">
        <v>4.207175925925926E-2</v>
      </c>
      <c r="J1803" s="35">
        <v>0.4127867363161481</v>
      </c>
      <c r="K1803" s="33" t="s">
        <v>280</v>
      </c>
      <c r="L1803" s="33" t="s">
        <v>233</v>
      </c>
    </row>
    <row r="1804" spans="1:12" x14ac:dyDescent="0.25">
      <c r="A1804" s="32">
        <v>46253</v>
      </c>
      <c r="B1804" s="33" t="s">
        <v>32</v>
      </c>
      <c r="C1804" s="33" t="s">
        <v>571</v>
      </c>
      <c r="D1804" s="33" t="s">
        <v>105</v>
      </c>
      <c r="E1804">
        <v>5</v>
      </c>
      <c r="F1804" s="34">
        <v>5.7789351851851849E-2</v>
      </c>
      <c r="G1804" s="34">
        <v>1.1557870370370369E-2</v>
      </c>
      <c r="H1804" s="34">
        <v>0.25849537037037035</v>
      </c>
      <c r="I1804" s="34">
        <v>0.15738425925925925</v>
      </c>
      <c r="J1804" s="35">
        <v>0.60884749708963914</v>
      </c>
      <c r="K1804" s="33" t="s">
        <v>299</v>
      </c>
      <c r="L1804" s="33" t="s">
        <v>104</v>
      </c>
    </row>
    <row r="1805" spans="1:12" x14ac:dyDescent="0.25">
      <c r="A1805" s="32">
        <v>46253</v>
      </c>
      <c r="B1805" s="33" t="s">
        <v>32</v>
      </c>
      <c r="C1805" s="33" t="s">
        <v>535</v>
      </c>
      <c r="D1805" s="33" t="s">
        <v>32</v>
      </c>
      <c r="E1805">
        <v>34</v>
      </c>
      <c r="F1805" s="34">
        <v>9.9097222222222225E-2</v>
      </c>
      <c r="G1805" s="34">
        <v>2.9146241830065359E-3</v>
      </c>
      <c r="H1805" s="34">
        <v>0.26181712962962961</v>
      </c>
      <c r="I1805" s="34">
        <v>4.7129629629629632E-2</v>
      </c>
      <c r="J1805" s="35">
        <v>0.18000972547632732</v>
      </c>
      <c r="K1805" s="33" t="s">
        <v>282</v>
      </c>
      <c r="L1805" s="33" t="s">
        <v>233</v>
      </c>
    </row>
    <row r="1806" spans="1:12" x14ac:dyDescent="0.25">
      <c r="A1806" s="32">
        <v>46253</v>
      </c>
      <c r="B1806" s="33" t="s">
        <v>32</v>
      </c>
      <c r="C1806" s="33" t="s">
        <v>557</v>
      </c>
      <c r="D1806" s="33" t="s">
        <v>147</v>
      </c>
      <c r="E1806">
        <v>3</v>
      </c>
      <c r="F1806" s="34">
        <v>1.0127314814814815E-2</v>
      </c>
      <c r="G1806" s="34">
        <v>3.3757716049382714E-3</v>
      </c>
      <c r="H1806" s="34">
        <v>0.26535879629629627</v>
      </c>
      <c r="I1806" s="34">
        <v>4.4340277777777777E-2</v>
      </c>
      <c r="J1806" s="35">
        <v>0.16709556418196886</v>
      </c>
      <c r="K1806" s="33" t="s">
        <v>227</v>
      </c>
      <c r="L1806" s="33" t="s">
        <v>146</v>
      </c>
    </row>
    <row r="1807" spans="1:12" x14ac:dyDescent="0.25">
      <c r="A1807" s="32">
        <v>46253</v>
      </c>
      <c r="B1807" s="33" t="s">
        <v>32</v>
      </c>
      <c r="C1807" s="33" t="s">
        <v>676</v>
      </c>
      <c r="D1807" s="33" t="s">
        <v>105</v>
      </c>
      <c r="E1807">
        <v>12</v>
      </c>
      <c r="F1807" s="34">
        <v>0.12908564814814816</v>
      </c>
      <c r="G1807" s="34">
        <v>1.0757137345679013E-2</v>
      </c>
      <c r="H1807" s="34">
        <v>0.25984953703703706</v>
      </c>
      <c r="I1807" s="34">
        <v>7.9942129629629627E-2</v>
      </c>
      <c r="J1807" s="35">
        <v>0.30764776624649232</v>
      </c>
      <c r="K1807" s="33" t="s">
        <v>675</v>
      </c>
      <c r="L1807" s="33" t="s">
        <v>104</v>
      </c>
    </row>
    <row r="1808" spans="1:12" x14ac:dyDescent="0.25">
      <c r="A1808" s="32">
        <v>46253</v>
      </c>
      <c r="B1808" s="33" t="s">
        <v>32</v>
      </c>
      <c r="C1808" s="33" t="s">
        <v>678</v>
      </c>
      <c r="D1808" s="33" t="s">
        <v>147</v>
      </c>
      <c r="E1808">
        <v>8</v>
      </c>
      <c r="F1808" s="34">
        <v>2.101851851851852E-2</v>
      </c>
      <c r="G1808" s="34">
        <v>2.627314814814815E-3</v>
      </c>
      <c r="H1808" s="34">
        <v>0.26034722222222223</v>
      </c>
      <c r="I1808" s="34">
        <v>3.6701388888888888E-2</v>
      </c>
      <c r="J1808" s="35">
        <v>0.1409709255801547</v>
      </c>
      <c r="K1808" s="33" t="s">
        <v>677</v>
      </c>
      <c r="L1808" s="33" t="s">
        <v>274</v>
      </c>
    </row>
    <row r="1809" spans="1:12" x14ac:dyDescent="0.25">
      <c r="A1809" s="32">
        <v>46253</v>
      </c>
      <c r="B1809" s="33" t="s">
        <v>600</v>
      </c>
      <c r="C1809" s="33" t="s">
        <v>598</v>
      </c>
      <c r="D1809" s="33" t="s">
        <v>284</v>
      </c>
      <c r="E1809">
        <v>1</v>
      </c>
      <c r="F1809" s="34">
        <v>1.1574074074074073E-5</v>
      </c>
      <c r="G1809" s="34">
        <v>1.1574074074074073E-5</v>
      </c>
      <c r="H1809" s="34">
        <v>0</v>
      </c>
      <c r="I1809" s="34">
        <v>0</v>
      </c>
      <c r="J1809" s="35">
        <v>0</v>
      </c>
      <c r="K1809" s="33" t="s">
        <v>598</v>
      </c>
      <c r="L1809" s="33" t="s">
        <v>284</v>
      </c>
    </row>
    <row r="1810" spans="1:12" x14ac:dyDescent="0.25">
      <c r="A1810" s="32">
        <v>46253</v>
      </c>
      <c r="B1810" s="33" t="s">
        <v>600</v>
      </c>
      <c r="C1810" s="33" t="s">
        <v>545</v>
      </c>
      <c r="D1810" s="33" t="s">
        <v>600</v>
      </c>
      <c r="E1810">
        <v>25</v>
      </c>
      <c r="F1810" s="34">
        <v>9.0613425925925931E-2</v>
      </c>
      <c r="G1810" s="34">
        <v>3.6245370370370372E-3</v>
      </c>
      <c r="H1810" s="34">
        <v>0.25343749999999998</v>
      </c>
      <c r="I1810" s="34">
        <v>5.0381944444444444E-2</v>
      </c>
      <c r="J1810" s="35">
        <v>0.19879435539114948</v>
      </c>
      <c r="K1810" s="33" t="s">
        <v>201</v>
      </c>
      <c r="L1810" s="33" t="s">
        <v>601</v>
      </c>
    </row>
    <row r="1811" spans="1:12" x14ac:dyDescent="0.25">
      <c r="A1811" s="32">
        <v>46253</v>
      </c>
      <c r="B1811" s="33" t="s">
        <v>600</v>
      </c>
      <c r="C1811" s="33" t="s">
        <v>543</v>
      </c>
      <c r="D1811" s="33" t="s">
        <v>600</v>
      </c>
      <c r="E1811">
        <v>45</v>
      </c>
      <c r="F1811" s="34">
        <v>7.7430555555555558E-2</v>
      </c>
      <c r="G1811" s="34">
        <v>1.7206790123456791E-3</v>
      </c>
      <c r="H1811" s="34">
        <v>0.24478009259259259</v>
      </c>
      <c r="I1811" s="34">
        <v>0.10929398148148148</v>
      </c>
      <c r="J1811" s="35">
        <v>0.44649865241855408</v>
      </c>
      <c r="K1811" s="33" t="s">
        <v>293</v>
      </c>
      <c r="L1811" s="33" t="s">
        <v>104</v>
      </c>
    </row>
  </sheetData>
  <mergeCells count="21">
    <mergeCell ref="E15:F15"/>
    <mergeCell ref="E16:F16"/>
    <mergeCell ref="E17:F17"/>
    <mergeCell ref="G15:H15"/>
    <mergeCell ref="G16:H16"/>
    <mergeCell ref="A19:L19"/>
    <mergeCell ref="A1:L2"/>
    <mergeCell ref="A4:L4"/>
    <mergeCell ref="G17:H17"/>
    <mergeCell ref="I15:J15"/>
    <mergeCell ref="I16:J16"/>
    <mergeCell ref="I17:J17"/>
    <mergeCell ref="E18:J18"/>
    <mergeCell ref="A5:J12"/>
    <mergeCell ref="A14:J14"/>
    <mergeCell ref="A15:B15"/>
    <mergeCell ref="A16:B16"/>
    <mergeCell ref="A17:B17"/>
    <mergeCell ref="C15:D15"/>
    <mergeCell ref="C16:D16"/>
    <mergeCell ref="C17:D17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11"/>
  <sheetViews>
    <sheetView showGridLines="0" workbookViewId="0">
      <pane ySplit="20" topLeftCell="A21" activePane="bottomLeft" state="frozen"/>
      <selection pane="bottomLeft" activeCell="M1534" sqref="M1534"/>
    </sheetView>
  </sheetViews>
  <sheetFormatPr defaultRowHeight="15" x14ac:dyDescent="0.25"/>
  <cols>
    <col min="1" max="1" width="11" customWidth="1"/>
    <col min="2" max="3" width="18" customWidth="1"/>
    <col min="4" max="4" width="16" customWidth="1"/>
    <col min="5" max="7" width="14" customWidth="1"/>
    <col min="8" max="8" width="34" customWidth="1"/>
    <col min="9" max="9" width="30" customWidth="1"/>
  </cols>
  <sheetData>
    <row r="1" spans="1:9" ht="26.1" customHeight="1" x14ac:dyDescent="0.25">
      <c r="A1" s="74" t="s">
        <v>622</v>
      </c>
      <c r="B1" s="74"/>
      <c r="C1" s="74"/>
      <c r="D1" s="74"/>
      <c r="E1" s="74"/>
      <c r="F1" s="74"/>
      <c r="G1" s="74"/>
      <c r="H1" s="74"/>
      <c r="I1" s="74"/>
    </row>
    <row r="2" spans="1:9" ht="15" customHeight="1" x14ac:dyDescent="0.25">
      <c r="A2" s="74"/>
      <c r="B2" s="74"/>
      <c r="C2" s="74"/>
      <c r="D2" s="74"/>
      <c r="E2" s="74"/>
      <c r="F2" s="74"/>
      <c r="G2" s="74"/>
      <c r="H2" s="74"/>
      <c r="I2" s="74"/>
    </row>
    <row r="4" spans="1:9" ht="18" customHeight="1" x14ac:dyDescent="0.25">
      <c r="A4" s="75" t="s">
        <v>623</v>
      </c>
      <c r="B4" s="75"/>
      <c r="C4" s="75"/>
      <c r="D4" s="75"/>
      <c r="E4" s="75"/>
      <c r="F4" s="75"/>
      <c r="G4" s="75"/>
      <c r="H4" s="75"/>
      <c r="I4" s="75"/>
    </row>
    <row r="5" spans="1:9" x14ac:dyDescent="0.25">
      <c r="A5" s="90"/>
      <c r="B5" s="90"/>
      <c r="C5" s="90"/>
      <c r="D5" s="90"/>
      <c r="E5" s="90"/>
      <c r="F5" s="90"/>
      <c r="G5" s="90"/>
    </row>
    <row r="6" spans="1:9" x14ac:dyDescent="0.25">
      <c r="A6" s="90"/>
      <c r="B6" s="90"/>
      <c r="C6" s="90"/>
      <c r="D6" s="90"/>
      <c r="E6" s="90"/>
      <c r="F6" s="90"/>
      <c r="G6" s="90"/>
    </row>
    <row r="7" spans="1:9" x14ac:dyDescent="0.25">
      <c r="A7" s="90"/>
      <c r="B7" s="90"/>
      <c r="C7" s="90"/>
      <c r="D7" s="90"/>
      <c r="E7" s="90"/>
      <c r="F7" s="90"/>
      <c r="G7" s="90"/>
    </row>
    <row r="8" spans="1:9" x14ac:dyDescent="0.25">
      <c r="A8" s="90"/>
      <c r="B8" s="90"/>
      <c r="C8" s="90"/>
      <c r="D8" s="90"/>
      <c r="E8" s="90"/>
      <c r="F8" s="90"/>
      <c r="G8" s="90"/>
    </row>
    <row r="9" spans="1:9" x14ac:dyDescent="0.25">
      <c r="A9" s="90"/>
      <c r="B9" s="90"/>
      <c r="C9" s="90"/>
      <c r="D9" s="90"/>
      <c r="E9" s="90"/>
      <c r="F9" s="90"/>
      <c r="G9" s="90"/>
    </row>
    <row r="10" spans="1:9" x14ac:dyDescent="0.25">
      <c r="A10" s="90"/>
      <c r="B10" s="90"/>
      <c r="C10" s="90"/>
      <c r="D10" s="90"/>
      <c r="E10" s="90"/>
      <c r="F10" s="90"/>
      <c r="G10" s="90"/>
    </row>
    <row r="11" spans="1:9" x14ac:dyDescent="0.25">
      <c r="A11" s="90"/>
      <c r="B11" s="90"/>
      <c r="C11" s="90"/>
      <c r="D11" s="90"/>
      <c r="E11" s="90"/>
      <c r="F11" s="90"/>
      <c r="G11" s="90"/>
    </row>
    <row r="12" spans="1:9" x14ac:dyDescent="0.25">
      <c r="A12" s="90"/>
      <c r="B12" s="90"/>
      <c r="C12" s="90"/>
      <c r="D12" s="90"/>
      <c r="E12" s="90"/>
      <c r="F12" s="90"/>
      <c r="G12" s="90"/>
    </row>
    <row r="14" spans="1:9" ht="18" customHeight="1" x14ac:dyDescent="0.25">
      <c r="A14" s="73" t="s">
        <v>624</v>
      </c>
      <c r="B14" s="73"/>
      <c r="C14" s="73"/>
      <c r="D14" s="73"/>
      <c r="E14" s="73"/>
      <c r="F14" s="73"/>
      <c r="G14" s="73"/>
    </row>
    <row r="15" spans="1:9" ht="20.100000000000001" customHeight="1" x14ac:dyDescent="0.25">
      <c r="A15" s="92" t="s">
        <v>3</v>
      </c>
      <c r="B15" s="92"/>
      <c r="C15" s="92"/>
      <c r="D15" s="77" t="s">
        <v>4</v>
      </c>
      <c r="E15" s="77"/>
      <c r="F15" s="93" t="s">
        <v>487</v>
      </c>
      <c r="G15" s="94"/>
    </row>
    <row r="16" spans="1:9" ht="33.950000000000003" customHeight="1" x14ac:dyDescent="0.25">
      <c r="A16" s="83">
        <f>SUBTOTAL(109,tblFila[Chamadas])</f>
        <v>23493</v>
      </c>
      <c r="B16" s="83"/>
      <c r="C16" s="83"/>
      <c r="D16" s="84">
        <f>IFERROR(SUBTOTAL(109,tblFila[Tempo Falado])/SUBTOTAL(109,tblFila[Chamadas]),0)</f>
        <v>6.1196691173572779E-3</v>
      </c>
      <c r="E16" s="84"/>
      <c r="F16" s="85">
        <f>SUBTOTAL(109,tblFila[Tempo Falado])</f>
        <v>143.76938657407453</v>
      </c>
      <c r="G16" s="95"/>
    </row>
    <row r="17" spans="1:9" x14ac:dyDescent="0.25">
      <c r="A17" s="90"/>
      <c r="B17" s="90"/>
      <c r="C17" s="90"/>
      <c r="D17" s="90"/>
      <c r="E17" s="90"/>
      <c r="F17" s="90"/>
      <c r="G17" s="90"/>
    </row>
    <row r="19" spans="1:9" ht="18" customHeight="1" x14ac:dyDescent="0.25">
      <c r="A19" s="75" t="s">
        <v>625</v>
      </c>
      <c r="B19" s="75"/>
      <c r="C19" s="75"/>
      <c r="D19" s="75"/>
      <c r="E19" s="75"/>
      <c r="F19" s="75"/>
      <c r="G19" s="75"/>
      <c r="H19" s="75"/>
      <c r="I19" s="75"/>
    </row>
    <row r="20" spans="1:9" x14ac:dyDescent="0.25">
      <c r="A20" s="25" t="s">
        <v>8</v>
      </c>
      <c r="B20" s="25" t="s">
        <v>588</v>
      </c>
      <c r="C20" s="25" t="s">
        <v>626</v>
      </c>
      <c r="D20" s="25" t="s">
        <v>627</v>
      </c>
      <c r="E20" s="25" t="s">
        <v>3</v>
      </c>
      <c r="F20" s="25" t="s">
        <v>16</v>
      </c>
      <c r="G20" s="25" t="s">
        <v>17</v>
      </c>
      <c r="H20" s="25" t="s">
        <v>322</v>
      </c>
      <c r="I20" s="25" t="s">
        <v>11</v>
      </c>
    </row>
    <row r="21" spans="1:9" x14ac:dyDescent="0.25">
      <c r="A21" s="32">
        <v>46235</v>
      </c>
      <c r="B21" s="33" t="s">
        <v>644</v>
      </c>
      <c r="C21" s="33" t="s">
        <v>32</v>
      </c>
      <c r="D21" s="33" t="s">
        <v>32</v>
      </c>
      <c r="E21">
        <v>12</v>
      </c>
      <c r="F21" s="34">
        <v>0.11768518518518518</v>
      </c>
      <c r="G21" s="34">
        <v>9.8070987654320999E-3</v>
      </c>
      <c r="H21" s="33" t="s">
        <v>643</v>
      </c>
      <c r="I21" s="33" t="s">
        <v>233</v>
      </c>
    </row>
    <row r="22" spans="1:9" x14ac:dyDescent="0.25">
      <c r="A22" s="32">
        <v>46235</v>
      </c>
      <c r="B22" s="33" t="s">
        <v>563</v>
      </c>
      <c r="C22" s="33" t="s">
        <v>147</v>
      </c>
      <c r="D22" s="33" t="s">
        <v>147</v>
      </c>
      <c r="E22">
        <v>4</v>
      </c>
      <c r="F22" s="34">
        <v>7.1875000000000003E-3</v>
      </c>
      <c r="G22" s="34">
        <v>1.7968750000000001E-3</v>
      </c>
      <c r="H22" s="33" t="s">
        <v>193</v>
      </c>
      <c r="I22" s="33" t="s">
        <v>274</v>
      </c>
    </row>
    <row r="23" spans="1:9" x14ac:dyDescent="0.25">
      <c r="A23" s="32">
        <v>46235</v>
      </c>
      <c r="B23" s="33" t="s">
        <v>563</v>
      </c>
      <c r="C23" s="33" t="s">
        <v>147</v>
      </c>
      <c r="D23" s="33" t="s">
        <v>32</v>
      </c>
      <c r="E23">
        <v>4</v>
      </c>
      <c r="F23" s="34">
        <v>1.9583333333333335E-2</v>
      </c>
      <c r="G23" s="34">
        <v>4.8958333333333336E-3</v>
      </c>
      <c r="H23" s="33" t="s">
        <v>193</v>
      </c>
      <c r="I23" s="33" t="s">
        <v>274</v>
      </c>
    </row>
    <row r="24" spans="1:9" x14ac:dyDescent="0.25">
      <c r="A24" s="32">
        <v>46235</v>
      </c>
      <c r="B24" s="33" t="s">
        <v>525</v>
      </c>
      <c r="C24" s="33" t="s">
        <v>32</v>
      </c>
      <c r="D24" s="33" t="s">
        <v>32</v>
      </c>
      <c r="E24">
        <v>23</v>
      </c>
      <c r="F24" s="34">
        <v>8.9826388888888886E-2</v>
      </c>
      <c r="G24" s="34">
        <v>3.9054951690821252E-3</v>
      </c>
      <c r="H24" s="33" t="s">
        <v>231</v>
      </c>
      <c r="I24" s="33" t="s">
        <v>233</v>
      </c>
    </row>
    <row r="25" spans="1:9" x14ac:dyDescent="0.25">
      <c r="A25" s="32">
        <v>46235</v>
      </c>
      <c r="B25" s="33" t="s">
        <v>550</v>
      </c>
      <c r="C25" s="33" t="s">
        <v>32</v>
      </c>
      <c r="D25" s="33" t="s">
        <v>32</v>
      </c>
      <c r="E25">
        <v>23</v>
      </c>
      <c r="F25" s="34">
        <v>5.9143518518518519E-2</v>
      </c>
      <c r="G25" s="34">
        <v>2.5714573268921094E-3</v>
      </c>
      <c r="H25" s="33" t="s">
        <v>234</v>
      </c>
      <c r="I25" s="33" t="s">
        <v>233</v>
      </c>
    </row>
    <row r="26" spans="1:9" x14ac:dyDescent="0.25">
      <c r="A26" s="32">
        <v>46235</v>
      </c>
      <c r="B26" s="33" t="s">
        <v>505</v>
      </c>
      <c r="C26" s="33" t="s">
        <v>32</v>
      </c>
      <c r="D26" s="33" t="s">
        <v>32</v>
      </c>
      <c r="E26">
        <v>24</v>
      </c>
      <c r="F26" s="34">
        <v>7.8842592592592589E-2</v>
      </c>
      <c r="G26" s="34">
        <v>3.2851080246913576E-3</v>
      </c>
      <c r="H26" s="33" t="s">
        <v>34</v>
      </c>
      <c r="I26" s="33" t="s">
        <v>233</v>
      </c>
    </row>
    <row r="27" spans="1:9" x14ac:dyDescent="0.25">
      <c r="A27" s="32">
        <v>46235</v>
      </c>
      <c r="B27" s="33" t="s">
        <v>551</v>
      </c>
      <c r="C27" s="33" t="s">
        <v>32</v>
      </c>
      <c r="D27" s="33" t="s">
        <v>32</v>
      </c>
      <c r="E27">
        <v>3</v>
      </c>
      <c r="F27" s="34">
        <v>1.3587962962962963E-2</v>
      </c>
      <c r="G27" s="34">
        <v>4.529320987654321E-3</v>
      </c>
      <c r="H27" s="33" t="s">
        <v>236</v>
      </c>
      <c r="I27" s="33" t="s">
        <v>233</v>
      </c>
    </row>
    <row r="28" spans="1:9" x14ac:dyDescent="0.25">
      <c r="A28" s="32">
        <v>46235</v>
      </c>
      <c r="B28" s="33" t="s">
        <v>526</v>
      </c>
      <c r="C28" s="33" t="s">
        <v>32</v>
      </c>
      <c r="D28" s="33" t="s">
        <v>32</v>
      </c>
      <c r="E28">
        <v>3</v>
      </c>
      <c r="F28" s="34">
        <v>7.7546296296296295E-3</v>
      </c>
      <c r="G28" s="34">
        <v>2.5848765432098767E-3</v>
      </c>
      <c r="H28" s="33" t="s">
        <v>238</v>
      </c>
      <c r="I28" s="33" t="s">
        <v>233</v>
      </c>
    </row>
    <row r="29" spans="1:9" x14ac:dyDescent="0.25">
      <c r="A29" s="32">
        <v>46235</v>
      </c>
      <c r="B29" s="33" t="s">
        <v>631</v>
      </c>
      <c r="C29" s="33" t="s">
        <v>105</v>
      </c>
      <c r="D29" s="33" t="s">
        <v>105</v>
      </c>
      <c r="E29">
        <v>8</v>
      </c>
      <c r="F29" s="34">
        <v>5.7731481481481481E-2</v>
      </c>
      <c r="G29" s="34">
        <v>7.2164351851851851E-3</v>
      </c>
      <c r="H29" s="33" t="s">
        <v>608</v>
      </c>
      <c r="I29" s="33" t="s">
        <v>601</v>
      </c>
    </row>
    <row r="30" spans="1:9" x14ac:dyDescent="0.25">
      <c r="A30" s="32">
        <v>46235</v>
      </c>
      <c r="B30" s="33" t="s">
        <v>564</v>
      </c>
      <c r="C30" s="33" t="s">
        <v>105</v>
      </c>
      <c r="D30" s="33" t="s">
        <v>105</v>
      </c>
      <c r="E30">
        <v>7</v>
      </c>
      <c r="F30" s="34">
        <v>3.5069444444444445E-2</v>
      </c>
      <c r="G30" s="34">
        <v>5.0099206349206345E-3</v>
      </c>
      <c r="H30" s="33" t="s">
        <v>197</v>
      </c>
      <c r="I30" s="33" t="s">
        <v>601</v>
      </c>
    </row>
    <row r="31" spans="1:9" x14ac:dyDescent="0.25">
      <c r="A31" s="32">
        <v>46235</v>
      </c>
      <c r="B31" s="33" t="s">
        <v>514</v>
      </c>
      <c r="C31" s="33" t="s">
        <v>147</v>
      </c>
      <c r="D31" s="33" t="s">
        <v>147</v>
      </c>
      <c r="E31">
        <v>12</v>
      </c>
      <c r="F31" s="34">
        <v>2.0162037037037037E-2</v>
      </c>
      <c r="G31" s="34">
        <v>1.6801697530864196E-3</v>
      </c>
      <c r="H31" s="33" t="s">
        <v>150</v>
      </c>
      <c r="I31" s="33" t="s">
        <v>146</v>
      </c>
    </row>
    <row r="32" spans="1:9" x14ac:dyDescent="0.25">
      <c r="A32" s="32">
        <v>46235</v>
      </c>
      <c r="B32" s="33" t="s">
        <v>514</v>
      </c>
      <c r="C32" s="33" t="s">
        <v>147</v>
      </c>
      <c r="D32" s="33" t="s">
        <v>32</v>
      </c>
      <c r="E32">
        <v>7</v>
      </c>
      <c r="F32" s="34">
        <v>9.0046296296296298E-3</v>
      </c>
      <c r="G32" s="34">
        <v>1.2863756613756612E-3</v>
      </c>
      <c r="H32" s="33" t="s">
        <v>150</v>
      </c>
      <c r="I32" s="33" t="s">
        <v>146</v>
      </c>
    </row>
    <row r="33" spans="1:9" x14ac:dyDescent="0.25">
      <c r="A33" s="32">
        <v>46235</v>
      </c>
      <c r="B33" s="33" t="s">
        <v>515</v>
      </c>
      <c r="C33" s="33" t="s">
        <v>147</v>
      </c>
      <c r="D33" s="33" t="s">
        <v>147</v>
      </c>
      <c r="E33">
        <v>13</v>
      </c>
      <c r="F33" s="34">
        <v>1.9143518518518518E-2</v>
      </c>
      <c r="G33" s="34">
        <v>1.4725783475783476E-3</v>
      </c>
      <c r="H33" s="33" t="s">
        <v>154</v>
      </c>
      <c r="I33" s="33" t="s">
        <v>146</v>
      </c>
    </row>
    <row r="34" spans="1:9" x14ac:dyDescent="0.25">
      <c r="A34" s="32">
        <v>46235</v>
      </c>
      <c r="B34" s="33" t="s">
        <v>515</v>
      </c>
      <c r="C34" s="33" t="s">
        <v>147</v>
      </c>
      <c r="D34" s="33" t="s">
        <v>32</v>
      </c>
      <c r="E34">
        <v>6</v>
      </c>
      <c r="F34" s="34">
        <v>1.2534722222222221E-2</v>
      </c>
      <c r="G34" s="34">
        <v>2.0891203703703705E-3</v>
      </c>
      <c r="H34" s="33" t="s">
        <v>154</v>
      </c>
      <c r="I34" s="33" t="s">
        <v>146</v>
      </c>
    </row>
    <row r="35" spans="1:9" x14ac:dyDescent="0.25">
      <c r="A35" s="32">
        <v>46235</v>
      </c>
      <c r="B35" s="33" t="s">
        <v>570</v>
      </c>
      <c r="C35" s="33" t="s">
        <v>105</v>
      </c>
      <c r="D35" s="33" t="s">
        <v>105</v>
      </c>
      <c r="E35">
        <v>7</v>
      </c>
      <c r="F35" s="34">
        <v>0.12538194444444445</v>
      </c>
      <c r="G35" s="34">
        <v>1.7911706349206351E-2</v>
      </c>
      <c r="H35" s="33" t="s">
        <v>112</v>
      </c>
      <c r="I35" s="33" t="s">
        <v>104</v>
      </c>
    </row>
    <row r="36" spans="1:9" x14ac:dyDescent="0.25">
      <c r="A36" s="32">
        <v>46235</v>
      </c>
      <c r="B36" s="33" t="s">
        <v>537</v>
      </c>
      <c r="C36" s="33" t="s">
        <v>105</v>
      </c>
      <c r="D36" s="33" t="s">
        <v>105</v>
      </c>
      <c r="E36">
        <v>19</v>
      </c>
      <c r="F36" s="34">
        <v>0.19207175925925926</v>
      </c>
      <c r="G36" s="34">
        <v>1.0109039961013646E-2</v>
      </c>
      <c r="H36" s="33" t="s">
        <v>42</v>
      </c>
      <c r="I36" s="33" t="s">
        <v>104</v>
      </c>
    </row>
    <row r="37" spans="1:9" x14ac:dyDescent="0.25">
      <c r="A37" s="32">
        <v>46235</v>
      </c>
      <c r="B37" s="33" t="s">
        <v>541</v>
      </c>
      <c r="C37" s="33" t="s">
        <v>105</v>
      </c>
      <c r="D37" s="33" t="s">
        <v>105</v>
      </c>
      <c r="E37">
        <v>16</v>
      </c>
      <c r="F37" s="34">
        <v>0.13174768518518518</v>
      </c>
      <c r="G37" s="34">
        <v>8.2342303240740735E-3</v>
      </c>
      <c r="H37" s="33" t="s">
        <v>114</v>
      </c>
      <c r="I37" s="33" t="s">
        <v>104</v>
      </c>
    </row>
    <row r="38" spans="1:9" x14ac:dyDescent="0.25">
      <c r="A38" s="32">
        <v>46235</v>
      </c>
      <c r="B38" s="33" t="s">
        <v>506</v>
      </c>
      <c r="C38" s="33" t="s">
        <v>32</v>
      </c>
      <c r="D38" s="33" t="s">
        <v>32</v>
      </c>
      <c r="E38">
        <v>17</v>
      </c>
      <c r="F38" s="34">
        <v>0.10821759259259259</v>
      </c>
      <c r="G38" s="34">
        <v>6.3657407407407404E-3</v>
      </c>
      <c r="H38" s="33" t="s">
        <v>44</v>
      </c>
      <c r="I38" s="33" t="s">
        <v>100</v>
      </c>
    </row>
    <row r="39" spans="1:9" x14ac:dyDescent="0.25">
      <c r="A39" s="32">
        <v>46235</v>
      </c>
      <c r="B39" s="33" t="s">
        <v>527</v>
      </c>
      <c r="C39" s="33" t="s">
        <v>32</v>
      </c>
      <c r="D39" s="33" t="s">
        <v>32</v>
      </c>
      <c r="E39">
        <v>2</v>
      </c>
      <c r="F39" s="34">
        <v>9.8842592592592593E-3</v>
      </c>
      <c r="G39" s="34">
        <v>4.9421296296296297E-3</v>
      </c>
      <c r="H39" s="33" t="s">
        <v>240</v>
      </c>
      <c r="I39" s="33" t="s">
        <v>233</v>
      </c>
    </row>
    <row r="40" spans="1:9" x14ac:dyDescent="0.25">
      <c r="A40" s="32">
        <v>46235</v>
      </c>
      <c r="B40" s="33" t="s">
        <v>646</v>
      </c>
      <c r="C40" s="33" t="s">
        <v>32</v>
      </c>
      <c r="D40" s="33" t="s">
        <v>32</v>
      </c>
      <c r="E40">
        <v>14</v>
      </c>
      <c r="F40" s="34">
        <v>5.8483796296296298E-2</v>
      </c>
      <c r="G40" s="34">
        <v>4.177414021164021E-3</v>
      </c>
      <c r="H40" s="33" t="s">
        <v>645</v>
      </c>
      <c r="I40" s="33" t="s">
        <v>100</v>
      </c>
    </row>
    <row r="41" spans="1:9" x14ac:dyDescent="0.25">
      <c r="A41" s="32">
        <v>46235</v>
      </c>
      <c r="B41" s="33" t="s">
        <v>544</v>
      </c>
      <c r="C41" s="33" t="s">
        <v>147</v>
      </c>
      <c r="D41" s="33" t="s">
        <v>147</v>
      </c>
      <c r="E41">
        <v>10</v>
      </c>
      <c r="F41" s="34">
        <v>6.7361111111111111E-3</v>
      </c>
      <c r="G41" s="34">
        <v>6.7361111111111116E-4</v>
      </c>
      <c r="H41" s="33" t="s">
        <v>160</v>
      </c>
      <c r="I41" s="33" t="s">
        <v>146</v>
      </c>
    </row>
    <row r="42" spans="1:9" x14ac:dyDescent="0.25">
      <c r="A42" s="32">
        <v>46235</v>
      </c>
      <c r="B42" s="33" t="s">
        <v>544</v>
      </c>
      <c r="C42" s="33" t="s">
        <v>147</v>
      </c>
      <c r="D42" s="33" t="s">
        <v>32</v>
      </c>
      <c r="E42">
        <v>3</v>
      </c>
      <c r="F42" s="34">
        <v>2.9513888888888888E-3</v>
      </c>
      <c r="G42" s="34">
        <v>9.837962962962962E-4</v>
      </c>
      <c r="H42" s="33" t="s">
        <v>160</v>
      </c>
      <c r="I42" s="33" t="s">
        <v>146</v>
      </c>
    </row>
    <row r="43" spans="1:9" x14ac:dyDescent="0.25">
      <c r="A43" s="32">
        <v>46235</v>
      </c>
      <c r="B43" s="33" t="s">
        <v>558</v>
      </c>
      <c r="C43" s="33" t="s">
        <v>32</v>
      </c>
      <c r="D43" s="33" t="s">
        <v>32</v>
      </c>
      <c r="E43">
        <v>19</v>
      </c>
      <c r="F43" s="34">
        <v>7.4618055555555562E-2</v>
      </c>
      <c r="G43" s="34">
        <v>3.9272660818713452E-3</v>
      </c>
      <c r="H43" s="33" t="s">
        <v>120</v>
      </c>
      <c r="I43" s="33" t="s">
        <v>233</v>
      </c>
    </row>
    <row r="44" spans="1:9" x14ac:dyDescent="0.25">
      <c r="A44" s="32">
        <v>46235</v>
      </c>
      <c r="B44" s="33" t="s">
        <v>507</v>
      </c>
      <c r="C44" s="33" t="s">
        <v>32</v>
      </c>
      <c r="D44" s="33" t="s">
        <v>32</v>
      </c>
      <c r="E44">
        <v>17</v>
      </c>
      <c r="F44" s="34">
        <v>9.4918981481481479E-2</v>
      </c>
      <c r="G44" s="34">
        <v>5.5834694989106756E-3</v>
      </c>
      <c r="H44" s="33" t="s">
        <v>46</v>
      </c>
      <c r="I44" s="33" t="s">
        <v>100</v>
      </c>
    </row>
    <row r="45" spans="1:9" x14ac:dyDescent="0.25">
      <c r="A45" s="32">
        <v>46235</v>
      </c>
      <c r="B45" s="33" t="s">
        <v>542</v>
      </c>
      <c r="C45" s="33" t="s">
        <v>105</v>
      </c>
      <c r="D45" s="33" t="s">
        <v>105</v>
      </c>
      <c r="E45">
        <v>10</v>
      </c>
      <c r="F45" s="34">
        <v>9.8680555555555549E-2</v>
      </c>
      <c r="G45" s="34">
        <v>9.8680555555555553E-3</v>
      </c>
      <c r="H45" s="33" t="s">
        <v>287</v>
      </c>
      <c r="I45" s="33" t="s">
        <v>104</v>
      </c>
    </row>
    <row r="46" spans="1:9" x14ac:dyDescent="0.25">
      <c r="A46" s="32">
        <v>46235</v>
      </c>
      <c r="B46" s="33" t="s">
        <v>517</v>
      </c>
      <c r="C46" s="33" t="s">
        <v>147</v>
      </c>
      <c r="D46" s="33" t="s">
        <v>147</v>
      </c>
      <c r="E46">
        <v>8</v>
      </c>
      <c r="F46" s="34">
        <v>5.1747685185185188E-2</v>
      </c>
      <c r="G46" s="34">
        <v>6.4684606481481485E-3</v>
      </c>
      <c r="H46" s="33" t="s">
        <v>499</v>
      </c>
      <c r="I46" s="33" t="s">
        <v>146</v>
      </c>
    </row>
    <row r="47" spans="1:9" x14ac:dyDescent="0.25">
      <c r="A47" s="32">
        <v>46235</v>
      </c>
      <c r="B47" s="33" t="s">
        <v>517</v>
      </c>
      <c r="C47" s="33" t="s">
        <v>147</v>
      </c>
      <c r="D47" s="33" t="s">
        <v>32</v>
      </c>
      <c r="E47">
        <v>1</v>
      </c>
      <c r="F47" s="34">
        <v>2.199074074074074E-4</v>
      </c>
      <c r="G47" s="34">
        <v>2.199074074074074E-4</v>
      </c>
      <c r="H47" s="33" t="s">
        <v>499</v>
      </c>
      <c r="I47" s="33" t="s">
        <v>146</v>
      </c>
    </row>
    <row r="48" spans="1:9" x14ac:dyDescent="0.25">
      <c r="A48" s="32">
        <v>46235</v>
      </c>
      <c r="B48" s="33" t="s">
        <v>648</v>
      </c>
      <c r="C48" s="33" t="s">
        <v>32</v>
      </c>
      <c r="D48" s="33" t="s">
        <v>32</v>
      </c>
      <c r="E48">
        <v>29</v>
      </c>
      <c r="F48" s="34">
        <v>9.7453703703703709E-2</v>
      </c>
      <c r="G48" s="34">
        <v>3.3604725415070243E-3</v>
      </c>
      <c r="H48" s="33" t="s">
        <v>647</v>
      </c>
      <c r="I48" s="33" t="s">
        <v>233</v>
      </c>
    </row>
    <row r="49" spans="1:9" x14ac:dyDescent="0.25">
      <c r="A49" s="32">
        <v>46235</v>
      </c>
      <c r="B49" s="33" t="s">
        <v>650</v>
      </c>
      <c r="C49" s="33" t="s">
        <v>105</v>
      </c>
      <c r="D49" s="33" t="s">
        <v>105</v>
      </c>
      <c r="E49">
        <v>7</v>
      </c>
      <c r="F49" s="34">
        <v>0.16091435185185185</v>
      </c>
      <c r="G49" s="34">
        <v>2.298776455026455E-2</v>
      </c>
      <c r="H49" s="33" t="s">
        <v>649</v>
      </c>
      <c r="I49" s="33" t="s">
        <v>104</v>
      </c>
    </row>
    <row r="50" spans="1:9" x14ac:dyDescent="0.25">
      <c r="A50" s="32">
        <v>46235</v>
      </c>
      <c r="B50" s="33" t="s">
        <v>652</v>
      </c>
      <c r="C50" s="33" t="s">
        <v>32</v>
      </c>
      <c r="D50" s="33" t="s">
        <v>32</v>
      </c>
      <c r="E50">
        <v>12</v>
      </c>
      <c r="F50" s="34">
        <v>0.11121527777777777</v>
      </c>
      <c r="G50" s="34">
        <v>9.2679398148148157E-3</v>
      </c>
      <c r="H50" s="33" t="s">
        <v>651</v>
      </c>
      <c r="I50" s="33" t="s">
        <v>100</v>
      </c>
    </row>
    <row r="51" spans="1:9" x14ac:dyDescent="0.25">
      <c r="A51" s="32">
        <v>46235</v>
      </c>
      <c r="B51" s="33" t="s">
        <v>568</v>
      </c>
      <c r="C51" s="33" t="s">
        <v>32</v>
      </c>
      <c r="D51" s="33" t="s">
        <v>32</v>
      </c>
      <c r="E51">
        <v>19</v>
      </c>
      <c r="F51" s="34">
        <v>6.2511574074074081E-2</v>
      </c>
      <c r="G51" s="34">
        <v>3.2900828460038986E-3</v>
      </c>
      <c r="H51" s="33" t="s">
        <v>246</v>
      </c>
      <c r="I51" s="33" t="s">
        <v>233</v>
      </c>
    </row>
    <row r="52" spans="1:9" x14ac:dyDescent="0.25">
      <c r="A52" s="32">
        <v>46235</v>
      </c>
      <c r="B52" s="33" t="s">
        <v>603</v>
      </c>
      <c r="C52" s="33" t="s">
        <v>32</v>
      </c>
      <c r="D52" s="33" t="s">
        <v>32</v>
      </c>
      <c r="E52">
        <v>24</v>
      </c>
      <c r="F52" s="34">
        <v>9.7673611111111114E-2</v>
      </c>
      <c r="G52" s="34">
        <v>4.0697337962962961E-3</v>
      </c>
      <c r="H52" s="33" t="s">
        <v>242</v>
      </c>
      <c r="I52" s="33" t="s">
        <v>233</v>
      </c>
    </row>
    <row r="53" spans="1:9" x14ac:dyDescent="0.25">
      <c r="A53" s="32">
        <v>46235</v>
      </c>
      <c r="B53" s="33" t="s">
        <v>559</v>
      </c>
      <c r="C53" s="33" t="s">
        <v>105</v>
      </c>
      <c r="D53" s="33" t="s">
        <v>105</v>
      </c>
      <c r="E53">
        <v>16</v>
      </c>
      <c r="F53" s="34">
        <v>0.18454861111111112</v>
      </c>
      <c r="G53" s="34">
        <v>1.1534288194444445E-2</v>
      </c>
      <c r="H53" s="33" t="s">
        <v>289</v>
      </c>
      <c r="I53" s="33" t="s">
        <v>104</v>
      </c>
    </row>
    <row r="54" spans="1:9" x14ac:dyDescent="0.25">
      <c r="A54" s="32">
        <v>46235</v>
      </c>
      <c r="B54" s="33" t="s">
        <v>518</v>
      </c>
      <c r="C54" s="33" t="s">
        <v>147</v>
      </c>
      <c r="D54" s="33" t="s">
        <v>147</v>
      </c>
      <c r="E54">
        <v>10</v>
      </c>
      <c r="F54" s="34">
        <v>2.6018518518518517E-2</v>
      </c>
      <c r="G54" s="34">
        <v>2.6018518518518522E-3</v>
      </c>
      <c r="H54" s="33" t="s">
        <v>500</v>
      </c>
      <c r="I54" s="33" t="s">
        <v>274</v>
      </c>
    </row>
    <row r="55" spans="1:9" x14ac:dyDescent="0.25">
      <c r="A55" s="32">
        <v>46235</v>
      </c>
      <c r="B55" s="33" t="s">
        <v>518</v>
      </c>
      <c r="C55" s="33" t="s">
        <v>147</v>
      </c>
      <c r="D55" s="33" t="s">
        <v>32</v>
      </c>
      <c r="E55">
        <v>2</v>
      </c>
      <c r="F55" s="34">
        <v>1.0567129629629629E-2</v>
      </c>
      <c r="G55" s="34">
        <v>5.2835648148148147E-3</v>
      </c>
      <c r="H55" s="33" t="s">
        <v>500</v>
      </c>
      <c r="I55" s="33" t="s">
        <v>274</v>
      </c>
    </row>
    <row r="56" spans="1:9" x14ac:dyDescent="0.25">
      <c r="A56" s="32">
        <v>46235</v>
      </c>
      <c r="B56" s="33" t="s">
        <v>654</v>
      </c>
      <c r="C56" s="33" t="s">
        <v>32</v>
      </c>
      <c r="D56" s="33" t="s">
        <v>32</v>
      </c>
      <c r="E56">
        <v>11</v>
      </c>
      <c r="F56" s="34">
        <v>0.18156249999999999</v>
      </c>
      <c r="G56" s="34">
        <v>1.6505681818181819E-2</v>
      </c>
      <c r="H56" s="33" t="s">
        <v>653</v>
      </c>
      <c r="I56" s="33" t="s">
        <v>100</v>
      </c>
    </row>
    <row r="57" spans="1:9" x14ac:dyDescent="0.25">
      <c r="A57" s="32">
        <v>46235</v>
      </c>
      <c r="B57" s="33" t="s">
        <v>519</v>
      </c>
      <c r="C57" s="33" t="s">
        <v>147</v>
      </c>
      <c r="D57" s="33" t="s">
        <v>147</v>
      </c>
      <c r="E57">
        <v>9</v>
      </c>
      <c r="F57" s="34">
        <v>1.2905092592592593E-2</v>
      </c>
      <c r="G57" s="34">
        <v>1.4338991769547325E-3</v>
      </c>
      <c r="H57" s="33" t="s">
        <v>164</v>
      </c>
      <c r="I57" s="33" t="s">
        <v>146</v>
      </c>
    </row>
    <row r="58" spans="1:9" x14ac:dyDescent="0.25">
      <c r="A58" s="32">
        <v>46235</v>
      </c>
      <c r="B58" s="33" t="s">
        <v>519</v>
      </c>
      <c r="C58" s="33" t="s">
        <v>147</v>
      </c>
      <c r="D58" s="33" t="s">
        <v>32</v>
      </c>
      <c r="E58">
        <v>5</v>
      </c>
      <c r="F58" s="34">
        <v>2.2835648148148147E-2</v>
      </c>
      <c r="G58" s="34">
        <v>4.5671296296296302E-3</v>
      </c>
      <c r="H58" s="33" t="s">
        <v>164</v>
      </c>
      <c r="I58" s="33" t="s">
        <v>146</v>
      </c>
    </row>
    <row r="59" spans="1:9" x14ac:dyDescent="0.25">
      <c r="A59" s="32">
        <v>46235</v>
      </c>
      <c r="B59" s="33" t="s">
        <v>656</v>
      </c>
      <c r="C59" s="33" t="s">
        <v>32</v>
      </c>
      <c r="D59" s="33" t="s">
        <v>32</v>
      </c>
      <c r="E59">
        <v>16</v>
      </c>
      <c r="F59" s="34">
        <v>7.6817129629629624E-2</v>
      </c>
      <c r="G59" s="34">
        <v>4.8010706018518515E-3</v>
      </c>
      <c r="H59" s="33" t="s">
        <v>655</v>
      </c>
      <c r="I59" s="33" t="s">
        <v>100</v>
      </c>
    </row>
    <row r="60" spans="1:9" x14ac:dyDescent="0.25">
      <c r="A60" s="32">
        <v>46235</v>
      </c>
      <c r="B60" s="33" t="s">
        <v>167</v>
      </c>
      <c r="C60" s="33" t="s">
        <v>147</v>
      </c>
      <c r="D60" s="33" t="s">
        <v>147</v>
      </c>
      <c r="E60">
        <v>9</v>
      </c>
      <c r="F60" s="34">
        <v>2.0081018518518519E-2</v>
      </c>
      <c r="G60" s="34">
        <v>2.2312242798353909E-3</v>
      </c>
      <c r="H60" s="33" t="s">
        <v>166</v>
      </c>
      <c r="I60" s="33" t="s">
        <v>146</v>
      </c>
    </row>
    <row r="61" spans="1:9" x14ac:dyDescent="0.25">
      <c r="A61" s="32">
        <v>46235</v>
      </c>
      <c r="B61" s="33" t="s">
        <v>167</v>
      </c>
      <c r="C61" s="33" t="s">
        <v>147</v>
      </c>
      <c r="D61" s="33" t="s">
        <v>32</v>
      </c>
      <c r="E61">
        <v>8</v>
      </c>
      <c r="F61" s="34">
        <v>1.5856481481481482E-2</v>
      </c>
      <c r="G61" s="34">
        <v>1.9820601851851852E-3</v>
      </c>
      <c r="H61" s="33" t="s">
        <v>166</v>
      </c>
      <c r="I61" s="33" t="s">
        <v>146</v>
      </c>
    </row>
    <row r="62" spans="1:9" x14ac:dyDescent="0.25">
      <c r="A62" s="32">
        <v>46235</v>
      </c>
      <c r="B62" s="33" t="s">
        <v>658</v>
      </c>
      <c r="C62" s="33" t="s">
        <v>147</v>
      </c>
      <c r="D62" s="33" t="s">
        <v>147</v>
      </c>
      <c r="E62">
        <v>7</v>
      </c>
      <c r="F62" s="34">
        <v>2.0231481481481482E-2</v>
      </c>
      <c r="G62" s="34">
        <v>2.8902116402116404E-3</v>
      </c>
      <c r="H62" s="33" t="s">
        <v>657</v>
      </c>
      <c r="I62" s="33" t="s">
        <v>274</v>
      </c>
    </row>
    <row r="63" spans="1:9" x14ac:dyDescent="0.25">
      <c r="A63" s="32">
        <v>46235</v>
      </c>
      <c r="B63" s="33" t="s">
        <v>658</v>
      </c>
      <c r="C63" s="33" t="s">
        <v>147</v>
      </c>
      <c r="D63" s="33" t="s">
        <v>32</v>
      </c>
      <c r="E63">
        <v>5</v>
      </c>
      <c r="F63" s="34">
        <v>1.4421296296296297E-2</v>
      </c>
      <c r="G63" s="34">
        <v>2.8842592592592592E-3</v>
      </c>
      <c r="H63" s="33" t="s">
        <v>657</v>
      </c>
      <c r="I63" s="33" t="s">
        <v>274</v>
      </c>
    </row>
    <row r="64" spans="1:9" x14ac:dyDescent="0.25">
      <c r="A64" s="32">
        <v>46235</v>
      </c>
      <c r="B64" s="33" t="s">
        <v>660</v>
      </c>
      <c r="C64" s="33" t="s">
        <v>32</v>
      </c>
      <c r="D64" s="33" t="s">
        <v>32</v>
      </c>
      <c r="E64">
        <v>21</v>
      </c>
      <c r="F64" s="34">
        <v>9.0300925925925923E-2</v>
      </c>
      <c r="G64" s="34">
        <v>4.3000440917107582E-3</v>
      </c>
      <c r="H64" s="33" t="s">
        <v>659</v>
      </c>
      <c r="I64" s="33" t="s">
        <v>100</v>
      </c>
    </row>
    <row r="65" spans="1:9" x14ac:dyDescent="0.25">
      <c r="A65" s="32">
        <v>46235</v>
      </c>
      <c r="B65" s="33" t="s">
        <v>528</v>
      </c>
      <c r="C65" s="33" t="s">
        <v>32</v>
      </c>
      <c r="D65" s="33" t="s">
        <v>32</v>
      </c>
      <c r="E65">
        <v>16</v>
      </c>
      <c r="F65" s="34">
        <v>0.10538194444444444</v>
      </c>
      <c r="G65" s="34">
        <v>6.5863715277777778E-3</v>
      </c>
      <c r="H65" s="33" t="s">
        <v>254</v>
      </c>
      <c r="I65" s="33" t="s">
        <v>233</v>
      </c>
    </row>
    <row r="66" spans="1:9" x14ac:dyDescent="0.25">
      <c r="A66" s="32">
        <v>46235</v>
      </c>
      <c r="B66" s="33" t="s">
        <v>545</v>
      </c>
      <c r="C66" s="33" t="s">
        <v>600</v>
      </c>
      <c r="D66" s="33" t="s">
        <v>600</v>
      </c>
      <c r="E66">
        <v>18</v>
      </c>
      <c r="F66" s="34">
        <v>5.4976851851851853E-2</v>
      </c>
      <c r="G66" s="34">
        <v>3.0542695473251033E-3</v>
      </c>
      <c r="H66" s="33" t="s">
        <v>201</v>
      </c>
      <c r="I66" s="33" t="s">
        <v>601</v>
      </c>
    </row>
    <row r="67" spans="1:9" x14ac:dyDescent="0.25">
      <c r="A67" s="32">
        <v>46235</v>
      </c>
      <c r="B67" s="33" t="s">
        <v>520</v>
      </c>
      <c r="C67" s="33" t="s">
        <v>147</v>
      </c>
      <c r="D67" s="33" t="s">
        <v>147</v>
      </c>
      <c r="E67">
        <v>7</v>
      </c>
      <c r="F67" s="34">
        <v>1.2326388888888888E-2</v>
      </c>
      <c r="G67" s="34">
        <v>1.7609126984126984E-3</v>
      </c>
      <c r="H67" s="33" t="s">
        <v>168</v>
      </c>
      <c r="I67" s="33" t="s">
        <v>274</v>
      </c>
    </row>
    <row r="68" spans="1:9" x14ac:dyDescent="0.25">
      <c r="A68" s="32">
        <v>46235</v>
      </c>
      <c r="B68" s="33" t="s">
        <v>520</v>
      </c>
      <c r="C68" s="33" t="s">
        <v>147</v>
      </c>
      <c r="D68" s="33" t="s">
        <v>32</v>
      </c>
      <c r="E68">
        <v>3</v>
      </c>
      <c r="F68" s="34">
        <v>1.2326388888888888E-2</v>
      </c>
      <c r="G68" s="34">
        <v>4.1087962962962962E-3</v>
      </c>
      <c r="H68" s="33" t="s">
        <v>168</v>
      </c>
      <c r="I68" s="33" t="s">
        <v>274</v>
      </c>
    </row>
    <row r="69" spans="1:9" x14ac:dyDescent="0.25">
      <c r="A69" s="32">
        <v>46235</v>
      </c>
      <c r="B69" s="33" t="s">
        <v>521</v>
      </c>
      <c r="C69" s="33" t="s">
        <v>147</v>
      </c>
      <c r="D69" s="33" t="s">
        <v>147</v>
      </c>
      <c r="E69">
        <v>5</v>
      </c>
      <c r="F69" s="34">
        <v>2.5428240740740741E-2</v>
      </c>
      <c r="G69" s="34">
        <v>5.0856481481481482E-3</v>
      </c>
      <c r="H69" s="33" t="s">
        <v>170</v>
      </c>
      <c r="I69" s="33" t="s">
        <v>146</v>
      </c>
    </row>
    <row r="70" spans="1:9" x14ac:dyDescent="0.25">
      <c r="A70" s="32">
        <v>46235</v>
      </c>
      <c r="B70" s="33" t="s">
        <v>521</v>
      </c>
      <c r="C70" s="33" t="s">
        <v>147</v>
      </c>
      <c r="D70" s="33" t="s">
        <v>32</v>
      </c>
      <c r="E70">
        <v>5</v>
      </c>
      <c r="F70" s="34">
        <v>1.2789351851851852E-2</v>
      </c>
      <c r="G70" s="34">
        <v>2.5578703703703705E-3</v>
      </c>
      <c r="H70" s="33" t="s">
        <v>170</v>
      </c>
      <c r="I70" s="33" t="s">
        <v>146</v>
      </c>
    </row>
    <row r="71" spans="1:9" x14ac:dyDescent="0.25">
      <c r="A71" s="32">
        <v>46235</v>
      </c>
      <c r="B71" s="33" t="s">
        <v>543</v>
      </c>
      <c r="C71" s="33" t="s">
        <v>600</v>
      </c>
      <c r="D71" s="33" t="s">
        <v>600</v>
      </c>
      <c r="E71">
        <v>22</v>
      </c>
      <c r="F71" s="34">
        <v>4.521990740740741E-2</v>
      </c>
      <c r="G71" s="34">
        <v>2.0554503367003368E-3</v>
      </c>
      <c r="H71" s="33" t="s">
        <v>293</v>
      </c>
      <c r="I71" s="33" t="s">
        <v>104</v>
      </c>
    </row>
    <row r="72" spans="1:9" x14ac:dyDescent="0.25">
      <c r="A72" s="32">
        <v>46235</v>
      </c>
      <c r="B72" s="33" t="s">
        <v>633</v>
      </c>
      <c r="C72" s="33" t="s">
        <v>147</v>
      </c>
      <c r="D72" s="33" t="s">
        <v>147</v>
      </c>
      <c r="E72">
        <v>8</v>
      </c>
      <c r="F72" s="34">
        <v>1.3703703703703704E-2</v>
      </c>
      <c r="G72" s="34">
        <v>1.712962962962963E-3</v>
      </c>
      <c r="H72" s="33" t="s">
        <v>606</v>
      </c>
      <c r="I72" s="33" t="s">
        <v>146</v>
      </c>
    </row>
    <row r="73" spans="1:9" x14ac:dyDescent="0.25">
      <c r="A73" s="32">
        <v>46235</v>
      </c>
      <c r="B73" s="33" t="s">
        <v>633</v>
      </c>
      <c r="C73" s="33" t="s">
        <v>147</v>
      </c>
      <c r="D73" s="33" t="s">
        <v>32</v>
      </c>
      <c r="E73">
        <v>2</v>
      </c>
      <c r="F73" s="34">
        <v>1.0497685185185185E-2</v>
      </c>
      <c r="G73" s="34">
        <v>5.2488425925925923E-3</v>
      </c>
      <c r="H73" s="33" t="s">
        <v>606</v>
      </c>
      <c r="I73" s="33" t="s">
        <v>146</v>
      </c>
    </row>
    <row r="74" spans="1:9" x14ac:dyDescent="0.25">
      <c r="A74" s="32">
        <v>46235</v>
      </c>
      <c r="B74" s="33" t="s">
        <v>634</v>
      </c>
      <c r="C74" s="33" t="s">
        <v>105</v>
      </c>
      <c r="D74" s="33" t="s">
        <v>105</v>
      </c>
      <c r="E74">
        <v>2</v>
      </c>
      <c r="F74" s="34">
        <v>0.12479166666666666</v>
      </c>
      <c r="G74" s="34">
        <v>6.2395833333333331E-2</v>
      </c>
      <c r="H74" s="33" t="s">
        <v>612</v>
      </c>
      <c r="I74" s="33" t="s">
        <v>601</v>
      </c>
    </row>
    <row r="75" spans="1:9" x14ac:dyDescent="0.25">
      <c r="A75" s="32">
        <v>46235</v>
      </c>
      <c r="B75" s="33" t="s">
        <v>554</v>
      </c>
      <c r="C75" s="33" t="s">
        <v>32</v>
      </c>
      <c r="D75" s="33" t="s">
        <v>32</v>
      </c>
      <c r="E75">
        <v>1</v>
      </c>
      <c r="F75" s="34">
        <v>5.9722222222222225E-3</v>
      </c>
      <c r="G75" s="34">
        <v>5.9722222222222225E-3</v>
      </c>
      <c r="H75" s="33" t="s">
        <v>258</v>
      </c>
      <c r="I75" s="33" t="s">
        <v>233</v>
      </c>
    </row>
    <row r="76" spans="1:9" x14ac:dyDescent="0.25">
      <c r="A76" s="32">
        <v>46235</v>
      </c>
      <c r="B76" s="33" t="s">
        <v>662</v>
      </c>
      <c r="C76" s="33" t="s">
        <v>32</v>
      </c>
      <c r="D76" s="33" t="s">
        <v>32</v>
      </c>
      <c r="E76">
        <v>11</v>
      </c>
      <c r="F76" s="34">
        <v>0.1404050925925926</v>
      </c>
      <c r="G76" s="34">
        <v>1.2764099326599327E-2</v>
      </c>
      <c r="H76" s="33" t="s">
        <v>661</v>
      </c>
      <c r="I76" s="33" t="s">
        <v>100</v>
      </c>
    </row>
    <row r="77" spans="1:9" x14ac:dyDescent="0.25">
      <c r="A77" s="32">
        <v>46235</v>
      </c>
      <c r="B77" s="33" t="s">
        <v>664</v>
      </c>
      <c r="C77" s="33" t="s">
        <v>32</v>
      </c>
      <c r="D77" s="33" t="s">
        <v>32</v>
      </c>
      <c r="E77">
        <v>15</v>
      </c>
      <c r="F77" s="34">
        <v>0.1162037037037037</v>
      </c>
      <c r="G77" s="34">
        <v>7.7469135802469141E-3</v>
      </c>
      <c r="H77" s="33" t="s">
        <v>663</v>
      </c>
      <c r="I77" s="33" t="s">
        <v>233</v>
      </c>
    </row>
    <row r="78" spans="1:9" x14ac:dyDescent="0.25">
      <c r="A78" s="32">
        <v>46235</v>
      </c>
      <c r="B78" s="33" t="s">
        <v>565</v>
      </c>
      <c r="C78" s="33" t="s">
        <v>105</v>
      </c>
      <c r="D78" s="33" t="s">
        <v>105</v>
      </c>
      <c r="E78">
        <v>6</v>
      </c>
      <c r="F78" s="34">
        <v>5.3113425925925925E-2</v>
      </c>
      <c r="G78" s="34">
        <v>8.8522376543209887E-3</v>
      </c>
      <c r="H78" s="33" t="s">
        <v>203</v>
      </c>
      <c r="I78" s="33" t="s">
        <v>601</v>
      </c>
    </row>
    <row r="79" spans="1:9" x14ac:dyDescent="0.25">
      <c r="A79" s="32">
        <v>46235</v>
      </c>
      <c r="B79" s="33" t="s">
        <v>666</v>
      </c>
      <c r="C79" s="33" t="s">
        <v>32</v>
      </c>
      <c r="D79" s="33" t="s">
        <v>32</v>
      </c>
      <c r="E79">
        <v>16</v>
      </c>
      <c r="F79" s="34">
        <v>8.0844907407407407E-2</v>
      </c>
      <c r="G79" s="34">
        <v>5.0528067129629629E-3</v>
      </c>
      <c r="H79" s="33" t="s">
        <v>665</v>
      </c>
      <c r="I79" s="33" t="s">
        <v>100</v>
      </c>
    </row>
    <row r="80" spans="1:9" x14ac:dyDescent="0.25">
      <c r="A80" s="32">
        <v>46235</v>
      </c>
      <c r="B80" s="33" t="s">
        <v>555</v>
      </c>
      <c r="C80" s="33" t="s">
        <v>32</v>
      </c>
      <c r="D80" s="33" t="s">
        <v>32</v>
      </c>
      <c r="E80">
        <v>16</v>
      </c>
      <c r="F80" s="34">
        <v>6.2789351851851846E-2</v>
      </c>
      <c r="G80" s="34">
        <v>3.9243344907407404E-3</v>
      </c>
      <c r="H80" s="33" t="s">
        <v>128</v>
      </c>
      <c r="I80" s="33" t="s">
        <v>233</v>
      </c>
    </row>
    <row r="81" spans="1:9" x14ac:dyDescent="0.25">
      <c r="A81" s="32">
        <v>46235</v>
      </c>
      <c r="B81" s="33" t="s">
        <v>522</v>
      </c>
      <c r="C81" s="33" t="s">
        <v>147</v>
      </c>
      <c r="D81" s="33" t="s">
        <v>147</v>
      </c>
      <c r="E81">
        <v>5</v>
      </c>
      <c r="F81" s="34">
        <v>2.0763888888888887E-2</v>
      </c>
      <c r="G81" s="34">
        <v>4.1527777777777778E-3</v>
      </c>
      <c r="H81" s="33" t="s">
        <v>178</v>
      </c>
      <c r="I81" s="33" t="s">
        <v>146</v>
      </c>
    </row>
    <row r="82" spans="1:9" x14ac:dyDescent="0.25">
      <c r="A82" s="32">
        <v>46235</v>
      </c>
      <c r="B82" s="33" t="s">
        <v>522</v>
      </c>
      <c r="C82" s="33" t="s">
        <v>147</v>
      </c>
      <c r="D82" s="33" t="s">
        <v>32</v>
      </c>
      <c r="E82">
        <v>4</v>
      </c>
      <c r="F82" s="34">
        <v>2.1956018518518517E-2</v>
      </c>
      <c r="G82" s="34">
        <v>5.4890046296296293E-3</v>
      </c>
      <c r="H82" s="33" t="s">
        <v>178</v>
      </c>
      <c r="I82" s="33" t="s">
        <v>146</v>
      </c>
    </row>
    <row r="83" spans="1:9" x14ac:dyDescent="0.25">
      <c r="A83" s="32">
        <v>46235</v>
      </c>
      <c r="B83" s="33" t="s">
        <v>667</v>
      </c>
      <c r="C83" s="33" t="s">
        <v>105</v>
      </c>
      <c r="D83" s="33" t="s">
        <v>105</v>
      </c>
      <c r="E83">
        <v>20</v>
      </c>
      <c r="F83" s="34">
        <v>0.19547453703703704</v>
      </c>
      <c r="G83" s="34">
        <v>9.7737268518518529E-3</v>
      </c>
      <c r="H83" s="33" t="s">
        <v>297</v>
      </c>
      <c r="I83" s="33" t="s">
        <v>104</v>
      </c>
    </row>
    <row r="84" spans="1:9" x14ac:dyDescent="0.25">
      <c r="A84" s="32">
        <v>46235</v>
      </c>
      <c r="B84" s="33" t="s">
        <v>635</v>
      </c>
      <c r="C84" s="33" t="s">
        <v>105</v>
      </c>
      <c r="D84" s="33" t="s">
        <v>105</v>
      </c>
      <c r="E84">
        <v>5</v>
      </c>
      <c r="F84" s="34">
        <v>4.6458333333333331E-2</v>
      </c>
      <c r="G84" s="34">
        <v>9.2916666666666668E-3</v>
      </c>
      <c r="H84" s="33" t="s">
        <v>614</v>
      </c>
      <c r="I84" s="33" t="s">
        <v>601</v>
      </c>
    </row>
    <row r="85" spans="1:9" x14ac:dyDescent="0.25">
      <c r="A85" s="32">
        <v>46235</v>
      </c>
      <c r="B85" s="33" t="s">
        <v>523</v>
      </c>
      <c r="C85" s="33" t="s">
        <v>147</v>
      </c>
      <c r="D85" s="33" t="s">
        <v>147</v>
      </c>
      <c r="E85">
        <v>4</v>
      </c>
      <c r="F85" s="34">
        <v>4.0289351851851854E-2</v>
      </c>
      <c r="G85" s="34">
        <v>1.0072337962962963E-2</v>
      </c>
      <c r="H85" s="33" t="s">
        <v>180</v>
      </c>
      <c r="I85" s="33" t="s">
        <v>146</v>
      </c>
    </row>
    <row r="86" spans="1:9" x14ac:dyDescent="0.25">
      <c r="A86" s="32">
        <v>46235</v>
      </c>
      <c r="B86" s="33" t="s">
        <v>523</v>
      </c>
      <c r="C86" s="33" t="s">
        <v>147</v>
      </c>
      <c r="D86" s="33" t="s">
        <v>32</v>
      </c>
      <c r="E86">
        <v>3</v>
      </c>
      <c r="F86" s="34">
        <v>1.40625E-2</v>
      </c>
      <c r="G86" s="34">
        <v>4.6874999999999998E-3</v>
      </c>
      <c r="H86" s="33" t="s">
        <v>180</v>
      </c>
      <c r="I86" s="33" t="s">
        <v>146</v>
      </c>
    </row>
    <row r="87" spans="1:9" x14ac:dyDescent="0.25">
      <c r="A87" s="32">
        <v>46235</v>
      </c>
      <c r="B87" s="33" t="s">
        <v>636</v>
      </c>
      <c r="C87" s="33" t="s">
        <v>105</v>
      </c>
      <c r="D87" s="33" t="s">
        <v>105</v>
      </c>
      <c r="E87">
        <v>6</v>
      </c>
      <c r="F87" s="34">
        <v>5.8935185185185188E-2</v>
      </c>
      <c r="G87" s="34">
        <v>9.8225308641975307E-3</v>
      </c>
      <c r="H87" s="33" t="s">
        <v>615</v>
      </c>
      <c r="I87" s="33" t="s">
        <v>601</v>
      </c>
    </row>
    <row r="88" spans="1:9" x14ac:dyDescent="0.25">
      <c r="A88" s="32">
        <v>46235</v>
      </c>
      <c r="B88" s="33" t="s">
        <v>566</v>
      </c>
      <c r="C88" s="33" t="s">
        <v>147</v>
      </c>
      <c r="D88" s="33" t="s">
        <v>147</v>
      </c>
      <c r="E88">
        <v>4</v>
      </c>
      <c r="F88" s="34">
        <v>1.087962962962963E-2</v>
      </c>
      <c r="G88" s="34">
        <v>2.7199074074074074E-3</v>
      </c>
      <c r="H88" s="33" t="s">
        <v>207</v>
      </c>
      <c r="I88" s="33" t="s">
        <v>274</v>
      </c>
    </row>
    <row r="89" spans="1:9" x14ac:dyDescent="0.25">
      <c r="A89" s="32">
        <v>46235</v>
      </c>
      <c r="B89" s="33" t="s">
        <v>566</v>
      </c>
      <c r="C89" s="33" t="s">
        <v>147</v>
      </c>
      <c r="D89" s="33" t="s">
        <v>32</v>
      </c>
      <c r="E89">
        <v>2</v>
      </c>
      <c r="F89" s="34">
        <v>7.7546296296296295E-3</v>
      </c>
      <c r="G89" s="34">
        <v>3.8773148148148148E-3</v>
      </c>
      <c r="H89" s="33" t="s">
        <v>207</v>
      </c>
      <c r="I89" s="33" t="s">
        <v>274</v>
      </c>
    </row>
    <row r="90" spans="1:9" x14ac:dyDescent="0.25">
      <c r="A90" s="32">
        <v>46235</v>
      </c>
      <c r="B90" s="33" t="s">
        <v>637</v>
      </c>
      <c r="C90" s="33" t="s">
        <v>105</v>
      </c>
      <c r="D90" s="33" t="s">
        <v>105</v>
      </c>
      <c r="E90">
        <v>4</v>
      </c>
      <c r="F90" s="34">
        <v>4.5868055555555558E-2</v>
      </c>
      <c r="G90" s="34">
        <v>1.1467013888888889E-2</v>
      </c>
      <c r="H90" s="33" t="s">
        <v>616</v>
      </c>
      <c r="I90" s="33" t="s">
        <v>601</v>
      </c>
    </row>
    <row r="91" spans="1:9" x14ac:dyDescent="0.25">
      <c r="A91" s="32">
        <v>46235</v>
      </c>
      <c r="B91" s="33" t="s">
        <v>567</v>
      </c>
      <c r="C91" s="33" t="s">
        <v>105</v>
      </c>
      <c r="D91" s="33" t="s">
        <v>105</v>
      </c>
      <c r="E91">
        <v>7</v>
      </c>
      <c r="F91" s="34">
        <v>9.9398148148148152E-2</v>
      </c>
      <c r="G91" s="34">
        <v>1.419973544973545E-2</v>
      </c>
      <c r="H91" s="33" t="s">
        <v>209</v>
      </c>
      <c r="I91" s="33" t="s">
        <v>601</v>
      </c>
    </row>
    <row r="92" spans="1:9" x14ac:dyDescent="0.25">
      <c r="A92" s="32">
        <v>46235</v>
      </c>
      <c r="B92" s="33" t="s">
        <v>510</v>
      </c>
      <c r="C92" s="33" t="s">
        <v>32</v>
      </c>
      <c r="D92" s="33" t="s">
        <v>32</v>
      </c>
      <c r="E92">
        <v>19</v>
      </c>
      <c r="F92" s="34">
        <v>9.9826388888888895E-2</v>
      </c>
      <c r="G92" s="34">
        <v>5.2540204678362575E-3</v>
      </c>
      <c r="H92" s="33" t="s">
        <v>60</v>
      </c>
      <c r="I92" s="33" t="s">
        <v>100</v>
      </c>
    </row>
    <row r="93" spans="1:9" x14ac:dyDescent="0.25">
      <c r="A93" s="32">
        <v>46235</v>
      </c>
      <c r="B93" s="33" t="s">
        <v>512</v>
      </c>
      <c r="C93" s="33" t="s">
        <v>105</v>
      </c>
      <c r="D93" s="33" t="s">
        <v>105</v>
      </c>
      <c r="E93">
        <v>14</v>
      </c>
      <c r="F93" s="34">
        <v>0.22620370370370371</v>
      </c>
      <c r="G93" s="34">
        <v>1.6157407407407409E-2</v>
      </c>
      <c r="H93" s="33" t="s">
        <v>132</v>
      </c>
      <c r="I93" s="33" t="s">
        <v>104</v>
      </c>
    </row>
    <row r="94" spans="1:9" x14ac:dyDescent="0.25">
      <c r="A94" s="32">
        <v>46235</v>
      </c>
      <c r="B94" s="33" t="s">
        <v>560</v>
      </c>
      <c r="C94" s="33" t="s">
        <v>105</v>
      </c>
      <c r="D94" s="33" t="s">
        <v>105</v>
      </c>
      <c r="E94">
        <v>16</v>
      </c>
      <c r="F94" s="34">
        <v>0.21751157407407407</v>
      </c>
      <c r="G94" s="34">
        <v>1.3594473379629629E-2</v>
      </c>
      <c r="H94" s="33" t="s">
        <v>134</v>
      </c>
      <c r="I94" s="33" t="s">
        <v>104</v>
      </c>
    </row>
    <row r="95" spans="1:9" x14ac:dyDescent="0.25">
      <c r="A95" s="32">
        <v>46235</v>
      </c>
      <c r="B95" s="33" t="s">
        <v>546</v>
      </c>
      <c r="C95" s="33" t="s">
        <v>105</v>
      </c>
      <c r="D95" s="33" t="s">
        <v>105</v>
      </c>
      <c r="E95">
        <v>11</v>
      </c>
      <c r="F95" s="34">
        <v>0.14582175925925925</v>
      </c>
      <c r="G95" s="34">
        <v>1.3256523569023567E-2</v>
      </c>
      <c r="H95" s="33" t="s">
        <v>211</v>
      </c>
      <c r="I95" s="33" t="s">
        <v>104</v>
      </c>
    </row>
    <row r="96" spans="1:9" x14ac:dyDescent="0.25">
      <c r="A96" s="32">
        <v>46235</v>
      </c>
      <c r="B96" s="33" t="s">
        <v>638</v>
      </c>
      <c r="C96" s="33" t="s">
        <v>105</v>
      </c>
      <c r="D96" s="33" t="s">
        <v>105</v>
      </c>
      <c r="E96">
        <v>6</v>
      </c>
      <c r="F96" s="34">
        <v>6.5439814814814812E-2</v>
      </c>
      <c r="G96" s="34">
        <v>1.0906635802469136E-2</v>
      </c>
      <c r="H96" s="33" t="s">
        <v>617</v>
      </c>
      <c r="I96" s="33" t="s">
        <v>601</v>
      </c>
    </row>
    <row r="97" spans="1:9" x14ac:dyDescent="0.25">
      <c r="A97" s="32">
        <v>46235</v>
      </c>
      <c r="B97" s="33" t="s">
        <v>561</v>
      </c>
      <c r="C97" s="33" t="s">
        <v>105</v>
      </c>
      <c r="D97" s="33" t="s">
        <v>105</v>
      </c>
      <c r="E97">
        <v>17</v>
      </c>
      <c r="F97" s="34">
        <v>0.18898148148148147</v>
      </c>
      <c r="G97" s="34">
        <v>1.1116557734204793E-2</v>
      </c>
      <c r="H97" s="33" t="s">
        <v>136</v>
      </c>
      <c r="I97" s="33" t="s">
        <v>104</v>
      </c>
    </row>
    <row r="98" spans="1:9" x14ac:dyDescent="0.25">
      <c r="A98" s="32">
        <v>46235</v>
      </c>
      <c r="B98" s="33" t="s">
        <v>639</v>
      </c>
      <c r="C98" s="33" t="s">
        <v>105</v>
      </c>
      <c r="D98" s="33" t="s">
        <v>105</v>
      </c>
      <c r="E98">
        <v>2</v>
      </c>
      <c r="F98" s="34">
        <v>2.9062500000000002E-2</v>
      </c>
      <c r="G98" s="34">
        <v>1.4531250000000001E-2</v>
      </c>
      <c r="H98" s="33" t="s">
        <v>618</v>
      </c>
      <c r="I98" s="33" t="s">
        <v>601</v>
      </c>
    </row>
    <row r="99" spans="1:9" x14ac:dyDescent="0.25">
      <c r="A99" s="32">
        <v>46235</v>
      </c>
      <c r="B99" s="33" t="s">
        <v>524</v>
      </c>
      <c r="C99" s="33" t="s">
        <v>147</v>
      </c>
      <c r="D99" s="33" t="s">
        <v>147</v>
      </c>
      <c r="E99">
        <v>7</v>
      </c>
      <c r="F99" s="34">
        <v>2.7511574074074074E-2</v>
      </c>
      <c r="G99" s="34">
        <v>3.9302248677248672E-3</v>
      </c>
      <c r="H99" s="33" t="s">
        <v>501</v>
      </c>
      <c r="I99" s="33" t="s">
        <v>274</v>
      </c>
    </row>
    <row r="100" spans="1:9" x14ac:dyDescent="0.25">
      <c r="A100" s="32">
        <v>46235</v>
      </c>
      <c r="B100" s="33" t="s">
        <v>524</v>
      </c>
      <c r="C100" s="33" t="s">
        <v>147</v>
      </c>
      <c r="D100" s="33" t="s">
        <v>32</v>
      </c>
      <c r="E100">
        <v>3</v>
      </c>
      <c r="F100" s="34">
        <v>6.1689814814814819E-3</v>
      </c>
      <c r="G100" s="34">
        <v>2.0563271604938272E-3</v>
      </c>
      <c r="H100" s="33" t="s">
        <v>501</v>
      </c>
      <c r="I100" s="33" t="s">
        <v>274</v>
      </c>
    </row>
    <row r="101" spans="1:9" x14ac:dyDescent="0.25">
      <c r="A101" s="32">
        <v>46235</v>
      </c>
      <c r="B101" s="33" t="s">
        <v>572</v>
      </c>
      <c r="C101" s="33" t="s">
        <v>105</v>
      </c>
      <c r="D101" s="33" t="s">
        <v>105</v>
      </c>
      <c r="E101">
        <v>6</v>
      </c>
      <c r="F101" s="34">
        <v>3.2048611111111111E-2</v>
      </c>
      <c r="G101" s="34">
        <v>5.3414351851851852E-3</v>
      </c>
      <c r="H101" s="33" t="s">
        <v>213</v>
      </c>
      <c r="I101" s="33" t="s">
        <v>601</v>
      </c>
    </row>
    <row r="102" spans="1:9" x14ac:dyDescent="0.25">
      <c r="A102" s="32">
        <v>46235</v>
      </c>
      <c r="B102" s="33" t="s">
        <v>547</v>
      </c>
      <c r="C102" s="33" t="s">
        <v>105</v>
      </c>
      <c r="D102" s="33" t="s">
        <v>105</v>
      </c>
      <c r="E102">
        <v>5</v>
      </c>
      <c r="F102" s="34">
        <v>4.2060185185185187E-2</v>
      </c>
      <c r="G102" s="34">
        <v>8.4120370370370373E-3</v>
      </c>
      <c r="H102" s="33" t="s">
        <v>215</v>
      </c>
      <c r="I102" s="33" t="s">
        <v>601</v>
      </c>
    </row>
    <row r="103" spans="1:9" x14ac:dyDescent="0.25">
      <c r="A103" s="32">
        <v>46235</v>
      </c>
      <c r="B103" s="33" t="s">
        <v>640</v>
      </c>
      <c r="C103" s="33" t="s">
        <v>105</v>
      </c>
      <c r="D103" s="33" t="s">
        <v>105</v>
      </c>
      <c r="E103">
        <v>10</v>
      </c>
      <c r="F103" s="34">
        <v>7.3506944444444444E-2</v>
      </c>
      <c r="G103" s="34">
        <v>7.3506944444444444E-3</v>
      </c>
      <c r="H103" s="33" t="s">
        <v>619</v>
      </c>
      <c r="I103" s="33" t="s">
        <v>601</v>
      </c>
    </row>
    <row r="104" spans="1:9" x14ac:dyDescent="0.25">
      <c r="A104" s="32">
        <v>46235</v>
      </c>
      <c r="B104" s="33" t="s">
        <v>669</v>
      </c>
      <c r="C104" s="33" t="s">
        <v>32</v>
      </c>
      <c r="D104" s="33" t="s">
        <v>32</v>
      </c>
      <c r="E104">
        <v>22</v>
      </c>
      <c r="F104" s="34">
        <v>9.0810185185185188E-2</v>
      </c>
      <c r="G104" s="34">
        <v>4.1277356902356902E-3</v>
      </c>
      <c r="H104" s="33" t="s">
        <v>668</v>
      </c>
      <c r="I104" s="33" t="s">
        <v>233</v>
      </c>
    </row>
    <row r="105" spans="1:9" x14ac:dyDescent="0.25">
      <c r="A105" s="32">
        <v>46235</v>
      </c>
      <c r="B105" s="33" t="s">
        <v>670</v>
      </c>
      <c r="C105" s="33" t="s">
        <v>32</v>
      </c>
      <c r="D105" s="33" t="s">
        <v>32</v>
      </c>
      <c r="E105">
        <v>15</v>
      </c>
      <c r="F105" s="34">
        <v>8.2071759259259261E-2</v>
      </c>
      <c r="G105" s="34">
        <v>5.4714506172839506E-3</v>
      </c>
      <c r="H105" s="33" t="s">
        <v>744</v>
      </c>
      <c r="I105" s="33" t="s">
        <v>100</v>
      </c>
    </row>
    <row r="106" spans="1:9" x14ac:dyDescent="0.25">
      <c r="A106" s="32">
        <v>46235</v>
      </c>
      <c r="B106" s="33" t="s">
        <v>548</v>
      </c>
      <c r="C106" s="33" t="s">
        <v>105</v>
      </c>
      <c r="D106" s="33" t="s">
        <v>105</v>
      </c>
      <c r="E106">
        <v>12</v>
      </c>
      <c r="F106" s="34">
        <v>0.14978009259259259</v>
      </c>
      <c r="G106" s="34">
        <v>1.248167438271605E-2</v>
      </c>
      <c r="H106" s="33" t="s">
        <v>219</v>
      </c>
      <c r="I106" s="33" t="s">
        <v>104</v>
      </c>
    </row>
    <row r="107" spans="1:9" x14ac:dyDescent="0.25">
      <c r="A107" s="32">
        <v>46235</v>
      </c>
      <c r="B107" s="33" t="s">
        <v>306</v>
      </c>
      <c r="C107" s="33" t="s">
        <v>32</v>
      </c>
      <c r="D107" s="33" t="s">
        <v>32</v>
      </c>
      <c r="E107">
        <v>16</v>
      </c>
      <c r="F107" s="34">
        <v>4.3946759259259262E-2</v>
      </c>
      <c r="G107" s="34">
        <v>2.7466724537037039E-3</v>
      </c>
      <c r="H107" s="33" t="s">
        <v>305</v>
      </c>
      <c r="I107" s="33" t="s">
        <v>100</v>
      </c>
    </row>
    <row r="108" spans="1:9" x14ac:dyDescent="0.25">
      <c r="A108" s="32">
        <v>46235</v>
      </c>
      <c r="B108" s="33" t="s">
        <v>641</v>
      </c>
      <c r="C108" s="33" t="s">
        <v>105</v>
      </c>
      <c r="D108" s="33" t="s">
        <v>105</v>
      </c>
      <c r="E108">
        <v>9</v>
      </c>
      <c r="F108" s="34">
        <v>8.7523148148148142E-2</v>
      </c>
      <c r="G108" s="34">
        <v>9.7247942386831272E-3</v>
      </c>
      <c r="H108" s="33" t="s">
        <v>620</v>
      </c>
      <c r="I108" s="33" t="s">
        <v>601</v>
      </c>
    </row>
    <row r="109" spans="1:9" x14ac:dyDescent="0.25">
      <c r="A109" s="32">
        <v>46235</v>
      </c>
      <c r="B109" s="33" t="s">
        <v>556</v>
      </c>
      <c r="C109" s="33" t="s">
        <v>105</v>
      </c>
      <c r="D109" s="33" t="s">
        <v>105</v>
      </c>
      <c r="E109">
        <v>12</v>
      </c>
      <c r="F109" s="34">
        <v>0.16250000000000001</v>
      </c>
      <c r="G109" s="34">
        <v>1.3541666666666667E-2</v>
      </c>
      <c r="H109" s="33" t="s">
        <v>138</v>
      </c>
      <c r="I109" s="33" t="s">
        <v>104</v>
      </c>
    </row>
    <row r="110" spans="1:9" x14ac:dyDescent="0.25">
      <c r="A110" s="32">
        <v>46235</v>
      </c>
      <c r="B110" s="33" t="s">
        <v>533</v>
      </c>
      <c r="C110" s="33" t="s">
        <v>32</v>
      </c>
      <c r="D110" s="33" t="s">
        <v>32</v>
      </c>
      <c r="E110">
        <v>18</v>
      </c>
      <c r="F110" s="34">
        <v>8.2916666666666666E-2</v>
      </c>
      <c r="G110" s="34">
        <v>4.6064814814814814E-3</v>
      </c>
      <c r="H110" s="33" t="s">
        <v>278</v>
      </c>
      <c r="I110" s="33" t="s">
        <v>233</v>
      </c>
    </row>
    <row r="111" spans="1:9" x14ac:dyDescent="0.25">
      <c r="A111" s="32">
        <v>46235</v>
      </c>
      <c r="B111" s="33" t="s">
        <v>672</v>
      </c>
      <c r="C111" s="33" t="s">
        <v>105</v>
      </c>
      <c r="D111" s="33" t="s">
        <v>105</v>
      </c>
      <c r="E111">
        <v>11</v>
      </c>
      <c r="F111" s="34">
        <v>5.5243055555555552E-2</v>
      </c>
      <c r="G111" s="34">
        <v>5.0220959595959598E-3</v>
      </c>
      <c r="H111" s="33" t="s">
        <v>671</v>
      </c>
      <c r="I111" s="33" t="s">
        <v>601</v>
      </c>
    </row>
    <row r="112" spans="1:9" x14ac:dyDescent="0.25">
      <c r="A112" s="32">
        <v>46235</v>
      </c>
      <c r="B112" s="33" t="s">
        <v>511</v>
      </c>
      <c r="C112" s="33" t="s">
        <v>80</v>
      </c>
      <c r="D112" s="33" t="s">
        <v>32</v>
      </c>
      <c r="E112">
        <v>2</v>
      </c>
      <c r="F112" s="34">
        <v>3.7268518518518519E-3</v>
      </c>
      <c r="G112" s="34">
        <v>1.8634259259259259E-3</v>
      </c>
      <c r="H112" s="33" t="s">
        <v>313</v>
      </c>
      <c r="I112" s="33" t="s">
        <v>78</v>
      </c>
    </row>
    <row r="113" spans="1:9" x14ac:dyDescent="0.25">
      <c r="A113" s="32">
        <v>46235</v>
      </c>
      <c r="B113" s="33" t="s">
        <v>674</v>
      </c>
      <c r="C113" s="33" t="s">
        <v>105</v>
      </c>
      <c r="D113" s="33" t="s">
        <v>105</v>
      </c>
      <c r="E113">
        <v>13</v>
      </c>
      <c r="F113" s="34">
        <v>0.13223379629629631</v>
      </c>
      <c r="G113" s="34">
        <v>1.0171830484330483E-2</v>
      </c>
      <c r="H113" s="33" t="s">
        <v>673</v>
      </c>
      <c r="I113" s="33" t="s">
        <v>104</v>
      </c>
    </row>
    <row r="114" spans="1:9" x14ac:dyDescent="0.25">
      <c r="A114" s="32">
        <v>46235</v>
      </c>
      <c r="B114" s="33" t="s">
        <v>549</v>
      </c>
      <c r="C114" s="33" t="s">
        <v>105</v>
      </c>
      <c r="D114" s="33" t="s">
        <v>105</v>
      </c>
      <c r="E114">
        <v>9</v>
      </c>
      <c r="F114" s="34">
        <v>0.16128472222222223</v>
      </c>
      <c r="G114" s="34">
        <v>1.7920524691358023E-2</v>
      </c>
      <c r="H114" s="33" t="s">
        <v>225</v>
      </c>
      <c r="I114" s="33" t="s">
        <v>601</v>
      </c>
    </row>
    <row r="115" spans="1:9" x14ac:dyDescent="0.25">
      <c r="A115" s="32">
        <v>46235</v>
      </c>
      <c r="B115" s="33" t="s">
        <v>534</v>
      </c>
      <c r="C115" s="33" t="s">
        <v>32</v>
      </c>
      <c r="D115" s="33" t="s">
        <v>32</v>
      </c>
      <c r="E115">
        <v>20</v>
      </c>
      <c r="F115" s="34">
        <v>7.0624999999999993E-2</v>
      </c>
      <c r="G115" s="34">
        <v>3.5312500000000001E-3</v>
      </c>
      <c r="H115" s="33" t="s">
        <v>280</v>
      </c>
      <c r="I115" s="33" t="s">
        <v>233</v>
      </c>
    </row>
    <row r="116" spans="1:9" x14ac:dyDescent="0.25">
      <c r="A116" s="32">
        <v>46235</v>
      </c>
      <c r="B116" s="33" t="s">
        <v>571</v>
      </c>
      <c r="C116" s="33" t="s">
        <v>105</v>
      </c>
      <c r="D116" s="33" t="s">
        <v>105</v>
      </c>
      <c r="E116">
        <v>15</v>
      </c>
      <c r="F116" s="34">
        <v>0.18912037037037038</v>
      </c>
      <c r="G116" s="34">
        <v>1.2608024691358024E-2</v>
      </c>
      <c r="H116" s="33" t="s">
        <v>299</v>
      </c>
      <c r="I116" s="33" t="s">
        <v>104</v>
      </c>
    </row>
    <row r="117" spans="1:9" x14ac:dyDescent="0.25">
      <c r="A117" s="32">
        <v>46235</v>
      </c>
      <c r="B117" s="33" t="s">
        <v>535</v>
      </c>
      <c r="C117" s="33" t="s">
        <v>32</v>
      </c>
      <c r="D117" s="33" t="s">
        <v>32</v>
      </c>
      <c r="E117">
        <v>29</v>
      </c>
      <c r="F117" s="34">
        <v>5.1516203703703703E-2</v>
      </c>
      <c r="G117" s="34">
        <v>1.7764208173690931E-3</v>
      </c>
      <c r="H117" s="33" t="s">
        <v>282</v>
      </c>
      <c r="I117" s="33" t="s">
        <v>233</v>
      </c>
    </row>
    <row r="118" spans="1:9" x14ac:dyDescent="0.25">
      <c r="A118" s="32">
        <v>46235</v>
      </c>
      <c r="B118" s="33" t="s">
        <v>557</v>
      </c>
      <c r="C118" s="33" t="s">
        <v>147</v>
      </c>
      <c r="D118" s="33" t="s">
        <v>147</v>
      </c>
      <c r="E118">
        <v>3</v>
      </c>
      <c r="F118" s="34">
        <v>9.8032407407407408E-3</v>
      </c>
      <c r="G118" s="34">
        <v>3.2677469135802468E-3</v>
      </c>
      <c r="H118" s="33" t="s">
        <v>227</v>
      </c>
      <c r="I118" s="33" t="s">
        <v>146</v>
      </c>
    </row>
    <row r="119" spans="1:9" x14ac:dyDescent="0.25">
      <c r="A119" s="32">
        <v>46235</v>
      </c>
      <c r="B119" s="33" t="s">
        <v>557</v>
      </c>
      <c r="C119" s="33" t="s">
        <v>147</v>
      </c>
      <c r="D119" s="33" t="s">
        <v>32</v>
      </c>
      <c r="E119">
        <v>3</v>
      </c>
      <c r="F119" s="34">
        <v>1.5104166666666667E-2</v>
      </c>
      <c r="G119" s="34">
        <v>5.0347222222222225E-3</v>
      </c>
      <c r="H119" s="33" t="s">
        <v>227</v>
      </c>
      <c r="I119" s="33" t="s">
        <v>146</v>
      </c>
    </row>
    <row r="120" spans="1:9" x14ac:dyDescent="0.25">
      <c r="A120" s="32">
        <v>46235</v>
      </c>
      <c r="B120" s="33" t="s">
        <v>676</v>
      </c>
      <c r="C120" s="33" t="s">
        <v>105</v>
      </c>
      <c r="D120" s="33" t="s">
        <v>105</v>
      </c>
      <c r="E120">
        <v>10</v>
      </c>
      <c r="F120" s="34">
        <v>0.21887731481481482</v>
      </c>
      <c r="G120" s="34">
        <v>2.188773148148148E-2</v>
      </c>
      <c r="H120" s="33" t="s">
        <v>675</v>
      </c>
      <c r="I120" s="33" t="s">
        <v>104</v>
      </c>
    </row>
    <row r="121" spans="1:9" x14ac:dyDescent="0.25">
      <c r="A121" s="32">
        <v>46235</v>
      </c>
      <c r="B121" s="33" t="s">
        <v>678</v>
      </c>
      <c r="C121" s="33" t="s">
        <v>147</v>
      </c>
      <c r="D121" s="33" t="s">
        <v>147</v>
      </c>
      <c r="E121">
        <v>9</v>
      </c>
      <c r="F121" s="34">
        <v>2.613425925925926E-2</v>
      </c>
      <c r="G121" s="34">
        <v>2.9038065843621399E-3</v>
      </c>
      <c r="H121" s="33" t="s">
        <v>677</v>
      </c>
      <c r="I121" s="33" t="s">
        <v>274</v>
      </c>
    </row>
    <row r="122" spans="1:9" x14ac:dyDescent="0.25">
      <c r="A122" s="32">
        <v>46235</v>
      </c>
      <c r="B122" s="33" t="s">
        <v>678</v>
      </c>
      <c r="C122" s="33" t="s">
        <v>147</v>
      </c>
      <c r="D122" s="33" t="s">
        <v>32</v>
      </c>
      <c r="E122">
        <v>7</v>
      </c>
      <c r="F122" s="34">
        <v>1.3252314814814814E-2</v>
      </c>
      <c r="G122" s="34">
        <v>1.8931878306878308E-3</v>
      </c>
      <c r="H122" s="33" t="s">
        <v>677</v>
      </c>
      <c r="I122" s="33" t="s">
        <v>274</v>
      </c>
    </row>
    <row r="123" spans="1:9" x14ac:dyDescent="0.25">
      <c r="A123" s="32">
        <v>46235</v>
      </c>
      <c r="B123" s="33" t="s">
        <v>680</v>
      </c>
      <c r="C123" s="33" t="s">
        <v>147</v>
      </c>
      <c r="D123" s="33" t="s">
        <v>147</v>
      </c>
      <c r="E123">
        <v>4</v>
      </c>
      <c r="F123" s="34">
        <v>7.8472222222222224E-3</v>
      </c>
      <c r="G123" s="34">
        <v>1.9618055555555556E-3</v>
      </c>
      <c r="H123" s="33" t="s">
        <v>679</v>
      </c>
      <c r="I123" s="33" t="s">
        <v>274</v>
      </c>
    </row>
    <row r="124" spans="1:9" x14ac:dyDescent="0.25">
      <c r="A124" s="32">
        <v>46235</v>
      </c>
      <c r="B124" s="33" t="s">
        <v>680</v>
      </c>
      <c r="C124" s="33" t="s">
        <v>147</v>
      </c>
      <c r="D124" s="33" t="s">
        <v>32</v>
      </c>
      <c r="E124">
        <v>3</v>
      </c>
      <c r="F124" s="34">
        <v>9.2708333333333341E-3</v>
      </c>
      <c r="G124" s="34">
        <v>3.0902777777777777E-3</v>
      </c>
      <c r="H124" s="33" t="s">
        <v>679</v>
      </c>
      <c r="I124" s="33" t="s">
        <v>274</v>
      </c>
    </row>
    <row r="125" spans="1:9" x14ac:dyDescent="0.25">
      <c r="A125" s="32">
        <v>46237</v>
      </c>
      <c r="B125" s="33" t="s">
        <v>562</v>
      </c>
      <c r="C125" s="33" t="s">
        <v>80</v>
      </c>
      <c r="D125" s="33" t="s">
        <v>32</v>
      </c>
      <c r="E125">
        <v>5</v>
      </c>
      <c r="F125" s="34">
        <v>7.1296296296296299E-3</v>
      </c>
      <c r="G125" s="34">
        <v>1.425925925925926E-3</v>
      </c>
      <c r="H125" s="33" t="s">
        <v>186</v>
      </c>
      <c r="I125" s="33" t="s">
        <v>78</v>
      </c>
    </row>
    <row r="126" spans="1:9" x14ac:dyDescent="0.25">
      <c r="A126" s="32">
        <v>46237</v>
      </c>
      <c r="B126" s="33" t="s">
        <v>644</v>
      </c>
      <c r="C126" s="33" t="s">
        <v>32</v>
      </c>
      <c r="D126" s="33" t="s">
        <v>32</v>
      </c>
      <c r="E126">
        <v>25</v>
      </c>
      <c r="F126" s="34">
        <v>0.13630787037037037</v>
      </c>
      <c r="G126" s="34">
        <v>5.4523148148148144E-3</v>
      </c>
      <c r="H126" s="33" t="s">
        <v>643</v>
      </c>
      <c r="I126" s="33" t="s">
        <v>233</v>
      </c>
    </row>
    <row r="127" spans="1:9" x14ac:dyDescent="0.25">
      <c r="A127" s="32">
        <v>46237</v>
      </c>
      <c r="B127" s="33" t="s">
        <v>563</v>
      </c>
      <c r="C127" s="33" t="s">
        <v>147</v>
      </c>
      <c r="D127" s="33" t="s">
        <v>147</v>
      </c>
      <c r="E127">
        <v>13</v>
      </c>
      <c r="F127" s="34">
        <v>3.0497685185185187E-2</v>
      </c>
      <c r="G127" s="34">
        <v>2.3459757834757835E-3</v>
      </c>
      <c r="H127" s="33" t="s">
        <v>193</v>
      </c>
      <c r="I127" s="33" t="s">
        <v>274</v>
      </c>
    </row>
    <row r="128" spans="1:9" x14ac:dyDescent="0.25">
      <c r="A128" s="32">
        <v>46237</v>
      </c>
      <c r="B128" s="33" t="s">
        <v>563</v>
      </c>
      <c r="C128" s="33" t="s">
        <v>147</v>
      </c>
      <c r="D128" s="33" t="s">
        <v>32</v>
      </c>
      <c r="E128">
        <v>9</v>
      </c>
      <c r="F128" s="34">
        <v>4.5335648148148146E-2</v>
      </c>
      <c r="G128" s="34">
        <v>5.0372942386831274E-3</v>
      </c>
      <c r="H128" s="33" t="s">
        <v>193</v>
      </c>
      <c r="I128" s="33" t="s">
        <v>274</v>
      </c>
    </row>
    <row r="129" spans="1:9" x14ac:dyDescent="0.25">
      <c r="A129" s="32">
        <v>46237</v>
      </c>
      <c r="B129" s="33" t="s">
        <v>525</v>
      </c>
      <c r="C129" s="33" t="s">
        <v>32</v>
      </c>
      <c r="D129" s="33" t="s">
        <v>32</v>
      </c>
      <c r="E129">
        <v>33</v>
      </c>
      <c r="F129" s="34">
        <v>0.14894675925925926</v>
      </c>
      <c r="G129" s="34">
        <v>4.5135381593714927E-3</v>
      </c>
      <c r="H129" s="33" t="s">
        <v>231</v>
      </c>
      <c r="I129" s="33" t="s">
        <v>233</v>
      </c>
    </row>
    <row r="130" spans="1:9" x14ac:dyDescent="0.25">
      <c r="A130" s="32">
        <v>46237</v>
      </c>
      <c r="B130" s="33" t="s">
        <v>513</v>
      </c>
      <c r="C130" s="33" t="s">
        <v>105</v>
      </c>
      <c r="D130" s="33" t="s">
        <v>105</v>
      </c>
      <c r="E130">
        <v>16</v>
      </c>
      <c r="F130" s="34">
        <v>0.25255787037037036</v>
      </c>
      <c r="G130" s="34">
        <v>1.5784866898148148E-2</v>
      </c>
      <c r="H130" s="33" t="s">
        <v>148</v>
      </c>
      <c r="I130" s="33" t="s">
        <v>104</v>
      </c>
    </row>
    <row r="131" spans="1:9" x14ac:dyDescent="0.25">
      <c r="A131" s="32">
        <v>46237</v>
      </c>
      <c r="B131" s="33" t="s">
        <v>550</v>
      </c>
      <c r="C131" s="33" t="s">
        <v>32</v>
      </c>
      <c r="D131" s="33" t="s">
        <v>32</v>
      </c>
      <c r="E131">
        <v>49</v>
      </c>
      <c r="F131" s="34">
        <v>0.1333101851851852</v>
      </c>
      <c r="G131" s="34">
        <v>2.7206160241874527E-3</v>
      </c>
      <c r="H131" s="33" t="s">
        <v>234</v>
      </c>
      <c r="I131" s="33" t="s">
        <v>233</v>
      </c>
    </row>
    <row r="132" spans="1:9" x14ac:dyDescent="0.25">
      <c r="A132" s="32">
        <v>46237</v>
      </c>
      <c r="B132" s="33" t="s">
        <v>505</v>
      </c>
      <c r="C132" s="33" t="s">
        <v>32</v>
      </c>
      <c r="D132" s="33" t="s">
        <v>32</v>
      </c>
      <c r="E132">
        <v>43</v>
      </c>
      <c r="F132" s="34">
        <v>0.14887731481481481</v>
      </c>
      <c r="G132" s="34">
        <v>3.4622631352282519E-3</v>
      </c>
      <c r="H132" s="33" t="s">
        <v>34</v>
      </c>
      <c r="I132" s="33" t="s">
        <v>233</v>
      </c>
    </row>
    <row r="133" spans="1:9" x14ac:dyDescent="0.25">
      <c r="A133" s="32">
        <v>46237</v>
      </c>
      <c r="B133" s="33" t="s">
        <v>569</v>
      </c>
      <c r="C133" s="33" t="s">
        <v>105</v>
      </c>
      <c r="D133" s="33" t="s">
        <v>105</v>
      </c>
      <c r="E133">
        <v>28</v>
      </c>
      <c r="F133" s="34">
        <v>0.31479166666666669</v>
      </c>
      <c r="G133" s="34">
        <v>1.1242559523809524E-2</v>
      </c>
      <c r="H133" s="33" t="s">
        <v>493</v>
      </c>
      <c r="I133" s="33" t="s">
        <v>104</v>
      </c>
    </row>
    <row r="134" spans="1:9" x14ac:dyDescent="0.25">
      <c r="A134" s="32">
        <v>46237</v>
      </c>
      <c r="B134" s="33" t="s">
        <v>551</v>
      </c>
      <c r="C134" s="33" t="s">
        <v>32</v>
      </c>
      <c r="D134" s="33" t="s">
        <v>32</v>
      </c>
      <c r="E134">
        <v>12</v>
      </c>
      <c r="F134" s="34">
        <v>6.7789351851851851E-2</v>
      </c>
      <c r="G134" s="34">
        <v>5.6491126543209876E-3</v>
      </c>
      <c r="H134" s="33" t="s">
        <v>236</v>
      </c>
      <c r="I134" s="33" t="s">
        <v>233</v>
      </c>
    </row>
    <row r="135" spans="1:9" x14ac:dyDescent="0.25">
      <c r="A135" s="32">
        <v>46237</v>
      </c>
      <c r="B135" s="33" t="s">
        <v>631</v>
      </c>
      <c r="C135" s="33" t="s">
        <v>105</v>
      </c>
      <c r="D135" s="33" t="s">
        <v>105</v>
      </c>
      <c r="E135">
        <v>13</v>
      </c>
      <c r="F135" s="34">
        <v>0.27789351851851851</v>
      </c>
      <c r="G135" s="34">
        <v>2.1376424501424501E-2</v>
      </c>
      <c r="H135" s="33" t="s">
        <v>608</v>
      </c>
      <c r="I135" s="33" t="s">
        <v>601</v>
      </c>
    </row>
    <row r="136" spans="1:9" x14ac:dyDescent="0.25">
      <c r="A136" s="32">
        <v>46237</v>
      </c>
      <c r="B136" s="33" t="s">
        <v>564</v>
      </c>
      <c r="C136" s="33" t="s">
        <v>105</v>
      </c>
      <c r="D136" s="33" t="s">
        <v>105</v>
      </c>
      <c r="E136">
        <v>14</v>
      </c>
      <c r="F136" s="34">
        <v>0.19891203703703703</v>
      </c>
      <c r="G136" s="34">
        <v>1.4208002645502647E-2</v>
      </c>
      <c r="H136" s="33" t="s">
        <v>197</v>
      </c>
      <c r="I136" s="33" t="s">
        <v>601</v>
      </c>
    </row>
    <row r="137" spans="1:9" x14ac:dyDescent="0.25">
      <c r="A137" s="32">
        <v>46237</v>
      </c>
      <c r="B137" s="33" t="s">
        <v>514</v>
      </c>
      <c r="C137" s="33" t="s">
        <v>147</v>
      </c>
      <c r="D137" s="33" t="s">
        <v>147</v>
      </c>
      <c r="E137">
        <v>13</v>
      </c>
      <c r="F137" s="34">
        <v>3.4189814814814812E-2</v>
      </c>
      <c r="G137" s="34">
        <v>2.629985754985755E-3</v>
      </c>
      <c r="H137" s="33" t="s">
        <v>150</v>
      </c>
      <c r="I137" s="33" t="s">
        <v>146</v>
      </c>
    </row>
    <row r="138" spans="1:9" x14ac:dyDescent="0.25">
      <c r="A138" s="32">
        <v>46237</v>
      </c>
      <c r="B138" s="33" t="s">
        <v>514</v>
      </c>
      <c r="C138" s="33" t="s">
        <v>147</v>
      </c>
      <c r="D138" s="33" t="s">
        <v>32</v>
      </c>
      <c r="E138">
        <v>6</v>
      </c>
      <c r="F138" s="34">
        <v>1.369212962962963E-2</v>
      </c>
      <c r="G138" s="34">
        <v>2.2820216049382713E-3</v>
      </c>
      <c r="H138" s="33" t="s">
        <v>150</v>
      </c>
      <c r="I138" s="33" t="s">
        <v>146</v>
      </c>
    </row>
    <row r="139" spans="1:9" x14ac:dyDescent="0.25">
      <c r="A139" s="32">
        <v>46237</v>
      </c>
      <c r="B139" s="33" t="s">
        <v>536</v>
      </c>
      <c r="C139" s="33" t="s">
        <v>32</v>
      </c>
      <c r="D139" s="33" t="s">
        <v>32</v>
      </c>
      <c r="E139">
        <v>8</v>
      </c>
      <c r="F139" s="34">
        <v>7.6365740740740734E-2</v>
      </c>
      <c r="G139" s="34">
        <v>9.5457175925925918E-3</v>
      </c>
      <c r="H139" s="33" t="s">
        <v>38</v>
      </c>
      <c r="I139" s="33" t="s">
        <v>100</v>
      </c>
    </row>
    <row r="140" spans="1:9" x14ac:dyDescent="0.25">
      <c r="A140" s="32">
        <v>46237</v>
      </c>
      <c r="B140" s="33" t="s">
        <v>682</v>
      </c>
      <c r="C140" s="33" t="s">
        <v>105</v>
      </c>
      <c r="D140" s="33" t="s">
        <v>105</v>
      </c>
      <c r="E140">
        <v>8</v>
      </c>
      <c r="F140" s="34">
        <v>0.18358796296296295</v>
      </c>
      <c r="G140" s="34">
        <v>2.2948495370370369E-2</v>
      </c>
      <c r="H140" s="33" t="s">
        <v>681</v>
      </c>
      <c r="I140" s="33" t="s">
        <v>601</v>
      </c>
    </row>
    <row r="141" spans="1:9" x14ac:dyDescent="0.25">
      <c r="A141" s="32">
        <v>46237</v>
      </c>
      <c r="B141" s="33" t="s">
        <v>515</v>
      </c>
      <c r="C141" s="33" t="s">
        <v>147</v>
      </c>
      <c r="D141" s="33" t="s">
        <v>147</v>
      </c>
      <c r="E141">
        <v>11</v>
      </c>
      <c r="F141" s="34">
        <v>1.4953703703703703E-2</v>
      </c>
      <c r="G141" s="34">
        <v>1.3594276094276094E-3</v>
      </c>
      <c r="H141" s="33" t="s">
        <v>154</v>
      </c>
      <c r="I141" s="33" t="s">
        <v>146</v>
      </c>
    </row>
    <row r="142" spans="1:9" x14ac:dyDescent="0.25">
      <c r="A142" s="32">
        <v>46237</v>
      </c>
      <c r="B142" s="33" t="s">
        <v>515</v>
      </c>
      <c r="C142" s="33" t="s">
        <v>147</v>
      </c>
      <c r="D142" s="33" t="s">
        <v>32</v>
      </c>
      <c r="E142">
        <v>8</v>
      </c>
      <c r="F142" s="34">
        <v>1.2916666666666667E-2</v>
      </c>
      <c r="G142" s="34">
        <v>1.6145833333333333E-3</v>
      </c>
      <c r="H142" s="33" t="s">
        <v>154</v>
      </c>
      <c r="I142" s="33" t="s">
        <v>146</v>
      </c>
    </row>
    <row r="143" spans="1:9" x14ac:dyDescent="0.25">
      <c r="A143" s="32">
        <v>46237</v>
      </c>
      <c r="B143" s="33" t="s">
        <v>570</v>
      </c>
      <c r="C143" s="33" t="s">
        <v>105</v>
      </c>
      <c r="D143" s="33" t="s">
        <v>105</v>
      </c>
      <c r="E143">
        <v>14</v>
      </c>
      <c r="F143" s="34">
        <v>0.1822337962962963</v>
      </c>
      <c r="G143" s="34">
        <v>1.3016699735449735E-2</v>
      </c>
      <c r="H143" s="33" t="s">
        <v>112</v>
      </c>
      <c r="I143" s="33" t="s">
        <v>104</v>
      </c>
    </row>
    <row r="144" spans="1:9" x14ac:dyDescent="0.25">
      <c r="A144" s="32">
        <v>46237</v>
      </c>
      <c r="B144" s="33" t="s">
        <v>537</v>
      </c>
      <c r="C144" s="33" t="s">
        <v>105</v>
      </c>
      <c r="D144" s="33" t="s">
        <v>105</v>
      </c>
      <c r="E144">
        <v>22</v>
      </c>
      <c r="F144" s="34">
        <v>0.36481481481481481</v>
      </c>
      <c r="G144" s="34">
        <v>1.6582491582491584E-2</v>
      </c>
      <c r="H144" s="33" t="s">
        <v>42</v>
      </c>
      <c r="I144" s="33" t="s">
        <v>104</v>
      </c>
    </row>
    <row r="145" spans="1:9" x14ac:dyDescent="0.25">
      <c r="A145" s="32">
        <v>46237</v>
      </c>
      <c r="B145" s="33" t="s">
        <v>516</v>
      </c>
      <c r="C145" s="33" t="s">
        <v>147</v>
      </c>
      <c r="D145" s="33" t="s">
        <v>147</v>
      </c>
      <c r="E145">
        <v>5</v>
      </c>
      <c r="F145" s="34">
        <v>1.5219907407407408E-2</v>
      </c>
      <c r="G145" s="34">
        <v>3.0439814814814813E-3</v>
      </c>
      <c r="H145" s="33" t="s">
        <v>156</v>
      </c>
      <c r="I145" s="33" t="s">
        <v>146</v>
      </c>
    </row>
    <row r="146" spans="1:9" x14ac:dyDescent="0.25">
      <c r="A146" s="32">
        <v>46237</v>
      </c>
      <c r="B146" s="33" t="s">
        <v>516</v>
      </c>
      <c r="C146" s="33" t="s">
        <v>147</v>
      </c>
      <c r="D146" s="33" t="s">
        <v>32</v>
      </c>
      <c r="E146">
        <v>3</v>
      </c>
      <c r="F146" s="34">
        <v>1.6851851851851851E-2</v>
      </c>
      <c r="G146" s="34">
        <v>5.6172839506172835E-3</v>
      </c>
      <c r="H146" s="33" t="s">
        <v>156</v>
      </c>
      <c r="I146" s="33" t="s">
        <v>146</v>
      </c>
    </row>
    <row r="147" spans="1:9" x14ac:dyDescent="0.25">
      <c r="A147" s="32">
        <v>46237</v>
      </c>
      <c r="B147" s="33" t="s">
        <v>541</v>
      </c>
      <c r="C147" s="33" t="s">
        <v>105</v>
      </c>
      <c r="D147" s="33" t="s">
        <v>105</v>
      </c>
      <c r="E147">
        <v>16</v>
      </c>
      <c r="F147" s="34">
        <v>0.2083912037037037</v>
      </c>
      <c r="G147" s="34">
        <v>1.3024450231481481E-2</v>
      </c>
      <c r="H147" s="33" t="s">
        <v>114</v>
      </c>
      <c r="I147" s="33" t="s">
        <v>104</v>
      </c>
    </row>
    <row r="148" spans="1:9" x14ac:dyDescent="0.25">
      <c r="A148" s="32">
        <v>46237</v>
      </c>
      <c r="B148" s="33" t="s">
        <v>506</v>
      </c>
      <c r="C148" s="33" t="s">
        <v>32</v>
      </c>
      <c r="D148" s="33" t="s">
        <v>32</v>
      </c>
      <c r="E148">
        <v>41</v>
      </c>
      <c r="F148" s="34">
        <v>0.25049768518518517</v>
      </c>
      <c r="G148" s="34">
        <v>6.1096996386630536E-3</v>
      </c>
      <c r="H148" s="33" t="s">
        <v>44</v>
      </c>
      <c r="I148" s="33" t="s">
        <v>100</v>
      </c>
    </row>
    <row r="149" spans="1:9" x14ac:dyDescent="0.25">
      <c r="A149" s="32">
        <v>46237</v>
      </c>
      <c r="B149" s="33" t="s">
        <v>632</v>
      </c>
      <c r="C149" s="33" t="s">
        <v>105</v>
      </c>
      <c r="D149" s="33" t="s">
        <v>105</v>
      </c>
      <c r="E149">
        <v>12</v>
      </c>
      <c r="F149" s="34">
        <v>0.18172453703703703</v>
      </c>
      <c r="G149" s="34">
        <v>1.5143711419753087E-2</v>
      </c>
      <c r="H149" s="33" t="s">
        <v>609</v>
      </c>
      <c r="I149" s="33" t="s">
        <v>601</v>
      </c>
    </row>
    <row r="150" spans="1:9" x14ac:dyDescent="0.25">
      <c r="A150" s="32">
        <v>46237</v>
      </c>
      <c r="B150" s="33" t="s">
        <v>646</v>
      </c>
      <c r="C150" s="33" t="s">
        <v>32</v>
      </c>
      <c r="D150" s="33" t="s">
        <v>32</v>
      </c>
      <c r="E150">
        <v>47</v>
      </c>
      <c r="F150" s="34">
        <v>0.26636574074074076</v>
      </c>
      <c r="G150" s="34">
        <v>5.6673561859732074E-3</v>
      </c>
      <c r="H150" s="33" t="s">
        <v>645</v>
      </c>
      <c r="I150" s="33" t="s">
        <v>100</v>
      </c>
    </row>
    <row r="151" spans="1:9" x14ac:dyDescent="0.25">
      <c r="A151" s="32">
        <v>46237</v>
      </c>
      <c r="B151" s="33" t="s">
        <v>544</v>
      </c>
      <c r="C151" s="33" t="s">
        <v>147</v>
      </c>
      <c r="D151" s="33" t="s">
        <v>147</v>
      </c>
      <c r="E151">
        <v>9</v>
      </c>
      <c r="F151" s="34">
        <v>3.2557870370370369E-2</v>
      </c>
      <c r="G151" s="34">
        <v>3.6175411522633744E-3</v>
      </c>
      <c r="H151" s="33" t="s">
        <v>160</v>
      </c>
      <c r="I151" s="33" t="s">
        <v>146</v>
      </c>
    </row>
    <row r="152" spans="1:9" x14ac:dyDescent="0.25">
      <c r="A152" s="32">
        <v>46237</v>
      </c>
      <c r="B152" s="33" t="s">
        <v>544</v>
      </c>
      <c r="C152" s="33" t="s">
        <v>147</v>
      </c>
      <c r="D152" s="33" t="s">
        <v>32</v>
      </c>
      <c r="E152">
        <v>4</v>
      </c>
      <c r="F152" s="34">
        <v>9.0046296296296298E-3</v>
      </c>
      <c r="G152" s="34">
        <v>2.2511574074074074E-3</v>
      </c>
      <c r="H152" s="33" t="s">
        <v>160</v>
      </c>
      <c r="I152" s="33" t="s">
        <v>146</v>
      </c>
    </row>
    <row r="153" spans="1:9" x14ac:dyDescent="0.25">
      <c r="A153" s="32">
        <v>46237</v>
      </c>
      <c r="B153" s="33" t="s">
        <v>558</v>
      </c>
      <c r="C153" s="33" t="s">
        <v>32</v>
      </c>
      <c r="D153" s="33" t="s">
        <v>32</v>
      </c>
      <c r="E153">
        <v>57</v>
      </c>
      <c r="F153" s="34">
        <v>0.16090277777777778</v>
      </c>
      <c r="G153" s="34">
        <v>2.8228557504873294E-3</v>
      </c>
      <c r="H153" s="33" t="s">
        <v>120</v>
      </c>
      <c r="I153" s="33" t="s">
        <v>233</v>
      </c>
    </row>
    <row r="154" spans="1:9" x14ac:dyDescent="0.25">
      <c r="A154" s="32">
        <v>46237</v>
      </c>
      <c r="B154" s="33" t="s">
        <v>507</v>
      </c>
      <c r="C154" s="33" t="s">
        <v>32</v>
      </c>
      <c r="D154" s="33" t="s">
        <v>32</v>
      </c>
      <c r="E154">
        <v>36</v>
      </c>
      <c r="F154" s="34">
        <v>0.23997685185185186</v>
      </c>
      <c r="G154" s="34">
        <v>6.6660236625514409E-3</v>
      </c>
      <c r="H154" s="33" t="s">
        <v>46</v>
      </c>
      <c r="I154" s="33" t="s">
        <v>100</v>
      </c>
    </row>
    <row r="155" spans="1:9" x14ac:dyDescent="0.25">
      <c r="A155" s="32">
        <v>46237</v>
      </c>
      <c r="B155" s="33" t="s">
        <v>542</v>
      </c>
      <c r="C155" s="33" t="s">
        <v>105</v>
      </c>
      <c r="D155" s="33" t="s">
        <v>105</v>
      </c>
      <c r="E155">
        <v>7</v>
      </c>
      <c r="F155" s="34">
        <v>0.14489583333333333</v>
      </c>
      <c r="G155" s="34">
        <v>2.0699404761904759E-2</v>
      </c>
      <c r="H155" s="33" t="s">
        <v>287</v>
      </c>
      <c r="I155" s="33" t="s">
        <v>104</v>
      </c>
    </row>
    <row r="156" spans="1:9" x14ac:dyDescent="0.25">
      <c r="A156" s="32">
        <v>46237</v>
      </c>
      <c r="B156" s="33" t="s">
        <v>517</v>
      </c>
      <c r="C156" s="33" t="s">
        <v>147</v>
      </c>
      <c r="D156" s="33" t="s">
        <v>147</v>
      </c>
      <c r="E156">
        <v>6</v>
      </c>
      <c r="F156" s="34">
        <v>2.4282407407407409E-2</v>
      </c>
      <c r="G156" s="34">
        <v>4.0470679012345684E-3</v>
      </c>
      <c r="H156" s="33" t="s">
        <v>499</v>
      </c>
      <c r="I156" s="33" t="s">
        <v>146</v>
      </c>
    </row>
    <row r="157" spans="1:9" x14ac:dyDescent="0.25">
      <c r="A157" s="32">
        <v>46237</v>
      </c>
      <c r="B157" s="33" t="s">
        <v>517</v>
      </c>
      <c r="C157" s="33" t="s">
        <v>147</v>
      </c>
      <c r="D157" s="33" t="s">
        <v>32</v>
      </c>
      <c r="E157">
        <v>4</v>
      </c>
      <c r="F157" s="34">
        <v>1.0428240740740741E-2</v>
      </c>
      <c r="G157" s="34">
        <v>2.6070601851851853E-3</v>
      </c>
      <c r="H157" s="33" t="s">
        <v>499</v>
      </c>
      <c r="I157" s="33" t="s">
        <v>146</v>
      </c>
    </row>
    <row r="158" spans="1:9" x14ac:dyDescent="0.25">
      <c r="A158" s="32">
        <v>46237</v>
      </c>
      <c r="B158" s="33" t="s">
        <v>648</v>
      </c>
      <c r="C158" s="33" t="s">
        <v>32</v>
      </c>
      <c r="D158" s="33" t="s">
        <v>32</v>
      </c>
      <c r="E158">
        <v>35</v>
      </c>
      <c r="F158" s="34">
        <v>0.14929398148148149</v>
      </c>
      <c r="G158" s="34">
        <v>4.2655423280423283E-3</v>
      </c>
      <c r="H158" s="33" t="s">
        <v>647</v>
      </c>
      <c r="I158" s="33" t="s">
        <v>233</v>
      </c>
    </row>
    <row r="159" spans="1:9" x14ac:dyDescent="0.25">
      <c r="A159" s="32">
        <v>46237</v>
      </c>
      <c r="B159" s="33" t="s">
        <v>650</v>
      </c>
      <c r="C159" s="33" t="s">
        <v>105</v>
      </c>
      <c r="D159" s="33" t="s">
        <v>105</v>
      </c>
      <c r="E159">
        <v>10</v>
      </c>
      <c r="F159" s="34">
        <v>0.20957175925925925</v>
      </c>
      <c r="G159" s="34">
        <v>2.0957175925925928E-2</v>
      </c>
      <c r="H159" s="33" t="s">
        <v>649</v>
      </c>
      <c r="I159" s="33" t="s">
        <v>104</v>
      </c>
    </row>
    <row r="160" spans="1:9" x14ac:dyDescent="0.25">
      <c r="A160" s="32">
        <v>46237</v>
      </c>
      <c r="B160" s="33" t="s">
        <v>508</v>
      </c>
      <c r="C160" s="33" t="s">
        <v>32</v>
      </c>
      <c r="D160" s="33" t="s">
        <v>32</v>
      </c>
      <c r="E160">
        <v>42</v>
      </c>
      <c r="F160" s="34">
        <v>0.23150462962962962</v>
      </c>
      <c r="G160" s="34">
        <v>5.5120149911816576E-3</v>
      </c>
      <c r="H160" s="33" t="s">
        <v>48</v>
      </c>
      <c r="I160" s="33" t="s">
        <v>100</v>
      </c>
    </row>
    <row r="161" spans="1:9" x14ac:dyDescent="0.25">
      <c r="A161" s="32">
        <v>46237</v>
      </c>
      <c r="B161" s="33" t="s">
        <v>538</v>
      </c>
      <c r="C161" s="33" t="s">
        <v>32</v>
      </c>
      <c r="D161" s="33" t="s">
        <v>32</v>
      </c>
      <c r="E161">
        <v>12</v>
      </c>
      <c r="F161" s="34">
        <v>5.6527777777777781E-2</v>
      </c>
      <c r="G161" s="34">
        <v>4.7106481481481478E-3</v>
      </c>
      <c r="H161" s="33" t="s">
        <v>50</v>
      </c>
      <c r="I161" s="33" t="s">
        <v>100</v>
      </c>
    </row>
    <row r="162" spans="1:9" x14ac:dyDescent="0.25">
      <c r="A162" s="32">
        <v>46237</v>
      </c>
      <c r="B162" s="33" t="s">
        <v>603</v>
      </c>
      <c r="C162" s="33" t="s">
        <v>32</v>
      </c>
      <c r="D162" s="33" t="s">
        <v>32</v>
      </c>
      <c r="E162">
        <v>33</v>
      </c>
      <c r="F162" s="34">
        <v>0.20393518518518519</v>
      </c>
      <c r="G162" s="34">
        <v>6.1798540965207639E-3</v>
      </c>
      <c r="H162" s="33" t="s">
        <v>242</v>
      </c>
      <c r="I162" s="33" t="s">
        <v>233</v>
      </c>
    </row>
    <row r="163" spans="1:9" x14ac:dyDescent="0.25">
      <c r="A163" s="32">
        <v>46237</v>
      </c>
      <c r="B163" s="33" t="s">
        <v>559</v>
      </c>
      <c r="C163" s="33" t="s">
        <v>105</v>
      </c>
      <c r="D163" s="33" t="s">
        <v>105</v>
      </c>
      <c r="E163">
        <v>18</v>
      </c>
      <c r="F163" s="34">
        <v>0.23260416666666667</v>
      </c>
      <c r="G163" s="34">
        <v>1.2922453703703703E-2</v>
      </c>
      <c r="H163" s="33" t="s">
        <v>289</v>
      </c>
      <c r="I163" s="33" t="s">
        <v>104</v>
      </c>
    </row>
    <row r="164" spans="1:9" x14ac:dyDescent="0.25">
      <c r="A164" s="32">
        <v>46237</v>
      </c>
      <c r="B164" s="33" t="s">
        <v>559</v>
      </c>
      <c r="C164" s="33" t="s">
        <v>105</v>
      </c>
      <c r="D164" s="33" t="s">
        <v>32</v>
      </c>
      <c r="E164">
        <v>6</v>
      </c>
      <c r="F164" s="34">
        <v>4.071759259259259E-2</v>
      </c>
      <c r="G164" s="34">
        <v>6.7862654320987661E-3</v>
      </c>
      <c r="H164" s="33" t="s">
        <v>289</v>
      </c>
      <c r="I164" s="33" t="s">
        <v>104</v>
      </c>
    </row>
    <row r="165" spans="1:9" x14ac:dyDescent="0.25">
      <c r="A165" s="32">
        <v>46237</v>
      </c>
      <c r="B165" s="33" t="s">
        <v>518</v>
      </c>
      <c r="C165" s="33" t="s">
        <v>147</v>
      </c>
      <c r="D165" s="33" t="s">
        <v>147</v>
      </c>
      <c r="E165">
        <v>10</v>
      </c>
      <c r="F165" s="34">
        <v>4.8634259259259259E-2</v>
      </c>
      <c r="G165" s="34">
        <v>4.8634259259259256E-3</v>
      </c>
      <c r="H165" s="33" t="s">
        <v>500</v>
      </c>
      <c r="I165" s="33" t="s">
        <v>274</v>
      </c>
    </row>
    <row r="166" spans="1:9" x14ac:dyDescent="0.25">
      <c r="A166" s="32">
        <v>46237</v>
      </c>
      <c r="B166" s="33" t="s">
        <v>518</v>
      </c>
      <c r="C166" s="33" t="s">
        <v>147</v>
      </c>
      <c r="D166" s="33" t="s">
        <v>32</v>
      </c>
      <c r="E166">
        <v>5</v>
      </c>
      <c r="F166" s="34">
        <v>8.472222222222223E-3</v>
      </c>
      <c r="G166" s="34">
        <v>1.6944444444444446E-3</v>
      </c>
      <c r="H166" s="33" t="s">
        <v>500</v>
      </c>
      <c r="I166" s="33" t="s">
        <v>274</v>
      </c>
    </row>
    <row r="167" spans="1:9" x14ac:dyDescent="0.25">
      <c r="A167" s="32">
        <v>46237</v>
      </c>
      <c r="B167" s="33" t="s">
        <v>654</v>
      </c>
      <c r="C167" s="33" t="s">
        <v>32</v>
      </c>
      <c r="D167" s="33" t="s">
        <v>32</v>
      </c>
      <c r="E167">
        <v>23</v>
      </c>
      <c r="F167" s="34">
        <v>0.20667824074074073</v>
      </c>
      <c r="G167" s="34">
        <v>8.9860104669887281E-3</v>
      </c>
      <c r="H167" s="33" t="s">
        <v>653</v>
      </c>
      <c r="I167" s="33" t="s">
        <v>100</v>
      </c>
    </row>
    <row r="168" spans="1:9" x14ac:dyDescent="0.25">
      <c r="A168" s="32">
        <v>46237</v>
      </c>
      <c r="B168" s="33" t="s">
        <v>509</v>
      </c>
      <c r="C168" s="33" t="s">
        <v>32</v>
      </c>
      <c r="D168" s="33" t="s">
        <v>32</v>
      </c>
      <c r="E168">
        <v>5</v>
      </c>
      <c r="F168" s="34">
        <v>4.9629629629629628E-2</v>
      </c>
      <c r="G168" s="34">
        <v>9.9259259259259266E-3</v>
      </c>
      <c r="H168" s="33" t="s">
        <v>52</v>
      </c>
      <c r="I168" s="33" t="s">
        <v>100</v>
      </c>
    </row>
    <row r="169" spans="1:9" x14ac:dyDescent="0.25">
      <c r="A169" s="32">
        <v>46237</v>
      </c>
      <c r="B169" s="33" t="s">
        <v>519</v>
      </c>
      <c r="C169" s="33" t="s">
        <v>147</v>
      </c>
      <c r="D169" s="33" t="s">
        <v>147</v>
      </c>
      <c r="E169">
        <v>18</v>
      </c>
      <c r="F169" s="34">
        <v>2.5289351851851851E-2</v>
      </c>
      <c r="G169" s="34">
        <v>1.4049639917695473E-3</v>
      </c>
      <c r="H169" s="33" t="s">
        <v>164</v>
      </c>
      <c r="I169" s="33" t="s">
        <v>146</v>
      </c>
    </row>
    <row r="170" spans="1:9" x14ac:dyDescent="0.25">
      <c r="A170" s="32">
        <v>46237</v>
      </c>
      <c r="B170" s="33" t="s">
        <v>519</v>
      </c>
      <c r="C170" s="33" t="s">
        <v>147</v>
      </c>
      <c r="D170" s="33" t="s">
        <v>32</v>
      </c>
      <c r="E170">
        <v>7</v>
      </c>
      <c r="F170" s="34">
        <v>1.3113425925925926E-2</v>
      </c>
      <c r="G170" s="34">
        <v>1.8733465608465609E-3</v>
      </c>
      <c r="H170" s="33" t="s">
        <v>164</v>
      </c>
      <c r="I170" s="33" t="s">
        <v>146</v>
      </c>
    </row>
    <row r="171" spans="1:9" x14ac:dyDescent="0.25">
      <c r="A171" s="32">
        <v>46237</v>
      </c>
      <c r="B171" s="33" t="s">
        <v>656</v>
      </c>
      <c r="C171" s="33" t="s">
        <v>32</v>
      </c>
      <c r="D171" s="33" t="s">
        <v>32</v>
      </c>
      <c r="E171">
        <v>22</v>
      </c>
      <c r="F171" s="34">
        <v>0.2107175925925926</v>
      </c>
      <c r="G171" s="34">
        <v>9.5780723905723904E-3</v>
      </c>
      <c r="H171" s="33" t="s">
        <v>655</v>
      </c>
      <c r="I171" s="33" t="s">
        <v>100</v>
      </c>
    </row>
    <row r="172" spans="1:9" x14ac:dyDescent="0.25">
      <c r="A172" s="32">
        <v>46237</v>
      </c>
      <c r="B172" s="33" t="s">
        <v>167</v>
      </c>
      <c r="C172" s="33" t="s">
        <v>147</v>
      </c>
      <c r="D172" s="33" t="s">
        <v>147</v>
      </c>
      <c r="E172">
        <v>9</v>
      </c>
      <c r="F172" s="34">
        <v>1.7372685185185185E-2</v>
      </c>
      <c r="G172" s="34">
        <v>1.9302983539094649E-3</v>
      </c>
      <c r="H172" s="33" t="s">
        <v>166</v>
      </c>
      <c r="I172" s="33" t="s">
        <v>146</v>
      </c>
    </row>
    <row r="173" spans="1:9" x14ac:dyDescent="0.25">
      <c r="A173" s="32">
        <v>46237</v>
      </c>
      <c r="B173" s="33" t="s">
        <v>658</v>
      </c>
      <c r="C173" s="33" t="s">
        <v>147</v>
      </c>
      <c r="D173" s="33" t="s">
        <v>147</v>
      </c>
      <c r="E173">
        <v>11</v>
      </c>
      <c r="F173" s="34">
        <v>6.0243055555555557E-2</v>
      </c>
      <c r="G173" s="34">
        <v>5.4766414141414138E-3</v>
      </c>
      <c r="H173" s="33" t="s">
        <v>657</v>
      </c>
      <c r="I173" s="33" t="s">
        <v>274</v>
      </c>
    </row>
    <row r="174" spans="1:9" x14ac:dyDescent="0.25">
      <c r="A174" s="32">
        <v>46237</v>
      </c>
      <c r="B174" s="33" t="s">
        <v>658</v>
      </c>
      <c r="C174" s="33" t="s">
        <v>147</v>
      </c>
      <c r="D174" s="33" t="s">
        <v>32</v>
      </c>
      <c r="E174">
        <v>5</v>
      </c>
      <c r="F174" s="34">
        <v>2.0289351851851854E-2</v>
      </c>
      <c r="G174" s="34">
        <v>4.0578703703703705E-3</v>
      </c>
      <c r="H174" s="33" t="s">
        <v>657</v>
      </c>
      <c r="I174" s="33" t="s">
        <v>274</v>
      </c>
    </row>
    <row r="175" spans="1:9" x14ac:dyDescent="0.25">
      <c r="A175" s="32">
        <v>46237</v>
      </c>
      <c r="B175" s="33" t="s">
        <v>660</v>
      </c>
      <c r="C175" s="33" t="s">
        <v>32</v>
      </c>
      <c r="D175" s="33" t="s">
        <v>32</v>
      </c>
      <c r="E175">
        <v>20</v>
      </c>
      <c r="F175" s="34">
        <v>0.11556712962962963</v>
      </c>
      <c r="G175" s="34">
        <v>5.7783564814814815E-3</v>
      </c>
      <c r="H175" s="33" t="s">
        <v>659</v>
      </c>
      <c r="I175" s="33" t="s">
        <v>100</v>
      </c>
    </row>
    <row r="176" spans="1:9" x14ac:dyDescent="0.25">
      <c r="A176" s="32">
        <v>46237</v>
      </c>
      <c r="B176" s="33" t="s">
        <v>528</v>
      </c>
      <c r="C176" s="33" t="s">
        <v>32</v>
      </c>
      <c r="D176" s="33" t="s">
        <v>32</v>
      </c>
      <c r="E176">
        <v>25</v>
      </c>
      <c r="F176" s="34">
        <v>0.13108796296296296</v>
      </c>
      <c r="G176" s="34">
        <v>5.2435185185185189E-3</v>
      </c>
      <c r="H176" s="33" t="s">
        <v>254</v>
      </c>
      <c r="I176" s="33" t="s">
        <v>233</v>
      </c>
    </row>
    <row r="177" spans="1:9" x14ac:dyDescent="0.25">
      <c r="A177" s="32">
        <v>46237</v>
      </c>
      <c r="B177" s="33" t="s">
        <v>545</v>
      </c>
      <c r="C177" s="33" t="s">
        <v>600</v>
      </c>
      <c r="D177" s="33" t="s">
        <v>600</v>
      </c>
      <c r="E177">
        <v>25</v>
      </c>
      <c r="F177" s="34">
        <v>6.5393518518518517E-2</v>
      </c>
      <c r="G177" s="34">
        <v>2.6157407407407405E-3</v>
      </c>
      <c r="H177" s="33" t="s">
        <v>201</v>
      </c>
      <c r="I177" s="33" t="s">
        <v>601</v>
      </c>
    </row>
    <row r="178" spans="1:9" x14ac:dyDescent="0.25">
      <c r="A178" s="32">
        <v>46237</v>
      </c>
      <c r="B178" s="33" t="s">
        <v>520</v>
      </c>
      <c r="C178" s="33" t="s">
        <v>147</v>
      </c>
      <c r="D178" s="33" t="s">
        <v>147</v>
      </c>
      <c r="E178">
        <v>18</v>
      </c>
      <c r="F178" s="34">
        <v>5.181712962962963E-2</v>
      </c>
      <c r="G178" s="34">
        <v>2.8787294238683129E-3</v>
      </c>
      <c r="H178" s="33" t="s">
        <v>168</v>
      </c>
      <c r="I178" s="33" t="s">
        <v>274</v>
      </c>
    </row>
    <row r="179" spans="1:9" x14ac:dyDescent="0.25">
      <c r="A179" s="32">
        <v>46237</v>
      </c>
      <c r="B179" s="33" t="s">
        <v>520</v>
      </c>
      <c r="C179" s="33" t="s">
        <v>147</v>
      </c>
      <c r="D179" s="33" t="s">
        <v>32</v>
      </c>
      <c r="E179">
        <v>4</v>
      </c>
      <c r="F179" s="34">
        <v>6.3541666666666668E-3</v>
      </c>
      <c r="G179" s="34">
        <v>1.5885416666666667E-3</v>
      </c>
      <c r="H179" s="33" t="s">
        <v>168</v>
      </c>
      <c r="I179" s="33" t="s">
        <v>274</v>
      </c>
    </row>
    <row r="180" spans="1:9" x14ac:dyDescent="0.25">
      <c r="A180" s="32">
        <v>46237</v>
      </c>
      <c r="B180" s="33" t="s">
        <v>521</v>
      </c>
      <c r="C180" s="33" t="s">
        <v>147</v>
      </c>
      <c r="D180" s="33" t="s">
        <v>147</v>
      </c>
      <c r="E180">
        <v>11</v>
      </c>
      <c r="F180" s="34">
        <v>4.1608796296296297E-2</v>
      </c>
      <c r="G180" s="34">
        <v>3.7826178451178449E-3</v>
      </c>
      <c r="H180" s="33" t="s">
        <v>170</v>
      </c>
      <c r="I180" s="33" t="s">
        <v>146</v>
      </c>
    </row>
    <row r="181" spans="1:9" x14ac:dyDescent="0.25">
      <c r="A181" s="32">
        <v>46237</v>
      </c>
      <c r="B181" s="33" t="s">
        <v>521</v>
      </c>
      <c r="C181" s="33" t="s">
        <v>147</v>
      </c>
      <c r="D181" s="33" t="s">
        <v>32</v>
      </c>
      <c r="E181">
        <v>5</v>
      </c>
      <c r="F181" s="34">
        <v>2.6782407407407408E-2</v>
      </c>
      <c r="G181" s="34">
        <v>5.356481481481482E-3</v>
      </c>
      <c r="H181" s="33" t="s">
        <v>170</v>
      </c>
      <c r="I181" s="33" t="s">
        <v>146</v>
      </c>
    </row>
    <row r="182" spans="1:9" x14ac:dyDescent="0.25">
      <c r="A182" s="32">
        <v>46237</v>
      </c>
      <c r="B182" s="33" t="s">
        <v>543</v>
      </c>
      <c r="C182" s="33" t="s">
        <v>600</v>
      </c>
      <c r="D182" s="33" t="s">
        <v>600</v>
      </c>
      <c r="E182">
        <v>35</v>
      </c>
      <c r="F182" s="34">
        <v>9.1701388888888888E-2</v>
      </c>
      <c r="G182" s="34">
        <v>2.6200396825396825E-3</v>
      </c>
      <c r="H182" s="33" t="s">
        <v>293</v>
      </c>
      <c r="I182" s="33" t="s">
        <v>104</v>
      </c>
    </row>
    <row r="183" spans="1:9" x14ac:dyDescent="0.25">
      <c r="A183" s="32">
        <v>46237</v>
      </c>
      <c r="B183" s="33" t="s">
        <v>633</v>
      </c>
      <c r="C183" s="33" t="s">
        <v>147</v>
      </c>
      <c r="D183" s="33" t="s">
        <v>147</v>
      </c>
      <c r="E183">
        <v>6</v>
      </c>
      <c r="F183" s="34">
        <v>2.1863425925925925E-2</v>
      </c>
      <c r="G183" s="34">
        <v>3.6439043209876543E-3</v>
      </c>
      <c r="H183" s="33" t="s">
        <v>606</v>
      </c>
      <c r="I183" s="33" t="s">
        <v>146</v>
      </c>
    </row>
    <row r="184" spans="1:9" x14ac:dyDescent="0.25">
      <c r="A184" s="32">
        <v>46237</v>
      </c>
      <c r="B184" s="33" t="s">
        <v>633</v>
      </c>
      <c r="C184" s="33" t="s">
        <v>147</v>
      </c>
      <c r="D184" s="33" t="s">
        <v>32</v>
      </c>
      <c r="E184">
        <v>2</v>
      </c>
      <c r="F184" s="34">
        <v>1.5706018518518518E-2</v>
      </c>
      <c r="G184" s="34">
        <v>7.8530092592592592E-3</v>
      </c>
      <c r="H184" s="33" t="s">
        <v>606</v>
      </c>
      <c r="I184" s="33" t="s">
        <v>146</v>
      </c>
    </row>
    <row r="185" spans="1:9" x14ac:dyDescent="0.25">
      <c r="A185" s="32">
        <v>46237</v>
      </c>
      <c r="B185" s="33" t="s">
        <v>634</v>
      </c>
      <c r="C185" s="33" t="s">
        <v>105</v>
      </c>
      <c r="D185" s="33" t="s">
        <v>105</v>
      </c>
      <c r="E185">
        <v>7</v>
      </c>
      <c r="F185" s="34">
        <v>0.17218749999999999</v>
      </c>
      <c r="G185" s="34">
        <v>2.4598214285714286E-2</v>
      </c>
      <c r="H185" s="33" t="s">
        <v>612</v>
      </c>
      <c r="I185" s="33" t="s">
        <v>601</v>
      </c>
    </row>
    <row r="186" spans="1:9" x14ac:dyDescent="0.25">
      <c r="A186" s="32">
        <v>46237</v>
      </c>
      <c r="B186" s="33" t="s">
        <v>529</v>
      </c>
      <c r="C186" s="33" t="s">
        <v>32</v>
      </c>
      <c r="D186" s="33" t="s">
        <v>32</v>
      </c>
      <c r="E186">
        <v>19</v>
      </c>
      <c r="F186" s="34">
        <v>0.14512731481481481</v>
      </c>
      <c r="G186" s="34">
        <v>7.6382797270955162E-3</v>
      </c>
      <c r="H186" s="33" t="s">
        <v>256</v>
      </c>
      <c r="I186" s="33" t="s">
        <v>233</v>
      </c>
    </row>
    <row r="187" spans="1:9" x14ac:dyDescent="0.25">
      <c r="A187" s="32">
        <v>46237</v>
      </c>
      <c r="B187" s="33" t="s">
        <v>662</v>
      </c>
      <c r="C187" s="33" t="s">
        <v>32</v>
      </c>
      <c r="D187" s="33" t="s">
        <v>32</v>
      </c>
      <c r="E187">
        <v>27</v>
      </c>
      <c r="F187" s="34">
        <v>0.23043981481481482</v>
      </c>
      <c r="G187" s="34">
        <v>8.5348079561042515E-3</v>
      </c>
      <c r="H187" s="33" t="s">
        <v>661</v>
      </c>
      <c r="I187" s="33" t="s">
        <v>100</v>
      </c>
    </row>
    <row r="188" spans="1:9" x14ac:dyDescent="0.25">
      <c r="A188" s="32">
        <v>46237</v>
      </c>
      <c r="B188" s="33" t="s">
        <v>664</v>
      </c>
      <c r="C188" s="33" t="s">
        <v>32</v>
      </c>
      <c r="D188" s="33" t="s">
        <v>32</v>
      </c>
      <c r="E188">
        <v>14</v>
      </c>
      <c r="F188" s="34">
        <v>0.17265046296296296</v>
      </c>
      <c r="G188" s="34">
        <v>1.2332175925925925E-2</v>
      </c>
      <c r="H188" s="33" t="s">
        <v>663</v>
      </c>
      <c r="I188" s="33" t="s">
        <v>233</v>
      </c>
    </row>
    <row r="189" spans="1:9" x14ac:dyDescent="0.25">
      <c r="A189" s="32">
        <v>46237</v>
      </c>
      <c r="B189" s="33" t="s">
        <v>666</v>
      </c>
      <c r="C189" s="33" t="s">
        <v>32</v>
      </c>
      <c r="D189" s="33" t="s">
        <v>32</v>
      </c>
      <c r="E189">
        <v>28</v>
      </c>
      <c r="F189" s="34">
        <v>0.25922453703703702</v>
      </c>
      <c r="G189" s="34">
        <v>9.2580191798941787E-3</v>
      </c>
      <c r="H189" s="33" t="s">
        <v>665</v>
      </c>
      <c r="I189" s="33" t="s">
        <v>100</v>
      </c>
    </row>
    <row r="190" spans="1:9" x14ac:dyDescent="0.25">
      <c r="A190" s="32">
        <v>46237</v>
      </c>
      <c r="B190" s="33" t="s">
        <v>530</v>
      </c>
      <c r="C190" s="33" t="s">
        <v>80</v>
      </c>
      <c r="D190" s="33" t="s">
        <v>32</v>
      </c>
      <c r="E190">
        <v>2</v>
      </c>
      <c r="F190" s="34">
        <v>1.8055555555555555E-3</v>
      </c>
      <c r="G190" s="34">
        <v>9.0277777777777774E-4</v>
      </c>
      <c r="H190" s="33" t="s">
        <v>264</v>
      </c>
      <c r="I190" s="33" t="s">
        <v>78</v>
      </c>
    </row>
    <row r="191" spans="1:9" x14ac:dyDescent="0.25">
      <c r="A191" s="32">
        <v>46237</v>
      </c>
      <c r="B191" s="33" t="s">
        <v>555</v>
      </c>
      <c r="C191" s="33" t="s">
        <v>32</v>
      </c>
      <c r="D191" s="33" t="s">
        <v>32</v>
      </c>
      <c r="E191">
        <v>39</v>
      </c>
      <c r="F191" s="34">
        <v>0.14332175925925925</v>
      </c>
      <c r="G191" s="34">
        <v>3.6749169040835705E-3</v>
      </c>
      <c r="H191" s="33" t="s">
        <v>128</v>
      </c>
      <c r="I191" s="33" t="s">
        <v>233</v>
      </c>
    </row>
    <row r="192" spans="1:9" x14ac:dyDescent="0.25">
      <c r="A192" s="32">
        <v>46237</v>
      </c>
      <c r="B192" s="33" t="s">
        <v>522</v>
      </c>
      <c r="C192" s="33" t="s">
        <v>147</v>
      </c>
      <c r="D192" s="33" t="s">
        <v>147</v>
      </c>
      <c r="E192">
        <v>6</v>
      </c>
      <c r="F192" s="34">
        <v>2.357638888888889E-2</v>
      </c>
      <c r="G192" s="34">
        <v>3.929398148148148E-3</v>
      </c>
      <c r="H192" s="33" t="s">
        <v>178</v>
      </c>
      <c r="I192" s="33" t="s">
        <v>146</v>
      </c>
    </row>
    <row r="193" spans="1:9" x14ac:dyDescent="0.25">
      <c r="A193" s="32">
        <v>46237</v>
      </c>
      <c r="B193" s="33" t="s">
        <v>522</v>
      </c>
      <c r="C193" s="33" t="s">
        <v>147</v>
      </c>
      <c r="D193" s="33" t="s">
        <v>32</v>
      </c>
      <c r="E193">
        <v>5</v>
      </c>
      <c r="F193" s="34">
        <v>7.8472222222222224E-3</v>
      </c>
      <c r="G193" s="34">
        <v>1.5694444444444443E-3</v>
      </c>
      <c r="H193" s="33" t="s">
        <v>178</v>
      </c>
      <c r="I193" s="33" t="s">
        <v>146</v>
      </c>
    </row>
    <row r="194" spans="1:9" x14ac:dyDescent="0.25">
      <c r="A194" s="32">
        <v>46237</v>
      </c>
      <c r="B194" s="33" t="s">
        <v>667</v>
      </c>
      <c r="C194" s="33" t="s">
        <v>105</v>
      </c>
      <c r="D194" s="33" t="s">
        <v>105</v>
      </c>
      <c r="E194">
        <v>21</v>
      </c>
      <c r="F194" s="34">
        <v>0.32450231481481484</v>
      </c>
      <c r="G194" s="34">
        <v>1.5452491181657847E-2</v>
      </c>
      <c r="H194" s="33" t="s">
        <v>297</v>
      </c>
      <c r="I194" s="33" t="s">
        <v>104</v>
      </c>
    </row>
    <row r="195" spans="1:9" x14ac:dyDescent="0.25">
      <c r="A195" s="32">
        <v>46237</v>
      </c>
      <c r="B195" s="33" t="s">
        <v>635</v>
      </c>
      <c r="C195" s="33" t="s">
        <v>105</v>
      </c>
      <c r="D195" s="33" t="s">
        <v>105</v>
      </c>
      <c r="E195">
        <v>9</v>
      </c>
      <c r="F195" s="34">
        <v>0.20038194444444443</v>
      </c>
      <c r="G195" s="34">
        <v>2.2264660493827162E-2</v>
      </c>
      <c r="H195" s="33" t="s">
        <v>614</v>
      </c>
      <c r="I195" s="33" t="s">
        <v>601</v>
      </c>
    </row>
    <row r="196" spans="1:9" x14ac:dyDescent="0.25">
      <c r="A196" s="32">
        <v>46237</v>
      </c>
      <c r="B196" s="33" t="s">
        <v>523</v>
      </c>
      <c r="C196" s="33" t="s">
        <v>147</v>
      </c>
      <c r="D196" s="33" t="s">
        <v>147</v>
      </c>
      <c r="E196">
        <v>7</v>
      </c>
      <c r="F196" s="34">
        <v>3.9525462962962964E-2</v>
      </c>
      <c r="G196" s="34">
        <v>5.6464947089947086E-3</v>
      </c>
      <c r="H196" s="33" t="s">
        <v>180</v>
      </c>
      <c r="I196" s="33" t="s">
        <v>146</v>
      </c>
    </row>
    <row r="197" spans="1:9" x14ac:dyDescent="0.25">
      <c r="A197" s="32">
        <v>46237</v>
      </c>
      <c r="B197" s="33" t="s">
        <v>523</v>
      </c>
      <c r="C197" s="33" t="s">
        <v>147</v>
      </c>
      <c r="D197" s="33" t="s">
        <v>32</v>
      </c>
      <c r="E197">
        <v>7</v>
      </c>
      <c r="F197" s="34">
        <v>3.215277777777778E-2</v>
      </c>
      <c r="G197" s="34">
        <v>4.5932539682539677E-3</v>
      </c>
      <c r="H197" s="33" t="s">
        <v>180</v>
      </c>
      <c r="I197" s="33" t="s">
        <v>146</v>
      </c>
    </row>
    <row r="198" spans="1:9" x14ac:dyDescent="0.25">
      <c r="A198" s="32">
        <v>46237</v>
      </c>
      <c r="B198" s="33" t="s">
        <v>636</v>
      </c>
      <c r="C198" s="33" t="s">
        <v>105</v>
      </c>
      <c r="D198" s="33" t="s">
        <v>105</v>
      </c>
      <c r="E198">
        <v>11</v>
      </c>
      <c r="F198" s="34">
        <v>0.17571759259259259</v>
      </c>
      <c r="G198" s="34">
        <v>1.5974326599326599E-2</v>
      </c>
      <c r="H198" s="33" t="s">
        <v>615</v>
      </c>
      <c r="I198" s="33" t="s">
        <v>601</v>
      </c>
    </row>
    <row r="199" spans="1:9" x14ac:dyDescent="0.25">
      <c r="A199" s="32">
        <v>46237</v>
      </c>
      <c r="B199" s="33" t="s">
        <v>566</v>
      </c>
      <c r="C199" s="33" t="s">
        <v>147</v>
      </c>
      <c r="D199" s="33" t="s">
        <v>147</v>
      </c>
      <c r="E199">
        <v>15</v>
      </c>
      <c r="F199" s="34">
        <v>4.5856481481481484E-2</v>
      </c>
      <c r="G199" s="34">
        <v>3.0570987654320986E-3</v>
      </c>
      <c r="H199" s="33" t="s">
        <v>207</v>
      </c>
      <c r="I199" s="33" t="s">
        <v>274</v>
      </c>
    </row>
    <row r="200" spans="1:9" x14ac:dyDescent="0.25">
      <c r="A200" s="32">
        <v>46237</v>
      </c>
      <c r="B200" s="33" t="s">
        <v>566</v>
      </c>
      <c r="C200" s="33" t="s">
        <v>147</v>
      </c>
      <c r="D200" s="33" t="s">
        <v>32</v>
      </c>
      <c r="E200">
        <v>6</v>
      </c>
      <c r="F200" s="34">
        <v>1.2962962962962963E-2</v>
      </c>
      <c r="G200" s="34">
        <v>2.1604938271604936E-3</v>
      </c>
      <c r="H200" s="33" t="s">
        <v>207</v>
      </c>
      <c r="I200" s="33" t="s">
        <v>274</v>
      </c>
    </row>
    <row r="201" spans="1:9" x14ac:dyDescent="0.25">
      <c r="A201" s="32">
        <v>46237</v>
      </c>
      <c r="B201" s="33" t="s">
        <v>637</v>
      </c>
      <c r="C201" s="33" t="s">
        <v>105</v>
      </c>
      <c r="D201" s="33" t="s">
        <v>105</v>
      </c>
      <c r="E201">
        <v>6</v>
      </c>
      <c r="F201" s="34">
        <v>0.10634259259259259</v>
      </c>
      <c r="G201" s="34">
        <v>1.7723765432098765E-2</v>
      </c>
      <c r="H201" s="33" t="s">
        <v>616</v>
      </c>
      <c r="I201" s="33" t="s">
        <v>601</v>
      </c>
    </row>
    <row r="202" spans="1:9" x14ac:dyDescent="0.25">
      <c r="A202" s="32">
        <v>46237</v>
      </c>
      <c r="B202" s="33" t="s">
        <v>637</v>
      </c>
      <c r="C202" s="33" t="s">
        <v>105</v>
      </c>
      <c r="D202" s="33" t="s">
        <v>32</v>
      </c>
      <c r="E202">
        <v>2</v>
      </c>
      <c r="F202" s="34">
        <v>7.1296296296296299E-3</v>
      </c>
      <c r="G202" s="34">
        <v>3.5648148148148149E-3</v>
      </c>
      <c r="H202" s="33" t="s">
        <v>616</v>
      </c>
      <c r="I202" s="33" t="s">
        <v>601</v>
      </c>
    </row>
    <row r="203" spans="1:9" x14ac:dyDescent="0.25">
      <c r="A203" s="32">
        <v>46237</v>
      </c>
      <c r="B203" s="33" t="s">
        <v>567</v>
      </c>
      <c r="C203" s="33" t="s">
        <v>105</v>
      </c>
      <c r="D203" s="33" t="s">
        <v>105</v>
      </c>
      <c r="E203">
        <v>7</v>
      </c>
      <c r="F203" s="34">
        <v>0.13280092592592593</v>
      </c>
      <c r="G203" s="34">
        <v>1.8971560846560848E-2</v>
      </c>
      <c r="H203" s="33" t="s">
        <v>209</v>
      </c>
      <c r="I203" s="33" t="s">
        <v>601</v>
      </c>
    </row>
    <row r="204" spans="1:9" x14ac:dyDescent="0.25">
      <c r="A204" s="32">
        <v>46237</v>
      </c>
      <c r="B204" s="33" t="s">
        <v>567</v>
      </c>
      <c r="C204" s="33" t="s">
        <v>105</v>
      </c>
      <c r="D204" s="33" t="s">
        <v>32</v>
      </c>
      <c r="E204">
        <v>1</v>
      </c>
      <c r="F204" s="34">
        <v>1.1018518518518518E-2</v>
      </c>
      <c r="G204" s="34">
        <v>1.1018518518518518E-2</v>
      </c>
      <c r="H204" s="33" t="s">
        <v>209</v>
      </c>
      <c r="I204" s="33" t="s">
        <v>601</v>
      </c>
    </row>
    <row r="205" spans="1:9" x14ac:dyDescent="0.25">
      <c r="A205" s="32">
        <v>46237</v>
      </c>
      <c r="B205" s="33" t="s">
        <v>510</v>
      </c>
      <c r="C205" s="33" t="s">
        <v>32</v>
      </c>
      <c r="D205" s="33" t="s">
        <v>32</v>
      </c>
      <c r="E205">
        <v>42</v>
      </c>
      <c r="F205" s="34">
        <v>0.24966435185185185</v>
      </c>
      <c r="G205" s="34">
        <v>5.9443893298059963E-3</v>
      </c>
      <c r="H205" s="33" t="s">
        <v>60</v>
      </c>
      <c r="I205" s="33" t="s">
        <v>100</v>
      </c>
    </row>
    <row r="206" spans="1:9" x14ac:dyDescent="0.25">
      <c r="A206" s="32">
        <v>46237</v>
      </c>
      <c r="B206" s="33" t="s">
        <v>512</v>
      </c>
      <c r="C206" s="33" t="s">
        <v>105</v>
      </c>
      <c r="D206" s="33" t="s">
        <v>105</v>
      </c>
      <c r="E206">
        <v>16</v>
      </c>
      <c r="F206" s="34">
        <v>0.27469907407407407</v>
      </c>
      <c r="G206" s="34">
        <v>1.7168692129629629E-2</v>
      </c>
      <c r="H206" s="33" t="s">
        <v>132</v>
      </c>
      <c r="I206" s="33" t="s">
        <v>104</v>
      </c>
    </row>
    <row r="207" spans="1:9" x14ac:dyDescent="0.25">
      <c r="A207" s="32">
        <v>46237</v>
      </c>
      <c r="B207" s="33" t="s">
        <v>560</v>
      </c>
      <c r="C207" s="33" t="s">
        <v>105</v>
      </c>
      <c r="D207" s="33" t="s">
        <v>105</v>
      </c>
      <c r="E207">
        <v>17</v>
      </c>
      <c r="F207" s="34">
        <v>0.26353009259259258</v>
      </c>
      <c r="G207" s="34">
        <v>1.5501770152505446E-2</v>
      </c>
      <c r="H207" s="33" t="s">
        <v>134</v>
      </c>
      <c r="I207" s="33" t="s">
        <v>104</v>
      </c>
    </row>
    <row r="208" spans="1:9" x14ac:dyDescent="0.25">
      <c r="A208" s="32">
        <v>46237</v>
      </c>
      <c r="B208" s="33" t="s">
        <v>546</v>
      </c>
      <c r="C208" s="33" t="s">
        <v>105</v>
      </c>
      <c r="D208" s="33" t="s">
        <v>105</v>
      </c>
      <c r="E208">
        <v>9</v>
      </c>
      <c r="F208" s="34">
        <v>0.19905092592592594</v>
      </c>
      <c r="G208" s="34">
        <v>2.2116769547325103E-2</v>
      </c>
      <c r="H208" s="33" t="s">
        <v>211</v>
      </c>
      <c r="I208" s="33" t="s">
        <v>104</v>
      </c>
    </row>
    <row r="209" spans="1:9" x14ac:dyDescent="0.25">
      <c r="A209" s="32">
        <v>46237</v>
      </c>
      <c r="B209" s="33" t="s">
        <v>639</v>
      </c>
      <c r="C209" s="33" t="s">
        <v>105</v>
      </c>
      <c r="D209" s="33" t="s">
        <v>105</v>
      </c>
      <c r="E209">
        <v>1</v>
      </c>
      <c r="F209" s="34">
        <v>4.103009259259259E-2</v>
      </c>
      <c r="G209" s="34">
        <v>4.103009259259259E-2</v>
      </c>
      <c r="H209" s="33" t="s">
        <v>618</v>
      </c>
      <c r="I209" s="33" t="s">
        <v>601</v>
      </c>
    </row>
    <row r="210" spans="1:9" x14ac:dyDescent="0.25">
      <c r="A210" s="32">
        <v>46237</v>
      </c>
      <c r="B210" s="33" t="s">
        <v>524</v>
      </c>
      <c r="C210" s="33" t="s">
        <v>147</v>
      </c>
      <c r="D210" s="33" t="s">
        <v>147</v>
      </c>
      <c r="E210">
        <v>9</v>
      </c>
      <c r="F210" s="34">
        <v>3.6666666666666667E-2</v>
      </c>
      <c r="G210" s="34">
        <v>4.0740740740740737E-3</v>
      </c>
      <c r="H210" s="33" t="s">
        <v>501</v>
      </c>
      <c r="I210" s="33" t="s">
        <v>274</v>
      </c>
    </row>
    <row r="211" spans="1:9" x14ac:dyDescent="0.25">
      <c r="A211" s="32">
        <v>46237</v>
      </c>
      <c r="B211" s="33" t="s">
        <v>524</v>
      </c>
      <c r="C211" s="33" t="s">
        <v>147</v>
      </c>
      <c r="D211" s="33" t="s">
        <v>32</v>
      </c>
      <c r="E211">
        <v>9</v>
      </c>
      <c r="F211" s="34">
        <v>3.591435185185185E-2</v>
      </c>
      <c r="G211" s="34">
        <v>3.9904835390946504E-3</v>
      </c>
      <c r="H211" s="33" t="s">
        <v>501</v>
      </c>
      <c r="I211" s="33" t="s">
        <v>274</v>
      </c>
    </row>
    <row r="212" spans="1:9" x14ac:dyDescent="0.25">
      <c r="A212" s="32">
        <v>46237</v>
      </c>
      <c r="B212" s="33" t="s">
        <v>572</v>
      </c>
      <c r="C212" s="33" t="s">
        <v>105</v>
      </c>
      <c r="D212" s="33" t="s">
        <v>105</v>
      </c>
      <c r="E212">
        <v>7</v>
      </c>
      <c r="F212" s="34">
        <v>0.1711574074074074</v>
      </c>
      <c r="G212" s="34">
        <v>2.4451058201058199E-2</v>
      </c>
      <c r="H212" s="33" t="s">
        <v>213</v>
      </c>
      <c r="I212" s="33" t="s">
        <v>601</v>
      </c>
    </row>
    <row r="213" spans="1:9" x14ac:dyDescent="0.25">
      <c r="A213" s="32">
        <v>46237</v>
      </c>
      <c r="B213" s="33" t="s">
        <v>547</v>
      </c>
      <c r="C213" s="33" t="s">
        <v>105</v>
      </c>
      <c r="D213" s="33" t="s">
        <v>105</v>
      </c>
      <c r="E213">
        <v>14</v>
      </c>
      <c r="F213" s="34">
        <v>0.24922453703703704</v>
      </c>
      <c r="G213" s="34">
        <v>1.7801752645502645E-2</v>
      </c>
      <c r="H213" s="33" t="s">
        <v>215</v>
      </c>
      <c r="I213" s="33" t="s">
        <v>601</v>
      </c>
    </row>
    <row r="214" spans="1:9" x14ac:dyDescent="0.25">
      <c r="A214" s="32">
        <v>46237</v>
      </c>
      <c r="B214" s="33" t="s">
        <v>640</v>
      </c>
      <c r="C214" s="33" t="s">
        <v>105</v>
      </c>
      <c r="D214" s="33" t="s">
        <v>105</v>
      </c>
      <c r="E214">
        <v>8</v>
      </c>
      <c r="F214" s="34">
        <v>0.17812500000000001</v>
      </c>
      <c r="G214" s="34">
        <v>2.2265625000000001E-2</v>
      </c>
      <c r="H214" s="33" t="s">
        <v>619</v>
      </c>
      <c r="I214" s="33" t="s">
        <v>601</v>
      </c>
    </row>
    <row r="215" spans="1:9" x14ac:dyDescent="0.25">
      <c r="A215" s="32">
        <v>46237</v>
      </c>
      <c r="B215" s="33" t="s">
        <v>640</v>
      </c>
      <c r="C215" s="33" t="s">
        <v>105</v>
      </c>
      <c r="D215" s="33" t="s">
        <v>32</v>
      </c>
      <c r="E215">
        <v>1</v>
      </c>
      <c r="F215" s="34">
        <v>3.3576388888888892E-2</v>
      </c>
      <c r="G215" s="34">
        <v>3.3576388888888892E-2</v>
      </c>
      <c r="H215" s="33" t="s">
        <v>619</v>
      </c>
      <c r="I215" s="33" t="s">
        <v>601</v>
      </c>
    </row>
    <row r="216" spans="1:9" x14ac:dyDescent="0.25">
      <c r="A216" s="32">
        <v>46237</v>
      </c>
      <c r="B216" s="33" t="s">
        <v>669</v>
      </c>
      <c r="C216" s="33" t="s">
        <v>32</v>
      </c>
      <c r="D216" s="33" t="s">
        <v>32</v>
      </c>
      <c r="E216">
        <v>30</v>
      </c>
      <c r="F216" s="34">
        <v>0.16410879629629629</v>
      </c>
      <c r="G216" s="34">
        <v>5.4702932098765434E-3</v>
      </c>
      <c r="H216" s="33" t="s">
        <v>668</v>
      </c>
      <c r="I216" s="33" t="s">
        <v>233</v>
      </c>
    </row>
    <row r="217" spans="1:9" x14ac:dyDescent="0.25">
      <c r="A217" s="32">
        <v>46237</v>
      </c>
      <c r="B217" s="33" t="s">
        <v>670</v>
      </c>
      <c r="C217" s="33" t="s">
        <v>32</v>
      </c>
      <c r="D217" s="33" t="s">
        <v>32</v>
      </c>
      <c r="E217">
        <v>29</v>
      </c>
      <c r="F217" s="34">
        <v>0.22244212962962964</v>
      </c>
      <c r="G217" s="34">
        <v>7.6704182630906777E-3</v>
      </c>
      <c r="H217" s="33" t="s">
        <v>744</v>
      </c>
      <c r="I217" s="33" t="s">
        <v>100</v>
      </c>
    </row>
    <row r="218" spans="1:9" x14ac:dyDescent="0.25">
      <c r="A218" s="32">
        <v>46237</v>
      </c>
      <c r="B218" s="33" t="s">
        <v>548</v>
      </c>
      <c r="C218" s="33" t="s">
        <v>105</v>
      </c>
      <c r="D218" s="33" t="s">
        <v>105</v>
      </c>
      <c r="E218">
        <v>19</v>
      </c>
      <c r="F218" s="34">
        <v>0.27539351851851851</v>
      </c>
      <c r="G218" s="34">
        <v>1.4494395711500975E-2</v>
      </c>
      <c r="H218" s="33" t="s">
        <v>219</v>
      </c>
      <c r="I218" s="33" t="s">
        <v>104</v>
      </c>
    </row>
    <row r="219" spans="1:9" x14ac:dyDescent="0.25">
      <c r="A219" s="32">
        <v>46237</v>
      </c>
      <c r="B219" s="33" t="s">
        <v>306</v>
      </c>
      <c r="C219" s="33" t="s">
        <v>32</v>
      </c>
      <c r="D219" s="33" t="s">
        <v>32</v>
      </c>
      <c r="E219">
        <v>54</v>
      </c>
      <c r="F219" s="34">
        <v>0.3004398148148148</v>
      </c>
      <c r="G219" s="34">
        <v>5.563700274348422E-3</v>
      </c>
      <c r="H219" s="33" t="s">
        <v>305</v>
      </c>
      <c r="I219" s="33" t="s">
        <v>100</v>
      </c>
    </row>
    <row r="220" spans="1:9" x14ac:dyDescent="0.25">
      <c r="A220" s="32">
        <v>46237</v>
      </c>
      <c r="B220" s="33" t="s">
        <v>641</v>
      </c>
      <c r="C220" s="33" t="s">
        <v>105</v>
      </c>
      <c r="D220" s="33" t="s">
        <v>105</v>
      </c>
      <c r="E220">
        <v>13</v>
      </c>
      <c r="F220" s="34">
        <v>0.23354166666666668</v>
      </c>
      <c r="G220" s="34">
        <v>1.7964743589743589E-2</v>
      </c>
      <c r="H220" s="33" t="s">
        <v>620</v>
      </c>
      <c r="I220" s="33" t="s">
        <v>601</v>
      </c>
    </row>
    <row r="221" spans="1:9" x14ac:dyDescent="0.25">
      <c r="A221" s="32">
        <v>46237</v>
      </c>
      <c r="B221" s="33" t="s">
        <v>556</v>
      </c>
      <c r="C221" s="33" t="s">
        <v>105</v>
      </c>
      <c r="D221" s="33" t="s">
        <v>105</v>
      </c>
      <c r="E221">
        <v>16</v>
      </c>
      <c r="F221" s="34">
        <v>0.19341435185185185</v>
      </c>
      <c r="G221" s="34">
        <v>1.2088396990740741E-2</v>
      </c>
      <c r="H221" s="33" t="s">
        <v>138</v>
      </c>
      <c r="I221" s="33" t="s">
        <v>104</v>
      </c>
    </row>
    <row r="222" spans="1:9" x14ac:dyDescent="0.25">
      <c r="A222" s="32">
        <v>46237</v>
      </c>
      <c r="B222" s="33" t="s">
        <v>532</v>
      </c>
      <c r="C222" s="33" t="s">
        <v>32</v>
      </c>
      <c r="D222" s="33" t="s">
        <v>32</v>
      </c>
      <c r="E222">
        <v>41</v>
      </c>
      <c r="F222" s="34">
        <v>0.13099537037037037</v>
      </c>
      <c r="G222" s="34">
        <v>3.1950090334236679E-3</v>
      </c>
      <c r="H222" s="33" t="s">
        <v>276</v>
      </c>
      <c r="I222" s="33" t="s">
        <v>233</v>
      </c>
    </row>
    <row r="223" spans="1:9" x14ac:dyDescent="0.25">
      <c r="A223" s="32">
        <v>46237</v>
      </c>
      <c r="B223" s="33" t="s">
        <v>533</v>
      </c>
      <c r="C223" s="33" t="s">
        <v>32</v>
      </c>
      <c r="D223" s="33" t="s">
        <v>32</v>
      </c>
      <c r="E223">
        <v>29</v>
      </c>
      <c r="F223" s="34">
        <v>0.13844907407407409</v>
      </c>
      <c r="G223" s="34">
        <v>4.7741060025542782E-3</v>
      </c>
      <c r="H223" s="33" t="s">
        <v>278</v>
      </c>
      <c r="I223" s="33" t="s">
        <v>233</v>
      </c>
    </row>
    <row r="224" spans="1:9" x14ac:dyDescent="0.25">
      <c r="A224" s="32">
        <v>46237</v>
      </c>
      <c r="B224" s="33" t="s">
        <v>511</v>
      </c>
      <c r="C224" s="33" t="s">
        <v>80</v>
      </c>
      <c r="D224" s="33" t="s">
        <v>32</v>
      </c>
      <c r="E224">
        <v>2</v>
      </c>
      <c r="F224" s="34">
        <v>4.4444444444444444E-3</v>
      </c>
      <c r="G224" s="34">
        <v>2.2222222222222222E-3</v>
      </c>
      <c r="H224" s="33" t="s">
        <v>313</v>
      </c>
      <c r="I224" s="33" t="s">
        <v>78</v>
      </c>
    </row>
    <row r="225" spans="1:9" x14ac:dyDescent="0.25">
      <c r="A225" s="32">
        <v>46237</v>
      </c>
      <c r="B225" s="33" t="s">
        <v>674</v>
      </c>
      <c r="C225" s="33" t="s">
        <v>105</v>
      </c>
      <c r="D225" s="33" t="s">
        <v>105</v>
      </c>
      <c r="E225">
        <v>14</v>
      </c>
      <c r="F225" s="34">
        <v>0.19850694444444444</v>
      </c>
      <c r="G225" s="34">
        <v>1.4179067460317461E-2</v>
      </c>
      <c r="H225" s="33" t="s">
        <v>673</v>
      </c>
      <c r="I225" s="33" t="s">
        <v>104</v>
      </c>
    </row>
    <row r="226" spans="1:9" x14ac:dyDescent="0.25">
      <c r="A226" s="32">
        <v>46237</v>
      </c>
      <c r="B226" s="33" t="s">
        <v>549</v>
      </c>
      <c r="C226" s="33" t="s">
        <v>105</v>
      </c>
      <c r="D226" s="33" t="s">
        <v>105</v>
      </c>
      <c r="E226">
        <v>13</v>
      </c>
      <c r="F226" s="34">
        <v>0.34709490740740739</v>
      </c>
      <c r="G226" s="34">
        <v>2.6699608262108262E-2</v>
      </c>
      <c r="H226" s="33" t="s">
        <v>225</v>
      </c>
      <c r="I226" s="33" t="s">
        <v>601</v>
      </c>
    </row>
    <row r="227" spans="1:9" x14ac:dyDescent="0.25">
      <c r="A227" s="32">
        <v>46237</v>
      </c>
      <c r="B227" s="33" t="s">
        <v>534</v>
      </c>
      <c r="C227" s="33" t="s">
        <v>32</v>
      </c>
      <c r="D227" s="33" t="s">
        <v>32</v>
      </c>
      <c r="E227">
        <v>39</v>
      </c>
      <c r="F227" s="34">
        <v>0.11961805555555556</v>
      </c>
      <c r="G227" s="34">
        <v>3.0671296296296297E-3</v>
      </c>
      <c r="H227" s="33" t="s">
        <v>280</v>
      </c>
      <c r="I227" s="33" t="s">
        <v>233</v>
      </c>
    </row>
    <row r="228" spans="1:9" x14ac:dyDescent="0.25">
      <c r="A228" s="32">
        <v>46237</v>
      </c>
      <c r="B228" s="33" t="s">
        <v>571</v>
      </c>
      <c r="C228" s="33" t="s">
        <v>105</v>
      </c>
      <c r="D228" s="33" t="s">
        <v>105</v>
      </c>
      <c r="E228">
        <v>13</v>
      </c>
      <c r="F228" s="34">
        <v>0.25300925925925927</v>
      </c>
      <c r="G228" s="34">
        <v>1.946225071225071E-2</v>
      </c>
      <c r="H228" s="33" t="s">
        <v>299</v>
      </c>
      <c r="I228" s="33" t="s">
        <v>104</v>
      </c>
    </row>
    <row r="229" spans="1:9" x14ac:dyDescent="0.25">
      <c r="A229" s="32">
        <v>46237</v>
      </c>
      <c r="B229" s="33" t="s">
        <v>535</v>
      </c>
      <c r="C229" s="33" t="s">
        <v>32</v>
      </c>
      <c r="D229" s="33" t="s">
        <v>32</v>
      </c>
      <c r="E229">
        <v>62</v>
      </c>
      <c r="F229" s="34">
        <v>0.12487268518518518</v>
      </c>
      <c r="G229" s="34">
        <v>2.014075567502987E-3</v>
      </c>
      <c r="H229" s="33" t="s">
        <v>282</v>
      </c>
      <c r="I229" s="33" t="s">
        <v>233</v>
      </c>
    </row>
    <row r="230" spans="1:9" x14ac:dyDescent="0.25">
      <c r="A230" s="32">
        <v>46237</v>
      </c>
      <c r="B230" s="33" t="s">
        <v>557</v>
      </c>
      <c r="C230" s="33" t="s">
        <v>147</v>
      </c>
      <c r="D230" s="33" t="s">
        <v>147</v>
      </c>
      <c r="E230">
        <v>6</v>
      </c>
      <c r="F230" s="34">
        <v>2.837962962962963E-2</v>
      </c>
      <c r="G230" s="34">
        <v>4.7299382716049386E-3</v>
      </c>
      <c r="H230" s="33" t="s">
        <v>227</v>
      </c>
      <c r="I230" s="33" t="s">
        <v>146</v>
      </c>
    </row>
    <row r="231" spans="1:9" x14ac:dyDescent="0.25">
      <c r="A231" s="32">
        <v>46237</v>
      </c>
      <c r="B231" s="33" t="s">
        <v>557</v>
      </c>
      <c r="C231" s="33" t="s">
        <v>147</v>
      </c>
      <c r="D231" s="33" t="s">
        <v>32</v>
      </c>
      <c r="E231">
        <v>2</v>
      </c>
      <c r="F231" s="34">
        <v>6.9444444444444447E-4</v>
      </c>
      <c r="G231" s="34">
        <v>3.4722222222222224E-4</v>
      </c>
      <c r="H231" s="33" t="s">
        <v>227</v>
      </c>
      <c r="I231" s="33" t="s">
        <v>146</v>
      </c>
    </row>
    <row r="232" spans="1:9" x14ac:dyDescent="0.25">
      <c r="A232" s="32">
        <v>46237</v>
      </c>
      <c r="B232" s="33" t="s">
        <v>676</v>
      </c>
      <c r="C232" s="33" t="s">
        <v>105</v>
      </c>
      <c r="D232" s="33" t="s">
        <v>105</v>
      </c>
      <c r="E232">
        <v>10</v>
      </c>
      <c r="F232" s="34">
        <v>0.23590277777777777</v>
      </c>
      <c r="G232" s="34">
        <v>2.3590277777777779E-2</v>
      </c>
      <c r="H232" s="33" t="s">
        <v>675</v>
      </c>
      <c r="I232" s="33" t="s">
        <v>104</v>
      </c>
    </row>
    <row r="233" spans="1:9" x14ac:dyDescent="0.25">
      <c r="A233" s="32">
        <v>46237</v>
      </c>
      <c r="B233" s="33" t="s">
        <v>678</v>
      </c>
      <c r="C233" s="33" t="s">
        <v>147</v>
      </c>
      <c r="D233" s="33" t="s">
        <v>147</v>
      </c>
      <c r="E233">
        <v>18</v>
      </c>
      <c r="F233" s="34">
        <v>4.9467592592592591E-2</v>
      </c>
      <c r="G233" s="34">
        <v>2.7481995884773664E-3</v>
      </c>
      <c r="H233" s="33" t="s">
        <v>677</v>
      </c>
      <c r="I233" s="33" t="s">
        <v>274</v>
      </c>
    </row>
    <row r="234" spans="1:9" x14ac:dyDescent="0.25">
      <c r="A234" s="32">
        <v>46237</v>
      </c>
      <c r="B234" s="33" t="s">
        <v>678</v>
      </c>
      <c r="C234" s="33" t="s">
        <v>147</v>
      </c>
      <c r="D234" s="33" t="s">
        <v>32</v>
      </c>
      <c r="E234">
        <v>7</v>
      </c>
      <c r="F234" s="34">
        <v>1.3622685185185186E-2</v>
      </c>
      <c r="G234" s="34">
        <v>1.9460978835978836E-3</v>
      </c>
      <c r="H234" s="33" t="s">
        <v>677</v>
      </c>
      <c r="I234" s="33" t="s">
        <v>274</v>
      </c>
    </row>
    <row r="235" spans="1:9" x14ac:dyDescent="0.25">
      <c r="A235" s="32">
        <v>46237</v>
      </c>
      <c r="B235" s="33" t="s">
        <v>680</v>
      </c>
      <c r="C235" s="33" t="s">
        <v>147</v>
      </c>
      <c r="D235" s="33" t="s">
        <v>147</v>
      </c>
      <c r="E235">
        <v>13</v>
      </c>
      <c r="F235" s="34">
        <v>3.1689814814814816E-2</v>
      </c>
      <c r="G235" s="34">
        <v>2.4376780626780628E-3</v>
      </c>
      <c r="H235" s="33" t="s">
        <v>679</v>
      </c>
      <c r="I235" s="33" t="s">
        <v>274</v>
      </c>
    </row>
    <row r="236" spans="1:9" x14ac:dyDescent="0.25">
      <c r="A236" s="32">
        <v>46237</v>
      </c>
      <c r="B236" s="33" t="s">
        <v>680</v>
      </c>
      <c r="C236" s="33" t="s">
        <v>147</v>
      </c>
      <c r="D236" s="33" t="s">
        <v>32</v>
      </c>
      <c r="E236">
        <v>8</v>
      </c>
      <c r="F236" s="34">
        <v>2.5428240740740741E-2</v>
      </c>
      <c r="G236" s="34">
        <v>3.1785300925925926E-3</v>
      </c>
      <c r="H236" s="33" t="s">
        <v>679</v>
      </c>
      <c r="I236" s="33" t="s">
        <v>274</v>
      </c>
    </row>
    <row r="237" spans="1:9" x14ac:dyDescent="0.25">
      <c r="A237" s="32">
        <v>46238</v>
      </c>
      <c r="B237" s="33" t="s">
        <v>598</v>
      </c>
      <c r="C237" s="33" t="s">
        <v>284</v>
      </c>
      <c r="D237" s="33" t="s">
        <v>600</v>
      </c>
      <c r="E237">
        <v>17</v>
      </c>
      <c r="F237" s="34">
        <v>1.9675925925925926E-4</v>
      </c>
      <c r="G237" s="34">
        <v>1.1574074074074073E-5</v>
      </c>
      <c r="H237" s="33" t="s">
        <v>598</v>
      </c>
      <c r="I237" s="33" t="s">
        <v>284</v>
      </c>
    </row>
    <row r="238" spans="1:9" x14ac:dyDescent="0.25">
      <c r="A238" s="32">
        <v>46238</v>
      </c>
      <c r="B238" s="33" t="s">
        <v>562</v>
      </c>
      <c r="C238" s="33" t="s">
        <v>80</v>
      </c>
      <c r="D238" s="33" t="s">
        <v>32</v>
      </c>
      <c r="E238">
        <v>3</v>
      </c>
      <c r="F238" s="34">
        <v>7.6041666666666671E-3</v>
      </c>
      <c r="G238" s="34">
        <v>2.5347222222222221E-3</v>
      </c>
      <c r="H238" s="33" t="s">
        <v>186</v>
      </c>
      <c r="I238" s="33" t="s">
        <v>78</v>
      </c>
    </row>
    <row r="239" spans="1:9" x14ac:dyDescent="0.25">
      <c r="A239" s="32">
        <v>46238</v>
      </c>
      <c r="B239" s="33" t="s">
        <v>644</v>
      </c>
      <c r="C239" s="33" t="s">
        <v>32</v>
      </c>
      <c r="D239" s="33" t="s">
        <v>32</v>
      </c>
      <c r="E239">
        <v>23</v>
      </c>
      <c r="F239" s="34">
        <v>0.16446759259259258</v>
      </c>
      <c r="G239" s="34">
        <v>7.1507648953301126E-3</v>
      </c>
      <c r="H239" s="33" t="s">
        <v>643</v>
      </c>
      <c r="I239" s="33" t="s">
        <v>233</v>
      </c>
    </row>
    <row r="240" spans="1:9" x14ac:dyDescent="0.25">
      <c r="A240" s="32">
        <v>46238</v>
      </c>
      <c r="B240" s="33" t="s">
        <v>563</v>
      </c>
      <c r="C240" s="33" t="s">
        <v>147</v>
      </c>
      <c r="D240" s="33" t="s">
        <v>147</v>
      </c>
      <c r="E240">
        <v>7</v>
      </c>
      <c r="F240" s="34">
        <v>2.4791666666666667E-2</v>
      </c>
      <c r="G240" s="34">
        <v>3.5416666666666665E-3</v>
      </c>
      <c r="H240" s="33" t="s">
        <v>193</v>
      </c>
      <c r="I240" s="33" t="s">
        <v>274</v>
      </c>
    </row>
    <row r="241" spans="1:9" x14ac:dyDescent="0.25">
      <c r="A241" s="32">
        <v>46238</v>
      </c>
      <c r="B241" s="33" t="s">
        <v>563</v>
      </c>
      <c r="C241" s="33" t="s">
        <v>147</v>
      </c>
      <c r="D241" s="33" t="s">
        <v>32</v>
      </c>
      <c r="E241">
        <v>16</v>
      </c>
      <c r="F241" s="34">
        <v>7.5601851851851851E-2</v>
      </c>
      <c r="G241" s="34">
        <v>4.7251157407407407E-3</v>
      </c>
      <c r="H241" s="33" t="s">
        <v>193</v>
      </c>
      <c r="I241" s="33" t="s">
        <v>274</v>
      </c>
    </row>
    <row r="242" spans="1:9" x14ac:dyDescent="0.25">
      <c r="A242" s="32">
        <v>46238</v>
      </c>
      <c r="B242" s="33" t="s">
        <v>525</v>
      </c>
      <c r="C242" s="33" t="s">
        <v>32</v>
      </c>
      <c r="D242" s="33" t="s">
        <v>32</v>
      </c>
      <c r="E242">
        <v>33</v>
      </c>
      <c r="F242" s="34">
        <v>0.17288194444444444</v>
      </c>
      <c r="G242" s="34">
        <v>5.2388468013468015E-3</v>
      </c>
      <c r="H242" s="33" t="s">
        <v>231</v>
      </c>
      <c r="I242" s="33" t="s">
        <v>233</v>
      </c>
    </row>
    <row r="243" spans="1:9" x14ac:dyDescent="0.25">
      <c r="A243" s="32">
        <v>46238</v>
      </c>
      <c r="B243" s="33" t="s">
        <v>513</v>
      </c>
      <c r="C243" s="33" t="s">
        <v>105</v>
      </c>
      <c r="D243" s="33" t="s">
        <v>105</v>
      </c>
      <c r="E243">
        <v>19</v>
      </c>
      <c r="F243" s="34">
        <v>0.22578703703703704</v>
      </c>
      <c r="G243" s="34">
        <v>1.1883528265107211E-2</v>
      </c>
      <c r="H243" s="33" t="s">
        <v>148</v>
      </c>
      <c r="I243" s="33" t="s">
        <v>104</v>
      </c>
    </row>
    <row r="244" spans="1:9" x14ac:dyDescent="0.25">
      <c r="A244" s="32">
        <v>46238</v>
      </c>
      <c r="B244" s="33" t="s">
        <v>505</v>
      </c>
      <c r="C244" s="33" t="s">
        <v>32</v>
      </c>
      <c r="D244" s="33" t="s">
        <v>32</v>
      </c>
      <c r="E244">
        <v>43</v>
      </c>
      <c r="F244" s="34">
        <v>0.15293981481481481</v>
      </c>
      <c r="G244" s="34">
        <v>3.5567398794142981E-3</v>
      </c>
      <c r="H244" s="33" t="s">
        <v>34</v>
      </c>
      <c r="I244" s="33" t="s">
        <v>233</v>
      </c>
    </row>
    <row r="245" spans="1:9" x14ac:dyDescent="0.25">
      <c r="A245" s="32">
        <v>46238</v>
      </c>
      <c r="B245" s="33" t="s">
        <v>569</v>
      </c>
      <c r="C245" s="33" t="s">
        <v>105</v>
      </c>
      <c r="D245" s="33" t="s">
        <v>105</v>
      </c>
      <c r="E245">
        <v>19</v>
      </c>
      <c r="F245" s="34">
        <v>0.22144675925925925</v>
      </c>
      <c r="G245" s="34">
        <v>1.1655092592592592E-2</v>
      </c>
      <c r="H245" s="33" t="s">
        <v>493</v>
      </c>
      <c r="I245" s="33" t="s">
        <v>104</v>
      </c>
    </row>
    <row r="246" spans="1:9" x14ac:dyDescent="0.25">
      <c r="A246" s="32">
        <v>46238</v>
      </c>
      <c r="B246" s="33" t="s">
        <v>551</v>
      </c>
      <c r="C246" s="33" t="s">
        <v>32</v>
      </c>
      <c r="D246" s="33" t="s">
        <v>32</v>
      </c>
      <c r="E246">
        <v>15</v>
      </c>
      <c r="F246" s="34">
        <v>7.7476851851851852E-2</v>
      </c>
      <c r="G246" s="34">
        <v>5.1651234567901229E-3</v>
      </c>
      <c r="H246" s="33" t="s">
        <v>236</v>
      </c>
      <c r="I246" s="33" t="s">
        <v>233</v>
      </c>
    </row>
    <row r="247" spans="1:9" x14ac:dyDescent="0.25">
      <c r="A247" s="32">
        <v>46238</v>
      </c>
      <c r="B247" s="33" t="s">
        <v>631</v>
      </c>
      <c r="C247" s="33" t="s">
        <v>105</v>
      </c>
      <c r="D247" s="33" t="s">
        <v>105</v>
      </c>
      <c r="E247">
        <v>13</v>
      </c>
      <c r="F247" s="34">
        <v>0.18652777777777776</v>
      </c>
      <c r="G247" s="34">
        <v>1.4348290598290597E-2</v>
      </c>
      <c r="H247" s="33" t="s">
        <v>608</v>
      </c>
      <c r="I247" s="33" t="s">
        <v>601</v>
      </c>
    </row>
    <row r="248" spans="1:9" x14ac:dyDescent="0.25">
      <c r="A248" s="32">
        <v>46238</v>
      </c>
      <c r="B248" s="33" t="s">
        <v>564</v>
      </c>
      <c r="C248" s="33" t="s">
        <v>105</v>
      </c>
      <c r="D248" s="33" t="s">
        <v>105</v>
      </c>
      <c r="E248">
        <v>6</v>
      </c>
      <c r="F248" s="34">
        <v>0.12003472222222222</v>
      </c>
      <c r="G248" s="34">
        <v>2.0005787037037037E-2</v>
      </c>
      <c r="H248" s="33" t="s">
        <v>197</v>
      </c>
      <c r="I248" s="33" t="s">
        <v>601</v>
      </c>
    </row>
    <row r="249" spans="1:9" x14ac:dyDescent="0.25">
      <c r="A249" s="32">
        <v>46238</v>
      </c>
      <c r="B249" s="33" t="s">
        <v>514</v>
      </c>
      <c r="C249" s="33" t="s">
        <v>147</v>
      </c>
      <c r="D249" s="33" t="s">
        <v>147</v>
      </c>
      <c r="E249">
        <v>16</v>
      </c>
      <c r="F249" s="34">
        <v>3.3842592592592591E-2</v>
      </c>
      <c r="G249" s="34">
        <v>2.1151620370370369E-3</v>
      </c>
      <c r="H249" s="33" t="s">
        <v>150</v>
      </c>
      <c r="I249" s="33" t="s">
        <v>146</v>
      </c>
    </row>
    <row r="250" spans="1:9" x14ac:dyDescent="0.25">
      <c r="A250" s="32">
        <v>46238</v>
      </c>
      <c r="B250" s="33" t="s">
        <v>514</v>
      </c>
      <c r="C250" s="33" t="s">
        <v>147</v>
      </c>
      <c r="D250" s="33" t="s">
        <v>32</v>
      </c>
      <c r="E250">
        <v>7</v>
      </c>
      <c r="F250" s="34">
        <v>2.0474537037037038E-2</v>
      </c>
      <c r="G250" s="34">
        <v>2.9249338624338624E-3</v>
      </c>
      <c r="H250" s="33" t="s">
        <v>150</v>
      </c>
      <c r="I250" s="33" t="s">
        <v>146</v>
      </c>
    </row>
    <row r="251" spans="1:9" x14ac:dyDescent="0.25">
      <c r="A251" s="32">
        <v>46238</v>
      </c>
      <c r="B251" s="33" t="s">
        <v>536</v>
      </c>
      <c r="C251" s="33" t="s">
        <v>32</v>
      </c>
      <c r="D251" s="33" t="s">
        <v>32</v>
      </c>
      <c r="E251">
        <v>4</v>
      </c>
      <c r="F251" s="34">
        <v>6.1087962962962962E-2</v>
      </c>
      <c r="G251" s="34">
        <v>1.527199074074074E-2</v>
      </c>
      <c r="H251" s="33" t="s">
        <v>38</v>
      </c>
      <c r="I251" s="33" t="s">
        <v>100</v>
      </c>
    </row>
    <row r="252" spans="1:9" x14ac:dyDescent="0.25">
      <c r="A252" s="32">
        <v>46238</v>
      </c>
      <c r="B252" s="33" t="s">
        <v>682</v>
      </c>
      <c r="C252" s="33" t="s">
        <v>105</v>
      </c>
      <c r="D252" s="33" t="s">
        <v>105</v>
      </c>
      <c r="E252">
        <v>9</v>
      </c>
      <c r="F252" s="34">
        <v>0.13886574074074073</v>
      </c>
      <c r="G252" s="34">
        <v>1.5429526748971193E-2</v>
      </c>
      <c r="H252" s="33" t="s">
        <v>681</v>
      </c>
      <c r="I252" s="33" t="s">
        <v>601</v>
      </c>
    </row>
    <row r="253" spans="1:9" x14ac:dyDescent="0.25">
      <c r="A253" s="32">
        <v>46238</v>
      </c>
      <c r="B253" s="33" t="s">
        <v>515</v>
      </c>
      <c r="C253" s="33" t="s">
        <v>147</v>
      </c>
      <c r="D253" s="33" t="s">
        <v>147</v>
      </c>
      <c r="E253">
        <v>14</v>
      </c>
      <c r="F253" s="34">
        <v>2.9560185185185186E-2</v>
      </c>
      <c r="G253" s="34">
        <v>2.1114417989417989E-3</v>
      </c>
      <c r="H253" s="33" t="s">
        <v>154</v>
      </c>
      <c r="I253" s="33" t="s">
        <v>146</v>
      </c>
    </row>
    <row r="254" spans="1:9" x14ac:dyDescent="0.25">
      <c r="A254" s="32">
        <v>46238</v>
      </c>
      <c r="B254" s="33" t="s">
        <v>515</v>
      </c>
      <c r="C254" s="33" t="s">
        <v>147</v>
      </c>
      <c r="D254" s="33" t="s">
        <v>32</v>
      </c>
      <c r="E254">
        <v>10</v>
      </c>
      <c r="F254" s="34">
        <v>1.9444444444444445E-2</v>
      </c>
      <c r="G254" s="34">
        <v>1.9444444444444444E-3</v>
      </c>
      <c r="H254" s="33" t="s">
        <v>154</v>
      </c>
      <c r="I254" s="33" t="s">
        <v>146</v>
      </c>
    </row>
    <row r="255" spans="1:9" x14ac:dyDescent="0.25">
      <c r="A255" s="32">
        <v>46238</v>
      </c>
      <c r="B255" s="33" t="s">
        <v>570</v>
      </c>
      <c r="C255" s="33" t="s">
        <v>105</v>
      </c>
      <c r="D255" s="33" t="s">
        <v>105</v>
      </c>
      <c r="E255">
        <v>12</v>
      </c>
      <c r="F255" s="34">
        <v>0.14956018518518518</v>
      </c>
      <c r="G255" s="34">
        <v>1.2463348765432099E-2</v>
      </c>
      <c r="H255" s="33" t="s">
        <v>112</v>
      </c>
      <c r="I255" s="33" t="s">
        <v>104</v>
      </c>
    </row>
    <row r="256" spans="1:9" x14ac:dyDescent="0.25">
      <c r="A256" s="32">
        <v>46238</v>
      </c>
      <c r="B256" s="33" t="s">
        <v>537</v>
      </c>
      <c r="C256" s="33" t="s">
        <v>105</v>
      </c>
      <c r="D256" s="33" t="s">
        <v>105</v>
      </c>
      <c r="E256">
        <v>20</v>
      </c>
      <c r="F256" s="34">
        <v>0.22577546296296297</v>
      </c>
      <c r="G256" s="34">
        <v>1.1288773148148148E-2</v>
      </c>
      <c r="H256" s="33" t="s">
        <v>42</v>
      </c>
      <c r="I256" s="33" t="s">
        <v>104</v>
      </c>
    </row>
    <row r="257" spans="1:9" x14ac:dyDescent="0.25">
      <c r="A257" s="32">
        <v>46238</v>
      </c>
      <c r="B257" s="33" t="s">
        <v>516</v>
      </c>
      <c r="C257" s="33" t="s">
        <v>147</v>
      </c>
      <c r="D257" s="33" t="s">
        <v>147</v>
      </c>
      <c r="E257">
        <v>22</v>
      </c>
      <c r="F257" s="34">
        <v>2.7592592592592592E-2</v>
      </c>
      <c r="G257" s="34">
        <v>1.2542087542087542E-3</v>
      </c>
      <c r="H257" s="33" t="s">
        <v>156</v>
      </c>
      <c r="I257" s="33" t="s">
        <v>146</v>
      </c>
    </row>
    <row r="258" spans="1:9" x14ac:dyDescent="0.25">
      <c r="A258" s="32">
        <v>46238</v>
      </c>
      <c r="B258" s="33" t="s">
        <v>516</v>
      </c>
      <c r="C258" s="33" t="s">
        <v>147</v>
      </c>
      <c r="D258" s="33" t="s">
        <v>32</v>
      </c>
      <c r="E258">
        <v>12</v>
      </c>
      <c r="F258" s="34">
        <v>1.292824074074074E-2</v>
      </c>
      <c r="G258" s="34">
        <v>1.0773533950617284E-3</v>
      </c>
      <c r="H258" s="33" t="s">
        <v>156</v>
      </c>
      <c r="I258" s="33" t="s">
        <v>146</v>
      </c>
    </row>
    <row r="259" spans="1:9" x14ac:dyDescent="0.25">
      <c r="A259" s="32">
        <v>46238</v>
      </c>
      <c r="B259" s="33" t="s">
        <v>541</v>
      </c>
      <c r="C259" s="33" t="s">
        <v>105</v>
      </c>
      <c r="D259" s="33" t="s">
        <v>105</v>
      </c>
      <c r="E259">
        <v>15</v>
      </c>
      <c r="F259" s="34">
        <v>0.1973263888888889</v>
      </c>
      <c r="G259" s="34">
        <v>1.3155092592592591E-2</v>
      </c>
      <c r="H259" s="33" t="s">
        <v>114</v>
      </c>
      <c r="I259" s="33" t="s">
        <v>104</v>
      </c>
    </row>
    <row r="260" spans="1:9" x14ac:dyDescent="0.25">
      <c r="A260" s="32">
        <v>46238</v>
      </c>
      <c r="B260" s="33" t="s">
        <v>506</v>
      </c>
      <c r="C260" s="33" t="s">
        <v>32</v>
      </c>
      <c r="D260" s="33" t="s">
        <v>32</v>
      </c>
      <c r="E260">
        <v>25</v>
      </c>
      <c r="F260" s="34">
        <v>0.23005787037037037</v>
      </c>
      <c r="G260" s="34">
        <v>9.2023148148148159E-3</v>
      </c>
      <c r="H260" s="33" t="s">
        <v>44</v>
      </c>
      <c r="I260" s="33" t="s">
        <v>100</v>
      </c>
    </row>
    <row r="261" spans="1:9" x14ac:dyDescent="0.25">
      <c r="A261" s="32">
        <v>46238</v>
      </c>
      <c r="B261" s="33" t="s">
        <v>632</v>
      </c>
      <c r="C261" s="33" t="s">
        <v>105</v>
      </c>
      <c r="D261" s="33" t="s">
        <v>105</v>
      </c>
      <c r="E261">
        <v>8</v>
      </c>
      <c r="F261" s="34">
        <v>0.10715277777777778</v>
      </c>
      <c r="G261" s="34">
        <v>1.3394097222222222E-2</v>
      </c>
      <c r="H261" s="33" t="s">
        <v>609</v>
      </c>
      <c r="I261" s="33" t="s">
        <v>601</v>
      </c>
    </row>
    <row r="262" spans="1:9" x14ac:dyDescent="0.25">
      <c r="A262" s="32">
        <v>46238</v>
      </c>
      <c r="B262" s="33" t="s">
        <v>539</v>
      </c>
      <c r="C262" s="33" t="s">
        <v>284</v>
      </c>
      <c r="D262" s="33" t="s">
        <v>32</v>
      </c>
      <c r="E262">
        <v>1</v>
      </c>
      <c r="F262" s="34">
        <v>2.0011574074074074E-2</v>
      </c>
      <c r="G262" s="34">
        <v>2.0011574074074074E-2</v>
      </c>
      <c r="H262" s="33" t="s">
        <v>539</v>
      </c>
      <c r="I262" s="33" t="s">
        <v>284</v>
      </c>
    </row>
    <row r="263" spans="1:9" x14ac:dyDescent="0.25">
      <c r="A263" s="32">
        <v>46238</v>
      </c>
      <c r="B263" s="33" t="s">
        <v>540</v>
      </c>
      <c r="C263" s="33" t="s">
        <v>284</v>
      </c>
      <c r="D263" s="33" t="s">
        <v>32</v>
      </c>
      <c r="E263">
        <v>1</v>
      </c>
      <c r="F263" s="34">
        <v>1.4444444444444444E-2</v>
      </c>
      <c r="G263" s="34">
        <v>1.4444444444444444E-2</v>
      </c>
      <c r="H263" s="33" t="s">
        <v>540</v>
      </c>
      <c r="I263" s="33" t="s">
        <v>284</v>
      </c>
    </row>
    <row r="264" spans="1:9" x14ac:dyDescent="0.25">
      <c r="A264" s="32">
        <v>46238</v>
      </c>
      <c r="B264" s="33" t="s">
        <v>646</v>
      </c>
      <c r="C264" s="33" t="s">
        <v>32</v>
      </c>
      <c r="D264" s="33" t="s">
        <v>32</v>
      </c>
      <c r="E264">
        <v>35</v>
      </c>
      <c r="F264" s="34">
        <v>0.25064814814814818</v>
      </c>
      <c r="G264" s="34">
        <v>7.161375661375661E-3</v>
      </c>
      <c r="H264" s="33" t="s">
        <v>645</v>
      </c>
      <c r="I264" s="33" t="s">
        <v>100</v>
      </c>
    </row>
    <row r="265" spans="1:9" x14ac:dyDescent="0.25">
      <c r="A265" s="32">
        <v>46238</v>
      </c>
      <c r="B265" s="33" t="s">
        <v>544</v>
      </c>
      <c r="C265" s="33" t="s">
        <v>147</v>
      </c>
      <c r="D265" s="33" t="s">
        <v>147</v>
      </c>
      <c r="E265">
        <v>5</v>
      </c>
      <c r="F265" s="34">
        <v>1.3113425925925926E-2</v>
      </c>
      <c r="G265" s="34">
        <v>2.6226851851851849E-3</v>
      </c>
      <c r="H265" s="33" t="s">
        <v>160</v>
      </c>
      <c r="I265" s="33" t="s">
        <v>146</v>
      </c>
    </row>
    <row r="266" spans="1:9" x14ac:dyDescent="0.25">
      <c r="A266" s="32">
        <v>46238</v>
      </c>
      <c r="B266" s="33" t="s">
        <v>544</v>
      </c>
      <c r="C266" s="33" t="s">
        <v>147</v>
      </c>
      <c r="D266" s="33" t="s">
        <v>32</v>
      </c>
      <c r="E266">
        <v>4</v>
      </c>
      <c r="F266" s="34">
        <v>9.9768518518518513E-3</v>
      </c>
      <c r="G266" s="34">
        <v>2.4942129629629628E-3</v>
      </c>
      <c r="H266" s="33" t="s">
        <v>160</v>
      </c>
      <c r="I266" s="33" t="s">
        <v>146</v>
      </c>
    </row>
    <row r="267" spans="1:9" x14ac:dyDescent="0.25">
      <c r="A267" s="32">
        <v>46238</v>
      </c>
      <c r="B267" s="33" t="s">
        <v>558</v>
      </c>
      <c r="C267" s="33" t="s">
        <v>32</v>
      </c>
      <c r="D267" s="33" t="s">
        <v>32</v>
      </c>
      <c r="E267">
        <v>50</v>
      </c>
      <c r="F267" s="34">
        <v>0.15075231481481483</v>
      </c>
      <c r="G267" s="34">
        <v>3.0150462962962965E-3</v>
      </c>
      <c r="H267" s="33" t="s">
        <v>120</v>
      </c>
      <c r="I267" s="33" t="s">
        <v>233</v>
      </c>
    </row>
    <row r="268" spans="1:9" x14ac:dyDescent="0.25">
      <c r="A268" s="32">
        <v>46238</v>
      </c>
      <c r="B268" s="33" t="s">
        <v>507</v>
      </c>
      <c r="C268" s="33" t="s">
        <v>32</v>
      </c>
      <c r="D268" s="33" t="s">
        <v>32</v>
      </c>
      <c r="E268">
        <v>28</v>
      </c>
      <c r="F268" s="34">
        <v>0.22387731481481482</v>
      </c>
      <c r="G268" s="34">
        <v>7.9956183862433857E-3</v>
      </c>
      <c r="H268" s="33" t="s">
        <v>46</v>
      </c>
      <c r="I268" s="33" t="s">
        <v>100</v>
      </c>
    </row>
    <row r="269" spans="1:9" x14ac:dyDescent="0.25">
      <c r="A269" s="32">
        <v>46238</v>
      </c>
      <c r="B269" s="33" t="s">
        <v>542</v>
      </c>
      <c r="C269" s="33" t="s">
        <v>105</v>
      </c>
      <c r="D269" s="33" t="s">
        <v>105</v>
      </c>
      <c r="E269">
        <v>9</v>
      </c>
      <c r="F269" s="34">
        <v>0.15732638888888889</v>
      </c>
      <c r="G269" s="34">
        <v>1.748070987654321E-2</v>
      </c>
      <c r="H269" s="33" t="s">
        <v>287</v>
      </c>
      <c r="I269" s="33" t="s">
        <v>104</v>
      </c>
    </row>
    <row r="270" spans="1:9" x14ac:dyDescent="0.25">
      <c r="A270" s="32">
        <v>46238</v>
      </c>
      <c r="B270" s="33" t="s">
        <v>517</v>
      </c>
      <c r="C270" s="33" t="s">
        <v>147</v>
      </c>
      <c r="D270" s="33" t="s">
        <v>147</v>
      </c>
      <c r="E270">
        <v>7</v>
      </c>
      <c r="F270" s="34">
        <v>2.9525462962962962E-2</v>
      </c>
      <c r="G270" s="34">
        <v>4.2179232804232802E-3</v>
      </c>
      <c r="H270" s="33" t="s">
        <v>499</v>
      </c>
      <c r="I270" s="33" t="s">
        <v>146</v>
      </c>
    </row>
    <row r="271" spans="1:9" x14ac:dyDescent="0.25">
      <c r="A271" s="32">
        <v>46238</v>
      </c>
      <c r="B271" s="33" t="s">
        <v>517</v>
      </c>
      <c r="C271" s="33" t="s">
        <v>147</v>
      </c>
      <c r="D271" s="33" t="s">
        <v>32</v>
      </c>
      <c r="E271">
        <v>5</v>
      </c>
      <c r="F271" s="34">
        <v>3.2812500000000001E-2</v>
      </c>
      <c r="G271" s="34">
        <v>6.5624999999999998E-3</v>
      </c>
      <c r="H271" s="33" t="s">
        <v>499</v>
      </c>
      <c r="I271" s="33" t="s">
        <v>146</v>
      </c>
    </row>
    <row r="272" spans="1:9" x14ac:dyDescent="0.25">
      <c r="A272" s="32">
        <v>46238</v>
      </c>
      <c r="B272" s="33" t="s">
        <v>648</v>
      </c>
      <c r="C272" s="33" t="s">
        <v>32</v>
      </c>
      <c r="D272" s="33" t="s">
        <v>32</v>
      </c>
      <c r="E272">
        <v>38</v>
      </c>
      <c r="F272" s="34">
        <v>0.17093749999999999</v>
      </c>
      <c r="G272" s="34">
        <v>4.4983552631578947E-3</v>
      </c>
      <c r="H272" s="33" t="s">
        <v>647</v>
      </c>
      <c r="I272" s="33" t="s">
        <v>233</v>
      </c>
    </row>
    <row r="273" spans="1:9" x14ac:dyDescent="0.25">
      <c r="A273" s="32">
        <v>46238</v>
      </c>
      <c r="B273" s="33" t="s">
        <v>650</v>
      </c>
      <c r="C273" s="33" t="s">
        <v>105</v>
      </c>
      <c r="D273" s="33" t="s">
        <v>105</v>
      </c>
      <c r="E273">
        <v>14</v>
      </c>
      <c r="F273" s="34">
        <v>0.20501157407407408</v>
      </c>
      <c r="G273" s="34">
        <v>1.4643683862433863E-2</v>
      </c>
      <c r="H273" s="33" t="s">
        <v>649</v>
      </c>
      <c r="I273" s="33" t="s">
        <v>104</v>
      </c>
    </row>
    <row r="274" spans="1:9" x14ac:dyDescent="0.25">
      <c r="A274" s="32">
        <v>46238</v>
      </c>
      <c r="B274" s="33" t="s">
        <v>652</v>
      </c>
      <c r="C274" s="33" t="s">
        <v>32</v>
      </c>
      <c r="D274" s="33" t="s">
        <v>32</v>
      </c>
      <c r="E274">
        <v>17</v>
      </c>
      <c r="F274" s="34">
        <v>0.21438657407407408</v>
      </c>
      <c r="G274" s="34">
        <v>1.2610974945533768E-2</v>
      </c>
      <c r="H274" s="33" t="s">
        <v>651</v>
      </c>
      <c r="I274" s="33" t="s">
        <v>100</v>
      </c>
    </row>
    <row r="275" spans="1:9" x14ac:dyDescent="0.25">
      <c r="A275" s="32">
        <v>46238</v>
      </c>
      <c r="B275" s="33" t="s">
        <v>508</v>
      </c>
      <c r="C275" s="33" t="s">
        <v>32</v>
      </c>
      <c r="D275" s="33" t="s">
        <v>32</v>
      </c>
      <c r="E275">
        <v>36</v>
      </c>
      <c r="F275" s="34">
        <v>0.18666666666666668</v>
      </c>
      <c r="G275" s="34">
        <v>5.185185185185185E-3</v>
      </c>
      <c r="H275" s="33" t="s">
        <v>48</v>
      </c>
      <c r="I275" s="33" t="s">
        <v>100</v>
      </c>
    </row>
    <row r="276" spans="1:9" x14ac:dyDescent="0.25">
      <c r="A276" s="32">
        <v>46238</v>
      </c>
      <c r="B276" s="33" t="s">
        <v>538</v>
      </c>
      <c r="C276" s="33" t="s">
        <v>32</v>
      </c>
      <c r="D276" s="33" t="s">
        <v>32</v>
      </c>
      <c r="E276">
        <v>14</v>
      </c>
      <c r="F276" s="34">
        <v>8.987268518518518E-2</v>
      </c>
      <c r="G276" s="34">
        <v>6.4194775132275133E-3</v>
      </c>
      <c r="H276" s="33" t="s">
        <v>50</v>
      </c>
      <c r="I276" s="33" t="s">
        <v>100</v>
      </c>
    </row>
    <row r="277" spans="1:9" x14ac:dyDescent="0.25">
      <c r="A277" s="32">
        <v>46238</v>
      </c>
      <c r="B277" s="33" t="s">
        <v>603</v>
      </c>
      <c r="C277" s="33" t="s">
        <v>32</v>
      </c>
      <c r="D277" s="33" t="s">
        <v>32</v>
      </c>
      <c r="E277">
        <v>34</v>
      </c>
      <c r="F277" s="34">
        <v>0.23059027777777777</v>
      </c>
      <c r="G277" s="34">
        <v>6.782066993464053E-3</v>
      </c>
      <c r="H277" s="33" t="s">
        <v>242</v>
      </c>
      <c r="I277" s="33" t="s">
        <v>233</v>
      </c>
    </row>
    <row r="278" spans="1:9" x14ac:dyDescent="0.25">
      <c r="A278" s="32">
        <v>46238</v>
      </c>
      <c r="B278" s="33" t="s">
        <v>552</v>
      </c>
      <c r="C278" s="33" t="s">
        <v>284</v>
      </c>
      <c r="D278" s="33" t="s">
        <v>32</v>
      </c>
      <c r="E278">
        <v>1</v>
      </c>
      <c r="F278" s="34">
        <v>3.6689814814814814E-2</v>
      </c>
      <c r="G278" s="34">
        <v>3.6689814814814814E-2</v>
      </c>
      <c r="H278" s="33" t="s">
        <v>552</v>
      </c>
      <c r="I278" s="33" t="s">
        <v>284</v>
      </c>
    </row>
    <row r="279" spans="1:9" x14ac:dyDescent="0.25">
      <c r="A279" s="32">
        <v>46238</v>
      </c>
      <c r="B279" s="33" t="s">
        <v>559</v>
      </c>
      <c r="C279" s="33" t="s">
        <v>105</v>
      </c>
      <c r="D279" s="33" t="s">
        <v>105</v>
      </c>
      <c r="E279">
        <v>15</v>
      </c>
      <c r="F279" s="34">
        <v>0.21368055555555557</v>
      </c>
      <c r="G279" s="34">
        <v>1.424537037037037E-2</v>
      </c>
      <c r="H279" s="33" t="s">
        <v>289</v>
      </c>
      <c r="I279" s="33" t="s">
        <v>104</v>
      </c>
    </row>
    <row r="280" spans="1:9" x14ac:dyDescent="0.25">
      <c r="A280" s="32">
        <v>46238</v>
      </c>
      <c r="B280" s="33" t="s">
        <v>559</v>
      </c>
      <c r="C280" s="33" t="s">
        <v>105</v>
      </c>
      <c r="D280" s="33" t="s">
        <v>32</v>
      </c>
      <c r="E280">
        <v>2</v>
      </c>
      <c r="F280" s="34">
        <v>3.6886574074074072E-2</v>
      </c>
      <c r="G280" s="34">
        <v>1.8443287037037036E-2</v>
      </c>
      <c r="H280" s="33" t="s">
        <v>289</v>
      </c>
      <c r="I280" s="33" t="s">
        <v>104</v>
      </c>
    </row>
    <row r="281" spans="1:9" x14ac:dyDescent="0.25">
      <c r="A281" s="32">
        <v>46238</v>
      </c>
      <c r="B281" s="33" t="s">
        <v>518</v>
      </c>
      <c r="C281" s="33" t="s">
        <v>147</v>
      </c>
      <c r="D281" s="33" t="s">
        <v>147</v>
      </c>
      <c r="E281">
        <v>9</v>
      </c>
      <c r="F281" s="34">
        <v>2.5474537037037039E-2</v>
      </c>
      <c r="G281" s="34">
        <v>2.8305041152263373E-3</v>
      </c>
      <c r="H281" s="33" t="s">
        <v>500</v>
      </c>
      <c r="I281" s="33" t="s">
        <v>274</v>
      </c>
    </row>
    <row r="282" spans="1:9" x14ac:dyDescent="0.25">
      <c r="A282" s="32">
        <v>46238</v>
      </c>
      <c r="B282" s="33" t="s">
        <v>518</v>
      </c>
      <c r="C282" s="33" t="s">
        <v>147</v>
      </c>
      <c r="D282" s="33" t="s">
        <v>32</v>
      </c>
      <c r="E282">
        <v>19</v>
      </c>
      <c r="F282" s="34">
        <v>7.4201388888888886E-2</v>
      </c>
      <c r="G282" s="34">
        <v>3.9053362573099417E-3</v>
      </c>
      <c r="H282" s="33" t="s">
        <v>500</v>
      </c>
      <c r="I282" s="33" t="s">
        <v>274</v>
      </c>
    </row>
    <row r="283" spans="1:9" x14ac:dyDescent="0.25">
      <c r="A283" s="32">
        <v>46238</v>
      </c>
      <c r="B283" s="33" t="s">
        <v>684</v>
      </c>
      <c r="C283" s="33" t="s">
        <v>32</v>
      </c>
      <c r="D283" s="33" t="s">
        <v>32</v>
      </c>
      <c r="E283">
        <v>24</v>
      </c>
      <c r="F283" s="34">
        <v>0.18094907407407407</v>
      </c>
      <c r="G283" s="34">
        <v>7.5395447530864192E-3</v>
      </c>
      <c r="H283" s="33" t="s">
        <v>683</v>
      </c>
      <c r="I283" s="33" t="s">
        <v>233</v>
      </c>
    </row>
    <row r="284" spans="1:9" x14ac:dyDescent="0.25">
      <c r="A284" s="32">
        <v>46238</v>
      </c>
      <c r="B284" s="33" t="s">
        <v>654</v>
      </c>
      <c r="C284" s="33" t="s">
        <v>32</v>
      </c>
      <c r="D284" s="33" t="s">
        <v>32</v>
      </c>
      <c r="E284">
        <v>30</v>
      </c>
      <c r="F284" s="34">
        <v>0.18229166666666666</v>
      </c>
      <c r="G284" s="34">
        <v>6.076388888888889E-3</v>
      </c>
      <c r="H284" s="33" t="s">
        <v>653</v>
      </c>
      <c r="I284" s="33" t="s">
        <v>100</v>
      </c>
    </row>
    <row r="285" spans="1:9" x14ac:dyDescent="0.25">
      <c r="A285" s="32">
        <v>46238</v>
      </c>
      <c r="B285" s="33" t="s">
        <v>509</v>
      </c>
      <c r="C285" s="33" t="s">
        <v>32</v>
      </c>
      <c r="D285" s="33" t="s">
        <v>32</v>
      </c>
      <c r="E285">
        <v>9</v>
      </c>
      <c r="F285" s="34">
        <v>5.3171296296296293E-2</v>
      </c>
      <c r="G285" s="34">
        <v>5.9079218106995882E-3</v>
      </c>
      <c r="H285" s="33" t="s">
        <v>52</v>
      </c>
      <c r="I285" s="33" t="s">
        <v>100</v>
      </c>
    </row>
    <row r="286" spans="1:9" x14ac:dyDescent="0.25">
      <c r="A286" s="32">
        <v>46238</v>
      </c>
      <c r="B286" s="33" t="s">
        <v>519</v>
      </c>
      <c r="C286" s="33" t="s">
        <v>147</v>
      </c>
      <c r="D286" s="33" t="s">
        <v>147</v>
      </c>
      <c r="E286">
        <v>17</v>
      </c>
      <c r="F286" s="34">
        <v>7.6550925925925925E-2</v>
      </c>
      <c r="G286" s="34">
        <v>4.5029956427015249E-3</v>
      </c>
      <c r="H286" s="33" t="s">
        <v>164</v>
      </c>
      <c r="I286" s="33" t="s">
        <v>146</v>
      </c>
    </row>
    <row r="287" spans="1:9" x14ac:dyDescent="0.25">
      <c r="A287" s="32">
        <v>46238</v>
      </c>
      <c r="B287" s="33" t="s">
        <v>519</v>
      </c>
      <c r="C287" s="33" t="s">
        <v>147</v>
      </c>
      <c r="D287" s="33" t="s">
        <v>32</v>
      </c>
      <c r="E287">
        <v>6</v>
      </c>
      <c r="F287" s="34">
        <v>1.2847222222222222E-2</v>
      </c>
      <c r="G287" s="34">
        <v>2.1412037037037038E-3</v>
      </c>
      <c r="H287" s="33" t="s">
        <v>164</v>
      </c>
      <c r="I287" s="33" t="s">
        <v>146</v>
      </c>
    </row>
    <row r="288" spans="1:9" x14ac:dyDescent="0.25">
      <c r="A288" s="32">
        <v>46238</v>
      </c>
      <c r="B288" s="33" t="s">
        <v>656</v>
      </c>
      <c r="C288" s="33" t="s">
        <v>32</v>
      </c>
      <c r="D288" s="33" t="s">
        <v>32</v>
      </c>
      <c r="E288">
        <v>25</v>
      </c>
      <c r="F288" s="34">
        <v>0.21592592592592594</v>
      </c>
      <c r="G288" s="34">
        <v>8.6370370370370368E-3</v>
      </c>
      <c r="H288" s="33" t="s">
        <v>655</v>
      </c>
      <c r="I288" s="33" t="s">
        <v>100</v>
      </c>
    </row>
    <row r="289" spans="1:9" x14ac:dyDescent="0.25">
      <c r="A289" s="32">
        <v>46238</v>
      </c>
      <c r="B289" s="33" t="s">
        <v>658</v>
      </c>
      <c r="C289" s="33" t="s">
        <v>147</v>
      </c>
      <c r="D289" s="33" t="s">
        <v>147</v>
      </c>
      <c r="E289">
        <v>8</v>
      </c>
      <c r="F289" s="34">
        <v>2.1782407407407407E-2</v>
      </c>
      <c r="G289" s="34">
        <v>2.7228009259259258E-3</v>
      </c>
      <c r="H289" s="33" t="s">
        <v>657</v>
      </c>
      <c r="I289" s="33" t="s">
        <v>274</v>
      </c>
    </row>
    <row r="290" spans="1:9" x14ac:dyDescent="0.25">
      <c r="A290" s="32">
        <v>46238</v>
      </c>
      <c r="B290" s="33" t="s">
        <v>658</v>
      </c>
      <c r="C290" s="33" t="s">
        <v>147</v>
      </c>
      <c r="D290" s="33" t="s">
        <v>32</v>
      </c>
      <c r="E290">
        <v>11</v>
      </c>
      <c r="F290" s="34">
        <v>5.7488425925925929E-2</v>
      </c>
      <c r="G290" s="34">
        <v>5.2262205387205388E-3</v>
      </c>
      <c r="H290" s="33" t="s">
        <v>657</v>
      </c>
      <c r="I290" s="33" t="s">
        <v>274</v>
      </c>
    </row>
    <row r="291" spans="1:9" x14ac:dyDescent="0.25">
      <c r="A291" s="32">
        <v>46238</v>
      </c>
      <c r="B291" s="33" t="s">
        <v>660</v>
      </c>
      <c r="C291" s="33" t="s">
        <v>32</v>
      </c>
      <c r="D291" s="33" t="s">
        <v>32</v>
      </c>
      <c r="E291">
        <v>2</v>
      </c>
      <c r="F291" s="34">
        <v>1.9837962962962963E-2</v>
      </c>
      <c r="G291" s="34">
        <v>9.9189814814814817E-3</v>
      </c>
      <c r="H291" s="33" t="s">
        <v>659</v>
      </c>
      <c r="I291" s="33" t="s">
        <v>100</v>
      </c>
    </row>
    <row r="292" spans="1:9" x14ac:dyDescent="0.25">
      <c r="A292" s="32">
        <v>46238</v>
      </c>
      <c r="B292" s="33" t="s">
        <v>528</v>
      </c>
      <c r="C292" s="33" t="s">
        <v>32</v>
      </c>
      <c r="D292" s="33" t="s">
        <v>32</v>
      </c>
      <c r="E292">
        <v>35</v>
      </c>
      <c r="F292" s="34">
        <v>0.14184027777777777</v>
      </c>
      <c r="G292" s="34">
        <v>4.0525793650793658E-3</v>
      </c>
      <c r="H292" s="33" t="s">
        <v>254</v>
      </c>
      <c r="I292" s="33" t="s">
        <v>233</v>
      </c>
    </row>
    <row r="293" spans="1:9" x14ac:dyDescent="0.25">
      <c r="A293" s="32">
        <v>46238</v>
      </c>
      <c r="B293" s="33" t="s">
        <v>545</v>
      </c>
      <c r="C293" s="33" t="s">
        <v>600</v>
      </c>
      <c r="D293" s="33" t="s">
        <v>600</v>
      </c>
      <c r="E293">
        <v>31</v>
      </c>
      <c r="F293" s="34">
        <v>4.6273148148148147E-2</v>
      </c>
      <c r="G293" s="34">
        <v>1.4926821983273597E-3</v>
      </c>
      <c r="H293" s="33" t="s">
        <v>201</v>
      </c>
      <c r="I293" s="33" t="s">
        <v>601</v>
      </c>
    </row>
    <row r="294" spans="1:9" x14ac:dyDescent="0.25">
      <c r="A294" s="32">
        <v>46238</v>
      </c>
      <c r="B294" s="33" t="s">
        <v>520</v>
      </c>
      <c r="C294" s="33" t="s">
        <v>147</v>
      </c>
      <c r="D294" s="33" t="s">
        <v>147</v>
      </c>
      <c r="E294">
        <v>2</v>
      </c>
      <c r="F294" s="34">
        <v>7.7314814814814815E-3</v>
      </c>
      <c r="G294" s="34">
        <v>3.8657407407407408E-3</v>
      </c>
      <c r="H294" s="33" t="s">
        <v>168</v>
      </c>
      <c r="I294" s="33" t="s">
        <v>274</v>
      </c>
    </row>
    <row r="295" spans="1:9" x14ac:dyDescent="0.25">
      <c r="A295" s="32">
        <v>46238</v>
      </c>
      <c r="B295" s="33" t="s">
        <v>520</v>
      </c>
      <c r="C295" s="33" t="s">
        <v>147</v>
      </c>
      <c r="D295" s="33" t="s">
        <v>32</v>
      </c>
      <c r="E295">
        <v>23</v>
      </c>
      <c r="F295" s="34">
        <v>6.7939814814814814E-2</v>
      </c>
      <c r="G295" s="34">
        <v>2.9539049919484702E-3</v>
      </c>
      <c r="H295" s="33" t="s">
        <v>168</v>
      </c>
      <c r="I295" s="33" t="s">
        <v>274</v>
      </c>
    </row>
    <row r="296" spans="1:9" x14ac:dyDescent="0.25">
      <c r="A296" s="32">
        <v>46238</v>
      </c>
      <c r="B296" s="33" t="s">
        <v>521</v>
      </c>
      <c r="C296" s="33" t="s">
        <v>147</v>
      </c>
      <c r="D296" s="33" t="s">
        <v>147</v>
      </c>
      <c r="E296">
        <v>15</v>
      </c>
      <c r="F296" s="34">
        <v>5.4074074074074073E-2</v>
      </c>
      <c r="G296" s="34">
        <v>3.604938271604938E-3</v>
      </c>
      <c r="H296" s="33" t="s">
        <v>170</v>
      </c>
      <c r="I296" s="33" t="s">
        <v>146</v>
      </c>
    </row>
    <row r="297" spans="1:9" x14ac:dyDescent="0.25">
      <c r="A297" s="32">
        <v>46238</v>
      </c>
      <c r="B297" s="33" t="s">
        <v>521</v>
      </c>
      <c r="C297" s="33" t="s">
        <v>147</v>
      </c>
      <c r="D297" s="33" t="s">
        <v>32</v>
      </c>
      <c r="E297">
        <v>3</v>
      </c>
      <c r="F297" s="34">
        <v>2.5567129629629631E-2</v>
      </c>
      <c r="G297" s="34">
        <v>8.5223765432098763E-3</v>
      </c>
      <c r="H297" s="33" t="s">
        <v>170</v>
      </c>
      <c r="I297" s="33" t="s">
        <v>146</v>
      </c>
    </row>
    <row r="298" spans="1:9" x14ac:dyDescent="0.25">
      <c r="A298" s="32">
        <v>46238</v>
      </c>
      <c r="B298" s="33" t="s">
        <v>543</v>
      </c>
      <c r="C298" s="33" t="s">
        <v>600</v>
      </c>
      <c r="D298" s="33" t="s">
        <v>600</v>
      </c>
      <c r="E298">
        <v>14</v>
      </c>
      <c r="F298" s="34">
        <v>9.6655092592592598E-2</v>
      </c>
      <c r="G298" s="34">
        <v>6.9039351851851848E-3</v>
      </c>
      <c r="H298" s="33" t="s">
        <v>293</v>
      </c>
      <c r="I298" s="33" t="s">
        <v>104</v>
      </c>
    </row>
    <row r="299" spans="1:9" x14ac:dyDescent="0.25">
      <c r="A299" s="32">
        <v>46238</v>
      </c>
      <c r="B299" s="33" t="s">
        <v>633</v>
      </c>
      <c r="C299" s="33" t="s">
        <v>147</v>
      </c>
      <c r="D299" s="33" t="s">
        <v>147</v>
      </c>
      <c r="E299">
        <v>7</v>
      </c>
      <c r="F299" s="34">
        <v>3.318287037037037E-2</v>
      </c>
      <c r="G299" s="34">
        <v>4.7404100529100527E-3</v>
      </c>
      <c r="H299" s="33" t="s">
        <v>606</v>
      </c>
      <c r="I299" s="33" t="s">
        <v>146</v>
      </c>
    </row>
    <row r="300" spans="1:9" x14ac:dyDescent="0.25">
      <c r="A300" s="32">
        <v>46238</v>
      </c>
      <c r="B300" s="33" t="s">
        <v>633</v>
      </c>
      <c r="C300" s="33" t="s">
        <v>147</v>
      </c>
      <c r="D300" s="33" t="s">
        <v>32</v>
      </c>
      <c r="E300">
        <v>8</v>
      </c>
      <c r="F300" s="34">
        <v>3.5196759259259261E-2</v>
      </c>
      <c r="G300" s="34">
        <v>4.3995949074074076E-3</v>
      </c>
      <c r="H300" s="33" t="s">
        <v>606</v>
      </c>
      <c r="I300" s="33" t="s">
        <v>146</v>
      </c>
    </row>
    <row r="301" spans="1:9" x14ac:dyDescent="0.25">
      <c r="A301" s="32">
        <v>46238</v>
      </c>
      <c r="B301" s="33" t="s">
        <v>634</v>
      </c>
      <c r="C301" s="33" t="s">
        <v>105</v>
      </c>
      <c r="D301" s="33" t="s">
        <v>105</v>
      </c>
      <c r="E301">
        <v>11</v>
      </c>
      <c r="F301" s="34">
        <v>0.11891203703703704</v>
      </c>
      <c r="G301" s="34">
        <v>1.0810185185185185E-2</v>
      </c>
      <c r="H301" s="33" t="s">
        <v>612</v>
      </c>
      <c r="I301" s="33" t="s">
        <v>601</v>
      </c>
    </row>
    <row r="302" spans="1:9" x14ac:dyDescent="0.25">
      <c r="A302" s="32">
        <v>46238</v>
      </c>
      <c r="B302" s="33" t="s">
        <v>529</v>
      </c>
      <c r="C302" s="33" t="s">
        <v>32</v>
      </c>
      <c r="D302" s="33" t="s">
        <v>32</v>
      </c>
      <c r="E302">
        <v>27</v>
      </c>
      <c r="F302" s="34">
        <v>0.1193287037037037</v>
      </c>
      <c r="G302" s="34">
        <v>4.4195816186556923E-3</v>
      </c>
      <c r="H302" s="33" t="s">
        <v>256</v>
      </c>
      <c r="I302" s="33" t="s">
        <v>233</v>
      </c>
    </row>
    <row r="303" spans="1:9" x14ac:dyDescent="0.25">
      <c r="A303" s="32">
        <v>46238</v>
      </c>
      <c r="B303" s="33" t="s">
        <v>554</v>
      </c>
      <c r="C303" s="33" t="s">
        <v>32</v>
      </c>
      <c r="D303" s="33" t="s">
        <v>32</v>
      </c>
      <c r="E303">
        <v>2</v>
      </c>
      <c r="F303" s="34">
        <v>1.0138888888888888E-2</v>
      </c>
      <c r="G303" s="34">
        <v>5.0694444444444441E-3</v>
      </c>
      <c r="H303" s="33" t="s">
        <v>258</v>
      </c>
      <c r="I303" s="33" t="s">
        <v>233</v>
      </c>
    </row>
    <row r="304" spans="1:9" x14ac:dyDescent="0.25">
      <c r="A304" s="32">
        <v>46238</v>
      </c>
      <c r="B304" s="33" t="s">
        <v>662</v>
      </c>
      <c r="C304" s="33" t="s">
        <v>32</v>
      </c>
      <c r="D304" s="33" t="s">
        <v>32</v>
      </c>
      <c r="E304">
        <v>24</v>
      </c>
      <c r="F304" s="34">
        <v>0.18738425925925925</v>
      </c>
      <c r="G304" s="34">
        <v>7.807677469135803E-3</v>
      </c>
      <c r="H304" s="33" t="s">
        <v>661</v>
      </c>
      <c r="I304" s="33" t="s">
        <v>100</v>
      </c>
    </row>
    <row r="305" spans="1:9" x14ac:dyDescent="0.25">
      <c r="A305" s="32">
        <v>46238</v>
      </c>
      <c r="B305" s="33" t="s">
        <v>664</v>
      </c>
      <c r="C305" s="33" t="s">
        <v>32</v>
      </c>
      <c r="D305" s="33" t="s">
        <v>32</v>
      </c>
      <c r="E305">
        <v>27</v>
      </c>
      <c r="F305" s="34">
        <v>0.18554398148148149</v>
      </c>
      <c r="G305" s="34">
        <v>6.8719993141289444E-3</v>
      </c>
      <c r="H305" s="33" t="s">
        <v>663</v>
      </c>
      <c r="I305" s="33" t="s">
        <v>233</v>
      </c>
    </row>
    <row r="306" spans="1:9" x14ac:dyDescent="0.25">
      <c r="A306" s="32">
        <v>46238</v>
      </c>
      <c r="B306" s="33" t="s">
        <v>666</v>
      </c>
      <c r="C306" s="33" t="s">
        <v>32</v>
      </c>
      <c r="D306" s="33" t="s">
        <v>32</v>
      </c>
      <c r="E306">
        <v>35</v>
      </c>
      <c r="F306" s="34">
        <v>0.20539351851851853</v>
      </c>
      <c r="G306" s="34">
        <v>5.8683862433862432E-3</v>
      </c>
      <c r="H306" s="33" t="s">
        <v>665</v>
      </c>
      <c r="I306" s="33" t="s">
        <v>100</v>
      </c>
    </row>
    <row r="307" spans="1:9" x14ac:dyDescent="0.25">
      <c r="A307" s="32">
        <v>46238</v>
      </c>
      <c r="B307" s="33" t="s">
        <v>555</v>
      </c>
      <c r="C307" s="33" t="s">
        <v>32</v>
      </c>
      <c r="D307" s="33" t="s">
        <v>32</v>
      </c>
      <c r="E307">
        <v>43</v>
      </c>
      <c r="F307" s="34">
        <v>0.17618055555555556</v>
      </c>
      <c r="G307" s="34">
        <v>4.0972222222222226E-3</v>
      </c>
      <c r="H307" s="33" t="s">
        <v>128</v>
      </c>
      <c r="I307" s="33" t="s">
        <v>233</v>
      </c>
    </row>
    <row r="308" spans="1:9" x14ac:dyDescent="0.25">
      <c r="A308" s="32">
        <v>46238</v>
      </c>
      <c r="B308" s="33" t="s">
        <v>522</v>
      </c>
      <c r="C308" s="33" t="s">
        <v>147</v>
      </c>
      <c r="D308" s="33" t="s">
        <v>147</v>
      </c>
      <c r="E308">
        <v>9</v>
      </c>
      <c r="F308" s="34">
        <v>3.3090277777777781E-2</v>
      </c>
      <c r="G308" s="34">
        <v>3.6766975308641977E-3</v>
      </c>
      <c r="H308" s="33" t="s">
        <v>178</v>
      </c>
      <c r="I308" s="33" t="s">
        <v>146</v>
      </c>
    </row>
    <row r="309" spans="1:9" x14ac:dyDescent="0.25">
      <c r="A309" s="32">
        <v>46238</v>
      </c>
      <c r="B309" s="33" t="s">
        <v>522</v>
      </c>
      <c r="C309" s="33" t="s">
        <v>147</v>
      </c>
      <c r="D309" s="33" t="s">
        <v>32</v>
      </c>
      <c r="E309">
        <v>8</v>
      </c>
      <c r="F309" s="34">
        <v>2.4282407407407409E-2</v>
      </c>
      <c r="G309" s="34">
        <v>3.0353009259259261E-3</v>
      </c>
      <c r="H309" s="33" t="s">
        <v>178</v>
      </c>
      <c r="I309" s="33" t="s">
        <v>146</v>
      </c>
    </row>
    <row r="310" spans="1:9" x14ac:dyDescent="0.25">
      <c r="A310" s="32">
        <v>46238</v>
      </c>
      <c r="B310" s="33" t="s">
        <v>667</v>
      </c>
      <c r="C310" s="33" t="s">
        <v>105</v>
      </c>
      <c r="D310" s="33" t="s">
        <v>105</v>
      </c>
      <c r="E310">
        <v>26</v>
      </c>
      <c r="F310" s="34">
        <v>0.2910300925925926</v>
      </c>
      <c r="G310" s="34">
        <v>1.11934650997151E-2</v>
      </c>
      <c r="H310" s="33" t="s">
        <v>297</v>
      </c>
      <c r="I310" s="33" t="s">
        <v>104</v>
      </c>
    </row>
    <row r="311" spans="1:9" x14ac:dyDescent="0.25">
      <c r="A311" s="32">
        <v>46238</v>
      </c>
      <c r="B311" s="33" t="s">
        <v>635</v>
      </c>
      <c r="C311" s="33" t="s">
        <v>105</v>
      </c>
      <c r="D311" s="33" t="s">
        <v>105</v>
      </c>
      <c r="E311">
        <v>14</v>
      </c>
      <c r="F311" s="34">
        <v>0.16218750000000001</v>
      </c>
      <c r="G311" s="34">
        <v>1.1584821428571429E-2</v>
      </c>
      <c r="H311" s="33" t="s">
        <v>614</v>
      </c>
      <c r="I311" s="33" t="s">
        <v>601</v>
      </c>
    </row>
    <row r="312" spans="1:9" x14ac:dyDescent="0.25">
      <c r="A312" s="32">
        <v>46238</v>
      </c>
      <c r="B312" s="33" t="s">
        <v>523</v>
      </c>
      <c r="C312" s="33" t="s">
        <v>147</v>
      </c>
      <c r="D312" s="33" t="s">
        <v>147</v>
      </c>
      <c r="E312">
        <v>4</v>
      </c>
      <c r="F312" s="34">
        <v>2.3958333333333335E-2</v>
      </c>
      <c r="G312" s="34">
        <v>5.9895833333333337E-3</v>
      </c>
      <c r="H312" s="33" t="s">
        <v>180</v>
      </c>
      <c r="I312" s="33" t="s">
        <v>146</v>
      </c>
    </row>
    <row r="313" spans="1:9" x14ac:dyDescent="0.25">
      <c r="A313" s="32">
        <v>46238</v>
      </c>
      <c r="B313" s="33" t="s">
        <v>523</v>
      </c>
      <c r="C313" s="33" t="s">
        <v>147</v>
      </c>
      <c r="D313" s="33" t="s">
        <v>32</v>
      </c>
      <c r="E313">
        <v>4</v>
      </c>
      <c r="F313" s="34">
        <v>1.923611111111111E-2</v>
      </c>
      <c r="G313" s="34">
        <v>4.8090277777777775E-3</v>
      </c>
      <c r="H313" s="33" t="s">
        <v>180</v>
      </c>
      <c r="I313" s="33" t="s">
        <v>146</v>
      </c>
    </row>
    <row r="314" spans="1:9" x14ac:dyDescent="0.25">
      <c r="A314" s="32">
        <v>46238</v>
      </c>
      <c r="B314" s="33" t="s">
        <v>636</v>
      </c>
      <c r="C314" s="33" t="s">
        <v>105</v>
      </c>
      <c r="D314" s="33" t="s">
        <v>105</v>
      </c>
      <c r="E314">
        <v>10</v>
      </c>
      <c r="F314" s="34">
        <v>0.16648148148148148</v>
      </c>
      <c r="G314" s="34">
        <v>1.6648148148148148E-2</v>
      </c>
      <c r="H314" s="33" t="s">
        <v>615</v>
      </c>
      <c r="I314" s="33" t="s">
        <v>601</v>
      </c>
    </row>
    <row r="315" spans="1:9" x14ac:dyDescent="0.25">
      <c r="A315" s="32">
        <v>46238</v>
      </c>
      <c r="B315" s="33" t="s">
        <v>566</v>
      </c>
      <c r="C315" s="33" t="s">
        <v>147</v>
      </c>
      <c r="D315" s="33" t="s">
        <v>147</v>
      </c>
      <c r="E315">
        <v>6</v>
      </c>
      <c r="F315" s="34">
        <v>4.355324074074074E-2</v>
      </c>
      <c r="G315" s="34">
        <v>7.258873456790123E-3</v>
      </c>
      <c r="H315" s="33" t="s">
        <v>207</v>
      </c>
      <c r="I315" s="33" t="s">
        <v>274</v>
      </c>
    </row>
    <row r="316" spans="1:9" x14ac:dyDescent="0.25">
      <c r="A316" s="32">
        <v>46238</v>
      </c>
      <c r="B316" s="33" t="s">
        <v>566</v>
      </c>
      <c r="C316" s="33" t="s">
        <v>147</v>
      </c>
      <c r="D316" s="33" t="s">
        <v>32</v>
      </c>
      <c r="E316">
        <v>19</v>
      </c>
      <c r="F316" s="34">
        <v>6.1331018518518521E-2</v>
      </c>
      <c r="G316" s="34">
        <v>3.2279483430799221E-3</v>
      </c>
      <c r="H316" s="33" t="s">
        <v>207</v>
      </c>
      <c r="I316" s="33" t="s">
        <v>274</v>
      </c>
    </row>
    <row r="317" spans="1:9" x14ac:dyDescent="0.25">
      <c r="A317" s="32">
        <v>46238</v>
      </c>
      <c r="B317" s="33" t="s">
        <v>637</v>
      </c>
      <c r="C317" s="33" t="s">
        <v>105</v>
      </c>
      <c r="D317" s="33" t="s">
        <v>105</v>
      </c>
      <c r="E317">
        <v>4</v>
      </c>
      <c r="F317" s="34">
        <v>7.6226851851851851E-2</v>
      </c>
      <c r="G317" s="34">
        <v>1.9056712962962963E-2</v>
      </c>
      <c r="H317" s="33" t="s">
        <v>616</v>
      </c>
      <c r="I317" s="33" t="s">
        <v>601</v>
      </c>
    </row>
    <row r="318" spans="1:9" x14ac:dyDescent="0.25">
      <c r="A318" s="32">
        <v>46238</v>
      </c>
      <c r="B318" s="33" t="s">
        <v>567</v>
      </c>
      <c r="C318" s="33" t="s">
        <v>105</v>
      </c>
      <c r="D318" s="33" t="s">
        <v>105</v>
      </c>
      <c r="E318">
        <v>8</v>
      </c>
      <c r="F318" s="34">
        <v>0.11342592592592593</v>
      </c>
      <c r="G318" s="34">
        <v>1.4178240740740741E-2</v>
      </c>
      <c r="H318" s="33" t="s">
        <v>209</v>
      </c>
      <c r="I318" s="33" t="s">
        <v>601</v>
      </c>
    </row>
    <row r="319" spans="1:9" x14ac:dyDescent="0.25">
      <c r="A319" s="32">
        <v>46238</v>
      </c>
      <c r="B319" s="33" t="s">
        <v>510</v>
      </c>
      <c r="C319" s="33" t="s">
        <v>32</v>
      </c>
      <c r="D319" s="33" t="s">
        <v>32</v>
      </c>
      <c r="E319">
        <v>50</v>
      </c>
      <c r="F319" s="34">
        <v>0.29979166666666668</v>
      </c>
      <c r="G319" s="34">
        <v>5.995833333333333E-3</v>
      </c>
      <c r="H319" s="33" t="s">
        <v>60</v>
      </c>
      <c r="I319" s="33" t="s">
        <v>100</v>
      </c>
    </row>
    <row r="320" spans="1:9" x14ac:dyDescent="0.25">
      <c r="A320" s="32">
        <v>46238</v>
      </c>
      <c r="B320" s="33" t="s">
        <v>512</v>
      </c>
      <c r="C320" s="33" t="s">
        <v>105</v>
      </c>
      <c r="D320" s="33" t="s">
        <v>105</v>
      </c>
      <c r="E320">
        <v>15</v>
      </c>
      <c r="F320" s="34">
        <v>0.24031250000000001</v>
      </c>
      <c r="G320" s="34">
        <v>1.6020833333333335E-2</v>
      </c>
      <c r="H320" s="33" t="s">
        <v>132</v>
      </c>
      <c r="I320" s="33" t="s">
        <v>104</v>
      </c>
    </row>
    <row r="321" spans="1:9" x14ac:dyDescent="0.25">
      <c r="A321" s="32">
        <v>46238</v>
      </c>
      <c r="B321" s="33" t="s">
        <v>560</v>
      </c>
      <c r="C321" s="33" t="s">
        <v>105</v>
      </c>
      <c r="D321" s="33" t="s">
        <v>105</v>
      </c>
      <c r="E321">
        <v>21</v>
      </c>
      <c r="F321" s="34">
        <v>0.26056712962962963</v>
      </c>
      <c r="G321" s="34">
        <v>1.2407958553791888E-2</v>
      </c>
      <c r="H321" s="33" t="s">
        <v>134</v>
      </c>
      <c r="I321" s="33" t="s">
        <v>104</v>
      </c>
    </row>
    <row r="322" spans="1:9" x14ac:dyDescent="0.25">
      <c r="A322" s="32">
        <v>46238</v>
      </c>
      <c r="B322" s="33" t="s">
        <v>546</v>
      </c>
      <c r="C322" s="33" t="s">
        <v>105</v>
      </c>
      <c r="D322" s="33" t="s">
        <v>105</v>
      </c>
      <c r="E322">
        <v>13</v>
      </c>
      <c r="F322" s="34">
        <v>0.20282407407407407</v>
      </c>
      <c r="G322" s="34">
        <v>1.5601851851851851E-2</v>
      </c>
      <c r="H322" s="33" t="s">
        <v>211</v>
      </c>
      <c r="I322" s="33" t="s">
        <v>104</v>
      </c>
    </row>
    <row r="323" spans="1:9" x14ac:dyDescent="0.25">
      <c r="A323" s="32">
        <v>46238</v>
      </c>
      <c r="B323" s="33" t="s">
        <v>638</v>
      </c>
      <c r="C323" s="33" t="s">
        <v>105</v>
      </c>
      <c r="D323" s="33" t="s">
        <v>105</v>
      </c>
      <c r="E323">
        <v>5</v>
      </c>
      <c r="F323" s="34">
        <v>0.12263888888888889</v>
      </c>
      <c r="G323" s="34">
        <v>2.4527777777777777E-2</v>
      </c>
      <c r="H323" s="33" t="s">
        <v>617</v>
      </c>
      <c r="I323" s="33" t="s">
        <v>601</v>
      </c>
    </row>
    <row r="324" spans="1:9" x14ac:dyDescent="0.25">
      <c r="A324" s="32">
        <v>46238</v>
      </c>
      <c r="B324" s="33" t="s">
        <v>561</v>
      </c>
      <c r="C324" s="33" t="s">
        <v>105</v>
      </c>
      <c r="D324" s="33" t="s">
        <v>105</v>
      </c>
      <c r="E324">
        <v>16</v>
      </c>
      <c r="F324" s="34">
        <v>0.28749999999999998</v>
      </c>
      <c r="G324" s="34">
        <v>1.7968749999999999E-2</v>
      </c>
      <c r="H324" s="33" t="s">
        <v>136</v>
      </c>
      <c r="I324" s="33" t="s">
        <v>104</v>
      </c>
    </row>
    <row r="325" spans="1:9" x14ac:dyDescent="0.25">
      <c r="A325" s="32">
        <v>46238</v>
      </c>
      <c r="B325" s="33" t="s">
        <v>639</v>
      </c>
      <c r="C325" s="33" t="s">
        <v>105</v>
      </c>
      <c r="D325" s="33" t="s">
        <v>105</v>
      </c>
      <c r="E325">
        <v>5</v>
      </c>
      <c r="F325" s="34">
        <v>0.10055555555555555</v>
      </c>
      <c r="G325" s="34">
        <v>2.0111111111111111E-2</v>
      </c>
      <c r="H325" s="33" t="s">
        <v>618</v>
      </c>
      <c r="I325" s="33" t="s">
        <v>601</v>
      </c>
    </row>
    <row r="326" spans="1:9" x14ac:dyDescent="0.25">
      <c r="A326" s="32">
        <v>46238</v>
      </c>
      <c r="B326" s="33" t="s">
        <v>524</v>
      </c>
      <c r="C326" s="33" t="s">
        <v>147</v>
      </c>
      <c r="D326" s="33" t="s">
        <v>147</v>
      </c>
      <c r="E326">
        <v>8</v>
      </c>
      <c r="F326" s="34">
        <v>2.5416666666666667E-2</v>
      </c>
      <c r="G326" s="34">
        <v>3.1770833333333334E-3</v>
      </c>
      <c r="H326" s="33" t="s">
        <v>501</v>
      </c>
      <c r="I326" s="33" t="s">
        <v>274</v>
      </c>
    </row>
    <row r="327" spans="1:9" x14ac:dyDescent="0.25">
      <c r="A327" s="32">
        <v>46238</v>
      </c>
      <c r="B327" s="33" t="s">
        <v>524</v>
      </c>
      <c r="C327" s="33" t="s">
        <v>147</v>
      </c>
      <c r="D327" s="33" t="s">
        <v>32</v>
      </c>
      <c r="E327">
        <v>18</v>
      </c>
      <c r="F327" s="34">
        <v>6.2858796296296301E-2</v>
      </c>
      <c r="G327" s="34">
        <v>3.492155349794239E-3</v>
      </c>
      <c r="H327" s="33" t="s">
        <v>501</v>
      </c>
      <c r="I327" s="33" t="s">
        <v>274</v>
      </c>
    </row>
    <row r="328" spans="1:9" x14ac:dyDescent="0.25">
      <c r="A328" s="32">
        <v>46238</v>
      </c>
      <c r="B328" s="33" t="s">
        <v>572</v>
      </c>
      <c r="C328" s="33" t="s">
        <v>105</v>
      </c>
      <c r="D328" s="33" t="s">
        <v>105</v>
      </c>
      <c r="E328">
        <v>8</v>
      </c>
      <c r="F328" s="34">
        <v>0.11597222222222223</v>
      </c>
      <c r="G328" s="34">
        <v>1.4496527777777778E-2</v>
      </c>
      <c r="H328" s="33" t="s">
        <v>213</v>
      </c>
      <c r="I328" s="33" t="s">
        <v>601</v>
      </c>
    </row>
    <row r="329" spans="1:9" x14ac:dyDescent="0.25">
      <c r="A329" s="32">
        <v>46238</v>
      </c>
      <c r="B329" s="33" t="s">
        <v>547</v>
      </c>
      <c r="C329" s="33" t="s">
        <v>105</v>
      </c>
      <c r="D329" s="33" t="s">
        <v>105</v>
      </c>
      <c r="E329">
        <v>17</v>
      </c>
      <c r="F329" s="34">
        <v>0.21424768518518519</v>
      </c>
      <c r="G329" s="34">
        <v>1.2602805010893248E-2</v>
      </c>
      <c r="H329" s="33" t="s">
        <v>215</v>
      </c>
      <c r="I329" s="33" t="s">
        <v>601</v>
      </c>
    </row>
    <row r="330" spans="1:9" x14ac:dyDescent="0.25">
      <c r="A330" s="32">
        <v>46238</v>
      </c>
      <c r="B330" s="33" t="s">
        <v>640</v>
      </c>
      <c r="C330" s="33" t="s">
        <v>105</v>
      </c>
      <c r="D330" s="33" t="s">
        <v>105</v>
      </c>
      <c r="E330">
        <v>14</v>
      </c>
      <c r="F330" s="34">
        <v>0.18805555555555556</v>
      </c>
      <c r="G330" s="34">
        <v>1.3432539682539683E-2</v>
      </c>
      <c r="H330" s="33" t="s">
        <v>619</v>
      </c>
      <c r="I330" s="33" t="s">
        <v>601</v>
      </c>
    </row>
    <row r="331" spans="1:9" x14ac:dyDescent="0.25">
      <c r="A331" s="32">
        <v>46238</v>
      </c>
      <c r="B331" s="33" t="s">
        <v>669</v>
      </c>
      <c r="C331" s="33" t="s">
        <v>32</v>
      </c>
      <c r="D331" s="33" t="s">
        <v>32</v>
      </c>
      <c r="E331">
        <v>40</v>
      </c>
      <c r="F331" s="34">
        <v>0.17092592592592593</v>
      </c>
      <c r="G331" s="34">
        <v>4.2731481481481483E-3</v>
      </c>
      <c r="H331" s="33" t="s">
        <v>668</v>
      </c>
      <c r="I331" s="33" t="s">
        <v>233</v>
      </c>
    </row>
    <row r="332" spans="1:9" x14ac:dyDescent="0.25">
      <c r="A332" s="32">
        <v>46238</v>
      </c>
      <c r="B332" s="33" t="s">
        <v>670</v>
      </c>
      <c r="C332" s="33" t="s">
        <v>32</v>
      </c>
      <c r="D332" s="33" t="s">
        <v>32</v>
      </c>
      <c r="E332">
        <v>33</v>
      </c>
      <c r="F332" s="34">
        <v>0.19296296296296298</v>
      </c>
      <c r="G332" s="34">
        <v>5.8473625140291804E-3</v>
      </c>
      <c r="H332" s="33" t="s">
        <v>744</v>
      </c>
      <c r="I332" s="33" t="s">
        <v>100</v>
      </c>
    </row>
    <row r="333" spans="1:9" x14ac:dyDescent="0.25">
      <c r="A333" s="32">
        <v>46238</v>
      </c>
      <c r="B333" s="33" t="s">
        <v>548</v>
      </c>
      <c r="C333" s="33" t="s">
        <v>105</v>
      </c>
      <c r="D333" s="33" t="s">
        <v>105</v>
      </c>
      <c r="E333">
        <v>17</v>
      </c>
      <c r="F333" s="34">
        <v>0.17534722222222221</v>
      </c>
      <c r="G333" s="34">
        <v>1.0314542483660131E-2</v>
      </c>
      <c r="H333" s="33" t="s">
        <v>219</v>
      </c>
      <c r="I333" s="33" t="s">
        <v>104</v>
      </c>
    </row>
    <row r="334" spans="1:9" x14ac:dyDescent="0.25">
      <c r="A334" s="32">
        <v>46238</v>
      </c>
      <c r="B334" s="33" t="s">
        <v>306</v>
      </c>
      <c r="C334" s="33" t="s">
        <v>32</v>
      </c>
      <c r="D334" s="33" t="s">
        <v>32</v>
      </c>
      <c r="E334">
        <v>44</v>
      </c>
      <c r="F334" s="34">
        <v>0.22738425925925926</v>
      </c>
      <c r="G334" s="34">
        <v>5.1678240740740738E-3</v>
      </c>
      <c r="H334" s="33" t="s">
        <v>305</v>
      </c>
      <c r="I334" s="33" t="s">
        <v>100</v>
      </c>
    </row>
    <row r="335" spans="1:9" x14ac:dyDescent="0.25">
      <c r="A335" s="32">
        <v>46238</v>
      </c>
      <c r="B335" s="33" t="s">
        <v>641</v>
      </c>
      <c r="C335" s="33" t="s">
        <v>105</v>
      </c>
      <c r="D335" s="33" t="s">
        <v>105</v>
      </c>
      <c r="E335">
        <v>9</v>
      </c>
      <c r="F335" s="34">
        <v>0.12261574074074075</v>
      </c>
      <c r="G335" s="34">
        <v>1.3623971193415638E-2</v>
      </c>
      <c r="H335" s="33" t="s">
        <v>620</v>
      </c>
      <c r="I335" s="33" t="s">
        <v>601</v>
      </c>
    </row>
    <row r="336" spans="1:9" x14ac:dyDescent="0.25">
      <c r="A336" s="32">
        <v>46238</v>
      </c>
      <c r="B336" s="33" t="s">
        <v>556</v>
      </c>
      <c r="C336" s="33" t="s">
        <v>105</v>
      </c>
      <c r="D336" s="33" t="s">
        <v>105</v>
      </c>
      <c r="E336">
        <v>23</v>
      </c>
      <c r="F336" s="34">
        <v>0.28293981481481484</v>
      </c>
      <c r="G336" s="34">
        <v>1.2301731078904992E-2</v>
      </c>
      <c r="H336" s="33" t="s">
        <v>138</v>
      </c>
      <c r="I336" s="33" t="s">
        <v>104</v>
      </c>
    </row>
    <row r="337" spans="1:9" x14ac:dyDescent="0.25">
      <c r="A337" s="32">
        <v>46238</v>
      </c>
      <c r="B337" s="33" t="s">
        <v>532</v>
      </c>
      <c r="C337" s="33" t="s">
        <v>32</v>
      </c>
      <c r="D337" s="33" t="s">
        <v>32</v>
      </c>
      <c r="E337">
        <v>48</v>
      </c>
      <c r="F337" s="34">
        <v>0.12770833333333334</v>
      </c>
      <c r="G337" s="34">
        <v>2.6605902777777778E-3</v>
      </c>
      <c r="H337" s="33" t="s">
        <v>276</v>
      </c>
      <c r="I337" s="33" t="s">
        <v>233</v>
      </c>
    </row>
    <row r="338" spans="1:9" x14ac:dyDescent="0.25">
      <c r="A338" s="32">
        <v>46238</v>
      </c>
      <c r="B338" s="33" t="s">
        <v>533</v>
      </c>
      <c r="C338" s="33" t="s">
        <v>32</v>
      </c>
      <c r="D338" s="33" t="s">
        <v>32</v>
      </c>
      <c r="E338">
        <v>28</v>
      </c>
      <c r="F338" s="34">
        <v>0.18296296296296297</v>
      </c>
      <c r="G338" s="34">
        <v>6.5343915343915341E-3</v>
      </c>
      <c r="H338" s="33" t="s">
        <v>278</v>
      </c>
      <c r="I338" s="33" t="s">
        <v>233</v>
      </c>
    </row>
    <row r="339" spans="1:9" x14ac:dyDescent="0.25">
      <c r="A339" s="32">
        <v>46238</v>
      </c>
      <c r="B339" s="33" t="s">
        <v>674</v>
      </c>
      <c r="C339" s="33" t="s">
        <v>105</v>
      </c>
      <c r="D339" s="33" t="s">
        <v>105</v>
      </c>
      <c r="E339">
        <v>13</v>
      </c>
      <c r="F339" s="34">
        <v>0.18185185185185185</v>
      </c>
      <c r="G339" s="34">
        <v>1.3988603988603987E-2</v>
      </c>
      <c r="H339" s="33" t="s">
        <v>673</v>
      </c>
      <c r="I339" s="33" t="s">
        <v>104</v>
      </c>
    </row>
    <row r="340" spans="1:9" x14ac:dyDescent="0.25">
      <c r="A340" s="32">
        <v>46238</v>
      </c>
      <c r="B340" s="33" t="s">
        <v>549</v>
      </c>
      <c r="C340" s="33" t="s">
        <v>105</v>
      </c>
      <c r="D340" s="33" t="s">
        <v>105</v>
      </c>
      <c r="E340">
        <v>12</v>
      </c>
      <c r="F340" s="34">
        <v>0.25709490740740742</v>
      </c>
      <c r="G340" s="34">
        <v>2.1424575617283951E-2</v>
      </c>
      <c r="H340" s="33" t="s">
        <v>225</v>
      </c>
      <c r="I340" s="33" t="s">
        <v>601</v>
      </c>
    </row>
    <row r="341" spans="1:9" x14ac:dyDescent="0.25">
      <c r="A341" s="32">
        <v>46238</v>
      </c>
      <c r="B341" s="33" t="s">
        <v>534</v>
      </c>
      <c r="C341" s="33" t="s">
        <v>32</v>
      </c>
      <c r="D341" s="33" t="s">
        <v>32</v>
      </c>
      <c r="E341">
        <v>35</v>
      </c>
      <c r="F341" s="34">
        <v>0.13879629629629631</v>
      </c>
      <c r="G341" s="34">
        <v>3.9656084656084657E-3</v>
      </c>
      <c r="H341" s="33" t="s">
        <v>280</v>
      </c>
      <c r="I341" s="33" t="s">
        <v>233</v>
      </c>
    </row>
    <row r="342" spans="1:9" x14ac:dyDescent="0.25">
      <c r="A342" s="32">
        <v>46238</v>
      </c>
      <c r="B342" s="33" t="s">
        <v>571</v>
      </c>
      <c r="C342" s="33" t="s">
        <v>105</v>
      </c>
      <c r="D342" s="33" t="s">
        <v>105</v>
      </c>
      <c r="E342">
        <v>16</v>
      </c>
      <c r="F342" s="34">
        <v>0.24384259259259258</v>
      </c>
      <c r="G342" s="34">
        <v>1.5240162037037036E-2</v>
      </c>
      <c r="H342" s="33" t="s">
        <v>299</v>
      </c>
      <c r="I342" s="33" t="s">
        <v>104</v>
      </c>
    </row>
    <row r="343" spans="1:9" x14ac:dyDescent="0.25">
      <c r="A343" s="32">
        <v>46238</v>
      </c>
      <c r="B343" s="33" t="s">
        <v>535</v>
      </c>
      <c r="C343" s="33" t="s">
        <v>32</v>
      </c>
      <c r="D343" s="33" t="s">
        <v>32</v>
      </c>
      <c r="E343">
        <v>57</v>
      </c>
      <c r="F343" s="34">
        <v>0.14679398148148148</v>
      </c>
      <c r="G343" s="34">
        <v>2.5753330084470434E-3</v>
      </c>
      <c r="H343" s="33" t="s">
        <v>282</v>
      </c>
      <c r="I343" s="33" t="s">
        <v>233</v>
      </c>
    </row>
    <row r="344" spans="1:9" x14ac:dyDescent="0.25">
      <c r="A344" s="32">
        <v>46238</v>
      </c>
      <c r="B344" s="33" t="s">
        <v>557</v>
      </c>
      <c r="C344" s="33" t="s">
        <v>147</v>
      </c>
      <c r="D344" s="33" t="s">
        <v>147</v>
      </c>
      <c r="E344">
        <v>7</v>
      </c>
      <c r="F344" s="34">
        <v>3.7453703703703704E-2</v>
      </c>
      <c r="G344" s="34">
        <v>5.3505291005291004E-3</v>
      </c>
      <c r="H344" s="33" t="s">
        <v>227</v>
      </c>
      <c r="I344" s="33" t="s">
        <v>146</v>
      </c>
    </row>
    <row r="345" spans="1:9" x14ac:dyDescent="0.25">
      <c r="A345" s="32">
        <v>46238</v>
      </c>
      <c r="B345" s="33" t="s">
        <v>557</v>
      </c>
      <c r="C345" s="33" t="s">
        <v>147</v>
      </c>
      <c r="D345" s="33" t="s">
        <v>32</v>
      </c>
      <c r="E345">
        <v>4</v>
      </c>
      <c r="F345" s="34">
        <v>1.6574074074074074E-2</v>
      </c>
      <c r="G345" s="34">
        <v>4.1435185185185186E-3</v>
      </c>
      <c r="H345" s="33" t="s">
        <v>227</v>
      </c>
      <c r="I345" s="33" t="s">
        <v>146</v>
      </c>
    </row>
    <row r="346" spans="1:9" x14ac:dyDescent="0.25">
      <c r="A346" s="32">
        <v>46238</v>
      </c>
      <c r="B346" s="33" t="s">
        <v>676</v>
      </c>
      <c r="C346" s="33" t="s">
        <v>105</v>
      </c>
      <c r="D346" s="33" t="s">
        <v>105</v>
      </c>
      <c r="E346">
        <v>12</v>
      </c>
      <c r="F346" s="34">
        <v>0.23034722222222223</v>
      </c>
      <c r="G346" s="34">
        <v>1.9195601851851853E-2</v>
      </c>
      <c r="H346" s="33" t="s">
        <v>675</v>
      </c>
      <c r="I346" s="33" t="s">
        <v>104</v>
      </c>
    </row>
    <row r="347" spans="1:9" x14ac:dyDescent="0.25">
      <c r="A347" s="32">
        <v>46238</v>
      </c>
      <c r="B347" s="33" t="s">
        <v>678</v>
      </c>
      <c r="C347" s="33" t="s">
        <v>147</v>
      </c>
      <c r="D347" s="33" t="s">
        <v>147</v>
      </c>
      <c r="E347">
        <v>10</v>
      </c>
      <c r="F347" s="34">
        <v>2.6064814814814815E-2</v>
      </c>
      <c r="G347" s="34">
        <v>2.6064814814814813E-3</v>
      </c>
      <c r="H347" s="33" t="s">
        <v>677</v>
      </c>
      <c r="I347" s="33" t="s">
        <v>274</v>
      </c>
    </row>
    <row r="348" spans="1:9" x14ac:dyDescent="0.25">
      <c r="A348" s="32">
        <v>46238</v>
      </c>
      <c r="B348" s="33" t="s">
        <v>678</v>
      </c>
      <c r="C348" s="33" t="s">
        <v>147</v>
      </c>
      <c r="D348" s="33" t="s">
        <v>32</v>
      </c>
      <c r="E348">
        <v>23</v>
      </c>
      <c r="F348" s="34">
        <v>4.9930555555555554E-2</v>
      </c>
      <c r="G348" s="34">
        <v>2.1708937198067634E-3</v>
      </c>
      <c r="H348" s="33" t="s">
        <v>677</v>
      </c>
      <c r="I348" s="33" t="s">
        <v>274</v>
      </c>
    </row>
    <row r="349" spans="1:9" x14ac:dyDescent="0.25">
      <c r="A349" s="32">
        <v>46238</v>
      </c>
      <c r="B349" s="33" t="s">
        <v>680</v>
      </c>
      <c r="C349" s="33" t="s">
        <v>147</v>
      </c>
      <c r="D349" s="33" t="s">
        <v>147</v>
      </c>
      <c r="E349">
        <v>7</v>
      </c>
      <c r="F349" s="34">
        <v>2.3171296296296297E-2</v>
      </c>
      <c r="G349" s="34">
        <v>3.3101851851851851E-3</v>
      </c>
      <c r="H349" s="33" t="s">
        <v>679</v>
      </c>
      <c r="I349" s="33" t="s">
        <v>274</v>
      </c>
    </row>
    <row r="350" spans="1:9" x14ac:dyDescent="0.25">
      <c r="A350" s="32">
        <v>46238</v>
      </c>
      <c r="B350" s="33" t="s">
        <v>680</v>
      </c>
      <c r="C350" s="33" t="s">
        <v>147</v>
      </c>
      <c r="D350" s="33" t="s">
        <v>32</v>
      </c>
      <c r="E350">
        <v>26</v>
      </c>
      <c r="F350" s="34">
        <v>5.4351851851851853E-2</v>
      </c>
      <c r="G350" s="34">
        <v>2.0904558404558405E-3</v>
      </c>
      <c r="H350" s="33" t="s">
        <v>679</v>
      </c>
      <c r="I350" s="33" t="s">
        <v>274</v>
      </c>
    </row>
    <row r="351" spans="1:9" x14ac:dyDescent="0.25">
      <c r="A351" s="32">
        <v>46239</v>
      </c>
      <c r="B351" s="33" t="s">
        <v>562</v>
      </c>
      <c r="C351" s="33" t="s">
        <v>80</v>
      </c>
      <c r="D351" s="33" t="s">
        <v>32</v>
      </c>
      <c r="E351">
        <v>8</v>
      </c>
      <c r="F351" s="34">
        <v>3.4421296296296297E-2</v>
      </c>
      <c r="G351" s="34">
        <v>4.3026620370370371E-3</v>
      </c>
      <c r="H351" s="33" t="s">
        <v>186</v>
      </c>
      <c r="I351" s="33" t="s">
        <v>78</v>
      </c>
    </row>
    <row r="352" spans="1:9" x14ac:dyDescent="0.25">
      <c r="A352" s="32">
        <v>46239</v>
      </c>
      <c r="B352" s="33" t="s">
        <v>644</v>
      </c>
      <c r="C352" s="33" t="s">
        <v>32</v>
      </c>
      <c r="D352" s="33" t="s">
        <v>32</v>
      </c>
      <c r="E352">
        <v>13</v>
      </c>
      <c r="F352" s="34">
        <v>8.773148148148148E-2</v>
      </c>
      <c r="G352" s="34">
        <v>6.7485754985754983E-3</v>
      </c>
      <c r="H352" s="33" t="s">
        <v>643</v>
      </c>
      <c r="I352" s="33" t="s">
        <v>233</v>
      </c>
    </row>
    <row r="353" spans="1:9" x14ac:dyDescent="0.25">
      <c r="A353" s="32">
        <v>46239</v>
      </c>
      <c r="B353" s="33" t="s">
        <v>563</v>
      </c>
      <c r="C353" s="33" t="s">
        <v>147</v>
      </c>
      <c r="D353" s="33" t="s">
        <v>147</v>
      </c>
      <c r="E353">
        <v>9</v>
      </c>
      <c r="F353" s="34">
        <v>2.0486111111111111E-2</v>
      </c>
      <c r="G353" s="34">
        <v>2.2762345679012345E-3</v>
      </c>
      <c r="H353" s="33" t="s">
        <v>193</v>
      </c>
      <c r="I353" s="33" t="s">
        <v>274</v>
      </c>
    </row>
    <row r="354" spans="1:9" x14ac:dyDescent="0.25">
      <c r="A354" s="32">
        <v>46239</v>
      </c>
      <c r="B354" s="33" t="s">
        <v>563</v>
      </c>
      <c r="C354" s="33" t="s">
        <v>147</v>
      </c>
      <c r="D354" s="33" t="s">
        <v>32</v>
      </c>
      <c r="E354">
        <v>11</v>
      </c>
      <c r="F354" s="34">
        <v>5.8865740740740739E-2</v>
      </c>
      <c r="G354" s="34">
        <v>5.3514309764309759E-3</v>
      </c>
      <c r="H354" s="33" t="s">
        <v>193</v>
      </c>
      <c r="I354" s="33" t="s">
        <v>274</v>
      </c>
    </row>
    <row r="355" spans="1:9" x14ac:dyDescent="0.25">
      <c r="A355" s="32">
        <v>46239</v>
      </c>
      <c r="B355" s="33" t="s">
        <v>513</v>
      </c>
      <c r="C355" s="33" t="s">
        <v>105</v>
      </c>
      <c r="D355" s="33" t="s">
        <v>105</v>
      </c>
      <c r="E355">
        <v>10</v>
      </c>
      <c r="F355" s="34">
        <v>0.14827546296296296</v>
      </c>
      <c r="G355" s="34">
        <v>1.4827546296296295E-2</v>
      </c>
      <c r="H355" s="33" t="s">
        <v>148</v>
      </c>
      <c r="I355" s="33" t="s">
        <v>104</v>
      </c>
    </row>
    <row r="356" spans="1:9" x14ac:dyDescent="0.25">
      <c r="A356" s="32">
        <v>46239</v>
      </c>
      <c r="B356" s="33" t="s">
        <v>550</v>
      </c>
      <c r="C356" s="33" t="s">
        <v>32</v>
      </c>
      <c r="D356" s="33" t="s">
        <v>32</v>
      </c>
      <c r="E356">
        <v>58</v>
      </c>
      <c r="F356" s="34">
        <v>0.15671296296296297</v>
      </c>
      <c r="G356" s="34">
        <v>2.701947637292465E-3</v>
      </c>
      <c r="H356" s="33" t="s">
        <v>234</v>
      </c>
      <c r="I356" s="33" t="s">
        <v>233</v>
      </c>
    </row>
    <row r="357" spans="1:9" x14ac:dyDescent="0.25">
      <c r="A357" s="32">
        <v>46239</v>
      </c>
      <c r="B357" s="33" t="s">
        <v>505</v>
      </c>
      <c r="C357" s="33" t="s">
        <v>32</v>
      </c>
      <c r="D357" s="33" t="s">
        <v>32</v>
      </c>
      <c r="E357">
        <v>38</v>
      </c>
      <c r="F357" s="34">
        <v>0.17737268518518517</v>
      </c>
      <c r="G357" s="34">
        <v>4.6677022417153996E-3</v>
      </c>
      <c r="H357" s="33" t="s">
        <v>34</v>
      </c>
      <c r="I357" s="33" t="s">
        <v>233</v>
      </c>
    </row>
    <row r="358" spans="1:9" x14ac:dyDescent="0.25">
      <c r="A358" s="32">
        <v>46239</v>
      </c>
      <c r="B358" s="33" t="s">
        <v>569</v>
      </c>
      <c r="C358" s="33" t="s">
        <v>105</v>
      </c>
      <c r="D358" s="33" t="s">
        <v>105</v>
      </c>
      <c r="E358">
        <v>26</v>
      </c>
      <c r="F358" s="34">
        <v>0.29354166666666665</v>
      </c>
      <c r="G358" s="34">
        <v>1.1290064102564102E-2</v>
      </c>
      <c r="H358" s="33" t="s">
        <v>493</v>
      </c>
      <c r="I358" s="33" t="s">
        <v>104</v>
      </c>
    </row>
    <row r="359" spans="1:9" x14ac:dyDescent="0.25">
      <c r="A359" s="32">
        <v>46239</v>
      </c>
      <c r="B359" s="33" t="s">
        <v>551</v>
      </c>
      <c r="C359" s="33" t="s">
        <v>32</v>
      </c>
      <c r="D359" s="33" t="s">
        <v>32</v>
      </c>
      <c r="E359">
        <v>5</v>
      </c>
      <c r="F359" s="34">
        <v>2.1678240740740741E-2</v>
      </c>
      <c r="G359" s="34">
        <v>4.3356481481481484E-3</v>
      </c>
      <c r="H359" s="33" t="s">
        <v>236</v>
      </c>
      <c r="I359" s="33" t="s">
        <v>233</v>
      </c>
    </row>
    <row r="360" spans="1:9" x14ac:dyDescent="0.25">
      <c r="A360" s="32">
        <v>46239</v>
      </c>
      <c r="B360" s="33" t="s">
        <v>526</v>
      </c>
      <c r="C360" s="33" t="s">
        <v>32</v>
      </c>
      <c r="D360" s="33" t="s">
        <v>32</v>
      </c>
      <c r="E360">
        <v>3</v>
      </c>
      <c r="F360" s="34">
        <v>2.3252314814814816E-2</v>
      </c>
      <c r="G360" s="34">
        <v>7.7507716049382723E-3</v>
      </c>
      <c r="H360" s="33" t="s">
        <v>238</v>
      </c>
      <c r="I360" s="33" t="s">
        <v>233</v>
      </c>
    </row>
    <row r="361" spans="1:9" x14ac:dyDescent="0.25">
      <c r="A361" s="32">
        <v>46239</v>
      </c>
      <c r="B361" s="33" t="s">
        <v>631</v>
      </c>
      <c r="C361" s="33" t="s">
        <v>105</v>
      </c>
      <c r="D361" s="33" t="s">
        <v>105</v>
      </c>
      <c r="E361">
        <v>12</v>
      </c>
      <c r="F361" s="34">
        <v>0.24277777777777779</v>
      </c>
      <c r="G361" s="34">
        <v>2.0231481481481482E-2</v>
      </c>
      <c r="H361" s="33" t="s">
        <v>608</v>
      </c>
      <c r="I361" s="33" t="s">
        <v>601</v>
      </c>
    </row>
    <row r="362" spans="1:9" x14ac:dyDescent="0.25">
      <c r="A362" s="32">
        <v>46239</v>
      </c>
      <c r="B362" s="33" t="s">
        <v>564</v>
      </c>
      <c r="C362" s="33" t="s">
        <v>105</v>
      </c>
      <c r="D362" s="33" t="s">
        <v>105</v>
      </c>
      <c r="E362">
        <v>10</v>
      </c>
      <c r="F362" s="34">
        <v>0.15241898148148147</v>
      </c>
      <c r="G362" s="34">
        <v>1.5241898148148147E-2</v>
      </c>
      <c r="H362" s="33" t="s">
        <v>197</v>
      </c>
      <c r="I362" s="33" t="s">
        <v>601</v>
      </c>
    </row>
    <row r="363" spans="1:9" x14ac:dyDescent="0.25">
      <c r="A363" s="32">
        <v>46239</v>
      </c>
      <c r="B363" s="33" t="s">
        <v>514</v>
      </c>
      <c r="C363" s="33" t="s">
        <v>147</v>
      </c>
      <c r="D363" s="33" t="s">
        <v>147</v>
      </c>
      <c r="E363">
        <v>10</v>
      </c>
      <c r="F363" s="34">
        <v>2.2604166666666668E-2</v>
      </c>
      <c r="G363" s="34">
        <v>2.2604166666666667E-3</v>
      </c>
      <c r="H363" s="33" t="s">
        <v>150</v>
      </c>
      <c r="I363" s="33" t="s">
        <v>146</v>
      </c>
    </row>
    <row r="364" spans="1:9" x14ac:dyDescent="0.25">
      <c r="A364" s="32">
        <v>46239</v>
      </c>
      <c r="B364" s="33" t="s">
        <v>514</v>
      </c>
      <c r="C364" s="33" t="s">
        <v>147</v>
      </c>
      <c r="D364" s="33" t="s">
        <v>32</v>
      </c>
      <c r="E364">
        <v>7</v>
      </c>
      <c r="F364" s="34">
        <v>3.528935185185185E-2</v>
      </c>
      <c r="G364" s="34">
        <v>5.0413359788359785E-3</v>
      </c>
      <c r="H364" s="33" t="s">
        <v>150</v>
      </c>
      <c r="I364" s="33" t="s">
        <v>146</v>
      </c>
    </row>
    <row r="365" spans="1:9" x14ac:dyDescent="0.25">
      <c r="A365" s="32">
        <v>46239</v>
      </c>
      <c r="B365" s="33" t="s">
        <v>536</v>
      </c>
      <c r="C365" s="33" t="s">
        <v>32</v>
      </c>
      <c r="D365" s="33" t="s">
        <v>32</v>
      </c>
      <c r="E365">
        <v>4</v>
      </c>
      <c r="F365" s="34">
        <v>4.5266203703703704E-2</v>
      </c>
      <c r="G365" s="34">
        <v>1.1316550925925926E-2</v>
      </c>
      <c r="H365" s="33" t="s">
        <v>38</v>
      </c>
      <c r="I365" s="33" t="s">
        <v>100</v>
      </c>
    </row>
    <row r="366" spans="1:9" x14ac:dyDescent="0.25">
      <c r="A366" s="32">
        <v>46239</v>
      </c>
      <c r="B366" s="33" t="s">
        <v>682</v>
      </c>
      <c r="C366" s="33" t="s">
        <v>105</v>
      </c>
      <c r="D366" s="33" t="s">
        <v>105</v>
      </c>
      <c r="E366">
        <v>10</v>
      </c>
      <c r="F366" s="34">
        <v>0.19909722222222223</v>
      </c>
      <c r="G366" s="34">
        <v>1.9909722222222224E-2</v>
      </c>
      <c r="H366" s="33" t="s">
        <v>681</v>
      </c>
      <c r="I366" s="33" t="s">
        <v>601</v>
      </c>
    </row>
    <row r="367" spans="1:9" x14ac:dyDescent="0.25">
      <c r="A367" s="32">
        <v>46239</v>
      </c>
      <c r="B367" s="33" t="s">
        <v>515</v>
      </c>
      <c r="C367" s="33" t="s">
        <v>147</v>
      </c>
      <c r="D367" s="33" t="s">
        <v>147</v>
      </c>
      <c r="E367">
        <v>12</v>
      </c>
      <c r="F367" s="34">
        <v>1.6886574074074075E-2</v>
      </c>
      <c r="G367" s="34">
        <v>1.4072145061728395E-3</v>
      </c>
      <c r="H367" s="33" t="s">
        <v>154</v>
      </c>
      <c r="I367" s="33" t="s">
        <v>146</v>
      </c>
    </row>
    <row r="368" spans="1:9" x14ac:dyDescent="0.25">
      <c r="A368" s="32">
        <v>46239</v>
      </c>
      <c r="B368" s="33" t="s">
        <v>515</v>
      </c>
      <c r="C368" s="33" t="s">
        <v>147</v>
      </c>
      <c r="D368" s="33" t="s">
        <v>32</v>
      </c>
      <c r="E368">
        <v>5</v>
      </c>
      <c r="F368" s="34">
        <v>1.9456018518518518E-2</v>
      </c>
      <c r="G368" s="34">
        <v>3.8912037037037036E-3</v>
      </c>
      <c r="H368" s="33" t="s">
        <v>154</v>
      </c>
      <c r="I368" s="33" t="s">
        <v>146</v>
      </c>
    </row>
    <row r="369" spans="1:9" x14ac:dyDescent="0.25">
      <c r="A369" s="32">
        <v>46239</v>
      </c>
      <c r="B369" s="33" t="s">
        <v>570</v>
      </c>
      <c r="C369" s="33" t="s">
        <v>105</v>
      </c>
      <c r="D369" s="33" t="s">
        <v>105</v>
      </c>
      <c r="E369">
        <v>10</v>
      </c>
      <c r="F369" s="34">
        <v>0.17038194444444443</v>
      </c>
      <c r="G369" s="34">
        <v>1.7038194444444443E-2</v>
      </c>
      <c r="H369" s="33" t="s">
        <v>112</v>
      </c>
      <c r="I369" s="33" t="s">
        <v>104</v>
      </c>
    </row>
    <row r="370" spans="1:9" x14ac:dyDescent="0.25">
      <c r="A370" s="32">
        <v>46239</v>
      </c>
      <c r="B370" s="33" t="s">
        <v>537</v>
      </c>
      <c r="C370" s="33" t="s">
        <v>105</v>
      </c>
      <c r="D370" s="33" t="s">
        <v>105</v>
      </c>
      <c r="E370">
        <v>9</v>
      </c>
      <c r="F370" s="34">
        <v>0.13299768518518518</v>
      </c>
      <c r="G370" s="34">
        <v>1.4777520576131686E-2</v>
      </c>
      <c r="H370" s="33" t="s">
        <v>42</v>
      </c>
      <c r="I370" s="33" t="s">
        <v>104</v>
      </c>
    </row>
    <row r="371" spans="1:9" x14ac:dyDescent="0.25">
      <c r="A371" s="32">
        <v>46239</v>
      </c>
      <c r="B371" s="33" t="s">
        <v>516</v>
      </c>
      <c r="C371" s="33" t="s">
        <v>147</v>
      </c>
      <c r="D371" s="33" t="s">
        <v>147</v>
      </c>
      <c r="E371">
        <v>7</v>
      </c>
      <c r="F371" s="34">
        <v>2.4502314814814814E-2</v>
      </c>
      <c r="G371" s="34">
        <v>3.5003306878306877E-3</v>
      </c>
      <c r="H371" s="33" t="s">
        <v>156</v>
      </c>
      <c r="I371" s="33" t="s">
        <v>146</v>
      </c>
    </row>
    <row r="372" spans="1:9" x14ac:dyDescent="0.25">
      <c r="A372" s="32">
        <v>46239</v>
      </c>
      <c r="B372" s="33" t="s">
        <v>516</v>
      </c>
      <c r="C372" s="33" t="s">
        <v>147</v>
      </c>
      <c r="D372" s="33" t="s">
        <v>32</v>
      </c>
      <c r="E372">
        <v>11</v>
      </c>
      <c r="F372" s="34">
        <v>3.4548611111111113E-2</v>
      </c>
      <c r="G372" s="34">
        <v>3.1407828282828286E-3</v>
      </c>
      <c r="H372" s="33" t="s">
        <v>156</v>
      </c>
      <c r="I372" s="33" t="s">
        <v>146</v>
      </c>
    </row>
    <row r="373" spans="1:9" x14ac:dyDescent="0.25">
      <c r="A373" s="32">
        <v>46239</v>
      </c>
      <c r="B373" s="33" t="s">
        <v>541</v>
      </c>
      <c r="C373" s="33" t="s">
        <v>105</v>
      </c>
      <c r="D373" s="33" t="s">
        <v>105</v>
      </c>
      <c r="E373">
        <v>17</v>
      </c>
      <c r="F373" s="34">
        <v>0.24692129629629631</v>
      </c>
      <c r="G373" s="34">
        <v>1.4524782135076254E-2</v>
      </c>
      <c r="H373" s="33" t="s">
        <v>114</v>
      </c>
      <c r="I373" s="33" t="s">
        <v>104</v>
      </c>
    </row>
    <row r="374" spans="1:9" x14ac:dyDescent="0.25">
      <c r="A374" s="32">
        <v>46239</v>
      </c>
      <c r="B374" s="33" t="s">
        <v>506</v>
      </c>
      <c r="C374" s="33" t="s">
        <v>32</v>
      </c>
      <c r="D374" s="33" t="s">
        <v>32</v>
      </c>
      <c r="E374">
        <v>25</v>
      </c>
      <c r="F374" s="34">
        <v>0.24</v>
      </c>
      <c r="G374" s="34">
        <v>9.5999999999999992E-3</v>
      </c>
      <c r="H374" s="33" t="s">
        <v>44</v>
      </c>
      <c r="I374" s="33" t="s">
        <v>100</v>
      </c>
    </row>
    <row r="375" spans="1:9" x14ac:dyDescent="0.25">
      <c r="A375" s="32">
        <v>46239</v>
      </c>
      <c r="B375" s="33" t="s">
        <v>632</v>
      </c>
      <c r="C375" s="33" t="s">
        <v>105</v>
      </c>
      <c r="D375" s="33" t="s">
        <v>105</v>
      </c>
      <c r="E375">
        <v>13</v>
      </c>
      <c r="F375" s="34">
        <v>0.19396990740740741</v>
      </c>
      <c r="G375" s="34">
        <v>1.4920762108262108E-2</v>
      </c>
      <c r="H375" s="33" t="s">
        <v>609</v>
      </c>
      <c r="I375" s="33" t="s">
        <v>601</v>
      </c>
    </row>
    <row r="376" spans="1:9" x14ac:dyDescent="0.25">
      <c r="A376" s="32">
        <v>46239</v>
      </c>
      <c r="B376" s="33" t="s">
        <v>527</v>
      </c>
      <c r="C376" s="33" t="s">
        <v>32</v>
      </c>
      <c r="D376" s="33" t="s">
        <v>32</v>
      </c>
      <c r="E376">
        <v>4</v>
      </c>
      <c r="F376" s="34">
        <v>3.8275462962962963E-2</v>
      </c>
      <c r="G376" s="34">
        <v>9.5688657407407406E-3</v>
      </c>
      <c r="H376" s="33" t="s">
        <v>240</v>
      </c>
      <c r="I376" s="33" t="s">
        <v>233</v>
      </c>
    </row>
    <row r="377" spans="1:9" x14ac:dyDescent="0.25">
      <c r="A377" s="32">
        <v>46239</v>
      </c>
      <c r="B377" s="33" t="s">
        <v>310</v>
      </c>
      <c r="C377" s="33" t="s">
        <v>80</v>
      </c>
      <c r="D377" s="33" t="s">
        <v>32</v>
      </c>
      <c r="E377">
        <v>1</v>
      </c>
      <c r="F377" s="34">
        <v>2.5416666666666667E-2</v>
      </c>
      <c r="G377" s="34">
        <v>2.5416666666666667E-2</v>
      </c>
      <c r="H377" s="33" t="s">
        <v>309</v>
      </c>
      <c r="I377" s="33" t="s">
        <v>78</v>
      </c>
    </row>
    <row r="378" spans="1:9" x14ac:dyDescent="0.25">
      <c r="A378" s="32">
        <v>46239</v>
      </c>
      <c r="B378" s="33" t="s">
        <v>646</v>
      </c>
      <c r="C378" s="33" t="s">
        <v>32</v>
      </c>
      <c r="D378" s="33" t="s">
        <v>32</v>
      </c>
      <c r="E378">
        <v>36</v>
      </c>
      <c r="F378" s="34">
        <v>0.25113425925925925</v>
      </c>
      <c r="G378" s="34">
        <v>6.9759516460905346E-3</v>
      </c>
      <c r="H378" s="33" t="s">
        <v>645</v>
      </c>
      <c r="I378" s="33" t="s">
        <v>100</v>
      </c>
    </row>
    <row r="379" spans="1:9" x14ac:dyDescent="0.25">
      <c r="A379" s="32">
        <v>46239</v>
      </c>
      <c r="B379" s="33" t="s">
        <v>544</v>
      </c>
      <c r="C379" s="33" t="s">
        <v>147</v>
      </c>
      <c r="D379" s="33" t="s">
        <v>147</v>
      </c>
      <c r="E379">
        <v>10</v>
      </c>
      <c r="F379" s="34">
        <v>2.0682870370370369E-2</v>
      </c>
      <c r="G379" s="34">
        <v>2.0682870370370369E-3</v>
      </c>
      <c r="H379" s="33" t="s">
        <v>160</v>
      </c>
      <c r="I379" s="33" t="s">
        <v>146</v>
      </c>
    </row>
    <row r="380" spans="1:9" x14ac:dyDescent="0.25">
      <c r="A380" s="32">
        <v>46239</v>
      </c>
      <c r="B380" s="33" t="s">
        <v>544</v>
      </c>
      <c r="C380" s="33" t="s">
        <v>147</v>
      </c>
      <c r="D380" s="33" t="s">
        <v>32</v>
      </c>
      <c r="E380">
        <v>6</v>
      </c>
      <c r="F380" s="34">
        <v>1.5034722222222222E-2</v>
      </c>
      <c r="G380" s="34">
        <v>2.5057870370370368E-3</v>
      </c>
      <c r="H380" s="33" t="s">
        <v>160</v>
      </c>
      <c r="I380" s="33" t="s">
        <v>146</v>
      </c>
    </row>
    <row r="381" spans="1:9" x14ac:dyDescent="0.25">
      <c r="A381" s="32">
        <v>46239</v>
      </c>
      <c r="B381" s="33" t="s">
        <v>558</v>
      </c>
      <c r="C381" s="33" t="s">
        <v>32</v>
      </c>
      <c r="D381" s="33" t="s">
        <v>32</v>
      </c>
      <c r="E381">
        <v>52</v>
      </c>
      <c r="F381" s="34">
        <v>0.16472222222222221</v>
      </c>
      <c r="G381" s="34">
        <v>3.1677350427350426E-3</v>
      </c>
      <c r="H381" s="33" t="s">
        <v>120</v>
      </c>
      <c r="I381" s="33" t="s">
        <v>233</v>
      </c>
    </row>
    <row r="382" spans="1:9" x14ac:dyDescent="0.25">
      <c r="A382" s="32">
        <v>46239</v>
      </c>
      <c r="B382" s="33" t="s">
        <v>507</v>
      </c>
      <c r="C382" s="33" t="s">
        <v>32</v>
      </c>
      <c r="D382" s="33" t="s">
        <v>32</v>
      </c>
      <c r="E382">
        <v>30</v>
      </c>
      <c r="F382" s="34">
        <v>0.23185185185185186</v>
      </c>
      <c r="G382" s="34">
        <v>7.7283950617283957E-3</v>
      </c>
      <c r="H382" s="33" t="s">
        <v>46</v>
      </c>
      <c r="I382" s="33" t="s">
        <v>100</v>
      </c>
    </row>
    <row r="383" spans="1:9" x14ac:dyDescent="0.25">
      <c r="A383" s="32">
        <v>46239</v>
      </c>
      <c r="B383" s="33" t="s">
        <v>542</v>
      </c>
      <c r="C383" s="33" t="s">
        <v>105</v>
      </c>
      <c r="D383" s="33" t="s">
        <v>105</v>
      </c>
      <c r="E383">
        <v>5</v>
      </c>
      <c r="F383" s="34">
        <v>7.7175925925925926E-2</v>
      </c>
      <c r="G383" s="34">
        <v>1.5435185185185185E-2</v>
      </c>
      <c r="H383" s="33" t="s">
        <v>287</v>
      </c>
      <c r="I383" s="33" t="s">
        <v>104</v>
      </c>
    </row>
    <row r="384" spans="1:9" x14ac:dyDescent="0.25">
      <c r="A384" s="32">
        <v>46239</v>
      </c>
      <c r="B384" s="33" t="s">
        <v>517</v>
      </c>
      <c r="C384" s="33" t="s">
        <v>147</v>
      </c>
      <c r="D384" s="33" t="s">
        <v>147</v>
      </c>
      <c r="E384">
        <v>6</v>
      </c>
      <c r="F384" s="34">
        <v>3.079861111111111E-2</v>
      </c>
      <c r="G384" s="34">
        <v>5.1331018518518514E-3</v>
      </c>
      <c r="H384" s="33" t="s">
        <v>499</v>
      </c>
      <c r="I384" s="33" t="s">
        <v>146</v>
      </c>
    </row>
    <row r="385" spans="1:9" x14ac:dyDescent="0.25">
      <c r="A385" s="32">
        <v>46239</v>
      </c>
      <c r="B385" s="33" t="s">
        <v>517</v>
      </c>
      <c r="C385" s="33" t="s">
        <v>147</v>
      </c>
      <c r="D385" s="33" t="s">
        <v>32</v>
      </c>
      <c r="E385">
        <v>4</v>
      </c>
      <c r="F385" s="34">
        <v>2.0173611111111111E-2</v>
      </c>
      <c r="G385" s="34">
        <v>5.0434027777777777E-3</v>
      </c>
      <c r="H385" s="33" t="s">
        <v>499</v>
      </c>
      <c r="I385" s="33" t="s">
        <v>146</v>
      </c>
    </row>
    <row r="386" spans="1:9" x14ac:dyDescent="0.25">
      <c r="A386" s="32">
        <v>46239</v>
      </c>
      <c r="B386" s="33" t="s">
        <v>648</v>
      </c>
      <c r="C386" s="33" t="s">
        <v>32</v>
      </c>
      <c r="D386" s="33" t="s">
        <v>32</v>
      </c>
      <c r="E386">
        <v>28</v>
      </c>
      <c r="F386" s="34">
        <v>9.3356481481481485E-2</v>
      </c>
      <c r="G386" s="34">
        <v>3.3341600529100531E-3</v>
      </c>
      <c r="H386" s="33" t="s">
        <v>647</v>
      </c>
      <c r="I386" s="33" t="s">
        <v>233</v>
      </c>
    </row>
    <row r="387" spans="1:9" x14ac:dyDescent="0.25">
      <c r="A387" s="32">
        <v>46239</v>
      </c>
      <c r="B387" s="33" t="s">
        <v>650</v>
      </c>
      <c r="C387" s="33" t="s">
        <v>105</v>
      </c>
      <c r="D387" s="33" t="s">
        <v>105</v>
      </c>
      <c r="E387">
        <v>12</v>
      </c>
      <c r="F387" s="34">
        <v>0.19259259259259259</v>
      </c>
      <c r="G387" s="34">
        <v>1.6049382716049384E-2</v>
      </c>
      <c r="H387" s="33" t="s">
        <v>649</v>
      </c>
      <c r="I387" s="33" t="s">
        <v>104</v>
      </c>
    </row>
    <row r="388" spans="1:9" x14ac:dyDescent="0.25">
      <c r="A388" s="32">
        <v>46239</v>
      </c>
      <c r="B388" s="33" t="s">
        <v>652</v>
      </c>
      <c r="C388" s="33" t="s">
        <v>32</v>
      </c>
      <c r="D388" s="33" t="s">
        <v>32</v>
      </c>
      <c r="E388">
        <v>26</v>
      </c>
      <c r="F388" s="34">
        <v>0.23711805555555557</v>
      </c>
      <c r="G388" s="34">
        <v>9.1199252136752139E-3</v>
      </c>
      <c r="H388" s="33" t="s">
        <v>651</v>
      </c>
      <c r="I388" s="33" t="s">
        <v>100</v>
      </c>
    </row>
    <row r="389" spans="1:9" x14ac:dyDescent="0.25">
      <c r="A389" s="32">
        <v>46239</v>
      </c>
      <c r="B389" s="33" t="s">
        <v>508</v>
      </c>
      <c r="C389" s="33" t="s">
        <v>32</v>
      </c>
      <c r="D389" s="33" t="s">
        <v>32</v>
      </c>
      <c r="E389">
        <v>28</v>
      </c>
      <c r="F389" s="34">
        <v>0.21357638888888889</v>
      </c>
      <c r="G389" s="34">
        <v>7.6277281746031742E-3</v>
      </c>
      <c r="H389" s="33" t="s">
        <v>48</v>
      </c>
      <c r="I389" s="33" t="s">
        <v>100</v>
      </c>
    </row>
    <row r="390" spans="1:9" x14ac:dyDescent="0.25">
      <c r="A390" s="32">
        <v>46239</v>
      </c>
      <c r="B390" s="33" t="s">
        <v>538</v>
      </c>
      <c r="C390" s="33" t="s">
        <v>32</v>
      </c>
      <c r="D390" s="33" t="s">
        <v>32</v>
      </c>
      <c r="E390">
        <v>10</v>
      </c>
      <c r="F390" s="34">
        <v>4.0196759259259258E-2</v>
      </c>
      <c r="G390" s="34">
        <v>4.0196759259259257E-3</v>
      </c>
      <c r="H390" s="33" t="s">
        <v>50</v>
      </c>
      <c r="I390" s="33" t="s">
        <v>100</v>
      </c>
    </row>
    <row r="391" spans="1:9" x14ac:dyDescent="0.25">
      <c r="A391" s="32">
        <v>46239</v>
      </c>
      <c r="B391" s="33" t="s">
        <v>603</v>
      </c>
      <c r="C391" s="33" t="s">
        <v>32</v>
      </c>
      <c r="D391" s="33" t="s">
        <v>32</v>
      </c>
      <c r="E391">
        <v>34</v>
      </c>
      <c r="F391" s="34">
        <v>0.23401620370370371</v>
      </c>
      <c r="G391" s="34">
        <v>6.8828295206971677E-3</v>
      </c>
      <c r="H391" s="33" t="s">
        <v>242</v>
      </c>
      <c r="I391" s="33" t="s">
        <v>233</v>
      </c>
    </row>
    <row r="392" spans="1:9" x14ac:dyDescent="0.25">
      <c r="A392" s="32">
        <v>46239</v>
      </c>
      <c r="B392" s="33" t="s">
        <v>559</v>
      </c>
      <c r="C392" s="33" t="s">
        <v>105</v>
      </c>
      <c r="D392" s="33" t="s">
        <v>105</v>
      </c>
      <c r="E392">
        <v>7</v>
      </c>
      <c r="F392" s="34">
        <v>0.10836805555555555</v>
      </c>
      <c r="G392" s="34">
        <v>1.5481150793650793E-2</v>
      </c>
      <c r="H392" s="33" t="s">
        <v>289</v>
      </c>
      <c r="I392" s="33" t="s">
        <v>104</v>
      </c>
    </row>
    <row r="393" spans="1:9" x14ac:dyDescent="0.25">
      <c r="A393" s="32">
        <v>46239</v>
      </c>
      <c r="B393" s="33" t="s">
        <v>553</v>
      </c>
      <c r="C393" s="33" t="s">
        <v>80</v>
      </c>
      <c r="D393" s="33" t="s">
        <v>32</v>
      </c>
      <c r="E393">
        <v>1</v>
      </c>
      <c r="F393" s="34">
        <v>4.2476851851851851E-3</v>
      </c>
      <c r="G393" s="34">
        <v>4.2476851851851851E-3</v>
      </c>
      <c r="H393" s="33" t="s">
        <v>252</v>
      </c>
      <c r="I393" s="33" t="s">
        <v>78</v>
      </c>
    </row>
    <row r="394" spans="1:9" x14ac:dyDescent="0.25">
      <c r="A394" s="32">
        <v>46239</v>
      </c>
      <c r="B394" s="33" t="s">
        <v>518</v>
      </c>
      <c r="C394" s="33" t="s">
        <v>147</v>
      </c>
      <c r="D394" s="33" t="s">
        <v>147</v>
      </c>
      <c r="E394">
        <v>13</v>
      </c>
      <c r="F394" s="34">
        <v>7.4282407407407408E-2</v>
      </c>
      <c r="G394" s="34">
        <v>5.7140313390313391E-3</v>
      </c>
      <c r="H394" s="33" t="s">
        <v>500</v>
      </c>
      <c r="I394" s="33" t="s">
        <v>274</v>
      </c>
    </row>
    <row r="395" spans="1:9" x14ac:dyDescent="0.25">
      <c r="A395" s="32">
        <v>46239</v>
      </c>
      <c r="B395" s="33" t="s">
        <v>518</v>
      </c>
      <c r="C395" s="33" t="s">
        <v>147</v>
      </c>
      <c r="D395" s="33" t="s">
        <v>32</v>
      </c>
      <c r="E395">
        <v>10</v>
      </c>
      <c r="F395" s="34">
        <v>4.400462962962963E-2</v>
      </c>
      <c r="G395" s="34">
        <v>4.4004629629629628E-3</v>
      </c>
      <c r="H395" s="33" t="s">
        <v>500</v>
      </c>
      <c r="I395" s="33" t="s">
        <v>274</v>
      </c>
    </row>
    <row r="396" spans="1:9" x14ac:dyDescent="0.25">
      <c r="A396" s="32">
        <v>46239</v>
      </c>
      <c r="B396" s="33" t="s">
        <v>684</v>
      </c>
      <c r="C396" s="33" t="s">
        <v>32</v>
      </c>
      <c r="D396" s="33" t="s">
        <v>32</v>
      </c>
      <c r="E396">
        <v>23</v>
      </c>
      <c r="F396" s="34">
        <v>0.17666666666666667</v>
      </c>
      <c r="G396" s="34">
        <v>7.6811594202898549E-3</v>
      </c>
      <c r="H396" s="33" t="s">
        <v>683</v>
      </c>
      <c r="I396" s="33" t="s">
        <v>233</v>
      </c>
    </row>
    <row r="397" spans="1:9" x14ac:dyDescent="0.25">
      <c r="A397" s="32">
        <v>46239</v>
      </c>
      <c r="B397" s="33" t="s">
        <v>654</v>
      </c>
      <c r="C397" s="33" t="s">
        <v>32</v>
      </c>
      <c r="D397" s="33" t="s">
        <v>32</v>
      </c>
      <c r="E397">
        <v>21</v>
      </c>
      <c r="F397" s="34">
        <v>0.20505787037037038</v>
      </c>
      <c r="G397" s="34">
        <v>9.7646604938271611E-3</v>
      </c>
      <c r="H397" s="33" t="s">
        <v>653</v>
      </c>
      <c r="I397" s="33" t="s">
        <v>100</v>
      </c>
    </row>
    <row r="398" spans="1:9" x14ac:dyDescent="0.25">
      <c r="A398" s="32">
        <v>46239</v>
      </c>
      <c r="B398" s="33" t="s">
        <v>509</v>
      </c>
      <c r="C398" s="33" t="s">
        <v>32</v>
      </c>
      <c r="D398" s="33" t="s">
        <v>32</v>
      </c>
      <c r="E398">
        <v>9</v>
      </c>
      <c r="F398" s="34">
        <v>7.391203703703704E-2</v>
      </c>
      <c r="G398" s="34">
        <v>8.2124485596707826E-3</v>
      </c>
      <c r="H398" s="33" t="s">
        <v>52</v>
      </c>
      <c r="I398" s="33" t="s">
        <v>100</v>
      </c>
    </row>
    <row r="399" spans="1:9" x14ac:dyDescent="0.25">
      <c r="A399" s="32">
        <v>46239</v>
      </c>
      <c r="B399" s="33" t="s">
        <v>519</v>
      </c>
      <c r="C399" s="33" t="s">
        <v>147</v>
      </c>
      <c r="D399" s="33" t="s">
        <v>147</v>
      </c>
      <c r="E399">
        <v>10</v>
      </c>
      <c r="F399" s="34">
        <v>2.4710648148148148E-2</v>
      </c>
      <c r="G399" s="34">
        <v>2.4710648148148148E-3</v>
      </c>
      <c r="H399" s="33" t="s">
        <v>164</v>
      </c>
      <c r="I399" s="33" t="s">
        <v>146</v>
      </c>
    </row>
    <row r="400" spans="1:9" x14ac:dyDescent="0.25">
      <c r="A400" s="32">
        <v>46239</v>
      </c>
      <c r="B400" s="33" t="s">
        <v>519</v>
      </c>
      <c r="C400" s="33" t="s">
        <v>147</v>
      </c>
      <c r="D400" s="33" t="s">
        <v>32</v>
      </c>
      <c r="E400">
        <v>8</v>
      </c>
      <c r="F400" s="34">
        <v>2.5694444444444443E-2</v>
      </c>
      <c r="G400" s="34">
        <v>3.2118055555555554E-3</v>
      </c>
      <c r="H400" s="33" t="s">
        <v>164</v>
      </c>
      <c r="I400" s="33" t="s">
        <v>146</v>
      </c>
    </row>
    <row r="401" spans="1:9" x14ac:dyDescent="0.25">
      <c r="A401" s="32">
        <v>46239</v>
      </c>
      <c r="B401" s="33" t="s">
        <v>656</v>
      </c>
      <c r="C401" s="33" t="s">
        <v>32</v>
      </c>
      <c r="D401" s="33" t="s">
        <v>32</v>
      </c>
      <c r="E401">
        <v>26</v>
      </c>
      <c r="F401" s="34">
        <v>0.18623842592592593</v>
      </c>
      <c r="G401" s="34">
        <v>7.1630163817663819E-3</v>
      </c>
      <c r="H401" s="33" t="s">
        <v>655</v>
      </c>
      <c r="I401" s="33" t="s">
        <v>100</v>
      </c>
    </row>
    <row r="402" spans="1:9" x14ac:dyDescent="0.25">
      <c r="A402" s="32">
        <v>46239</v>
      </c>
      <c r="B402" s="33" t="s">
        <v>167</v>
      </c>
      <c r="C402" s="33" t="s">
        <v>147</v>
      </c>
      <c r="D402" s="33" t="s">
        <v>147</v>
      </c>
      <c r="E402">
        <v>13</v>
      </c>
      <c r="F402" s="34">
        <v>4.2418981481481481E-2</v>
      </c>
      <c r="G402" s="34">
        <v>3.2629985754985755E-3</v>
      </c>
      <c r="H402" s="33" t="s">
        <v>166</v>
      </c>
      <c r="I402" s="33" t="s">
        <v>146</v>
      </c>
    </row>
    <row r="403" spans="1:9" x14ac:dyDescent="0.25">
      <c r="A403" s="32">
        <v>46239</v>
      </c>
      <c r="B403" s="33" t="s">
        <v>167</v>
      </c>
      <c r="C403" s="33" t="s">
        <v>147</v>
      </c>
      <c r="D403" s="33" t="s">
        <v>32</v>
      </c>
      <c r="E403">
        <v>10</v>
      </c>
      <c r="F403" s="34">
        <v>1.7118055555555556E-2</v>
      </c>
      <c r="G403" s="34">
        <v>1.7118055555555556E-3</v>
      </c>
      <c r="H403" s="33" t="s">
        <v>166</v>
      </c>
      <c r="I403" s="33" t="s">
        <v>146</v>
      </c>
    </row>
    <row r="404" spans="1:9" x14ac:dyDescent="0.25">
      <c r="A404" s="32">
        <v>46239</v>
      </c>
      <c r="B404" s="33" t="s">
        <v>658</v>
      </c>
      <c r="C404" s="33" t="s">
        <v>147</v>
      </c>
      <c r="D404" s="33" t="s">
        <v>147</v>
      </c>
      <c r="E404">
        <v>11</v>
      </c>
      <c r="F404" s="34">
        <v>5.3668981481481484E-2</v>
      </c>
      <c r="G404" s="34">
        <v>4.878998316498317E-3</v>
      </c>
      <c r="H404" s="33" t="s">
        <v>657</v>
      </c>
      <c r="I404" s="33" t="s">
        <v>274</v>
      </c>
    </row>
    <row r="405" spans="1:9" x14ac:dyDescent="0.25">
      <c r="A405" s="32">
        <v>46239</v>
      </c>
      <c r="B405" s="33" t="s">
        <v>658</v>
      </c>
      <c r="C405" s="33" t="s">
        <v>147</v>
      </c>
      <c r="D405" s="33" t="s">
        <v>32</v>
      </c>
      <c r="E405">
        <v>3</v>
      </c>
      <c r="F405" s="34">
        <v>1.511574074074074E-2</v>
      </c>
      <c r="G405" s="34">
        <v>5.0385802469135798E-3</v>
      </c>
      <c r="H405" s="33" t="s">
        <v>657</v>
      </c>
      <c r="I405" s="33" t="s">
        <v>274</v>
      </c>
    </row>
    <row r="406" spans="1:9" x14ac:dyDescent="0.25">
      <c r="A406" s="32">
        <v>46239</v>
      </c>
      <c r="B406" s="33" t="s">
        <v>660</v>
      </c>
      <c r="C406" s="33" t="s">
        <v>32</v>
      </c>
      <c r="D406" s="33" t="s">
        <v>32</v>
      </c>
      <c r="E406">
        <v>8</v>
      </c>
      <c r="F406" s="34">
        <v>5.2638888888888888E-2</v>
      </c>
      <c r="G406" s="34">
        <v>6.579861111111111E-3</v>
      </c>
      <c r="H406" s="33" t="s">
        <v>659</v>
      </c>
      <c r="I406" s="33" t="s">
        <v>100</v>
      </c>
    </row>
    <row r="407" spans="1:9" x14ac:dyDescent="0.25">
      <c r="A407" s="32">
        <v>46239</v>
      </c>
      <c r="B407" s="33" t="s">
        <v>528</v>
      </c>
      <c r="C407" s="33" t="s">
        <v>32</v>
      </c>
      <c r="D407" s="33" t="s">
        <v>32</v>
      </c>
      <c r="E407">
        <v>25</v>
      </c>
      <c r="F407" s="34">
        <v>0.16215277777777778</v>
      </c>
      <c r="G407" s="34">
        <v>6.4861111111111118E-3</v>
      </c>
      <c r="H407" s="33" t="s">
        <v>254</v>
      </c>
      <c r="I407" s="33" t="s">
        <v>233</v>
      </c>
    </row>
    <row r="408" spans="1:9" x14ac:dyDescent="0.25">
      <c r="A408" s="32">
        <v>46239</v>
      </c>
      <c r="B408" s="33" t="s">
        <v>545</v>
      </c>
      <c r="C408" s="33" t="s">
        <v>600</v>
      </c>
      <c r="D408" s="33" t="s">
        <v>600</v>
      </c>
      <c r="E408">
        <v>32</v>
      </c>
      <c r="F408" s="34">
        <v>7.4652777777777776E-2</v>
      </c>
      <c r="G408" s="34">
        <v>2.3328993055555555E-3</v>
      </c>
      <c r="H408" s="33" t="s">
        <v>201</v>
      </c>
      <c r="I408" s="33" t="s">
        <v>601</v>
      </c>
    </row>
    <row r="409" spans="1:9" x14ac:dyDescent="0.25">
      <c r="A409" s="32">
        <v>46239</v>
      </c>
      <c r="B409" s="33" t="s">
        <v>520</v>
      </c>
      <c r="C409" s="33" t="s">
        <v>147</v>
      </c>
      <c r="D409" s="33" t="s">
        <v>147</v>
      </c>
      <c r="E409">
        <v>7</v>
      </c>
      <c r="F409" s="34">
        <v>1.4953703703703703E-2</v>
      </c>
      <c r="G409" s="34">
        <v>2.1362433862433861E-3</v>
      </c>
      <c r="H409" s="33" t="s">
        <v>168</v>
      </c>
      <c r="I409" s="33" t="s">
        <v>274</v>
      </c>
    </row>
    <row r="410" spans="1:9" x14ac:dyDescent="0.25">
      <c r="A410" s="32">
        <v>46239</v>
      </c>
      <c r="B410" s="33" t="s">
        <v>520</v>
      </c>
      <c r="C410" s="33" t="s">
        <v>147</v>
      </c>
      <c r="D410" s="33" t="s">
        <v>32</v>
      </c>
      <c r="E410">
        <v>10</v>
      </c>
      <c r="F410" s="34">
        <v>3.8587962962962963E-2</v>
      </c>
      <c r="G410" s="34">
        <v>3.8587962962962964E-3</v>
      </c>
      <c r="H410" s="33" t="s">
        <v>168</v>
      </c>
      <c r="I410" s="33" t="s">
        <v>274</v>
      </c>
    </row>
    <row r="411" spans="1:9" x14ac:dyDescent="0.25">
      <c r="A411" s="32">
        <v>46239</v>
      </c>
      <c r="B411" s="33" t="s">
        <v>521</v>
      </c>
      <c r="C411" s="33" t="s">
        <v>147</v>
      </c>
      <c r="D411" s="33" t="s">
        <v>147</v>
      </c>
      <c r="E411">
        <v>9</v>
      </c>
      <c r="F411" s="34">
        <v>6.6909722222222218E-2</v>
      </c>
      <c r="G411" s="34">
        <v>7.434413580246913E-3</v>
      </c>
      <c r="H411" s="33" t="s">
        <v>170</v>
      </c>
      <c r="I411" s="33" t="s">
        <v>146</v>
      </c>
    </row>
    <row r="412" spans="1:9" x14ac:dyDescent="0.25">
      <c r="A412" s="32">
        <v>46239</v>
      </c>
      <c r="B412" s="33" t="s">
        <v>521</v>
      </c>
      <c r="C412" s="33" t="s">
        <v>147</v>
      </c>
      <c r="D412" s="33" t="s">
        <v>32</v>
      </c>
      <c r="E412">
        <v>3</v>
      </c>
      <c r="F412" s="34">
        <v>1.4201388888888888E-2</v>
      </c>
      <c r="G412" s="34">
        <v>4.7337962962962958E-3</v>
      </c>
      <c r="H412" s="33" t="s">
        <v>170</v>
      </c>
      <c r="I412" s="33" t="s">
        <v>146</v>
      </c>
    </row>
    <row r="413" spans="1:9" x14ac:dyDescent="0.25">
      <c r="A413" s="32">
        <v>46239</v>
      </c>
      <c r="B413" s="33" t="s">
        <v>543</v>
      </c>
      <c r="C413" s="33" t="s">
        <v>600</v>
      </c>
      <c r="D413" s="33" t="s">
        <v>600</v>
      </c>
      <c r="E413">
        <v>29</v>
      </c>
      <c r="F413" s="34">
        <v>0.10622685185185185</v>
      </c>
      <c r="G413" s="34">
        <v>3.6629948914431673E-3</v>
      </c>
      <c r="H413" s="33" t="s">
        <v>293</v>
      </c>
      <c r="I413" s="33" t="s">
        <v>104</v>
      </c>
    </row>
    <row r="414" spans="1:9" x14ac:dyDescent="0.25">
      <c r="A414" s="32">
        <v>46239</v>
      </c>
      <c r="B414" s="33" t="s">
        <v>633</v>
      </c>
      <c r="C414" s="33" t="s">
        <v>147</v>
      </c>
      <c r="D414" s="33" t="s">
        <v>147</v>
      </c>
      <c r="E414">
        <v>11</v>
      </c>
      <c r="F414" s="34">
        <v>6.8553240740740734E-2</v>
      </c>
      <c r="G414" s="34">
        <v>6.2321127946127937E-3</v>
      </c>
      <c r="H414" s="33" t="s">
        <v>606</v>
      </c>
      <c r="I414" s="33" t="s">
        <v>146</v>
      </c>
    </row>
    <row r="415" spans="1:9" x14ac:dyDescent="0.25">
      <c r="A415" s="32">
        <v>46239</v>
      </c>
      <c r="B415" s="33" t="s">
        <v>634</v>
      </c>
      <c r="C415" s="33" t="s">
        <v>105</v>
      </c>
      <c r="D415" s="33" t="s">
        <v>105</v>
      </c>
      <c r="E415">
        <v>10</v>
      </c>
      <c r="F415" s="34">
        <v>0.19253472222222223</v>
      </c>
      <c r="G415" s="34">
        <v>1.9253472222222224E-2</v>
      </c>
      <c r="H415" s="33" t="s">
        <v>612</v>
      </c>
      <c r="I415" s="33" t="s">
        <v>601</v>
      </c>
    </row>
    <row r="416" spans="1:9" x14ac:dyDescent="0.25">
      <c r="A416" s="32">
        <v>46239</v>
      </c>
      <c r="B416" s="33" t="s">
        <v>529</v>
      </c>
      <c r="C416" s="33" t="s">
        <v>32</v>
      </c>
      <c r="D416" s="33" t="s">
        <v>32</v>
      </c>
      <c r="E416">
        <v>21</v>
      </c>
      <c r="F416" s="34">
        <v>0.15212962962962964</v>
      </c>
      <c r="G416" s="34">
        <v>7.2442680776014113E-3</v>
      </c>
      <c r="H416" s="33" t="s">
        <v>256</v>
      </c>
      <c r="I416" s="33" t="s">
        <v>233</v>
      </c>
    </row>
    <row r="417" spans="1:9" x14ac:dyDescent="0.25">
      <c r="A417" s="32">
        <v>46239</v>
      </c>
      <c r="B417" s="33" t="s">
        <v>554</v>
      </c>
      <c r="C417" s="33" t="s">
        <v>32</v>
      </c>
      <c r="D417" s="33" t="s">
        <v>32</v>
      </c>
      <c r="E417">
        <v>5</v>
      </c>
      <c r="F417" s="34">
        <v>5.2928240740740741E-2</v>
      </c>
      <c r="G417" s="34">
        <v>1.0585648148148148E-2</v>
      </c>
      <c r="H417" s="33" t="s">
        <v>258</v>
      </c>
      <c r="I417" s="33" t="s">
        <v>233</v>
      </c>
    </row>
    <row r="418" spans="1:9" x14ac:dyDescent="0.25">
      <c r="A418" s="32">
        <v>46239</v>
      </c>
      <c r="B418" s="33" t="s">
        <v>662</v>
      </c>
      <c r="C418" s="33" t="s">
        <v>32</v>
      </c>
      <c r="D418" s="33" t="s">
        <v>32</v>
      </c>
      <c r="E418">
        <v>24</v>
      </c>
      <c r="F418" s="34">
        <v>0.2101851851851852</v>
      </c>
      <c r="G418" s="34">
        <v>8.7577160493827171E-3</v>
      </c>
      <c r="H418" s="33" t="s">
        <v>661</v>
      </c>
      <c r="I418" s="33" t="s">
        <v>100</v>
      </c>
    </row>
    <row r="419" spans="1:9" x14ac:dyDescent="0.25">
      <c r="A419" s="32">
        <v>46239</v>
      </c>
      <c r="B419" s="33" t="s">
        <v>664</v>
      </c>
      <c r="C419" s="33" t="s">
        <v>32</v>
      </c>
      <c r="D419" s="33" t="s">
        <v>32</v>
      </c>
      <c r="E419">
        <v>20</v>
      </c>
      <c r="F419" s="34">
        <v>0.17737268518518517</v>
      </c>
      <c r="G419" s="34">
        <v>8.8686342592592584E-3</v>
      </c>
      <c r="H419" s="33" t="s">
        <v>663</v>
      </c>
      <c r="I419" s="33" t="s">
        <v>233</v>
      </c>
    </row>
    <row r="420" spans="1:9" x14ac:dyDescent="0.25">
      <c r="A420" s="32">
        <v>46239</v>
      </c>
      <c r="B420" s="33" t="s">
        <v>565</v>
      </c>
      <c r="C420" s="33" t="s">
        <v>105</v>
      </c>
      <c r="D420" s="33" t="s">
        <v>105</v>
      </c>
      <c r="E420">
        <v>7</v>
      </c>
      <c r="F420" s="34">
        <v>0.11488425925925926</v>
      </c>
      <c r="G420" s="34">
        <v>1.6412037037037037E-2</v>
      </c>
      <c r="H420" s="33" t="s">
        <v>203</v>
      </c>
      <c r="I420" s="33" t="s">
        <v>601</v>
      </c>
    </row>
    <row r="421" spans="1:9" x14ac:dyDescent="0.25">
      <c r="A421" s="32">
        <v>46239</v>
      </c>
      <c r="B421" s="33" t="s">
        <v>666</v>
      </c>
      <c r="C421" s="33" t="s">
        <v>32</v>
      </c>
      <c r="D421" s="33" t="s">
        <v>32</v>
      </c>
      <c r="E421">
        <v>28</v>
      </c>
      <c r="F421" s="34">
        <v>0.22866898148148149</v>
      </c>
      <c r="G421" s="34">
        <v>8.1667493386243396E-3</v>
      </c>
      <c r="H421" s="33" t="s">
        <v>665</v>
      </c>
      <c r="I421" s="33" t="s">
        <v>100</v>
      </c>
    </row>
    <row r="422" spans="1:9" x14ac:dyDescent="0.25">
      <c r="A422" s="32">
        <v>46239</v>
      </c>
      <c r="B422" s="33" t="s">
        <v>555</v>
      </c>
      <c r="C422" s="33" t="s">
        <v>32</v>
      </c>
      <c r="D422" s="33" t="s">
        <v>32</v>
      </c>
      <c r="E422">
        <v>43</v>
      </c>
      <c r="F422" s="34">
        <v>0.16351851851851851</v>
      </c>
      <c r="G422" s="34">
        <v>3.8027562446167093E-3</v>
      </c>
      <c r="H422" s="33" t="s">
        <v>128</v>
      </c>
      <c r="I422" s="33" t="s">
        <v>233</v>
      </c>
    </row>
    <row r="423" spans="1:9" x14ac:dyDescent="0.25">
      <c r="A423" s="32">
        <v>46239</v>
      </c>
      <c r="B423" s="33" t="s">
        <v>522</v>
      </c>
      <c r="C423" s="33" t="s">
        <v>147</v>
      </c>
      <c r="D423" s="33" t="s">
        <v>147</v>
      </c>
      <c r="E423">
        <v>11</v>
      </c>
      <c r="F423" s="34">
        <v>5.423611111111111E-2</v>
      </c>
      <c r="G423" s="34">
        <v>4.9305555555555552E-3</v>
      </c>
      <c r="H423" s="33" t="s">
        <v>178</v>
      </c>
      <c r="I423" s="33" t="s">
        <v>146</v>
      </c>
    </row>
    <row r="424" spans="1:9" x14ac:dyDescent="0.25">
      <c r="A424" s="32">
        <v>46239</v>
      </c>
      <c r="B424" s="33" t="s">
        <v>522</v>
      </c>
      <c r="C424" s="33" t="s">
        <v>147</v>
      </c>
      <c r="D424" s="33" t="s">
        <v>32</v>
      </c>
      <c r="E424">
        <v>8</v>
      </c>
      <c r="F424" s="34">
        <v>4.791666666666667E-2</v>
      </c>
      <c r="G424" s="34">
        <v>5.9895833333333337E-3</v>
      </c>
      <c r="H424" s="33" t="s">
        <v>178</v>
      </c>
      <c r="I424" s="33" t="s">
        <v>146</v>
      </c>
    </row>
    <row r="425" spans="1:9" x14ac:dyDescent="0.25">
      <c r="A425" s="32">
        <v>46239</v>
      </c>
      <c r="B425" s="33" t="s">
        <v>531</v>
      </c>
      <c r="C425" s="33" t="s">
        <v>32</v>
      </c>
      <c r="D425" s="33" t="s">
        <v>32</v>
      </c>
      <c r="E425">
        <v>4</v>
      </c>
      <c r="F425" s="34">
        <v>3.3599537037037039E-2</v>
      </c>
      <c r="G425" s="34">
        <v>8.3998842592592597E-3</v>
      </c>
      <c r="H425" s="33" t="s">
        <v>266</v>
      </c>
      <c r="I425" s="33" t="s">
        <v>233</v>
      </c>
    </row>
    <row r="426" spans="1:9" x14ac:dyDescent="0.25">
      <c r="A426" s="32">
        <v>46239</v>
      </c>
      <c r="B426" s="33" t="s">
        <v>667</v>
      </c>
      <c r="C426" s="33" t="s">
        <v>105</v>
      </c>
      <c r="D426" s="33" t="s">
        <v>105</v>
      </c>
      <c r="E426">
        <v>18</v>
      </c>
      <c r="F426" s="34">
        <v>0.27459490740740738</v>
      </c>
      <c r="G426" s="34">
        <v>1.5255272633744855E-2</v>
      </c>
      <c r="H426" s="33" t="s">
        <v>297</v>
      </c>
      <c r="I426" s="33" t="s">
        <v>104</v>
      </c>
    </row>
    <row r="427" spans="1:9" x14ac:dyDescent="0.25">
      <c r="A427" s="32">
        <v>46239</v>
      </c>
      <c r="B427" s="33" t="s">
        <v>635</v>
      </c>
      <c r="C427" s="33" t="s">
        <v>105</v>
      </c>
      <c r="D427" s="33" t="s">
        <v>105</v>
      </c>
      <c r="E427">
        <v>13</v>
      </c>
      <c r="F427" s="34">
        <v>0.20396990740740742</v>
      </c>
      <c r="G427" s="34">
        <v>1.5689992877492877E-2</v>
      </c>
      <c r="H427" s="33" t="s">
        <v>614</v>
      </c>
      <c r="I427" s="33" t="s">
        <v>601</v>
      </c>
    </row>
    <row r="428" spans="1:9" x14ac:dyDescent="0.25">
      <c r="A428" s="32">
        <v>46239</v>
      </c>
      <c r="B428" s="33" t="s">
        <v>523</v>
      </c>
      <c r="C428" s="33" t="s">
        <v>147</v>
      </c>
      <c r="D428" s="33" t="s">
        <v>147</v>
      </c>
      <c r="E428">
        <v>6</v>
      </c>
      <c r="F428" s="34">
        <v>5.2650462962962961E-2</v>
      </c>
      <c r="G428" s="34">
        <v>8.7750771604938275E-3</v>
      </c>
      <c r="H428" s="33" t="s">
        <v>180</v>
      </c>
      <c r="I428" s="33" t="s">
        <v>146</v>
      </c>
    </row>
    <row r="429" spans="1:9" x14ac:dyDescent="0.25">
      <c r="A429" s="32">
        <v>46239</v>
      </c>
      <c r="B429" s="33" t="s">
        <v>523</v>
      </c>
      <c r="C429" s="33" t="s">
        <v>147</v>
      </c>
      <c r="D429" s="33" t="s">
        <v>32</v>
      </c>
      <c r="E429">
        <v>11</v>
      </c>
      <c r="F429" s="34">
        <v>4.3194444444444445E-2</v>
      </c>
      <c r="G429" s="34">
        <v>3.9267676767676769E-3</v>
      </c>
      <c r="H429" s="33" t="s">
        <v>180</v>
      </c>
      <c r="I429" s="33" t="s">
        <v>146</v>
      </c>
    </row>
    <row r="430" spans="1:9" x14ac:dyDescent="0.25">
      <c r="A430" s="32">
        <v>46239</v>
      </c>
      <c r="B430" s="33" t="s">
        <v>636</v>
      </c>
      <c r="C430" s="33" t="s">
        <v>105</v>
      </c>
      <c r="D430" s="33" t="s">
        <v>105</v>
      </c>
      <c r="E430">
        <v>10</v>
      </c>
      <c r="F430" s="34">
        <v>0.13818287037037036</v>
      </c>
      <c r="G430" s="34">
        <v>1.3818287037037035E-2</v>
      </c>
      <c r="H430" s="33" t="s">
        <v>615</v>
      </c>
      <c r="I430" s="33" t="s">
        <v>601</v>
      </c>
    </row>
    <row r="431" spans="1:9" x14ac:dyDescent="0.25">
      <c r="A431" s="32">
        <v>46239</v>
      </c>
      <c r="B431" s="33" t="s">
        <v>566</v>
      </c>
      <c r="C431" s="33" t="s">
        <v>147</v>
      </c>
      <c r="D431" s="33" t="s">
        <v>147</v>
      </c>
      <c r="E431">
        <v>7</v>
      </c>
      <c r="F431" s="34">
        <v>4.0034722222222222E-2</v>
      </c>
      <c r="G431" s="34">
        <v>5.7192460317460319E-3</v>
      </c>
      <c r="H431" s="33" t="s">
        <v>207</v>
      </c>
      <c r="I431" s="33" t="s">
        <v>274</v>
      </c>
    </row>
    <row r="432" spans="1:9" x14ac:dyDescent="0.25">
      <c r="A432" s="32">
        <v>46239</v>
      </c>
      <c r="B432" s="33" t="s">
        <v>566</v>
      </c>
      <c r="C432" s="33" t="s">
        <v>147</v>
      </c>
      <c r="D432" s="33" t="s">
        <v>32</v>
      </c>
      <c r="E432">
        <v>5</v>
      </c>
      <c r="F432" s="34">
        <v>2.5902777777777778E-2</v>
      </c>
      <c r="G432" s="34">
        <v>5.1805555555555554E-3</v>
      </c>
      <c r="H432" s="33" t="s">
        <v>207</v>
      </c>
      <c r="I432" s="33" t="s">
        <v>274</v>
      </c>
    </row>
    <row r="433" spans="1:9" x14ac:dyDescent="0.25">
      <c r="A433" s="32">
        <v>46239</v>
      </c>
      <c r="B433" s="33" t="s">
        <v>637</v>
      </c>
      <c r="C433" s="33" t="s">
        <v>105</v>
      </c>
      <c r="D433" s="33" t="s">
        <v>105</v>
      </c>
      <c r="E433">
        <v>6</v>
      </c>
      <c r="F433" s="34">
        <v>9.8935185185185182E-2</v>
      </c>
      <c r="G433" s="34">
        <v>1.6489197530864197E-2</v>
      </c>
      <c r="H433" s="33" t="s">
        <v>616</v>
      </c>
      <c r="I433" s="33" t="s">
        <v>601</v>
      </c>
    </row>
    <row r="434" spans="1:9" x14ac:dyDescent="0.25">
      <c r="A434" s="32">
        <v>46239</v>
      </c>
      <c r="B434" s="33" t="s">
        <v>567</v>
      </c>
      <c r="C434" s="33" t="s">
        <v>105</v>
      </c>
      <c r="D434" s="33" t="s">
        <v>105</v>
      </c>
      <c r="E434">
        <v>8</v>
      </c>
      <c r="F434" s="34">
        <v>0.18759259259259259</v>
      </c>
      <c r="G434" s="34">
        <v>2.3449074074074074E-2</v>
      </c>
      <c r="H434" s="33" t="s">
        <v>209</v>
      </c>
      <c r="I434" s="33" t="s">
        <v>601</v>
      </c>
    </row>
    <row r="435" spans="1:9" x14ac:dyDescent="0.25">
      <c r="A435" s="32">
        <v>46239</v>
      </c>
      <c r="B435" s="33" t="s">
        <v>510</v>
      </c>
      <c r="C435" s="33" t="s">
        <v>32</v>
      </c>
      <c r="D435" s="33" t="s">
        <v>32</v>
      </c>
      <c r="E435">
        <v>39</v>
      </c>
      <c r="F435" s="34">
        <v>0.25423611111111111</v>
      </c>
      <c r="G435" s="34">
        <v>6.5188746438746437E-3</v>
      </c>
      <c r="H435" s="33" t="s">
        <v>60</v>
      </c>
      <c r="I435" s="33" t="s">
        <v>100</v>
      </c>
    </row>
    <row r="436" spans="1:9" x14ac:dyDescent="0.25">
      <c r="A436" s="32">
        <v>46239</v>
      </c>
      <c r="B436" s="33" t="s">
        <v>512</v>
      </c>
      <c r="C436" s="33" t="s">
        <v>105</v>
      </c>
      <c r="D436" s="33" t="s">
        <v>105</v>
      </c>
      <c r="E436">
        <v>14</v>
      </c>
      <c r="F436" s="34">
        <v>0.21025462962962962</v>
      </c>
      <c r="G436" s="34">
        <v>1.501818783068783E-2</v>
      </c>
      <c r="H436" s="33" t="s">
        <v>132</v>
      </c>
      <c r="I436" s="33" t="s">
        <v>104</v>
      </c>
    </row>
    <row r="437" spans="1:9" x14ac:dyDescent="0.25">
      <c r="A437" s="32">
        <v>46239</v>
      </c>
      <c r="B437" s="33" t="s">
        <v>560</v>
      </c>
      <c r="C437" s="33" t="s">
        <v>105</v>
      </c>
      <c r="D437" s="33" t="s">
        <v>105</v>
      </c>
      <c r="E437">
        <v>17</v>
      </c>
      <c r="F437" s="34">
        <v>0.24490740740740741</v>
      </c>
      <c r="G437" s="34">
        <v>1.4406318082788671E-2</v>
      </c>
      <c r="H437" s="33" t="s">
        <v>134</v>
      </c>
      <c r="I437" s="33" t="s">
        <v>104</v>
      </c>
    </row>
    <row r="438" spans="1:9" x14ac:dyDescent="0.25">
      <c r="A438" s="32">
        <v>46239</v>
      </c>
      <c r="B438" s="33" t="s">
        <v>546</v>
      </c>
      <c r="C438" s="33" t="s">
        <v>105</v>
      </c>
      <c r="D438" s="33" t="s">
        <v>105</v>
      </c>
      <c r="E438">
        <v>9</v>
      </c>
      <c r="F438" s="34">
        <v>0.10956018518518519</v>
      </c>
      <c r="G438" s="34">
        <v>1.2173353909465022E-2</v>
      </c>
      <c r="H438" s="33" t="s">
        <v>211</v>
      </c>
      <c r="I438" s="33" t="s">
        <v>104</v>
      </c>
    </row>
    <row r="439" spans="1:9" x14ac:dyDescent="0.25">
      <c r="A439" s="32">
        <v>46239</v>
      </c>
      <c r="B439" s="33" t="s">
        <v>638</v>
      </c>
      <c r="C439" s="33" t="s">
        <v>105</v>
      </c>
      <c r="D439" s="33" t="s">
        <v>105</v>
      </c>
      <c r="E439">
        <v>8</v>
      </c>
      <c r="F439" s="34">
        <v>0.21314814814814814</v>
      </c>
      <c r="G439" s="34">
        <v>2.6643518518518518E-2</v>
      </c>
      <c r="H439" s="33" t="s">
        <v>617</v>
      </c>
      <c r="I439" s="33" t="s">
        <v>601</v>
      </c>
    </row>
    <row r="440" spans="1:9" x14ac:dyDescent="0.25">
      <c r="A440" s="32">
        <v>46239</v>
      </c>
      <c r="B440" s="33" t="s">
        <v>561</v>
      </c>
      <c r="C440" s="33" t="s">
        <v>105</v>
      </c>
      <c r="D440" s="33" t="s">
        <v>105</v>
      </c>
      <c r="E440">
        <v>15</v>
      </c>
      <c r="F440" s="34">
        <v>0.24032407407407408</v>
      </c>
      <c r="G440" s="34">
        <v>1.6021604938271605E-2</v>
      </c>
      <c r="H440" s="33" t="s">
        <v>136</v>
      </c>
      <c r="I440" s="33" t="s">
        <v>104</v>
      </c>
    </row>
    <row r="441" spans="1:9" x14ac:dyDescent="0.25">
      <c r="A441" s="32">
        <v>46239</v>
      </c>
      <c r="B441" s="33" t="s">
        <v>639</v>
      </c>
      <c r="C441" s="33" t="s">
        <v>105</v>
      </c>
      <c r="D441" s="33" t="s">
        <v>105</v>
      </c>
      <c r="E441">
        <v>11</v>
      </c>
      <c r="F441" s="34">
        <v>0.16</v>
      </c>
      <c r="G441" s="34">
        <v>1.4545454545454545E-2</v>
      </c>
      <c r="H441" s="33" t="s">
        <v>618</v>
      </c>
      <c r="I441" s="33" t="s">
        <v>601</v>
      </c>
    </row>
    <row r="442" spans="1:9" x14ac:dyDescent="0.25">
      <c r="A442" s="32">
        <v>46239</v>
      </c>
      <c r="B442" s="33" t="s">
        <v>524</v>
      </c>
      <c r="C442" s="33" t="s">
        <v>147</v>
      </c>
      <c r="D442" s="33" t="s">
        <v>147</v>
      </c>
      <c r="E442">
        <v>17</v>
      </c>
      <c r="F442" s="34">
        <v>3.7800925925925925E-2</v>
      </c>
      <c r="G442" s="34">
        <v>2.2235838779956427E-3</v>
      </c>
      <c r="H442" s="33" t="s">
        <v>501</v>
      </c>
      <c r="I442" s="33" t="s">
        <v>274</v>
      </c>
    </row>
    <row r="443" spans="1:9" x14ac:dyDescent="0.25">
      <c r="A443" s="32">
        <v>46239</v>
      </c>
      <c r="B443" s="33" t="s">
        <v>524</v>
      </c>
      <c r="C443" s="33" t="s">
        <v>147</v>
      </c>
      <c r="D443" s="33" t="s">
        <v>32</v>
      </c>
      <c r="E443">
        <v>9</v>
      </c>
      <c r="F443" s="34">
        <v>1.8993055555555555E-2</v>
      </c>
      <c r="G443" s="34">
        <v>2.1103395061728395E-3</v>
      </c>
      <c r="H443" s="33" t="s">
        <v>501</v>
      </c>
      <c r="I443" s="33" t="s">
        <v>274</v>
      </c>
    </row>
    <row r="444" spans="1:9" x14ac:dyDescent="0.25">
      <c r="A444" s="32">
        <v>46239</v>
      </c>
      <c r="B444" s="33" t="s">
        <v>572</v>
      </c>
      <c r="C444" s="33" t="s">
        <v>105</v>
      </c>
      <c r="D444" s="33" t="s">
        <v>105</v>
      </c>
      <c r="E444">
        <v>20</v>
      </c>
      <c r="F444" s="34">
        <v>0.25626157407407407</v>
      </c>
      <c r="G444" s="34">
        <v>1.2813078703703703E-2</v>
      </c>
      <c r="H444" s="33" t="s">
        <v>213</v>
      </c>
      <c r="I444" s="33" t="s">
        <v>601</v>
      </c>
    </row>
    <row r="445" spans="1:9" x14ac:dyDescent="0.25">
      <c r="A445" s="32">
        <v>46239</v>
      </c>
      <c r="B445" s="33" t="s">
        <v>547</v>
      </c>
      <c r="C445" s="33" t="s">
        <v>105</v>
      </c>
      <c r="D445" s="33" t="s">
        <v>105</v>
      </c>
      <c r="E445">
        <v>9</v>
      </c>
      <c r="F445" s="34">
        <v>0.15520833333333334</v>
      </c>
      <c r="G445" s="34">
        <v>1.7245370370370369E-2</v>
      </c>
      <c r="H445" s="33" t="s">
        <v>215</v>
      </c>
      <c r="I445" s="33" t="s">
        <v>601</v>
      </c>
    </row>
    <row r="446" spans="1:9" x14ac:dyDescent="0.25">
      <c r="A446" s="32">
        <v>46239</v>
      </c>
      <c r="B446" s="33" t="s">
        <v>640</v>
      </c>
      <c r="C446" s="33" t="s">
        <v>105</v>
      </c>
      <c r="D446" s="33" t="s">
        <v>105</v>
      </c>
      <c r="E446">
        <v>9</v>
      </c>
      <c r="F446" s="34">
        <v>0.12883101851851853</v>
      </c>
      <c r="G446" s="34">
        <v>1.4314557613168724E-2</v>
      </c>
      <c r="H446" s="33" t="s">
        <v>619</v>
      </c>
      <c r="I446" s="33" t="s">
        <v>601</v>
      </c>
    </row>
    <row r="447" spans="1:9" x14ac:dyDescent="0.25">
      <c r="A447" s="32">
        <v>46239</v>
      </c>
      <c r="B447" s="33" t="s">
        <v>669</v>
      </c>
      <c r="C447" s="33" t="s">
        <v>32</v>
      </c>
      <c r="D447" s="33" t="s">
        <v>32</v>
      </c>
      <c r="E447">
        <v>21</v>
      </c>
      <c r="F447" s="34">
        <v>9.0983796296296299E-2</v>
      </c>
      <c r="G447" s="34">
        <v>4.3325617283950617E-3</v>
      </c>
      <c r="H447" s="33" t="s">
        <v>668</v>
      </c>
      <c r="I447" s="33" t="s">
        <v>233</v>
      </c>
    </row>
    <row r="448" spans="1:9" x14ac:dyDescent="0.25">
      <c r="A448" s="32">
        <v>46239</v>
      </c>
      <c r="B448" s="33" t="s">
        <v>670</v>
      </c>
      <c r="C448" s="33" t="s">
        <v>32</v>
      </c>
      <c r="D448" s="33" t="s">
        <v>32</v>
      </c>
      <c r="E448">
        <v>27</v>
      </c>
      <c r="F448" s="34">
        <v>0.20034722222222223</v>
      </c>
      <c r="G448" s="34">
        <v>7.4202674897119346E-3</v>
      </c>
      <c r="H448" s="33" t="s">
        <v>744</v>
      </c>
      <c r="I448" s="33" t="s">
        <v>100</v>
      </c>
    </row>
    <row r="449" spans="1:9" x14ac:dyDescent="0.25">
      <c r="A449" s="32">
        <v>46239</v>
      </c>
      <c r="B449" s="33" t="s">
        <v>548</v>
      </c>
      <c r="C449" s="33" t="s">
        <v>105</v>
      </c>
      <c r="D449" s="33" t="s">
        <v>105</v>
      </c>
      <c r="E449">
        <v>9</v>
      </c>
      <c r="F449" s="34">
        <v>9.6539351851851848E-2</v>
      </c>
      <c r="G449" s="34">
        <v>1.0726594650205762E-2</v>
      </c>
      <c r="H449" s="33" t="s">
        <v>219</v>
      </c>
      <c r="I449" s="33" t="s">
        <v>104</v>
      </c>
    </row>
    <row r="450" spans="1:9" x14ac:dyDescent="0.25">
      <c r="A450" s="32">
        <v>46239</v>
      </c>
      <c r="B450" s="33" t="s">
        <v>306</v>
      </c>
      <c r="C450" s="33" t="s">
        <v>32</v>
      </c>
      <c r="D450" s="33" t="s">
        <v>32</v>
      </c>
      <c r="E450">
        <v>46</v>
      </c>
      <c r="F450" s="34">
        <v>0.27462962962962961</v>
      </c>
      <c r="G450" s="34">
        <v>5.9702093397745572E-3</v>
      </c>
      <c r="H450" s="33" t="s">
        <v>305</v>
      </c>
      <c r="I450" s="33" t="s">
        <v>100</v>
      </c>
    </row>
    <row r="451" spans="1:9" x14ac:dyDescent="0.25">
      <c r="A451" s="32">
        <v>46239</v>
      </c>
      <c r="B451" s="33" t="s">
        <v>641</v>
      </c>
      <c r="C451" s="33" t="s">
        <v>105</v>
      </c>
      <c r="D451" s="33" t="s">
        <v>105</v>
      </c>
      <c r="E451">
        <v>12</v>
      </c>
      <c r="F451" s="34">
        <v>0.16149305555555554</v>
      </c>
      <c r="G451" s="34">
        <v>1.3457754629629629E-2</v>
      </c>
      <c r="H451" s="33" t="s">
        <v>620</v>
      </c>
      <c r="I451" s="33" t="s">
        <v>601</v>
      </c>
    </row>
    <row r="452" spans="1:9" x14ac:dyDescent="0.25">
      <c r="A452" s="32">
        <v>46239</v>
      </c>
      <c r="B452" s="33" t="s">
        <v>556</v>
      </c>
      <c r="C452" s="33" t="s">
        <v>105</v>
      </c>
      <c r="D452" s="33" t="s">
        <v>105</v>
      </c>
      <c r="E452">
        <v>22</v>
      </c>
      <c r="F452" s="34">
        <v>0.27988425925925925</v>
      </c>
      <c r="G452" s="34">
        <v>1.2722011784511784E-2</v>
      </c>
      <c r="H452" s="33" t="s">
        <v>138</v>
      </c>
      <c r="I452" s="33" t="s">
        <v>104</v>
      </c>
    </row>
    <row r="453" spans="1:9" x14ac:dyDescent="0.25">
      <c r="A453" s="32">
        <v>46239</v>
      </c>
      <c r="B453" s="33" t="s">
        <v>532</v>
      </c>
      <c r="C453" s="33" t="s">
        <v>32</v>
      </c>
      <c r="D453" s="33" t="s">
        <v>32</v>
      </c>
      <c r="E453">
        <v>26</v>
      </c>
      <c r="F453" s="34">
        <v>8.835648148148148E-2</v>
      </c>
      <c r="G453" s="34">
        <v>3.3983262108262108E-3</v>
      </c>
      <c r="H453" s="33" t="s">
        <v>276</v>
      </c>
      <c r="I453" s="33" t="s">
        <v>233</v>
      </c>
    </row>
    <row r="454" spans="1:9" x14ac:dyDescent="0.25">
      <c r="A454" s="32">
        <v>46239</v>
      </c>
      <c r="B454" s="33" t="s">
        <v>533</v>
      </c>
      <c r="C454" s="33" t="s">
        <v>32</v>
      </c>
      <c r="D454" s="33" t="s">
        <v>32</v>
      </c>
      <c r="E454">
        <v>24</v>
      </c>
      <c r="F454" s="34">
        <v>0.15878472222222223</v>
      </c>
      <c r="G454" s="34">
        <v>6.6160300925925926E-3</v>
      </c>
      <c r="H454" s="33" t="s">
        <v>278</v>
      </c>
      <c r="I454" s="33" t="s">
        <v>233</v>
      </c>
    </row>
    <row r="455" spans="1:9" x14ac:dyDescent="0.25">
      <c r="A455" s="32">
        <v>46239</v>
      </c>
      <c r="B455" s="33" t="s">
        <v>511</v>
      </c>
      <c r="C455" s="33" t="s">
        <v>80</v>
      </c>
      <c r="D455" s="33" t="s">
        <v>32</v>
      </c>
      <c r="E455">
        <v>6</v>
      </c>
      <c r="F455" s="34">
        <v>9.479166666666667E-3</v>
      </c>
      <c r="G455" s="34">
        <v>1.5798611111111111E-3</v>
      </c>
      <c r="H455" s="33" t="s">
        <v>313</v>
      </c>
      <c r="I455" s="33" t="s">
        <v>78</v>
      </c>
    </row>
    <row r="456" spans="1:9" x14ac:dyDescent="0.25">
      <c r="A456" s="32">
        <v>46239</v>
      </c>
      <c r="B456" s="33" t="s">
        <v>674</v>
      </c>
      <c r="C456" s="33" t="s">
        <v>105</v>
      </c>
      <c r="D456" s="33" t="s">
        <v>105</v>
      </c>
      <c r="E456">
        <v>11</v>
      </c>
      <c r="F456" s="34">
        <v>0.18481481481481482</v>
      </c>
      <c r="G456" s="34">
        <v>1.6801346801346803E-2</v>
      </c>
      <c r="H456" s="33" t="s">
        <v>673</v>
      </c>
      <c r="I456" s="33" t="s">
        <v>104</v>
      </c>
    </row>
    <row r="457" spans="1:9" x14ac:dyDescent="0.25">
      <c r="A457" s="32">
        <v>46239</v>
      </c>
      <c r="B457" s="33" t="s">
        <v>549</v>
      </c>
      <c r="C457" s="33" t="s">
        <v>105</v>
      </c>
      <c r="D457" s="33" t="s">
        <v>105</v>
      </c>
      <c r="E457">
        <v>9</v>
      </c>
      <c r="F457" s="34">
        <v>0.20053240740740741</v>
      </c>
      <c r="G457" s="34">
        <v>2.2281378600823045E-2</v>
      </c>
      <c r="H457" s="33" t="s">
        <v>225</v>
      </c>
      <c r="I457" s="33" t="s">
        <v>601</v>
      </c>
    </row>
    <row r="458" spans="1:9" x14ac:dyDescent="0.25">
      <c r="A458" s="32">
        <v>46239</v>
      </c>
      <c r="B458" s="33" t="s">
        <v>534</v>
      </c>
      <c r="C458" s="33" t="s">
        <v>32</v>
      </c>
      <c r="D458" s="33" t="s">
        <v>32</v>
      </c>
      <c r="E458">
        <v>39</v>
      </c>
      <c r="F458" s="34">
        <v>0.13907407407407407</v>
      </c>
      <c r="G458" s="34">
        <v>3.5660018993352327E-3</v>
      </c>
      <c r="H458" s="33" t="s">
        <v>280</v>
      </c>
      <c r="I458" s="33" t="s">
        <v>233</v>
      </c>
    </row>
    <row r="459" spans="1:9" x14ac:dyDescent="0.25">
      <c r="A459" s="32">
        <v>46239</v>
      </c>
      <c r="B459" s="33" t="s">
        <v>571</v>
      </c>
      <c r="C459" s="33" t="s">
        <v>105</v>
      </c>
      <c r="D459" s="33" t="s">
        <v>105</v>
      </c>
      <c r="E459">
        <v>15</v>
      </c>
      <c r="F459" s="34">
        <v>0.25929398148148147</v>
      </c>
      <c r="G459" s="34">
        <v>1.7286265432098765E-2</v>
      </c>
      <c r="H459" s="33" t="s">
        <v>299</v>
      </c>
      <c r="I459" s="33" t="s">
        <v>104</v>
      </c>
    </row>
    <row r="460" spans="1:9" x14ac:dyDescent="0.25">
      <c r="A460" s="32">
        <v>46239</v>
      </c>
      <c r="B460" s="33" t="s">
        <v>535</v>
      </c>
      <c r="C460" s="33" t="s">
        <v>32</v>
      </c>
      <c r="D460" s="33" t="s">
        <v>32</v>
      </c>
      <c r="E460">
        <v>30</v>
      </c>
      <c r="F460" s="34">
        <v>6.267361111111111E-2</v>
      </c>
      <c r="G460" s="34">
        <v>2.0891203703703705E-3</v>
      </c>
      <c r="H460" s="33" t="s">
        <v>282</v>
      </c>
      <c r="I460" s="33" t="s">
        <v>233</v>
      </c>
    </row>
    <row r="461" spans="1:9" x14ac:dyDescent="0.25">
      <c r="A461" s="32">
        <v>46239</v>
      </c>
      <c r="B461" s="33" t="s">
        <v>557</v>
      </c>
      <c r="C461" s="33" t="s">
        <v>147</v>
      </c>
      <c r="D461" s="33" t="s">
        <v>147</v>
      </c>
      <c r="E461">
        <v>7</v>
      </c>
      <c r="F461" s="34">
        <v>5.3935185185185183E-2</v>
      </c>
      <c r="G461" s="34">
        <v>7.7050264550264551E-3</v>
      </c>
      <c r="H461" s="33" t="s">
        <v>227</v>
      </c>
      <c r="I461" s="33" t="s">
        <v>146</v>
      </c>
    </row>
    <row r="462" spans="1:9" x14ac:dyDescent="0.25">
      <c r="A462" s="32">
        <v>46239</v>
      </c>
      <c r="B462" s="33" t="s">
        <v>557</v>
      </c>
      <c r="C462" s="33" t="s">
        <v>147</v>
      </c>
      <c r="D462" s="33" t="s">
        <v>32</v>
      </c>
      <c r="E462">
        <v>4</v>
      </c>
      <c r="F462" s="34">
        <v>2.6875E-2</v>
      </c>
      <c r="G462" s="34">
        <v>6.7187499999999999E-3</v>
      </c>
      <c r="H462" s="33" t="s">
        <v>227</v>
      </c>
      <c r="I462" s="33" t="s">
        <v>146</v>
      </c>
    </row>
    <row r="463" spans="1:9" x14ac:dyDescent="0.25">
      <c r="A463" s="32">
        <v>46239</v>
      </c>
      <c r="B463" s="33" t="s">
        <v>676</v>
      </c>
      <c r="C463" s="33" t="s">
        <v>105</v>
      </c>
      <c r="D463" s="33" t="s">
        <v>105</v>
      </c>
      <c r="E463">
        <v>10</v>
      </c>
      <c r="F463" s="34">
        <v>0.26458333333333334</v>
      </c>
      <c r="G463" s="34">
        <v>2.6458333333333334E-2</v>
      </c>
      <c r="H463" s="33" t="s">
        <v>675</v>
      </c>
      <c r="I463" s="33" t="s">
        <v>104</v>
      </c>
    </row>
    <row r="464" spans="1:9" x14ac:dyDescent="0.25">
      <c r="A464" s="32">
        <v>46239</v>
      </c>
      <c r="B464" s="33" t="s">
        <v>678</v>
      </c>
      <c r="C464" s="33" t="s">
        <v>147</v>
      </c>
      <c r="D464" s="33" t="s">
        <v>147</v>
      </c>
      <c r="E464">
        <v>8</v>
      </c>
      <c r="F464" s="34">
        <v>2.6898148148148147E-2</v>
      </c>
      <c r="G464" s="34">
        <v>3.3622685185185183E-3</v>
      </c>
      <c r="H464" s="33" t="s">
        <v>677</v>
      </c>
      <c r="I464" s="33" t="s">
        <v>274</v>
      </c>
    </row>
    <row r="465" spans="1:9" x14ac:dyDescent="0.25">
      <c r="A465" s="32">
        <v>46239</v>
      </c>
      <c r="B465" s="33" t="s">
        <v>678</v>
      </c>
      <c r="C465" s="33" t="s">
        <v>147</v>
      </c>
      <c r="D465" s="33" t="s">
        <v>32</v>
      </c>
      <c r="E465">
        <v>10</v>
      </c>
      <c r="F465" s="34">
        <v>4.9675925925925929E-2</v>
      </c>
      <c r="G465" s="34">
        <v>4.9675925925925929E-3</v>
      </c>
      <c r="H465" s="33" t="s">
        <v>677</v>
      </c>
      <c r="I465" s="33" t="s">
        <v>274</v>
      </c>
    </row>
    <row r="466" spans="1:9" x14ac:dyDescent="0.25">
      <c r="A466" s="32">
        <v>46239</v>
      </c>
      <c r="B466" s="33" t="s">
        <v>680</v>
      </c>
      <c r="C466" s="33" t="s">
        <v>147</v>
      </c>
      <c r="D466" s="33" t="s">
        <v>147</v>
      </c>
      <c r="E466">
        <v>9</v>
      </c>
      <c r="F466" s="34">
        <v>2.6504629629629628E-2</v>
      </c>
      <c r="G466" s="34">
        <v>2.9449588477366254E-3</v>
      </c>
      <c r="H466" s="33" t="s">
        <v>679</v>
      </c>
      <c r="I466" s="33" t="s">
        <v>274</v>
      </c>
    </row>
    <row r="467" spans="1:9" x14ac:dyDescent="0.25">
      <c r="A467" s="32">
        <v>46239</v>
      </c>
      <c r="B467" s="33" t="s">
        <v>680</v>
      </c>
      <c r="C467" s="33" t="s">
        <v>147</v>
      </c>
      <c r="D467" s="33" t="s">
        <v>32</v>
      </c>
      <c r="E467">
        <v>9</v>
      </c>
      <c r="F467" s="34">
        <v>1.9884259259259258E-2</v>
      </c>
      <c r="G467" s="34">
        <v>2.2093621399176954E-3</v>
      </c>
      <c r="H467" s="33" t="s">
        <v>679</v>
      </c>
      <c r="I467" s="33" t="s">
        <v>274</v>
      </c>
    </row>
    <row r="468" spans="1:9" x14ac:dyDescent="0.25">
      <c r="A468" s="32">
        <v>46240</v>
      </c>
      <c r="B468" s="33" t="s">
        <v>644</v>
      </c>
      <c r="C468" s="33" t="s">
        <v>32</v>
      </c>
      <c r="D468" s="33" t="s">
        <v>32</v>
      </c>
      <c r="E468">
        <v>17</v>
      </c>
      <c r="F468" s="34">
        <v>0.13548611111111111</v>
      </c>
      <c r="G468" s="34">
        <v>7.9697712418300651E-3</v>
      </c>
      <c r="H468" s="33" t="s">
        <v>643</v>
      </c>
      <c r="I468" s="33" t="s">
        <v>233</v>
      </c>
    </row>
    <row r="469" spans="1:9" x14ac:dyDescent="0.25">
      <c r="A469" s="32">
        <v>46240</v>
      </c>
      <c r="B469" s="33" t="s">
        <v>563</v>
      </c>
      <c r="C469" s="33" t="s">
        <v>147</v>
      </c>
      <c r="D469" s="33" t="s">
        <v>147</v>
      </c>
      <c r="E469">
        <v>12</v>
      </c>
      <c r="F469" s="34">
        <v>4.386574074074074E-2</v>
      </c>
      <c r="G469" s="34">
        <v>3.6554783950617283E-3</v>
      </c>
      <c r="H469" s="33" t="s">
        <v>193</v>
      </c>
      <c r="I469" s="33" t="s">
        <v>274</v>
      </c>
    </row>
    <row r="470" spans="1:9" x14ac:dyDescent="0.25">
      <c r="A470" s="32">
        <v>46240</v>
      </c>
      <c r="B470" s="33" t="s">
        <v>563</v>
      </c>
      <c r="C470" s="33" t="s">
        <v>147</v>
      </c>
      <c r="D470" s="33" t="s">
        <v>32</v>
      </c>
      <c r="E470">
        <v>4</v>
      </c>
      <c r="F470" s="34">
        <v>4.5023148148148145E-2</v>
      </c>
      <c r="G470" s="34">
        <v>1.1255787037037036E-2</v>
      </c>
      <c r="H470" s="33" t="s">
        <v>193</v>
      </c>
      <c r="I470" s="33" t="s">
        <v>274</v>
      </c>
    </row>
    <row r="471" spans="1:9" x14ac:dyDescent="0.25">
      <c r="A471" s="32">
        <v>46240</v>
      </c>
      <c r="B471" s="33" t="s">
        <v>513</v>
      </c>
      <c r="C471" s="33" t="s">
        <v>105</v>
      </c>
      <c r="D471" s="33" t="s">
        <v>105</v>
      </c>
      <c r="E471">
        <v>16</v>
      </c>
      <c r="F471" s="34">
        <v>0.22996527777777778</v>
      </c>
      <c r="G471" s="34">
        <v>1.4372829861111111E-2</v>
      </c>
      <c r="H471" s="33" t="s">
        <v>148</v>
      </c>
      <c r="I471" s="33" t="s">
        <v>104</v>
      </c>
    </row>
    <row r="472" spans="1:9" x14ac:dyDescent="0.25">
      <c r="A472" s="32">
        <v>46240</v>
      </c>
      <c r="B472" s="33" t="s">
        <v>550</v>
      </c>
      <c r="C472" s="33" t="s">
        <v>32</v>
      </c>
      <c r="D472" s="33" t="s">
        <v>32</v>
      </c>
      <c r="E472">
        <v>12</v>
      </c>
      <c r="F472" s="34">
        <v>4.7442129629629633E-2</v>
      </c>
      <c r="G472" s="34">
        <v>3.9535108024691358E-3</v>
      </c>
      <c r="H472" s="33" t="s">
        <v>234</v>
      </c>
      <c r="I472" s="33" t="s">
        <v>233</v>
      </c>
    </row>
    <row r="473" spans="1:9" x14ac:dyDescent="0.25">
      <c r="A473" s="32">
        <v>46240</v>
      </c>
      <c r="B473" s="33" t="s">
        <v>505</v>
      </c>
      <c r="C473" s="33" t="s">
        <v>32</v>
      </c>
      <c r="D473" s="33" t="s">
        <v>32</v>
      </c>
      <c r="E473">
        <v>21</v>
      </c>
      <c r="F473" s="34">
        <v>7.4270833333333328E-2</v>
      </c>
      <c r="G473" s="34">
        <v>3.5367063492063489E-3</v>
      </c>
      <c r="H473" s="33" t="s">
        <v>34</v>
      </c>
      <c r="I473" s="33" t="s">
        <v>233</v>
      </c>
    </row>
    <row r="474" spans="1:9" x14ac:dyDescent="0.25">
      <c r="A474" s="32">
        <v>46240</v>
      </c>
      <c r="B474" s="33" t="s">
        <v>569</v>
      </c>
      <c r="C474" s="33" t="s">
        <v>105</v>
      </c>
      <c r="D474" s="33" t="s">
        <v>105</v>
      </c>
      <c r="E474">
        <v>21</v>
      </c>
      <c r="F474" s="34">
        <v>0.20946759259259259</v>
      </c>
      <c r="G474" s="34">
        <v>9.9746472663139324E-3</v>
      </c>
      <c r="H474" s="33" t="s">
        <v>493</v>
      </c>
      <c r="I474" s="33" t="s">
        <v>104</v>
      </c>
    </row>
    <row r="475" spans="1:9" x14ac:dyDescent="0.25">
      <c r="A475" s="32">
        <v>46240</v>
      </c>
      <c r="B475" s="33" t="s">
        <v>551</v>
      </c>
      <c r="C475" s="33" t="s">
        <v>32</v>
      </c>
      <c r="D475" s="33" t="s">
        <v>32</v>
      </c>
      <c r="E475">
        <v>5</v>
      </c>
      <c r="F475" s="34">
        <v>9.8263888888888897E-3</v>
      </c>
      <c r="G475" s="34">
        <v>1.965277777777778E-3</v>
      </c>
      <c r="H475" s="33" t="s">
        <v>236</v>
      </c>
      <c r="I475" s="33" t="s">
        <v>233</v>
      </c>
    </row>
    <row r="476" spans="1:9" x14ac:dyDescent="0.25">
      <c r="A476" s="32">
        <v>46240</v>
      </c>
      <c r="B476" s="33" t="s">
        <v>526</v>
      </c>
      <c r="C476" s="33" t="s">
        <v>32</v>
      </c>
      <c r="D476" s="33" t="s">
        <v>32</v>
      </c>
      <c r="E476">
        <v>3</v>
      </c>
      <c r="F476" s="34">
        <v>1.0358796296296297E-2</v>
      </c>
      <c r="G476" s="34">
        <v>3.4529320987654322E-3</v>
      </c>
      <c r="H476" s="33" t="s">
        <v>238</v>
      </c>
      <c r="I476" s="33" t="s">
        <v>233</v>
      </c>
    </row>
    <row r="477" spans="1:9" x14ac:dyDescent="0.25">
      <c r="A477" s="32">
        <v>46240</v>
      </c>
      <c r="B477" s="33" t="s">
        <v>631</v>
      </c>
      <c r="C477" s="33" t="s">
        <v>105</v>
      </c>
      <c r="D477" s="33" t="s">
        <v>105</v>
      </c>
      <c r="E477">
        <v>4</v>
      </c>
      <c r="F477" s="34">
        <v>9.6805555555555561E-2</v>
      </c>
      <c r="G477" s="34">
        <v>2.420138888888889E-2</v>
      </c>
      <c r="H477" s="33" t="s">
        <v>608</v>
      </c>
      <c r="I477" s="33" t="s">
        <v>601</v>
      </c>
    </row>
    <row r="478" spans="1:9" x14ac:dyDescent="0.25">
      <c r="A478" s="32">
        <v>46240</v>
      </c>
      <c r="B478" s="33" t="s">
        <v>564</v>
      </c>
      <c r="C478" s="33" t="s">
        <v>105</v>
      </c>
      <c r="D478" s="33" t="s">
        <v>105</v>
      </c>
      <c r="E478">
        <v>7</v>
      </c>
      <c r="F478" s="34">
        <v>0.13116898148148148</v>
      </c>
      <c r="G478" s="34">
        <v>1.8738425925925926E-2</v>
      </c>
      <c r="H478" s="33" t="s">
        <v>197</v>
      </c>
      <c r="I478" s="33" t="s">
        <v>601</v>
      </c>
    </row>
    <row r="479" spans="1:9" x14ac:dyDescent="0.25">
      <c r="A479" s="32">
        <v>46240</v>
      </c>
      <c r="B479" s="33" t="s">
        <v>536</v>
      </c>
      <c r="C479" s="33" t="s">
        <v>32</v>
      </c>
      <c r="D479" s="33" t="s">
        <v>32</v>
      </c>
      <c r="E479">
        <v>3</v>
      </c>
      <c r="F479" s="34">
        <v>1.4282407407407407E-2</v>
      </c>
      <c r="G479" s="34">
        <v>4.760802469135802E-3</v>
      </c>
      <c r="H479" s="33" t="s">
        <v>38</v>
      </c>
      <c r="I479" s="33" t="s">
        <v>100</v>
      </c>
    </row>
    <row r="480" spans="1:9" x14ac:dyDescent="0.25">
      <c r="A480" s="32">
        <v>46240</v>
      </c>
      <c r="B480" s="33" t="s">
        <v>682</v>
      </c>
      <c r="C480" s="33" t="s">
        <v>105</v>
      </c>
      <c r="D480" s="33" t="s">
        <v>105</v>
      </c>
      <c r="E480">
        <v>5</v>
      </c>
      <c r="F480" s="34">
        <v>8.8819444444444451E-2</v>
      </c>
      <c r="G480" s="34">
        <v>1.7763888888888892E-2</v>
      </c>
      <c r="H480" s="33" t="s">
        <v>681</v>
      </c>
      <c r="I480" s="33" t="s">
        <v>601</v>
      </c>
    </row>
    <row r="481" spans="1:9" x14ac:dyDescent="0.25">
      <c r="A481" s="32">
        <v>46240</v>
      </c>
      <c r="B481" s="33" t="s">
        <v>515</v>
      </c>
      <c r="C481" s="33" t="s">
        <v>147</v>
      </c>
      <c r="D481" s="33" t="s">
        <v>147</v>
      </c>
      <c r="E481">
        <v>12</v>
      </c>
      <c r="F481" s="34">
        <v>3.0613425925925926E-2</v>
      </c>
      <c r="G481" s="34">
        <v>2.551118827160494E-3</v>
      </c>
      <c r="H481" s="33" t="s">
        <v>154</v>
      </c>
      <c r="I481" s="33" t="s">
        <v>146</v>
      </c>
    </row>
    <row r="482" spans="1:9" x14ac:dyDescent="0.25">
      <c r="A482" s="32">
        <v>46240</v>
      </c>
      <c r="B482" s="33" t="s">
        <v>515</v>
      </c>
      <c r="C482" s="33" t="s">
        <v>147</v>
      </c>
      <c r="D482" s="33" t="s">
        <v>32</v>
      </c>
      <c r="E482">
        <v>8</v>
      </c>
      <c r="F482" s="34">
        <v>1.653935185185185E-2</v>
      </c>
      <c r="G482" s="34">
        <v>2.0674189814814813E-3</v>
      </c>
      <c r="H482" s="33" t="s">
        <v>154</v>
      </c>
      <c r="I482" s="33" t="s">
        <v>146</v>
      </c>
    </row>
    <row r="483" spans="1:9" x14ac:dyDescent="0.25">
      <c r="A483" s="32">
        <v>46240</v>
      </c>
      <c r="B483" s="33" t="s">
        <v>570</v>
      </c>
      <c r="C483" s="33" t="s">
        <v>105</v>
      </c>
      <c r="D483" s="33" t="s">
        <v>105</v>
      </c>
      <c r="E483">
        <v>10</v>
      </c>
      <c r="F483" s="34">
        <v>0.19586805555555556</v>
      </c>
      <c r="G483" s="34">
        <v>1.9586805555555555E-2</v>
      </c>
      <c r="H483" s="33" t="s">
        <v>112</v>
      </c>
      <c r="I483" s="33" t="s">
        <v>104</v>
      </c>
    </row>
    <row r="484" spans="1:9" x14ac:dyDescent="0.25">
      <c r="A484" s="32">
        <v>46240</v>
      </c>
      <c r="B484" s="33" t="s">
        <v>537</v>
      </c>
      <c r="C484" s="33" t="s">
        <v>105</v>
      </c>
      <c r="D484" s="33" t="s">
        <v>105</v>
      </c>
      <c r="E484">
        <v>14</v>
      </c>
      <c r="F484" s="34">
        <v>0.22571759259259258</v>
      </c>
      <c r="G484" s="34">
        <v>1.6122685185185184E-2</v>
      </c>
      <c r="H484" s="33" t="s">
        <v>42</v>
      </c>
      <c r="I484" s="33" t="s">
        <v>104</v>
      </c>
    </row>
    <row r="485" spans="1:9" x14ac:dyDescent="0.25">
      <c r="A485" s="32">
        <v>46240</v>
      </c>
      <c r="B485" s="33" t="s">
        <v>516</v>
      </c>
      <c r="C485" s="33" t="s">
        <v>147</v>
      </c>
      <c r="D485" s="33" t="s">
        <v>147</v>
      </c>
      <c r="E485">
        <v>13</v>
      </c>
      <c r="F485" s="34">
        <v>5.1608796296296298E-2</v>
      </c>
      <c r="G485" s="34">
        <v>3.9699074074074072E-3</v>
      </c>
      <c r="H485" s="33" t="s">
        <v>156</v>
      </c>
      <c r="I485" s="33" t="s">
        <v>146</v>
      </c>
    </row>
    <row r="486" spans="1:9" x14ac:dyDescent="0.25">
      <c r="A486" s="32">
        <v>46240</v>
      </c>
      <c r="B486" s="33" t="s">
        <v>516</v>
      </c>
      <c r="C486" s="33" t="s">
        <v>147</v>
      </c>
      <c r="D486" s="33" t="s">
        <v>32</v>
      </c>
      <c r="E486">
        <v>8</v>
      </c>
      <c r="F486" s="34">
        <v>2.3969907407407409E-2</v>
      </c>
      <c r="G486" s="34">
        <v>2.9962384259259261E-3</v>
      </c>
      <c r="H486" s="33" t="s">
        <v>156</v>
      </c>
      <c r="I486" s="33" t="s">
        <v>146</v>
      </c>
    </row>
    <row r="487" spans="1:9" x14ac:dyDescent="0.25">
      <c r="A487" s="32">
        <v>46240</v>
      </c>
      <c r="B487" s="33" t="s">
        <v>541</v>
      </c>
      <c r="C487" s="33" t="s">
        <v>105</v>
      </c>
      <c r="D487" s="33" t="s">
        <v>105</v>
      </c>
      <c r="E487">
        <v>9</v>
      </c>
      <c r="F487" s="34">
        <v>0.11665509259259259</v>
      </c>
      <c r="G487" s="34">
        <v>1.296167695473251E-2</v>
      </c>
      <c r="H487" s="33" t="s">
        <v>114</v>
      </c>
      <c r="I487" s="33" t="s">
        <v>104</v>
      </c>
    </row>
    <row r="488" spans="1:9" x14ac:dyDescent="0.25">
      <c r="A488" s="32">
        <v>46240</v>
      </c>
      <c r="B488" s="33" t="s">
        <v>506</v>
      </c>
      <c r="C488" s="33" t="s">
        <v>32</v>
      </c>
      <c r="D488" s="33" t="s">
        <v>32</v>
      </c>
      <c r="E488">
        <v>30</v>
      </c>
      <c r="F488" s="34">
        <v>0.16190972222222222</v>
      </c>
      <c r="G488" s="34">
        <v>5.3969907407407404E-3</v>
      </c>
      <c r="H488" s="33" t="s">
        <v>44</v>
      </c>
      <c r="I488" s="33" t="s">
        <v>100</v>
      </c>
    </row>
    <row r="489" spans="1:9" x14ac:dyDescent="0.25">
      <c r="A489" s="32">
        <v>46240</v>
      </c>
      <c r="B489" s="33" t="s">
        <v>632</v>
      </c>
      <c r="C489" s="33" t="s">
        <v>105</v>
      </c>
      <c r="D489" s="33" t="s">
        <v>105</v>
      </c>
      <c r="E489">
        <v>6</v>
      </c>
      <c r="F489" s="34">
        <v>6.9675925925925933E-2</v>
      </c>
      <c r="G489" s="34">
        <v>1.1612654320987655E-2</v>
      </c>
      <c r="H489" s="33" t="s">
        <v>609</v>
      </c>
      <c r="I489" s="33" t="s">
        <v>601</v>
      </c>
    </row>
    <row r="490" spans="1:9" x14ac:dyDescent="0.25">
      <c r="A490" s="32">
        <v>46240</v>
      </c>
      <c r="B490" s="33" t="s">
        <v>527</v>
      </c>
      <c r="C490" s="33" t="s">
        <v>32</v>
      </c>
      <c r="D490" s="33" t="s">
        <v>32</v>
      </c>
      <c r="E490">
        <v>1</v>
      </c>
      <c r="F490" s="34">
        <v>3.2754629629629631E-3</v>
      </c>
      <c r="G490" s="34">
        <v>3.2754629629629631E-3</v>
      </c>
      <c r="H490" s="33" t="s">
        <v>240</v>
      </c>
      <c r="I490" s="33" t="s">
        <v>233</v>
      </c>
    </row>
    <row r="491" spans="1:9" x14ac:dyDescent="0.25">
      <c r="A491" s="32">
        <v>46240</v>
      </c>
      <c r="B491" s="33" t="s">
        <v>646</v>
      </c>
      <c r="C491" s="33" t="s">
        <v>32</v>
      </c>
      <c r="D491" s="33" t="s">
        <v>32</v>
      </c>
      <c r="E491">
        <v>29</v>
      </c>
      <c r="F491" s="34">
        <v>0.20215277777777776</v>
      </c>
      <c r="G491" s="34">
        <v>6.9707854406130263E-3</v>
      </c>
      <c r="H491" s="33" t="s">
        <v>645</v>
      </c>
      <c r="I491" s="33" t="s">
        <v>100</v>
      </c>
    </row>
    <row r="492" spans="1:9" x14ac:dyDescent="0.25">
      <c r="A492" s="32">
        <v>46240</v>
      </c>
      <c r="B492" s="33" t="s">
        <v>544</v>
      </c>
      <c r="C492" s="33" t="s">
        <v>147</v>
      </c>
      <c r="D492" s="33" t="s">
        <v>147</v>
      </c>
      <c r="E492">
        <v>11</v>
      </c>
      <c r="F492" s="34">
        <v>2.9537037037037039E-2</v>
      </c>
      <c r="G492" s="34">
        <v>2.6851851851851854E-3</v>
      </c>
      <c r="H492" s="33" t="s">
        <v>160</v>
      </c>
      <c r="I492" s="33" t="s">
        <v>146</v>
      </c>
    </row>
    <row r="493" spans="1:9" x14ac:dyDescent="0.25">
      <c r="A493" s="32">
        <v>46240</v>
      </c>
      <c r="B493" s="33" t="s">
        <v>544</v>
      </c>
      <c r="C493" s="33" t="s">
        <v>147</v>
      </c>
      <c r="D493" s="33" t="s">
        <v>32</v>
      </c>
      <c r="E493">
        <v>5</v>
      </c>
      <c r="F493" s="34">
        <v>1.7881944444444443E-2</v>
      </c>
      <c r="G493" s="34">
        <v>3.5763888888888885E-3</v>
      </c>
      <c r="H493" s="33" t="s">
        <v>160</v>
      </c>
      <c r="I493" s="33" t="s">
        <v>146</v>
      </c>
    </row>
    <row r="494" spans="1:9" x14ac:dyDescent="0.25">
      <c r="A494" s="32">
        <v>46240</v>
      </c>
      <c r="B494" s="33" t="s">
        <v>558</v>
      </c>
      <c r="C494" s="33" t="s">
        <v>32</v>
      </c>
      <c r="D494" s="33" t="s">
        <v>32</v>
      </c>
      <c r="E494">
        <v>26</v>
      </c>
      <c r="F494" s="34">
        <v>7.4664351851851857E-2</v>
      </c>
      <c r="G494" s="34">
        <v>2.8717058404558408E-3</v>
      </c>
      <c r="H494" s="33" t="s">
        <v>120</v>
      </c>
      <c r="I494" s="33" t="s">
        <v>233</v>
      </c>
    </row>
    <row r="495" spans="1:9" x14ac:dyDescent="0.25">
      <c r="A495" s="32">
        <v>46240</v>
      </c>
      <c r="B495" s="33" t="s">
        <v>507</v>
      </c>
      <c r="C495" s="33" t="s">
        <v>32</v>
      </c>
      <c r="D495" s="33" t="s">
        <v>32</v>
      </c>
      <c r="E495">
        <v>30</v>
      </c>
      <c r="F495" s="34">
        <v>0.15489583333333334</v>
      </c>
      <c r="G495" s="34">
        <v>5.1631944444444451E-3</v>
      </c>
      <c r="H495" s="33" t="s">
        <v>46</v>
      </c>
      <c r="I495" s="33" t="s">
        <v>100</v>
      </c>
    </row>
    <row r="496" spans="1:9" x14ac:dyDescent="0.25">
      <c r="A496" s="32">
        <v>46240</v>
      </c>
      <c r="B496" s="33" t="s">
        <v>542</v>
      </c>
      <c r="C496" s="33" t="s">
        <v>105</v>
      </c>
      <c r="D496" s="33" t="s">
        <v>105</v>
      </c>
      <c r="E496">
        <v>3</v>
      </c>
      <c r="F496" s="34">
        <v>0.13769675925925925</v>
      </c>
      <c r="G496" s="34">
        <v>4.5898919753086416E-2</v>
      </c>
      <c r="H496" s="33" t="s">
        <v>287</v>
      </c>
      <c r="I496" s="33" t="s">
        <v>104</v>
      </c>
    </row>
    <row r="497" spans="1:9" x14ac:dyDescent="0.25">
      <c r="A497" s="32">
        <v>46240</v>
      </c>
      <c r="B497" s="33" t="s">
        <v>517</v>
      </c>
      <c r="C497" s="33" t="s">
        <v>147</v>
      </c>
      <c r="D497" s="33" t="s">
        <v>147</v>
      </c>
      <c r="E497">
        <v>9</v>
      </c>
      <c r="F497" s="34">
        <v>3.439814814814815E-2</v>
      </c>
      <c r="G497" s="34">
        <v>3.82201646090535E-3</v>
      </c>
      <c r="H497" s="33" t="s">
        <v>499</v>
      </c>
      <c r="I497" s="33" t="s">
        <v>146</v>
      </c>
    </row>
    <row r="498" spans="1:9" x14ac:dyDescent="0.25">
      <c r="A498" s="32">
        <v>46240</v>
      </c>
      <c r="B498" s="33" t="s">
        <v>517</v>
      </c>
      <c r="C498" s="33" t="s">
        <v>147</v>
      </c>
      <c r="D498" s="33" t="s">
        <v>32</v>
      </c>
      <c r="E498">
        <v>8</v>
      </c>
      <c r="F498" s="34">
        <v>2.0648148148148148E-2</v>
      </c>
      <c r="G498" s="34">
        <v>2.5810185185185185E-3</v>
      </c>
      <c r="H498" s="33" t="s">
        <v>499</v>
      </c>
      <c r="I498" s="33" t="s">
        <v>146</v>
      </c>
    </row>
    <row r="499" spans="1:9" x14ac:dyDescent="0.25">
      <c r="A499" s="32">
        <v>46240</v>
      </c>
      <c r="B499" s="33" t="s">
        <v>648</v>
      </c>
      <c r="C499" s="33" t="s">
        <v>32</v>
      </c>
      <c r="D499" s="33" t="s">
        <v>32</v>
      </c>
      <c r="E499">
        <v>15</v>
      </c>
      <c r="F499" s="34">
        <v>5.707175925925926E-2</v>
      </c>
      <c r="G499" s="34">
        <v>3.8047839506172841E-3</v>
      </c>
      <c r="H499" s="33" t="s">
        <v>647</v>
      </c>
      <c r="I499" s="33" t="s">
        <v>233</v>
      </c>
    </row>
    <row r="500" spans="1:9" x14ac:dyDescent="0.25">
      <c r="A500" s="32">
        <v>46240</v>
      </c>
      <c r="B500" s="33" t="s">
        <v>650</v>
      </c>
      <c r="C500" s="33" t="s">
        <v>105</v>
      </c>
      <c r="D500" s="33" t="s">
        <v>105</v>
      </c>
      <c r="E500">
        <v>12</v>
      </c>
      <c r="F500" s="34">
        <v>0.18118055555555557</v>
      </c>
      <c r="G500" s="34">
        <v>1.509837962962963E-2</v>
      </c>
      <c r="H500" s="33" t="s">
        <v>649</v>
      </c>
      <c r="I500" s="33" t="s">
        <v>104</v>
      </c>
    </row>
    <row r="501" spans="1:9" x14ac:dyDescent="0.25">
      <c r="A501" s="32">
        <v>46240</v>
      </c>
      <c r="B501" s="33" t="s">
        <v>652</v>
      </c>
      <c r="C501" s="33" t="s">
        <v>32</v>
      </c>
      <c r="D501" s="33" t="s">
        <v>32</v>
      </c>
      <c r="E501">
        <v>30</v>
      </c>
      <c r="F501" s="34">
        <v>0.18190972222222221</v>
      </c>
      <c r="G501" s="34">
        <v>6.0636574074074074E-3</v>
      </c>
      <c r="H501" s="33" t="s">
        <v>651</v>
      </c>
      <c r="I501" s="33" t="s">
        <v>100</v>
      </c>
    </row>
    <row r="502" spans="1:9" x14ac:dyDescent="0.25">
      <c r="A502" s="32">
        <v>46240</v>
      </c>
      <c r="B502" s="33" t="s">
        <v>568</v>
      </c>
      <c r="C502" s="33" t="s">
        <v>32</v>
      </c>
      <c r="D502" s="33" t="s">
        <v>32</v>
      </c>
      <c r="E502">
        <v>19</v>
      </c>
      <c r="F502" s="34">
        <v>7.8472222222222221E-2</v>
      </c>
      <c r="G502" s="34">
        <v>4.1301169590643276E-3</v>
      </c>
      <c r="H502" s="33" t="s">
        <v>246</v>
      </c>
      <c r="I502" s="33" t="s">
        <v>233</v>
      </c>
    </row>
    <row r="503" spans="1:9" x14ac:dyDescent="0.25">
      <c r="A503" s="32">
        <v>46240</v>
      </c>
      <c r="B503" s="33" t="s">
        <v>508</v>
      </c>
      <c r="C503" s="33" t="s">
        <v>32</v>
      </c>
      <c r="D503" s="33" t="s">
        <v>32</v>
      </c>
      <c r="E503">
        <v>32</v>
      </c>
      <c r="F503" s="34">
        <v>0.13071759259259258</v>
      </c>
      <c r="G503" s="34">
        <v>4.0849247685185181E-3</v>
      </c>
      <c r="H503" s="33" t="s">
        <v>48</v>
      </c>
      <c r="I503" s="33" t="s">
        <v>100</v>
      </c>
    </row>
    <row r="504" spans="1:9" x14ac:dyDescent="0.25">
      <c r="A504" s="32">
        <v>46240</v>
      </c>
      <c r="B504" s="33" t="s">
        <v>538</v>
      </c>
      <c r="C504" s="33" t="s">
        <v>32</v>
      </c>
      <c r="D504" s="33" t="s">
        <v>32</v>
      </c>
      <c r="E504">
        <v>5</v>
      </c>
      <c r="F504" s="34">
        <v>5.8159722222222224E-2</v>
      </c>
      <c r="G504" s="34">
        <v>1.1631944444444445E-2</v>
      </c>
      <c r="H504" s="33" t="s">
        <v>50</v>
      </c>
      <c r="I504" s="33" t="s">
        <v>100</v>
      </c>
    </row>
    <row r="505" spans="1:9" x14ac:dyDescent="0.25">
      <c r="A505" s="32">
        <v>46240</v>
      </c>
      <c r="B505" s="33" t="s">
        <v>603</v>
      </c>
      <c r="C505" s="33" t="s">
        <v>32</v>
      </c>
      <c r="D505" s="33" t="s">
        <v>32</v>
      </c>
      <c r="E505">
        <v>29</v>
      </c>
      <c r="F505" s="34">
        <v>0.19902777777777778</v>
      </c>
      <c r="G505" s="34">
        <v>6.8630268199233718E-3</v>
      </c>
      <c r="H505" s="33" t="s">
        <v>242</v>
      </c>
      <c r="I505" s="33" t="s">
        <v>233</v>
      </c>
    </row>
    <row r="506" spans="1:9" x14ac:dyDescent="0.25">
      <c r="A506" s="32">
        <v>46240</v>
      </c>
      <c r="B506" s="33" t="s">
        <v>559</v>
      </c>
      <c r="C506" s="33" t="s">
        <v>105</v>
      </c>
      <c r="D506" s="33" t="s">
        <v>105</v>
      </c>
      <c r="E506">
        <v>13</v>
      </c>
      <c r="F506" s="34">
        <v>0.18</v>
      </c>
      <c r="G506" s="34">
        <v>1.3846153846153845E-2</v>
      </c>
      <c r="H506" s="33" t="s">
        <v>289</v>
      </c>
      <c r="I506" s="33" t="s">
        <v>104</v>
      </c>
    </row>
    <row r="507" spans="1:9" x14ac:dyDescent="0.25">
      <c r="A507" s="32">
        <v>46240</v>
      </c>
      <c r="B507" s="33" t="s">
        <v>518</v>
      </c>
      <c r="C507" s="33" t="s">
        <v>147</v>
      </c>
      <c r="D507" s="33" t="s">
        <v>147</v>
      </c>
      <c r="E507">
        <v>15</v>
      </c>
      <c r="F507" s="34">
        <v>5.1273148148148151E-2</v>
      </c>
      <c r="G507" s="34">
        <v>3.4182098765432102E-3</v>
      </c>
      <c r="H507" s="33" t="s">
        <v>500</v>
      </c>
      <c r="I507" s="33" t="s">
        <v>274</v>
      </c>
    </row>
    <row r="508" spans="1:9" x14ac:dyDescent="0.25">
      <c r="A508" s="32">
        <v>46240</v>
      </c>
      <c r="B508" s="33" t="s">
        <v>518</v>
      </c>
      <c r="C508" s="33" t="s">
        <v>147</v>
      </c>
      <c r="D508" s="33" t="s">
        <v>32</v>
      </c>
      <c r="E508">
        <v>7</v>
      </c>
      <c r="F508" s="34">
        <v>3.982638888888889E-2</v>
      </c>
      <c r="G508" s="34">
        <v>5.6894841269841271E-3</v>
      </c>
      <c r="H508" s="33" t="s">
        <v>500</v>
      </c>
      <c r="I508" s="33" t="s">
        <v>274</v>
      </c>
    </row>
    <row r="509" spans="1:9" x14ac:dyDescent="0.25">
      <c r="A509" s="32">
        <v>46240</v>
      </c>
      <c r="B509" s="33" t="s">
        <v>684</v>
      </c>
      <c r="C509" s="33" t="s">
        <v>32</v>
      </c>
      <c r="D509" s="33" t="s">
        <v>32</v>
      </c>
      <c r="E509">
        <v>35</v>
      </c>
      <c r="F509" s="34">
        <v>0.16804398148148147</v>
      </c>
      <c r="G509" s="34">
        <v>4.8012566137566135E-3</v>
      </c>
      <c r="H509" s="33" t="s">
        <v>683</v>
      </c>
      <c r="I509" s="33" t="s">
        <v>233</v>
      </c>
    </row>
    <row r="510" spans="1:9" x14ac:dyDescent="0.25">
      <c r="A510" s="32">
        <v>46240</v>
      </c>
      <c r="B510" s="33" t="s">
        <v>654</v>
      </c>
      <c r="C510" s="33" t="s">
        <v>32</v>
      </c>
      <c r="D510" s="33" t="s">
        <v>32</v>
      </c>
      <c r="E510">
        <v>25</v>
      </c>
      <c r="F510" s="34">
        <v>0.16787037037037036</v>
      </c>
      <c r="G510" s="34">
        <v>6.714814814814815E-3</v>
      </c>
      <c r="H510" s="33" t="s">
        <v>653</v>
      </c>
      <c r="I510" s="33" t="s">
        <v>100</v>
      </c>
    </row>
    <row r="511" spans="1:9" x14ac:dyDescent="0.25">
      <c r="A511" s="32">
        <v>46240</v>
      </c>
      <c r="B511" s="33" t="s">
        <v>509</v>
      </c>
      <c r="C511" s="33" t="s">
        <v>32</v>
      </c>
      <c r="D511" s="33" t="s">
        <v>32</v>
      </c>
      <c r="E511">
        <v>9</v>
      </c>
      <c r="F511" s="34">
        <v>4.3807870370370372E-2</v>
      </c>
      <c r="G511" s="34">
        <v>4.8675411522633751E-3</v>
      </c>
      <c r="H511" s="33" t="s">
        <v>52</v>
      </c>
      <c r="I511" s="33" t="s">
        <v>100</v>
      </c>
    </row>
    <row r="512" spans="1:9" x14ac:dyDescent="0.25">
      <c r="A512" s="32">
        <v>46240</v>
      </c>
      <c r="B512" s="33" t="s">
        <v>519</v>
      </c>
      <c r="C512" s="33" t="s">
        <v>147</v>
      </c>
      <c r="D512" s="33" t="s">
        <v>147</v>
      </c>
      <c r="E512">
        <v>15</v>
      </c>
      <c r="F512" s="34">
        <v>3.3113425925925928E-2</v>
      </c>
      <c r="G512" s="34">
        <v>2.207561728395062E-3</v>
      </c>
      <c r="H512" s="33" t="s">
        <v>164</v>
      </c>
      <c r="I512" s="33" t="s">
        <v>146</v>
      </c>
    </row>
    <row r="513" spans="1:9" x14ac:dyDescent="0.25">
      <c r="A513" s="32">
        <v>46240</v>
      </c>
      <c r="B513" s="33" t="s">
        <v>519</v>
      </c>
      <c r="C513" s="33" t="s">
        <v>147</v>
      </c>
      <c r="D513" s="33" t="s">
        <v>32</v>
      </c>
      <c r="E513">
        <v>5</v>
      </c>
      <c r="F513" s="34">
        <v>1.650462962962963E-2</v>
      </c>
      <c r="G513" s="34">
        <v>3.3009259259259259E-3</v>
      </c>
      <c r="H513" s="33" t="s">
        <v>164</v>
      </c>
      <c r="I513" s="33" t="s">
        <v>146</v>
      </c>
    </row>
    <row r="514" spans="1:9" x14ac:dyDescent="0.25">
      <c r="A514" s="32">
        <v>46240</v>
      </c>
      <c r="B514" s="33" t="s">
        <v>656</v>
      </c>
      <c r="C514" s="33" t="s">
        <v>32</v>
      </c>
      <c r="D514" s="33" t="s">
        <v>32</v>
      </c>
      <c r="E514">
        <v>19</v>
      </c>
      <c r="F514" s="34">
        <v>0.1700925925925926</v>
      </c>
      <c r="G514" s="34">
        <v>8.9522417153996107E-3</v>
      </c>
      <c r="H514" s="33" t="s">
        <v>655</v>
      </c>
      <c r="I514" s="33" t="s">
        <v>100</v>
      </c>
    </row>
    <row r="515" spans="1:9" x14ac:dyDescent="0.25">
      <c r="A515" s="32">
        <v>46240</v>
      </c>
      <c r="B515" s="33" t="s">
        <v>167</v>
      </c>
      <c r="C515" s="33" t="s">
        <v>147</v>
      </c>
      <c r="D515" s="33" t="s">
        <v>147</v>
      </c>
      <c r="E515">
        <v>10</v>
      </c>
      <c r="F515" s="34">
        <v>4.1863425925925929E-2</v>
      </c>
      <c r="G515" s="34">
        <v>4.1863425925925931E-3</v>
      </c>
      <c r="H515" s="33" t="s">
        <v>166</v>
      </c>
      <c r="I515" s="33" t="s">
        <v>146</v>
      </c>
    </row>
    <row r="516" spans="1:9" x14ac:dyDescent="0.25">
      <c r="A516" s="32">
        <v>46240</v>
      </c>
      <c r="B516" s="33" t="s">
        <v>167</v>
      </c>
      <c r="C516" s="33" t="s">
        <v>147</v>
      </c>
      <c r="D516" s="33" t="s">
        <v>32</v>
      </c>
      <c r="E516">
        <v>4</v>
      </c>
      <c r="F516" s="34">
        <v>1.369212962962963E-2</v>
      </c>
      <c r="G516" s="34">
        <v>3.4230324074074076E-3</v>
      </c>
      <c r="H516" s="33" t="s">
        <v>166</v>
      </c>
      <c r="I516" s="33" t="s">
        <v>146</v>
      </c>
    </row>
    <row r="517" spans="1:9" x14ac:dyDescent="0.25">
      <c r="A517" s="32">
        <v>46240</v>
      </c>
      <c r="B517" s="33" t="s">
        <v>658</v>
      </c>
      <c r="C517" s="33" t="s">
        <v>147</v>
      </c>
      <c r="D517" s="33" t="s">
        <v>147</v>
      </c>
      <c r="E517">
        <v>11</v>
      </c>
      <c r="F517" s="34">
        <v>4.4849537037037035E-2</v>
      </c>
      <c r="G517" s="34">
        <v>4.0772306397306394E-3</v>
      </c>
      <c r="H517" s="33" t="s">
        <v>657</v>
      </c>
      <c r="I517" s="33" t="s">
        <v>274</v>
      </c>
    </row>
    <row r="518" spans="1:9" x14ac:dyDescent="0.25">
      <c r="A518" s="32">
        <v>46240</v>
      </c>
      <c r="B518" s="33" t="s">
        <v>658</v>
      </c>
      <c r="C518" s="33" t="s">
        <v>147</v>
      </c>
      <c r="D518" s="33" t="s">
        <v>32</v>
      </c>
      <c r="E518">
        <v>3</v>
      </c>
      <c r="F518" s="34">
        <v>2.045138888888889E-2</v>
      </c>
      <c r="G518" s="34">
        <v>6.8171296296296304E-3</v>
      </c>
      <c r="H518" s="33" t="s">
        <v>657</v>
      </c>
      <c r="I518" s="33" t="s">
        <v>274</v>
      </c>
    </row>
    <row r="519" spans="1:9" x14ac:dyDescent="0.25">
      <c r="A519" s="32">
        <v>46240</v>
      </c>
      <c r="B519" s="33" t="s">
        <v>660</v>
      </c>
      <c r="C519" s="33" t="s">
        <v>32</v>
      </c>
      <c r="D519" s="33" t="s">
        <v>32</v>
      </c>
      <c r="E519">
        <v>4</v>
      </c>
      <c r="F519" s="34">
        <v>1.5902777777777776E-2</v>
      </c>
      <c r="G519" s="34">
        <v>3.975694444444444E-3</v>
      </c>
      <c r="H519" s="33" t="s">
        <v>659</v>
      </c>
      <c r="I519" s="33" t="s">
        <v>100</v>
      </c>
    </row>
    <row r="520" spans="1:9" x14ac:dyDescent="0.25">
      <c r="A520" s="32">
        <v>46240</v>
      </c>
      <c r="B520" s="33" t="s">
        <v>528</v>
      </c>
      <c r="C520" s="33" t="s">
        <v>32</v>
      </c>
      <c r="D520" s="33" t="s">
        <v>32</v>
      </c>
      <c r="E520">
        <v>18</v>
      </c>
      <c r="F520" s="34">
        <v>7.1597222222222229E-2</v>
      </c>
      <c r="G520" s="34">
        <v>3.9776234567901235E-3</v>
      </c>
      <c r="H520" s="33" t="s">
        <v>254</v>
      </c>
      <c r="I520" s="33" t="s">
        <v>233</v>
      </c>
    </row>
    <row r="521" spans="1:9" x14ac:dyDescent="0.25">
      <c r="A521" s="32">
        <v>46240</v>
      </c>
      <c r="B521" s="33" t="s">
        <v>545</v>
      </c>
      <c r="C521" s="33" t="s">
        <v>600</v>
      </c>
      <c r="D521" s="33" t="s">
        <v>600</v>
      </c>
      <c r="E521">
        <v>36</v>
      </c>
      <c r="F521" s="34">
        <v>8.1655092592592599E-2</v>
      </c>
      <c r="G521" s="34">
        <v>2.2681970164609056E-3</v>
      </c>
      <c r="H521" s="33" t="s">
        <v>201</v>
      </c>
      <c r="I521" s="33" t="s">
        <v>601</v>
      </c>
    </row>
    <row r="522" spans="1:9" x14ac:dyDescent="0.25">
      <c r="A522" s="32">
        <v>46240</v>
      </c>
      <c r="B522" s="33" t="s">
        <v>520</v>
      </c>
      <c r="C522" s="33" t="s">
        <v>147</v>
      </c>
      <c r="D522" s="33" t="s">
        <v>147</v>
      </c>
      <c r="E522">
        <v>9</v>
      </c>
      <c r="F522" s="34">
        <v>4.704861111111111E-2</v>
      </c>
      <c r="G522" s="34">
        <v>5.2276234567901238E-3</v>
      </c>
      <c r="H522" s="33" t="s">
        <v>168</v>
      </c>
      <c r="I522" s="33" t="s">
        <v>274</v>
      </c>
    </row>
    <row r="523" spans="1:9" x14ac:dyDescent="0.25">
      <c r="A523" s="32">
        <v>46240</v>
      </c>
      <c r="B523" s="33" t="s">
        <v>520</v>
      </c>
      <c r="C523" s="33" t="s">
        <v>147</v>
      </c>
      <c r="D523" s="33" t="s">
        <v>32</v>
      </c>
      <c r="E523">
        <v>7</v>
      </c>
      <c r="F523" s="34">
        <v>2.3657407407407408E-2</v>
      </c>
      <c r="G523" s="34">
        <v>3.3796296296296296E-3</v>
      </c>
      <c r="H523" s="33" t="s">
        <v>168</v>
      </c>
      <c r="I523" s="33" t="s">
        <v>274</v>
      </c>
    </row>
    <row r="524" spans="1:9" x14ac:dyDescent="0.25">
      <c r="A524" s="32">
        <v>46240</v>
      </c>
      <c r="B524" s="33" t="s">
        <v>521</v>
      </c>
      <c r="C524" s="33" t="s">
        <v>147</v>
      </c>
      <c r="D524" s="33" t="s">
        <v>147</v>
      </c>
      <c r="E524">
        <v>10</v>
      </c>
      <c r="F524" s="34">
        <v>4.8113425925925928E-2</v>
      </c>
      <c r="G524" s="34">
        <v>4.8113425925925928E-3</v>
      </c>
      <c r="H524" s="33" t="s">
        <v>170</v>
      </c>
      <c r="I524" s="33" t="s">
        <v>146</v>
      </c>
    </row>
    <row r="525" spans="1:9" x14ac:dyDescent="0.25">
      <c r="A525" s="32">
        <v>46240</v>
      </c>
      <c r="B525" s="33" t="s">
        <v>521</v>
      </c>
      <c r="C525" s="33" t="s">
        <v>147</v>
      </c>
      <c r="D525" s="33" t="s">
        <v>32</v>
      </c>
      <c r="E525">
        <v>6</v>
      </c>
      <c r="F525" s="34">
        <v>3.8206018518518521E-2</v>
      </c>
      <c r="G525" s="34">
        <v>6.3676697530864199E-3</v>
      </c>
      <c r="H525" s="33" t="s">
        <v>170</v>
      </c>
      <c r="I525" s="33" t="s">
        <v>146</v>
      </c>
    </row>
    <row r="526" spans="1:9" x14ac:dyDescent="0.25">
      <c r="A526" s="32">
        <v>46240</v>
      </c>
      <c r="B526" s="33" t="s">
        <v>543</v>
      </c>
      <c r="C526" s="33" t="s">
        <v>600</v>
      </c>
      <c r="D526" s="33" t="s">
        <v>600</v>
      </c>
      <c r="E526">
        <v>21</v>
      </c>
      <c r="F526" s="34">
        <v>5.3854166666666668E-2</v>
      </c>
      <c r="G526" s="34">
        <v>2.5644841269841269E-3</v>
      </c>
      <c r="H526" s="33" t="s">
        <v>293</v>
      </c>
      <c r="I526" s="33" t="s">
        <v>104</v>
      </c>
    </row>
    <row r="527" spans="1:9" x14ac:dyDescent="0.25">
      <c r="A527" s="32">
        <v>46240</v>
      </c>
      <c r="B527" s="33" t="s">
        <v>633</v>
      </c>
      <c r="C527" s="33" t="s">
        <v>147</v>
      </c>
      <c r="D527" s="33" t="s">
        <v>147</v>
      </c>
      <c r="E527">
        <v>5</v>
      </c>
      <c r="F527" s="34">
        <v>2.7708333333333335E-2</v>
      </c>
      <c r="G527" s="34">
        <v>5.541666666666667E-3</v>
      </c>
      <c r="H527" s="33" t="s">
        <v>606</v>
      </c>
      <c r="I527" s="33" t="s">
        <v>146</v>
      </c>
    </row>
    <row r="528" spans="1:9" x14ac:dyDescent="0.25">
      <c r="A528" s="32">
        <v>46240</v>
      </c>
      <c r="B528" s="33" t="s">
        <v>633</v>
      </c>
      <c r="C528" s="33" t="s">
        <v>147</v>
      </c>
      <c r="D528" s="33" t="s">
        <v>32</v>
      </c>
      <c r="E528">
        <v>4</v>
      </c>
      <c r="F528" s="34">
        <v>1.7071759259259259E-2</v>
      </c>
      <c r="G528" s="34">
        <v>4.2679398148148147E-3</v>
      </c>
      <c r="H528" s="33" t="s">
        <v>606</v>
      </c>
      <c r="I528" s="33" t="s">
        <v>146</v>
      </c>
    </row>
    <row r="529" spans="1:9" x14ac:dyDescent="0.25">
      <c r="A529" s="32">
        <v>46240</v>
      </c>
      <c r="B529" s="33" t="s">
        <v>634</v>
      </c>
      <c r="C529" s="33" t="s">
        <v>105</v>
      </c>
      <c r="D529" s="33" t="s">
        <v>105</v>
      </c>
      <c r="E529">
        <v>6</v>
      </c>
      <c r="F529" s="34">
        <v>6.7581018518518512E-2</v>
      </c>
      <c r="G529" s="34">
        <v>1.1263503086419753E-2</v>
      </c>
      <c r="H529" s="33" t="s">
        <v>612</v>
      </c>
      <c r="I529" s="33" t="s">
        <v>601</v>
      </c>
    </row>
    <row r="530" spans="1:9" x14ac:dyDescent="0.25">
      <c r="A530" s="32">
        <v>46240</v>
      </c>
      <c r="B530" s="33" t="s">
        <v>529</v>
      </c>
      <c r="C530" s="33" t="s">
        <v>32</v>
      </c>
      <c r="D530" s="33" t="s">
        <v>32</v>
      </c>
      <c r="E530">
        <v>22</v>
      </c>
      <c r="F530" s="34">
        <v>0.13625000000000001</v>
      </c>
      <c r="G530" s="34">
        <v>6.193181818181819E-3</v>
      </c>
      <c r="H530" s="33" t="s">
        <v>256</v>
      </c>
      <c r="I530" s="33" t="s">
        <v>233</v>
      </c>
    </row>
    <row r="531" spans="1:9" x14ac:dyDescent="0.25">
      <c r="A531" s="32">
        <v>46240</v>
      </c>
      <c r="B531" s="33" t="s">
        <v>554</v>
      </c>
      <c r="C531" s="33" t="s">
        <v>32</v>
      </c>
      <c r="D531" s="33" t="s">
        <v>32</v>
      </c>
      <c r="E531">
        <v>7</v>
      </c>
      <c r="F531" s="34">
        <v>1.4560185185185185E-2</v>
      </c>
      <c r="G531" s="34">
        <v>2.0800264550264549E-3</v>
      </c>
      <c r="H531" s="33" t="s">
        <v>258</v>
      </c>
      <c r="I531" s="33" t="s">
        <v>233</v>
      </c>
    </row>
    <row r="532" spans="1:9" x14ac:dyDescent="0.25">
      <c r="A532" s="32">
        <v>46240</v>
      </c>
      <c r="B532" s="33" t="s">
        <v>662</v>
      </c>
      <c r="C532" s="33" t="s">
        <v>32</v>
      </c>
      <c r="D532" s="33" t="s">
        <v>32</v>
      </c>
      <c r="E532">
        <v>22</v>
      </c>
      <c r="F532" s="34">
        <v>0.1909837962962963</v>
      </c>
      <c r="G532" s="34">
        <v>8.6810816498316505E-3</v>
      </c>
      <c r="H532" s="33" t="s">
        <v>661</v>
      </c>
      <c r="I532" s="33" t="s">
        <v>100</v>
      </c>
    </row>
    <row r="533" spans="1:9" x14ac:dyDescent="0.25">
      <c r="A533" s="32">
        <v>46240</v>
      </c>
      <c r="B533" s="33" t="s">
        <v>664</v>
      </c>
      <c r="C533" s="33" t="s">
        <v>32</v>
      </c>
      <c r="D533" s="33" t="s">
        <v>32</v>
      </c>
      <c r="E533">
        <v>20</v>
      </c>
      <c r="F533" s="34">
        <v>0.16780092592592594</v>
      </c>
      <c r="G533" s="34">
        <v>8.3900462962962965E-3</v>
      </c>
      <c r="H533" s="33" t="s">
        <v>663</v>
      </c>
      <c r="I533" s="33" t="s">
        <v>233</v>
      </c>
    </row>
    <row r="534" spans="1:9" x14ac:dyDescent="0.25">
      <c r="A534" s="32">
        <v>46240</v>
      </c>
      <c r="B534" s="33" t="s">
        <v>565</v>
      </c>
      <c r="C534" s="33" t="s">
        <v>105</v>
      </c>
      <c r="D534" s="33" t="s">
        <v>105</v>
      </c>
      <c r="E534">
        <v>11</v>
      </c>
      <c r="F534" s="34">
        <v>0.11013888888888888</v>
      </c>
      <c r="G534" s="34">
        <v>1.0012626262626263E-2</v>
      </c>
      <c r="H534" s="33" t="s">
        <v>203</v>
      </c>
      <c r="I534" s="33" t="s">
        <v>601</v>
      </c>
    </row>
    <row r="535" spans="1:9" x14ac:dyDescent="0.25">
      <c r="A535" s="32">
        <v>46240</v>
      </c>
      <c r="B535" s="33" t="s">
        <v>666</v>
      </c>
      <c r="C535" s="33" t="s">
        <v>32</v>
      </c>
      <c r="D535" s="33" t="s">
        <v>32</v>
      </c>
      <c r="E535">
        <v>38</v>
      </c>
      <c r="F535" s="34">
        <v>0.17694444444444443</v>
      </c>
      <c r="G535" s="34">
        <v>4.6564327485380114E-3</v>
      </c>
      <c r="H535" s="33" t="s">
        <v>665</v>
      </c>
      <c r="I535" s="33" t="s">
        <v>100</v>
      </c>
    </row>
    <row r="536" spans="1:9" x14ac:dyDescent="0.25">
      <c r="A536" s="32">
        <v>46240</v>
      </c>
      <c r="B536" s="33" t="s">
        <v>555</v>
      </c>
      <c r="C536" s="33" t="s">
        <v>32</v>
      </c>
      <c r="D536" s="33" t="s">
        <v>32</v>
      </c>
      <c r="E536">
        <v>30</v>
      </c>
      <c r="F536" s="34">
        <v>0.14791666666666667</v>
      </c>
      <c r="G536" s="34">
        <v>4.9305555555555552E-3</v>
      </c>
      <c r="H536" s="33" t="s">
        <v>128</v>
      </c>
      <c r="I536" s="33" t="s">
        <v>233</v>
      </c>
    </row>
    <row r="537" spans="1:9" x14ac:dyDescent="0.25">
      <c r="A537" s="32">
        <v>46240</v>
      </c>
      <c r="B537" s="33" t="s">
        <v>522</v>
      </c>
      <c r="C537" s="33" t="s">
        <v>147</v>
      </c>
      <c r="D537" s="33" t="s">
        <v>147</v>
      </c>
      <c r="E537">
        <v>7</v>
      </c>
      <c r="F537" s="34">
        <v>2.8506944444444446E-2</v>
      </c>
      <c r="G537" s="34">
        <v>4.0724206349206354E-3</v>
      </c>
      <c r="H537" s="33" t="s">
        <v>178</v>
      </c>
      <c r="I537" s="33" t="s">
        <v>146</v>
      </c>
    </row>
    <row r="538" spans="1:9" x14ac:dyDescent="0.25">
      <c r="A538" s="32">
        <v>46240</v>
      </c>
      <c r="B538" s="33" t="s">
        <v>522</v>
      </c>
      <c r="C538" s="33" t="s">
        <v>147</v>
      </c>
      <c r="D538" s="33" t="s">
        <v>32</v>
      </c>
      <c r="E538">
        <v>4</v>
      </c>
      <c r="F538" s="34">
        <v>3.2881944444444443E-2</v>
      </c>
      <c r="G538" s="34">
        <v>8.2204861111111107E-3</v>
      </c>
      <c r="H538" s="33" t="s">
        <v>178</v>
      </c>
      <c r="I538" s="33" t="s">
        <v>146</v>
      </c>
    </row>
    <row r="539" spans="1:9" x14ac:dyDescent="0.25">
      <c r="A539" s="32">
        <v>46240</v>
      </c>
      <c r="B539" s="33" t="s">
        <v>531</v>
      </c>
      <c r="C539" s="33" t="s">
        <v>32</v>
      </c>
      <c r="D539" s="33" t="s">
        <v>32</v>
      </c>
      <c r="E539">
        <v>2</v>
      </c>
      <c r="F539" s="34">
        <v>1.7569444444444443E-2</v>
      </c>
      <c r="G539" s="34">
        <v>8.7847222222222215E-3</v>
      </c>
      <c r="H539" s="33" t="s">
        <v>266</v>
      </c>
      <c r="I539" s="33" t="s">
        <v>233</v>
      </c>
    </row>
    <row r="540" spans="1:9" x14ac:dyDescent="0.25">
      <c r="A540" s="32">
        <v>46240</v>
      </c>
      <c r="B540" s="33" t="s">
        <v>667</v>
      </c>
      <c r="C540" s="33" t="s">
        <v>105</v>
      </c>
      <c r="D540" s="33" t="s">
        <v>105</v>
      </c>
      <c r="E540">
        <v>14</v>
      </c>
      <c r="F540" s="34">
        <v>0.12921296296296297</v>
      </c>
      <c r="G540" s="34">
        <v>9.2294973544973548E-3</v>
      </c>
      <c r="H540" s="33" t="s">
        <v>297</v>
      </c>
      <c r="I540" s="33" t="s">
        <v>104</v>
      </c>
    </row>
    <row r="541" spans="1:9" x14ac:dyDescent="0.25">
      <c r="A541" s="32">
        <v>46240</v>
      </c>
      <c r="B541" s="33" t="s">
        <v>635</v>
      </c>
      <c r="C541" s="33" t="s">
        <v>105</v>
      </c>
      <c r="D541" s="33" t="s">
        <v>105</v>
      </c>
      <c r="E541">
        <v>5</v>
      </c>
      <c r="F541" s="34">
        <v>8.7800925925925921E-2</v>
      </c>
      <c r="G541" s="34">
        <v>1.7560185185185186E-2</v>
      </c>
      <c r="H541" s="33" t="s">
        <v>614</v>
      </c>
      <c r="I541" s="33" t="s">
        <v>601</v>
      </c>
    </row>
    <row r="542" spans="1:9" x14ac:dyDescent="0.25">
      <c r="A542" s="32">
        <v>46240</v>
      </c>
      <c r="B542" s="33" t="s">
        <v>523</v>
      </c>
      <c r="C542" s="33" t="s">
        <v>147</v>
      </c>
      <c r="D542" s="33" t="s">
        <v>147</v>
      </c>
      <c r="E542">
        <v>11</v>
      </c>
      <c r="F542" s="34">
        <v>5.1064814814814813E-2</v>
      </c>
      <c r="G542" s="34">
        <v>4.6422558922558921E-3</v>
      </c>
      <c r="H542" s="33" t="s">
        <v>180</v>
      </c>
      <c r="I542" s="33" t="s">
        <v>146</v>
      </c>
    </row>
    <row r="543" spans="1:9" x14ac:dyDescent="0.25">
      <c r="A543" s="32">
        <v>46240</v>
      </c>
      <c r="B543" s="33" t="s">
        <v>523</v>
      </c>
      <c r="C543" s="33" t="s">
        <v>147</v>
      </c>
      <c r="D543" s="33" t="s">
        <v>32</v>
      </c>
      <c r="E543">
        <v>3</v>
      </c>
      <c r="F543" s="34">
        <v>2.8032407407407409E-2</v>
      </c>
      <c r="G543" s="34">
        <v>9.3441358024691362E-3</v>
      </c>
      <c r="H543" s="33" t="s">
        <v>180</v>
      </c>
      <c r="I543" s="33" t="s">
        <v>146</v>
      </c>
    </row>
    <row r="544" spans="1:9" x14ac:dyDescent="0.25">
      <c r="A544" s="32">
        <v>46240</v>
      </c>
      <c r="B544" s="33" t="s">
        <v>636</v>
      </c>
      <c r="C544" s="33" t="s">
        <v>105</v>
      </c>
      <c r="D544" s="33" t="s">
        <v>105</v>
      </c>
      <c r="E544">
        <v>8</v>
      </c>
      <c r="F544" s="34">
        <v>9.4872685185185185E-2</v>
      </c>
      <c r="G544" s="34">
        <v>1.1859085648148148E-2</v>
      </c>
      <c r="H544" s="33" t="s">
        <v>615</v>
      </c>
      <c r="I544" s="33" t="s">
        <v>601</v>
      </c>
    </row>
    <row r="545" spans="1:9" x14ac:dyDescent="0.25">
      <c r="A545" s="32">
        <v>46240</v>
      </c>
      <c r="B545" s="33" t="s">
        <v>566</v>
      </c>
      <c r="C545" s="33" t="s">
        <v>147</v>
      </c>
      <c r="D545" s="33" t="s">
        <v>147</v>
      </c>
      <c r="E545">
        <v>9</v>
      </c>
      <c r="F545" s="34">
        <v>5.3935185185185183E-2</v>
      </c>
      <c r="G545" s="34">
        <v>5.9927983539094648E-3</v>
      </c>
      <c r="H545" s="33" t="s">
        <v>207</v>
      </c>
      <c r="I545" s="33" t="s">
        <v>274</v>
      </c>
    </row>
    <row r="546" spans="1:9" x14ac:dyDescent="0.25">
      <c r="A546" s="32">
        <v>46240</v>
      </c>
      <c r="B546" s="33" t="s">
        <v>566</v>
      </c>
      <c r="C546" s="33" t="s">
        <v>147</v>
      </c>
      <c r="D546" s="33" t="s">
        <v>32</v>
      </c>
      <c r="E546">
        <v>5</v>
      </c>
      <c r="F546" s="34">
        <v>1.7326388888888888E-2</v>
      </c>
      <c r="G546" s="34">
        <v>3.4652777777777776E-3</v>
      </c>
      <c r="H546" s="33" t="s">
        <v>207</v>
      </c>
      <c r="I546" s="33" t="s">
        <v>274</v>
      </c>
    </row>
    <row r="547" spans="1:9" x14ac:dyDescent="0.25">
      <c r="A547" s="32">
        <v>46240</v>
      </c>
      <c r="B547" s="33" t="s">
        <v>637</v>
      </c>
      <c r="C547" s="33" t="s">
        <v>105</v>
      </c>
      <c r="D547" s="33" t="s">
        <v>105</v>
      </c>
      <c r="E547">
        <v>3</v>
      </c>
      <c r="F547" s="34">
        <v>5.271990740740741E-2</v>
      </c>
      <c r="G547" s="34">
        <v>1.7573302469135802E-2</v>
      </c>
      <c r="H547" s="33" t="s">
        <v>616</v>
      </c>
      <c r="I547" s="33" t="s">
        <v>601</v>
      </c>
    </row>
    <row r="548" spans="1:9" x14ac:dyDescent="0.25">
      <c r="A548" s="32">
        <v>46240</v>
      </c>
      <c r="B548" s="33" t="s">
        <v>567</v>
      </c>
      <c r="C548" s="33" t="s">
        <v>105</v>
      </c>
      <c r="D548" s="33" t="s">
        <v>105</v>
      </c>
      <c r="E548">
        <v>8</v>
      </c>
      <c r="F548" s="34">
        <v>0.11120370370370371</v>
      </c>
      <c r="G548" s="34">
        <v>1.3900462962962963E-2</v>
      </c>
      <c r="H548" s="33" t="s">
        <v>209</v>
      </c>
      <c r="I548" s="33" t="s">
        <v>601</v>
      </c>
    </row>
    <row r="549" spans="1:9" x14ac:dyDescent="0.25">
      <c r="A549" s="32">
        <v>46240</v>
      </c>
      <c r="B549" s="33" t="s">
        <v>510</v>
      </c>
      <c r="C549" s="33" t="s">
        <v>32</v>
      </c>
      <c r="D549" s="33" t="s">
        <v>32</v>
      </c>
      <c r="E549">
        <v>38</v>
      </c>
      <c r="F549" s="34">
        <v>0.20981481481481482</v>
      </c>
      <c r="G549" s="34">
        <v>5.5214424951267058E-3</v>
      </c>
      <c r="H549" s="33" t="s">
        <v>60</v>
      </c>
      <c r="I549" s="33" t="s">
        <v>100</v>
      </c>
    </row>
    <row r="550" spans="1:9" x14ac:dyDescent="0.25">
      <c r="A550" s="32">
        <v>46240</v>
      </c>
      <c r="B550" s="33" t="s">
        <v>512</v>
      </c>
      <c r="C550" s="33" t="s">
        <v>105</v>
      </c>
      <c r="D550" s="33" t="s">
        <v>105</v>
      </c>
      <c r="E550">
        <v>8</v>
      </c>
      <c r="F550" s="34">
        <v>0.12006944444444445</v>
      </c>
      <c r="G550" s="34">
        <v>1.5008680555555556E-2</v>
      </c>
      <c r="H550" s="33" t="s">
        <v>132</v>
      </c>
      <c r="I550" s="33" t="s">
        <v>104</v>
      </c>
    </row>
    <row r="551" spans="1:9" x14ac:dyDescent="0.25">
      <c r="A551" s="32">
        <v>46240</v>
      </c>
      <c r="B551" s="33" t="s">
        <v>560</v>
      </c>
      <c r="C551" s="33" t="s">
        <v>105</v>
      </c>
      <c r="D551" s="33" t="s">
        <v>105</v>
      </c>
      <c r="E551">
        <v>10</v>
      </c>
      <c r="F551" s="34">
        <v>0.11749999999999999</v>
      </c>
      <c r="G551" s="34">
        <v>1.175E-2</v>
      </c>
      <c r="H551" s="33" t="s">
        <v>134</v>
      </c>
      <c r="I551" s="33" t="s">
        <v>104</v>
      </c>
    </row>
    <row r="552" spans="1:9" x14ac:dyDescent="0.25">
      <c r="A552" s="32">
        <v>46240</v>
      </c>
      <c r="B552" s="33" t="s">
        <v>546</v>
      </c>
      <c r="C552" s="33" t="s">
        <v>105</v>
      </c>
      <c r="D552" s="33" t="s">
        <v>105</v>
      </c>
      <c r="E552">
        <v>11</v>
      </c>
      <c r="F552" s="34">
        <v>0.21534722222222222</v>
      </c>
      <c r="G552" s="34">
        <v>1.9577020202020203E-2</v>
      </c>
      <c r="H552" s="33" t="s">
        <v>211</v>
      </c>
      <c r="I552" s="33" t="s">
        <v>104</v>
      </c>
    </row>
    <row r="553" spans="1:9" x14ac:dyDescent="0.25">
      <c r="A553" s="32">
        <v>46240</v>
      </c>
      <c r="B553" s="33" t="s">
        <v>638</v>
      </c>
      <c r="C553" s="33" t="s">
        <v>105</v>
      </c>
      <c r="D553" s="33" t="s">
        <v>105</v>
      </c>
      <c r="E553">
        <v>9</v>
      </c>
      <c r="F553" s="34">
        <v>0.1363425925925926</v>
      </c>
      <c r="G553" s="34">
        <v>1.514917695473251E-2</v>
      </c>
      <c r="H553" s="33" t="s">
        <v>617</v>
      </c>
      <c r="I553" s="33" t="s">
        <v>601</v>
      </c>
    </row>
    <row r="554" spans="1:9" x14ac:dyDescent="0.25">
      <c r="A554" s="32">
        <v>46240</v>
      </c>
      <c r="B554" s="33" t="s">
        <v>561</v>
      </c>
      <c r="C554" s="33" t="s">
        <v>105</v>
      </c>
      <c r="D554" s="33" t="s">
        <v>105</v>
      </c>
      <c r="E554">
        <v>13</v>
      </c>
      <c r="F554" s="34">
        <v>0.13700231481481481</v>
      </c>
      <c r="G554" s="34">
        <v>1.0538639601139601E-2</v>
      </c>
      <c r="H554" s="33" t="s">
        <v>136</v>
      </c>
      <c r="I554" s="33" t="s">
        <v>104</v>
      </c>
    </row>
    <row r="555" spans="1:9" x14ac:dyDescent="0.25">
      <c r="A555" s="32">
        <v>46240</v>
      </c>
      <c r="B555" s="33" t="s">
        <v>639</v>
      </c>
      <c r="C555" s="33" t="s">
        <v>105</v>
      </c>
      <c r="D555" s="33" t="s">
        <v>105</v>
      </c>
      <c r="E555">
        <v>13</v>
      </c>
      <c r="F555" s="34">
        <v>0.14197916666666666</v>
      </c>
      <c r="G555" s="34">
        <v>1.0921474358974358E-2</v>
      </c>
      <c r="H555" s="33" t="s">
        <v>618</v>
      </c>
      <c r="I555" s="33" t="s">
        <v>601</v>
      </c>
    </row>
    <row r="556" spans="1:9" x14ac:dyDescent="0.25">
      <c r="A556" s="32">
        <v>46240</v>
      </c>
      <c r="B556" s="33" t="s">
        <v>524</v>
      </c>
      <c r="C556" s="33" t="s">
        <v>147</v>
      </c>
      <c r="D556" s="33" t="s">
        <v>147</v>
      </c>
      <c r="E556">
        <v>18</v>
      </c>
      <c r="F556" s="34">
        <v>5.0694444444444445E-2</v>
      </c>
      <c r="G556" s="34">
        <v>2.816358024691358E-3</v>
      </c>
      <c r="H556" s="33" t="s">
        <v>501</v>
      </c>
      <c r="I556" s="33" t="s">
        <v>274</v>
      </c>
    </row>
    <row r="557" spans="1:9" x14ac:dyDescent="0.25">
      <c r="A557" s="32">
        <v>46240</v>
      </c>
      <c r="B557" s="33" t="s">
        <v>524</v>
      </c>
      <c r="C557" s="33" t="s">
        <v>147</v>
      </c>
      <c r="D557" s="33" t="s">
        <v>32</v>
      </c>
      <c r="E557">
        <v>6</v>
      </c>
      <c r="F557" s="34">
        <v>1.6736111111111111E-2</v>
      </c>
      <c r="G557" s="34">
        <v>2.7893518518518519E-3</v>
      </c>
      <c r="H557" s="33" t="s">
        <v>501</v>
      </c>
      <c r="I557" s="33" t="s">
        <v>274</v>
      </c>
    </row>
    <row r="558" spans="1:9" x14ac:dyDescent="0.25">
      <c r="A558" s="32">
        <v>46240</v>
      </c>
      <c r="B558" s="33" t="s">
        <v>572</v>
      </c>
      <c r="C558" s="33" t="s">
        <v>105</v>
      </c>
      <c r="D558" s="33" t="s">
        <v>105</v>
      </c>
      <c r="E558">
        <v>6</v>
      </c>
      <c r="F558" s="34">
        <v>6.5254629629629635E-2</v>
      </c>
      <c r="G558" s="34">
        <v>1.0875771604938272E-2</v>
      </c>
      <c r="H558" s="33" t="s">
        <v>213</v>
      </c>
      <c r="I558" s="33" t="s">
        <v>601</v>
      </c>
    </row>
    <row r="559" spans="1:9" x14ac:dyDescent="0.25">
      <c r="A559" s="32">
        <v>46240</v>
      </c>
      <c r="B559" s="33" t="s">
        <v>640</v>
      </c>
      <c r="C559" s="33" t="s">
        <v>105</v>
      </c>
      <c r="D559" s="33" t="s">
        <v>105</v>
      </c>
      <c r="E559">
        <v>9</v>
      </c>
      <c r="F559" s="34">
        <v>0.12177083333333333</v>
      </c>
      <c r="G559" s="34">
        <v>1.3530092592592592E-2</v>
      </c>
      <c r="H559" s="33" t="s">
        <v>619</v>
      </c>
      <c r="I559" s="33" t="s">
        <v>601</v>
      </c>
    </row>
    <row r="560" spans="1:9" x14ac:dyDescent="0.25">
      <c r="A560" s="32">
        <v>46240</v>
      </c>
      <c r="B560" s="33" t="s">
        <v>669</v>
      </c>
      <c r="C560" s="33" t="s">
        <v>32</v>
      </c>
      <c r="D560" s="33" t="s">
        <v>32</v>
      </c>
      <c r="E560">
        <v>33</v>
      </c>
      <c r="F560" s="34">
        <v>0.14341435185185186</v>
      </c>
      <c r="G560" s="34">
        <v>4.3458894500561169E-3</v>
      </c>
      <c r="H560" s="33" t="s">
        <v>668</v>
      </c>
      <c r="I560" s="33" t="s">
        <v>233</v>
      </c>
    </row>
    <row r="561" spans="1:9" x14ac:dyDescent="0.25">
      <c r="A561" s="32">
        <v>46240</v>
      </c>
      <c r="B561" s="33" t="s">
        <v>670</v>
      </c>
      <c r="C561" s="33" t="s">
        <v>32</v>
      </c>
      <c r="D561" s="33" t="s">
        <v>32</v>
      </c>
      <c r="E561">
        <v>27</v>
      </c>
      <c r="F561" s="34">
        <v>0.16012731481481482</v>
      </c>
      <c r="G561" s="34">
        <v>5.9306412894375863E-3</v>
      </c>
      <c r="H561" s="33" t="s">
        <v>744</v>
      </c>
      <c r="I561" s="33" t="s">
        <v>100</v>
      </c>
    </row>
    <row r="562" spans="1:9" x14ac:dyDescent="0.25">
      <c r="A562" s="32">
        <v>46240</v>
      </c>
      <c r="B562" s="33" t="s">
        <v>548</v>
      </c>
      <c r="C562" s="33" t="s">
        <v>105</v>
      </c>
      <c r="D562" s="33" t="s">
        <v>105</v>
      </c>
      <c r="E562">
        <v>13</v>
      </c>
      <c r="F562" s="34">
        <v>0.17394675925925926</v>
      </c>
      <c r="G562" s="34">
        <v>1.3380519943019944E-2</v>
      </c>
      <c r="H562" s="33" t="s">
        <v>219</v>
      </c>
      <c r="I562" s="33" t="s">
        <v>104</v>
      </c>
    </row>
    <row r="563" spans="1:9" x14ac:dyDescent="0.25">
      <c r="A563" s="32">
        <v>46240</v>
      </c>
      <c r="B563" s="33" t="s">
        <v>306</v>
      </c>
      <c r="C563" s="33" t="s">
        <v>32</v>
      </c>
      <c r="D563" s="33" t="s">
        <v>32</v>
      </c>
      <c r="E563">
        <v>33</v>
      </c>
      <c r="F563" s="34">
        <v>0.13600694444444444</v>
      </c>
      <c r="G563" s="34">
        <v>4.1214225589225589E-3</v>
      </c>
      <c r="H563" s="33" t="s">
        <v>305</v>
      </c>
      <c r="I563" s="33" t="s">
        <v>100</v>
      </c>
    </row>
    <row r="564" spans="1:9" x14ac:dyDescent="0.25">
      <c r="A564" s="32">
        <v>46240</v>
      </c>
      <c r="B564" s="33" t="s">
        <v>641</v>
      </c>
      <c r="C564" s="33" t="s">
        <v>105</v>
      </c>
      <c r="D564" s="33" t="s">
        <v>105</v>
      </c>
      <c r="E564">
        <v>6</v>
      </c>
      <c r="F564" s="34">
        <v>6.7025462962962967E-2</v>
      </c>
      <c r="G564" s="34">
        <v>1.1170910493827161E-2</v>
      </c>
      <c r="H564" s="33" t="s">
        <v>620</v>
      </c>
      <c r="I564" s="33" t="s">
        <v>601</v>
      </c>
    </row>
    <row r="565" spans="1:9" x14ac:dyDescent="0.25">
      <c r="A565" s="32">
        <v>46240</v>
      </c>
      <c r="B565" s="33" t="s">
        <v>556</v>
      </c>
      <c r="C565" s="33" t="s">
        <v>105</v>
      </c>
      <c r="D565" s="33" t="s">
        <v>105</v>
      </c>
      <c r="E565">
        <v>14</v>
      </c>
      <c r="F565" s="34">
        <v>0.17629629629629628</v>
      </c>
      <c r="G565" s="34">
        <v>1.2592592592592591E-2</v>
      </c>
      <c r="H565" s="33" t="s">
        <v>138</v>
      </c>
      <c r="I565" s="33" t="s">
        <v>104</v>
      </c>
    </row>
    <row r="566" spans="1:9" x14ac:dyDescent="0.25">
      <c r="A566" s="32">
        <v>46240</v>
      </c>
      <c r="B566" s="33" t="s">
        <v>532</v>
      </c>
      <c r="C566" s="33" t="s">
        <v>32</v>
      </c>
      <c r="D566" s="33" t="s">
        <v>32</v>
      </c>
      <c r="E566">
        <v>36</v>
      </c>
      <c r="F566" s="34">
        <v>0.10686342592592593</v>
      </c>
      <c r="G566" s="34">
        <v>2.9684284979423869E-3</v>
      </c>
      <c r="H566" s="33" t="s">
        <v>276</v>
      </c>
      <c r="I566" s="33" t="s">
        <v>233</v>
      </c>
    </row>
    <row r="567" spans="1:9" x14ac:dyDescent="0.25">
      <c r="A567" s="32">
        <v>46240</v>
      </c>
      <c r="B567" s="33" t="s">
        <v>533</v>
      </c>
      <c r="C567" s="33" t="s">
        <v>32</v>
      </c>
      <c r="D567" s="33" t="s">
        <v>32</v>
      </c>
      <c r="E567">
        <v>21</v>
      </c>
      <c r="F567" s="34">
        <v>0.1633449074074074</v>
      </c>
      <c r="G567" s="34">
        <v>7.7783289241622573E-3</v>
      </c>
      <c r="H567" s="33" t="s">
        <v>278</v>
      </c>
      <c r="I567" s="33" t="s">
        <v>233</v>
      </c>
    </row>
    <row r="568" spans="1:9" x14ac:dyDescent="0.25">
      <c r="A568" s="32">
        <v>46240</v>
      </c>
      <c r="B568" s="33" t="s">
        <v>674</v>
      </c>
      <c r="C568" s="33" t="s">
        <v>105</v>
      </c>
      <c r="D568" s="33" t="s">
        <v>105</v>
      </c>
      <c r="E568">
        <v>11</v>
      </c>
      <c r="F568" s="34">
        <v>0.11052083333333333</v>
      </c>
      <c r="G568" s="34">
        <v>1.0047348484848485E-2</v>
      </c>
      <c r="H568" s="33" t="s">
        <v>673</v>
      </c>
      <c r="I568" s="33" t="s">
        <v>104</v>
      </c>
    </row>
    <row r="569" spans="1:9" x14ac:dyDescent="0.25">
      <c r="A569" s="32">
        <v>46240</v>
      </c>
      <c r="B569" s="33" t="s">
        <v>549</v>
      </c>
      <c r="C569" s="33" t="s">
        <v>105</v>
      </c>
      <c r="D569" s="33" t="s">
        <v>105</v>
      </c>
      <c r="E569">
        <v>10</v>
      </c>
      <c r="F569" s="34">
        <v>0.16640046296296296</v>
      </c>
      <c r="G569" s="34">
        <v>1.6640046296296295E-2</v>
      </c>
      <c r="H569" s="33" t="s">
        <v>225</v>
      </c>
      <c r="I569" s="33" t="s">
        <v>601</v>
      </c>
    </row>
    <row r="570" spans="1:9" x14ac:dyDescent="0.25">
      <c r="A570" s="32">
        <v>46240</v>
      </c>
      <c r="B570" s="33" t="s">
        <v>534</v>
      </c>
      <c r="C570" s="33" t="s">
        <v>32</v>
      </c>
      <c r="D570" s="33" t="s">
        <v>32</v>
      </c>
      <c r="E570">
        <v>27</v>
      </c>
      <c r="F570" s="34">
        <v>0.11548611111111111</v>
      </c>
      <c r="G570" s="34">
        <v>4.2772633744855969E-3</v>
      </c>
      <c r="H570" s="33" t="s">
        <v>280</v>
      </c>
      <c r="I570" s="33" t="s">
        <v>233</v>
      </c>
    </row>
    <row r="571" spans="1:9" x14ac:dyDescent="0.25">
      <c r="A571" s="32">
        <v>46240</v>
      </c>
      <c r="B571" s="33" t="s">
        <v>571</v>
      </c>
      <c r="C571" s="33" t="s">
        <v>105</v>
      </c>
      <c r="D571" s="33" t="s">
        <v>105</v>
      </c>
      <c r="E571">
        <v>13</v>
      </c>
      <c r="F571" s="34">
        <v>0.19384259259259259</v>
      </c>
      <c r="G571" s="34">
        <v>1.4910968660968662E-2</v>
      </c>
      <c r="H571" s="33" t="s">
        <v>299</v>
      </c>
      <c r="I571" s="33" t="s">
        <v>104</v>
      </c>
    </row>
    <row r="572" spans="1:9" x14ac:dyDescent="0.25">
      <c r="A572" s="32">
        <v>46240</v>
      </c>
      <c r="B572" s="33" t="s">
        <v>535</v>
      </c>
      <c r="C572" s="33" t="s">
        <v>32</v>
      </c>
      <c r="D572" s="33" t="s">
        <v>32</v>
      </c>
      <c r="E572">
        <v>67</v>
      </c>
      <c r="F572" s="34">
        <v>0.14528935185185185</v>
      </c>
      <c r="G572" s="34">
        <v>2.1684977888336097E-3</v>
      </c>
      <c r="H572" s="33" t="s">
        <v>282</v>
      </c>
      <c r="I572" s="33" t="s">
        <v>233</v>
      </c>
    </row>
    <row r="573" spans="1:9" x14ac:dyDescent="0.25">
      <c r="A573" s="32">
        <v>46240</v>
      </c>
      <c r="B573" s="33" t="s">
        <v>557</v>
      </c>
      <c r="C573" s="33" t="s">
        <v>147</v>
      </c>
      <c r="D573" s="33" t="s">
        <v>147</v>
      </c>
      <c r="E573">
        <v>8</v>
      </c>
      <c r="F573" s="34">
        <v>2.8738425925925924E-2</v>
      </c>
      <c r="G573" s="34">
        <v>3.5923032407407405E-3</v>
      </c>
      <c r="H573" s="33" t="s">
        <v>227</v>
      </c>
      <c r="I573" s="33" t="s">
        <v>146</v>
      </c>
    </row>
    <row r="574" spans="1:9" x14ac:dyDescent="0.25">
      <c r="A574" s="32">
        <v>46240</v>
      </c>
      <c r="B574" s="33" t="s">
        <v>557</v>
      </c>
      <c r="C574" s="33" t="s">
        <v>147</v>
      </c>
      <c r="D574" s="33" t="s">
        <v>32</v>
      </c>
      <c r="E574">
        <v>7</v>
      </c>
      <c r="F574" s="34">
        <v>6.5081018518518524E-2</v>
      </c>
      <c r="G574" s="34">
        <v>9.2972883597883613E-3</v>
      </c>
      <c r="H574" s="33" t="s">
        <v>227</v>
      </c>
      <c r="I574" s="33" t="s">
        <v>146</v>
      </c>
    </row>
    <row r="575" spans="1:9" x14ac:dyDescent="0.25">
      <c r="A575" s="32">
        <v>46240</v>
      </c>
      <c r="B575" s="33" t="s">
        <v>676</v>
      </c>
      <c r="C575" s="33" t="s">
        <v>105</v>
      </c>
      <c r="D575" s="33" t="s">
        <v>105</v>
      </c>
      <c r="E575">
        <v>10</v>
      </c>
      <c r="F575" s="34">
        <v>0.23190972222222223</v>
      </c>
      <c r="G575" s="34">
        <v>2.3190972222222224E-2</v>
      </c>
      <c r="H575" s="33" t="s">
        <v>675</v>
      </c>
      <c r="I575" s="33" t="s">
        <v>104</v>
      </c>
    </row>
    <row r="576" spans="1:9" x14ac:dyDescent="0.25">
      <c r="A576" s="32">
        <v>46240</v>
      </c>
      <c r="B576" s="33" t="s">
        <v>678</v>
      </c>
      <c r="C576" s="33" t="s">
        <v>147</v>
      </c>
      <c r="D576" s="33" t="s">
        <v>147</v>
      </c>
      <c r="E576">
        <v>16</v>
      </c>
      <c r="F576" s="34">
        <v>6.1874999999999999E-2</v>
      </c>
      <c r="G576" s="34">
        <v>3.8671875E-3</v>
      </c>
      <c r="H576" s="33" t="s">
        <v>677</v>
      </c>
      <c r="I576" s="33" t="s">
        <v>274</v>
      </c>
    </row>
    <row r="577" spans="1:9" x14ac:dyDescent="0.25">
      <c r="A577" s="32">
        <v>46240</v>
      </c>
      <c r="B577" s="33" t="s">
        <v>678</v>
      </c>
      <c r="C577" s="33" t="s">
        <v>147</v>
      </c>
      <c r="D577" s="33" t="s">
        <v>32</v>
      </c>
      <c r="E577">
        <v>3</v>
      </c>
      <c r="F577" s="34">
        <v>6.3773148148148148E-3</v>
      </c>
      <c r="G577" s="34">
        <v>2.1257716049382716E-3</v>
      </c>
      <c r="H577" s="33" t="s">
        <v>677</v>
      </c>
      <c r="I577" s="33" t="s">
        <v>274</v>
      </c>
    </row>
    <row r="578" spans="1:9" x14ac:dyDescent="0.25">
      <c r="A578" s="32">
        <v>46240</v>
      </c>
      <c r="B578" s="33" t="s">
        <v>680</v>
      </c>
      <c r="C578" s="33" t="s">
        <v>147</v>
      </c>
      <c r="D578" s="33" t="s">
        <v>147</v>
      </c>
      <c r="E578">
        <v>9</v>
      </c>
      <c r="F578" s="34">
        <v>2.4756944444444446E-2</v>
      </c>
      <c r="G578" s="34">
        <v>2.7507716049382717E-3</v>
      </c>
      <c r="H578" s="33" t="s">
        <v>679</v>
      </c>
      <c r="I578" s="33" t="s">
        <v>274</v>
      </c>
    </row>
    <row r="579" spans="1:9" x14ac:dyDescent="0.25">
      <c r="A579" s="32">
        <v>46240</v>
      </c>
      <c r="B579" s="33" t="s">
        <v>680</v>
      </c>
      <c r="C579" s="33" t="s">
        <v>147</v>
      </c>
      <c r="D579" s="33" t="s">
        <v>32</v>
      </c>
      <c r="E579">
        <v>7</v>
      </c>
      <c r="F579" s="34">
        <v>4.2476851851851849E-2</v>
      </c>
      <c r="G579" s="34">
        <v>6.068121693121693E-3</v>
      </c>
      <c r="H579" s="33" t="s">
        <v>679</v>
      </c>
      <c r="I579" s="33" t="s">
        <v>274</v>
      </c>
    </row>
    <row r="580" spans="1:9" x14ac:dyDescent="0.25">
      <c r="A580" s="32">
        <v>46241</v>
      </c>
      <c r="B580" s="33" t="s">
        <v>644</v>
      </c>
      <c r="C580" s="33" t="s">
        <v>32</v>
      </c>
      <c r="D580" s="33" t="s">
        <v>32</v>
      </c>
      <c r="E580">
        <v>19</v>
      </c>
      <c r="F580" s="34">
        <v>0.19067129629629628</v>
      </c>
      <c r="G580" s="34">
        <v>1.0035331384015593E-2</v>
      </c>
      <c r="H580" s="33" t="s">
        <v>643</v>
      </c>
      <c r="I580" s="33" t="s">
        <v>233</v>
      </c>
    </row>
    <row r="581" spans="1:9" x14ac:dyDescent="0.25">
      <c r="A581" s="32">
        <v>46241</v>
      </c>
      <c r="B581" s="33" t="s">
        <v>563</v>
      </c>
      <c r="C581" s="33" t="s">
        <v>147</v>
      </c>
      <c r="D581" s="33" t="s">
        <v>147</v>
      </c>
      <c r="E581">
        <v>8</v>
      </c>
      <c r="F581" s="34">
        <v>2.7534722222222221E-2</v>
      </c>
      <c r="G581" s="34">
        <v>3.4418402777777776E-3</v>
      </c>
      <c r="H581" s="33" t="s">
        <v>193</v>
      </c>
      <c r="I581" s="33" t="s">
        <v>274</v>
      </c>
    </row>
    <row r="582" spans="1:9" x14ac:dyDescent="0.25">
      <c r="A582" s="32">
        <v>46241</v>
      </c>
      <c r="B582" s="33" t="s">
        <v>563</v>
      </c>
      <c r="C582" s="33" t="s">
        <v>147</v>
      </c>
      <c r="D582" s="33" t="s">
        <v>32</v>
      </c>
      <c r="E582">
        <v>8</v>
      </c>
      <c r="F582" s="34">
        <v>3.8124999999999999E-2</v>
      </c>
      <c r="G582" s="34">
        <v>4.7656249999999999E-3</v>
      </c>
      <c r="H582" s="33" t="s">
        <v>193</v>
      </c>
      <c r="I582" s="33" t="s">
        <v>274</v>
      </c>
    </row>
    <row r="583" spans="1:9" x14ac:dyDescent="0.25">
      <c r="A583" s="32">
        <v>46241</v>
      </c>
      <c r="B583" s="33" t="s">
        <v>513</v>
      </c>
      <c r="C583" s="33" t="s">
        <v>105</v>
      </c>
      <c r="D583" s="33" t="s">
        <v>105</v>
      </c>
      <c r="E583">
        <v>14</v>
      </c>
      <c r="F583" s="34">
        <v>0.19899305555555555</v>
      </c>
      <c r="G583" s="34">
        <v>1.4213789682539682E-2</v>
      </c>
      <c r="H583" s="33" t="s">
        <v>148</v>
      </c>
      <c r="I583" s="33" t="s">
        <v>104</v>
      </c>
    </row>
    <row r="584" spans="1:9" x14ac:dyDescent="0.25">
      <c r="A584" s="32">
        <v>46241</v>
      </c>
      <c r="B584" s="33" t="s">
        <v>505</v>
      </c>
      <c r="C584" s="33" t="s">
        <v>32</v>
      </c>
      <c r="D584" s="33" t="s">
        <v>32</v>
      </c>
      <c r="E584">
        <v>43</v>
      </c>
      <c r="F584" s="34">
        <v>0.15508101851851852</v>
      </c>
      <c r="G584" s="34">
        <v>3.6065353143841516E-3</v>
      </c>
      <c r="H584" s="33" t="s">
        <v>34</v>
      </c>
      <c r="I584" s="33" t="s">
        <v>233</v>
      </c>
    </row>
    <row r="585" spans="1:9" x14ac:dyDescent="0.25">
      <c r="A585" s="32">
        <v>46241</v>
      </c>
      <c r="B585" s="33" t="s">
        <v>551</v>
      </c>
      <c r="C585" s="33" t="s">
        <v>32</v>
      </c>
      <c r="D585" s="33" t="s">
        <v>32</v>
      </c>
      <c r="E585">
        <v>3</v>
      </c>
      <c r="F585" s="34">
        <v>1.7175925925925924E-2</v>
      </c>
      <c r="G585" s="34">
        <v>5.7253086419753081E-3</v>
      </c>
      <c r="H585" s="33" t="s">
        <v>236</v>
      </c>
      <c r="I585" s="33" t="s">
        <v>233</v>
      </c>
    </row>
    <row r="586" spans="1:9" x14ac:dyDescent="0.25">
      <c r="A586" s="32">
        <v>46241</v>
      </c>
      <c r="B586" s="33" t="s">
        <v>631</v>
      </c>
      <c r="C586" s="33" t="s">
        <v>105</v>
      </c>
      <c r="D586" s="33" t="s">
        <v>105</v>
      </c>
      <c r="E586">
        <v>3</v>
      </c>
      <c r="F586" s="34">
        <v>5.0081018518518518E-2</v>
      </c>
      <c r="G586" s="34">
        <v>1.6693672839506173E-2</v>
      </c>
      <c r="H586" s="33" t="s">
        <v>608</v>
      </c>
      <c r="I586" s="33" t="s">
        <v>601</v>
      </c>
    </row>
    <row r="587" spans="1:9" x14ac:dyDescent="0.25">
      <c r="A587" s="32">
        <v>46241</v>
      </c>
      <c r="B587" s="33" t="s">
        <v>564</v>
      </c>
      <c r="C587" s="33" t="s">
        <v>105</v>
      </c>
      <c r="D587" s="33" t="s">
        <v>105</v>
      </c>
      <c r="E587">
        <v>3</v>
      </c>
      <c r="F587" s="34">
        <v>8.5196759259259264E-2</v>
      </c>
      <c r="G587" s="34">
        <v>2.8398919753086421E-2</v>
      </c>
      <c r="H587" s="33" t="s">
        <v>197</v>
      </c>
      <c r="I587" s="33" t="s">
        <v>601</v>
      </c>
    </row>
    <row r="588" spans="1:9" x14ac:dyDescent="0.25">
      <c r="A588" s="32">
        <v>46241</v>
      </c>
      <c r="B588" s="33" t="s">
        <v>536</v>
      </c>
      <c r="C588" s="33" t="s">
        <v>32</v>
      </c>
      <c r="D588" s="33" t="s">
        <v>32</v>
      </c>
      <c r="E588">
        <v>7</v>
      </c>
      <c r="F588" s="34">
        <v>7.6111111111111115E-2</v>
      </c>
      <c r="G588" s="34">
        <v>1.0873015873015873E-2</v>
      </c>
      <c r="H588" s="33" t="s">
        <v>38</v>
      </c>
      <c r="I588" s="33" t="s">
        <v>100</v>
      </c>
    </row>
    <row r="589" spans="1:9" x14ac:dyDescent="0.25">
      <c r="A589" s="32">
        <v>46241</v>
      </c>
      <c r="B589" s="33" t="s">
        <v>682</v>
      </c>
      <c r="C589" s="33" t="s">
        <v>105</v>
      </c>
      <c r="D589" s="33" t="s">
        <v>105</v>
      </c>
      <c r="E589">
        <v>2</v>
      </c>
      <c r="F589" s="34">
        <v>6.2719907407407405E-2</v>
      </c>
      <c r="G589" s="34">
        <v>3.1359953703703702E-2</v>
      </c>
      <c r="H589" s="33" t="s">
        <v>681</v>
      </c>
      <c r="I589" s="33" t="s">
        <v>601</v>
      </c>
    </row>
    <row r="590" spans="1:9" x14ac:dyDescent="0.25">
      <c r="A590" s="32">
        <v>46241</v>
      </c>
      <c r="B590" s="33" t="s">
        <v>515</v>
      </c>
      <c r="C590" s="33" t="s">
        <v>147</v>
      </c>
      <c r="D590" s="33" t="s">
        <v>147</v>
      </c>
      <c r="E590">
        <v>13</v>
      </c>
      <c r="F590" s="34">
        <v>2.7083333333333334E-2</v>
      </c>
      <c r="G590" s="34">
        <v>2.0833333333333333E-3</v>
      </c>
      <c r="H590" s="33" t="s">
        <v>154</v>
      </c>
      <c r="I590" s="33" t="s">
        <v>146</v>
      </c>
    </row>
    <row r="591" spans="1:9" x14ac:dyDescent="0.25">
      <c r="A591" s="32">
        <v>46241</v>
      </c>
      <c r="B591" s="33" t="s">
        <v>515</v>
      </c>
      <c r="C591" s="33" t="s">
        <v>147</v>
      </c>
      <c r="D591" s="33" t="s">
        <v>32</v>
      </c>
      <c r="E591">
        <v>5</v>
      </c>
      <c r="F591" s="34">
        <v>1.6446759259259258E-2</v>
      </c>
      <c r="G591" s="34">
        <v>3.2893518518518515E-3</v>
      </c>
      <c r="H591" s="33" t="s">
        <v>154</v>
      </c>
      <c r="I591" s="33" t="s">
        <v>146</v>
      </c>
    </row>
    <row r="592" spans="1:9" x14ac:dyDescent="0.25">
      <c r="A592" s="32">
        <v>46241</v>
      </c>
      <c r="B592" s="33" t="s">
        <v>570</v>
      </c>
      <c r="C592" s="33" t="s">
        <v>105</v>
      </c>
      <c r="D592" s="33" t="s">
        <v>105</v>
      </c>
      <c r="E592">
        <v>4</v>
      </c>
      <c r="F592" s="34">
        <v>9.9062499999999998E-2</v>
      </c>
      <c r="G592" s="34">
        <v>2.4765624999999999E-2</v>
      </c>
      <c r="H592" s="33" t="s">
        <v>112</v>
      </c>
      <c r="I592" s="33" t="s">
        <v>104</v>
      </c>
    </row>
    <row r="593" spans="1:9" x14ac:dyDescent="0.25">
      <c r="A593" s="32">
        <v>46241</v>
      </c>
      <c r="B593" s="33" t="s">
        <v>537</v>
      </c>
      <c r="C593" s="33" t="s">
        <v>105</v>
      </c>
      <c r="D593" s="33" t="s">
        <v>105</v>
      </c>
      <c r="E593">
        <v>19</v>
      </c>
      <c r="F593" s="34">
        <v>0.23311342592592593</v>
      </c>
      <c r="G593" s="34">
        <v>1.2269127680311891E-2</v>
      </c>
      <c r="H593" s="33" t="s">
        <v>42</v>
      </c>
      <c r="I593" s="33" t="s">
        <v>104</v>
      </c>
    </row>
    <row r="594" spans="1:9" x14ac:dyDescent="0.25">
      <c r="A594" s="32">
        <v>46241</v>
      </c>
      <c r="B594" s="33" t="s">
        <v>516</v>
      </c>
      <c r="C594" s="33" t="s">
        <v>147</v>
      </c>
      <c r="D594" s="33" t="s">
        <v>147</v>
      </c>
      <c r="E594">
        <v>12</v>
      </c>
      <c r="F594" s="34">
        <v>3.5474537037037034E-2</v>
      </c>
      <c r="G594" s="34">
        <v>2.9562114197530863E-3</v>
      </c>
      <c r="H594" s="33" t="s">
        <v>156</v>
      </c>
      <c r="I594" s="33" t="s">
        <v>146</v>
      </c>
    </row>
    <row r="595" spans="1:9" x14ac:dyDescent="0.25">
      <c r="A595" s="32">
        <v>46241</v>
      </c>
      <c r="B595" s="33" t="s">
        <v>516</v>
      </c>
      <c r="C595" s="33" t="s">
        <v>147</v>
      </c>
      <c r="D595" s="33" t="s">
        <v>32</v>
      </c>
      <c r="E595">
        <v>5</v>
      </c>
      <c r="F595" s="34">
        <v>1.4039351851851851E-2</v>
      </c>
      <c r="G595" s="34">
        <v>2.8078703703703703E-3</v>
      </c>
      <c r="H595" s="33" t="s">
        <v>156</v>
      </c>
      <c r="I595" s="33" t="s">
        <v>146</v>
      </c>
    </row>
    <row r="596" spans="1:9" x14ac:dyDescent="0.25">
      <c r="A596" s="32">
        <v>46241</v>
      </c>
      <c r="B596" s="33" t="s">
        <v>541</v>
      </c>
      <c r="C596" s="33" t="s">
        <v>105</v>
      </c>
      <c r="D596" s="33" t="s">
        <v>105</v>
      </c>
      <c r="E596">
        <v>12</v>
      </c>
      <c r="F596" s="34">
        <v>0.21163194444444444</v>
      </c>
      <c r="G596" s="34">
        <v>1.7635995370370371E-2</v>
      </c>
      <c r="H596" s="33" t="s">
        <v>114</v>
      </c>
      <c r="I596" s="33" t="s">
        <v>104</v>
      </c>
    </row>
    <row r="597" spans="1:9" x14ac:dyDescent="0.25">
      <c r="A597" s="32">
        <v>46241</v>
      </c>
      <c r="B597" s="33" t="s">
        <v>506</v>
      </c>
      <c r="C597" s="33" t="s">
        <v>32</v>
      </c>
      <c r="D597" s="33" t="s">
        <v>32</v>
      </c>
      <c r="E597">
        <v>37</v>
      </c>
      <c r="F597" s="34">
        <v>0.15623842592592593</v>
      </c>
      <c r="G597" s="34">
        <v>4.2226601601601608E-3</v>
      </c>
      <c r="H597" s="33" t="s">
        <v>44</v>
      </c>
      <c r="I597" s="33" t="s">
        <v>100</v>
      </c>
    </row>
    <row r="598" spans="1:9" x14ac:dyDescent="0.25">
      <c r="A598" s="32">
        <v>46241</v>
      </c>
      <c r="B598" s="33" t="s">
        <v>632</v>
      </c>
      <c r="C598" s="33" t="s">
        <v>105</v>
      </c>
      <c r="D598" s="33" t="s">
        <v>105</v>
      </c>
      <c r="E598">
        <v>2</v>
      </c>
      <c r="F598" s="34">
        <v>3.5451388888888886E-2</v>
      </c>
      <c r="G598" s="34">
        <v>1.7725694444444443E-2</v>
      </c>
      <c r="H598" s="33" t="s">
        <v>609</v>
      </c>
      <c r="I598" s="33" t="s">
        <v>601</v>
      </c>
    </row>
    <row r="599" spans="1:9" x14ac:dyDescent="0.25">
      <c r="A599" s="32">
        <v>46241</v>
      </c>
      <c r="B599" s="33" t="s">
        <v>527</v>
      </c>
      <c r="C599" s="33" t="s">
        <v>32</v>
      </c>
      <c r="D599" s="33" t="s">
        <v>32</v>
      </c>
      <c r="E599">
        <v>3</v>
      </c>
      <c r="F599" s="34">
        <v>2.0659722222222222E-2</v>
      </c>
      <c r="G599" s="34">
        <v>6.8865740740740736E-3</v>
      </c>
      <c r="H599" s="33" t="s">
        <v>240</v>
      </c>
      <c r="I599" s="33" t="s">
        <v>233</v>
      </c>
    </row>
    <row r="600" spans="1:9" x14ac:dyDescent="0.25">
      <c r="A600" s="32">
        <v>46241</v>
      </c>
      <c r="B600" s="33" t="s">
        <v>646</v>
      </c>
      <c r="C600" s="33" t="s">
        <v>32</v>
      </c>
      <c r="D600" s="33" t="s">
        <v>32</v>
      </c>
      <c r="E600">
        <v>36</v>
      </c>
      <c r="F600" s="34">
        <v>0.20471064814814816</v>
      </c>
      <c r="G600" s="34">
        <v>5.6864068930041157E-3</v>
      </c>
      <c r="H600" s="33" t="s">
        <v>645</v>
      </c>
      <c r="I600" s="33" t="s">
        <v>100</v>
      </c>
    </row>
    <row r="601" spans="1:9" x14ac:dyDescent="0.25">
      <c r="A601" s="32">
        <v>46241</v>
      </c>
      <c r="B601" s="33" t="s">
        <v>544</v>
      </c>
      <c r="C601" s="33" t="s">
        <v>147</v>
      </c>
      <c r="D601" s="33" t="s">
        <v>147</v>
      </c>
      <c r="E601">
        <v>8</v>
      </c>
      <c r="F601" s="34">
        <v>2.8217592592592593E-2</v>
      </c>
      <c r="G601" s="34">
        <v>3.5271990740740741E-3</v>
      </c>
      <c r="H601" s="33" t="s">
        <v>160</v>
      </c>
      <c r="I601" s="33" t="s">
        <v>146</v>
      </c>
    </row>
    <row r="602" spans="1:9" x14ac:dyDescent="0.25">
      <c r="A602" s="32">
        <v>46241</v>
      </c>
      <c r="B602" s="33" t="s">
        <v>544</v>
      </c>
      <c r="C602" s="33" t="s">
        <v>147</v>
      </c>
      <c r="D602" s="33" t="s">
        <v>32</v>
      </c>
      <c r="E602">
        <v>6</v>
      </c>
      <c r="F602" s="34">
        <v>1.8645833333333334E-2</v>
      </c>
      <c r="G602" s="34">
        <v>3.107638888888889E-3</v>
      </c>
      <c r="H602" s="33" t="s">
        <v>160</v>
      </c>
      <c r="I602" s="33" t="s">
        <v>146</v>
      </c>
    </row>
    <row r="603" spans="1:9" x14ac:dyDescent="0.25">
      <c r="A603" s="32">
        <v>46241</v>
      </c>
      <c r="B603" s="33" t="s">
        <v>558</v>
      </c>
      <c r="C603" s="33" t="s">
        <v>32</v>
      </c>
      <c r="D603" s="33" t="s">
        <v>32</v>
      </c>
      <c r="E603">
        <v>46</v>
      </c>
      <c r="F603" s="34">
        <v>0.17210648148148147</v>
      </c>
      <c r="G603" s="34">
        <v>3.7414452495974234E-3</v>
      </c>
      <c r="H603" s="33" t="s">
        <v>120</v>
      </c>
      <c r="I603" s="33" t="s">
        <v>233</v>
      </c>
    </row>
    <row r="604" spans="1:9" x14ac:dyDescent="0.25">
      <c r="A604" s="32">
        <v>46241</v>
      </c>
      <c r="B604" s="33" t="s">
        <v>507</v>
      </c>
      <c r="C604" s="33" t="s">
        <v>32</v>
      </c>
      <c r="D604" s="33" t="s">
        <v>32</v>
      </c>
      <c r="E604">
        <v>34</v>
      </c>
      <c r="F604" s="34">
        <v>0.13506944444444444</v>
      </c>
      <c r="G604" s="34">
        <v>3.9726307189542481E-3</v>
      </c>
      <c r="H604" s="33" t="s">
        <v>46</v>
      </c>
      <c r="I604" s="33" t="s">
        <v>100</v>
      </c>
    </row>
    <row r="605" spans="1:9" x14ac:dyDescent="0.25">
      <c r="A605" s="32">
        <v>46241</v>
      </c>
      <c r="B605" s="33" t="s">
        <v>542</v>
      </c>
      <c r="C605" s="33" t="s">
        <v>105</v>
      </c>
      <c r="D605" s="33" t="s">
        <v>105</v>
      </c>
      <c r="E605">
        <v>8</v>
      </c>
      <c r="F605" s="34">
        <v>0.12484953703703704</v>
      </c>
      <c r="G605" s="34">
        <v>1.560619212962963E-2</v>
      </c>
      <c r="H605" s="33" t="s">
        <v>287</v>
      </c>
      <c r="I605" s="33" t="s">
        <v>104</v>
      </c>
    </row>
    <row r="606" spans="1:9" x14ac:dyDescent="0.25">
      <c r="A606" s="32">
        <v>46241</v>
      </c>
      <c r="B606" s="33" t="s">
        <v>517</v>
      </c>
      <c r="C606" s="33" t="s">
        <v>147</v>
      </c>
      <c r="D606" s="33" t="s">
        <v>147</v>
      </c>
      <c r="E606">
        <v>10</v>
      </c>
      <c r="F606" s="34">
        <v>3.3969907407407407E-2</v>
      </c>
      <c r="G606" s="34">
        <v>3.3969907407407408E-3</v>
      </c>
      <c r="H606" s="33" t="s">
        <v>499</v>
      </c>
      <c r="I606" s="33" t="s">
        <v>146</v>
      </c>
    </row>
    <row r="607" spans="1:9" x14ac:dyDescent="0.25">
      <c r="A607" s="32">
        <v>46241</v>
      </c>
      <c r="B607" s="33" t="s">
        <v>517</v>
      </c>
      <c r="C607" s="33" t="s">
        <v>147</v>
      </c>
      <c r="D607" s="33" t="s">
        <v>32</v>
      </c>
      <c r="E607">
        <v>4</v>
      </c>
      <c r="F607" s="34">
        <v>1.0231481481481482E-2</v>
      </c>
      <c r="G607" s="34">
        <v>2.5578703703703705E-3</v>
      </c>
      <c r="H607" s="33" t="s">
        <v>499</v>
      </c>
      <c r="I607" s="33" t="s">
        <v>146</v>
      </c>
    </row>
    <row r="608" spans="1:9" x14ac:dyDescent="0.25">
      <c r="A608" s="32">
        <v>46241</v>
      </c>
      <c r="B608" s="33" t="s">
        <v>648</v>
      </c>
      <c r="C608" s="33" t="s">
        <v>32</v>
      </c>
      <c r="D608" s="33" t="s">
        <v>32</v>
      </c>
      <c r="E608">
        <v>24</v>
      </c>
      <c r="F608" s="34">
        <v>9.509259259259259E-2</v>
      </c>
      <c r="G608" s="34">
        <v>3.9621913580246909E-3</v>
      </c>
      <c r="H608" s="33" t="s">
        <v>647</v>
      </c>
      <c r="I608" s="33" t="s">
        <v>233</v>
      </c>
    </row>
    <row r="609" spans="1:9" x14ac:dyDescent="0.25">
      <c r="A609" s="32">
        <v>46241</v>
      </c>
      <c r="B609" s="33" t="s">
        <v>650</v>
      </c>
      <c r="C609" s="33" t="s">
        <v>105</v>
      </c>
      <c r="D609" s="33" t="s">
        <v>105</v>
      </c>
      <c r="E609">
        <v>4</v>
      </c>
      <c r="F609" s="34">
        <v>5.8159722222222224E-2</v>
      </c>
      <c r="G609" s="34">
        <v>1.4539930555555556E-2</v>
      </c>
      <c r="H609" s="33" t="s">
        <v>649</v>
      </c>
      <c r="I609" s="33" t="s">
        <v>104</v>
      </c>
    </row>
    <row r="610" spans="1:9" x14ac:dyDescent="0.25">
      <c r="A610" s="32">
        <v>46241</v>
      </c>
      <c r="B610" s="33" t="s">
        <v>652</v>
      </c>
      <c r="C610" s="33" t="s">
        <v>32</v>
      </c>
      <c r="D610" s="33" t="s">
        <v>32</v>
      </c>
      <c r="E610">
        <v>23</v>
      </c>
      <c r="F610" s="34">
        <v>0.15119212962962963</v>
      </c>
      <c r="G610" s="34">
        <v>6.5735708534621577E-3</v>
      </c>
      <c r="H610" s="33" t="s">
        <v>651</v>
      </c>
      <c r="I610" s="33" t="s">
        <v>100</v>
      </c>
    </row>
    <row r="611" spans="1:9" x14ac:dyDescent="0.25">
      <c r="A611" s="32">
        <v>46241</v>
      </c>
      <c r="B611" s="33" t="s">
        <v>508</v>
      </c>
      <c r="C611" s="33" t="s">
        <v>32</v>
      </c>
      <c r="D611" s="33" t="s">
        <v>32</v>
      </c>
      <c r="E611">
        <v>26</v>
      </c>
      <c r="F611" s="34">
        <v>0.11627314814814815</v>
      </c>
      <c r="G611" s="34">
        <v>4.4720441595441597E-3</v>
      </c>
      <c r="H611" s="33" t="s">
        <v>48</v>
      </c>
      <c r="I611" s="33" t="s">
        <v>100</v>
      </c>
    </row>
    <row r="612" spans="1:9" x14ac:dyDescent="0.25">
      <c r="A612" s="32">
        <v>46241</v>
      </c>
      <c r="B612" s="33" t="s">
        <v>538</v>
      </c>
      <c r="C612" s="33" t="s">
        <v>32</v>
      </c>
      <c r="D612" s="33" t="s">
        <v>32</v>
      </c>
      <c r="E612">
        <v>11</v>
      </c>
      <c r="F612" s="34">
        <v>5.5879629629629626E-2</v>
      </c>
      <c r="G612" s="34">
        <v>5.0799663299663294E-3</v>
      </c>
      <c r="H612" s="33" t="s">
        <v>50</v>
      </c>
      <c r="I612" s="33" t="s">
        <v>100</v>
      </c>
    </row>
    <row r="613" spans="1:9" x14ac:dyDescent="0.25">
      <c r="A613" s="32">
        <v>46241</v>
      </c>
      <c r="B613" s="33" t="s">
        <v>603</v>
      </c>
      <c r="C613" s="33" t="s">
        <v>32</v>
      </c>
      <c r="D613" s="33" t="s">
        <v>32</v>
      </c>
      <c r="E613">
        <v>22</v>
      </c>
      <c r="F613" s="34">
        <v>0.14525462962962962</v>
      </c>
      <c r="G613" s="34">
        <v>6.6024831649831644E-3</v>
      </c>
      <c r="H613" s="33" t="s">
        <v>242</v>
      </c>
      <c r="I613" s="33" t="s">
        <v>233</v>
      </c>
    </row>
    <row r="614" spans="1:9" x14ac:dyDescent="0.25">
      <c r="A614" s="32">
        <v>46241</v>
      </c>
      <c r="B614" s="33" t="s">
        <v>559</v>
      </c>
      <c r="C614" s="33" t="s">
        <v>105</v>
      </c>
      <c r="D614" s="33" t="s">
        <v>105</v>
      </c>
      <c r="E614">
        <v>11</v>
      </c>
      <c r="F614" s="34">
        <v>0.20268518518518519</v>
      </c>
      <c r="G614" s="34">
        <v>1.8425925925925925E-2</v>
      </c>
      <c r="H614" s="33" t="s">
        <v>289</v>
      </c>
      <c r="I614" s="33" t="s">
        <v>104</v>
      </c>
    </row>
    <row r="615" spans="1:9" x14ac:dyDescent="0.25">
      <c r="A615" s="32">
        <v>46241</v>
      </c>
      <c r="B615" s="33" t="s">
        <v>553</v>
      </c>
      <c r="C615" s="33" t="s">
        <v>80</v>
      </c>
      <c r="D615" s="33" t="s">
        <v>32</v>
      </c>
      <c r="E615">
        <v>1</v>
      </c>
      <c r="F615" s="34">
        <v>1.2337962962962964E-2</v>
      </c>
      <c r="G615" s="34">
        <v>1.2337962962962964E-2</v>
      </c>
      <c r="H615" s="33" t="s">
        <v>252</v>
      </c>
      <c r="I615" s="33" t="s">
        <v>78</v>
      </c>
    </row>
    <row r="616" spans="1:9" x14ac:dyDescent="0.25">
      <c r="A616" s="32">
        <v>46241</v>
      </c>
      <c r="B616" s="33" t="s">
        <v>518</v>
      </c>
      <c r="C616" s="33" t="s">
        <v>147</v>
      </c>
      <c r="D616" s="33" t="s">
        <v>147</v>
      </c>
      <c r="E616">
        <v>17</v>
      </c>
      <c r="F616" s="34">
        <v>7.5775462962962961E-2</v>
      </c>
      <c r="G616" s="34">
        <v>4.4573801742919389E-3</v>
      </c>
      <c r="H616" s="33" t="s">
        <v>500</v>
      </c>
      <c r="I616" s="33" t="s">
        <v>274</v>
      </c>
    </row>
    <row r="617" spans="1:9" x14ac:dyDescent="0.25">
      <c r="A617" s="32">
        <v>46241</v>
      </c>
      <c r="B617" s="33" t="s">
        <v>518</v>
      </c>
      <c r="C617" s="33" t="s">
        <v>147</v>
      </c>
      <c r="D617" s="33" t="s">
        <v>32</v>
      </c>
      <c r="E617">
        <v>3</v>
      </c>
      <c r="F617" s="34">
        <v>1.1944444444444445E-2</v>
      </c>
      <c r="G617" s="34">
        <v>3.9814814814814817E-3</v>
      </c>
      <c r="H617" s="33" t="s">
        <v>500</v>
      </c>
      <c r="I617" s="33" t="s">
        <v>274</v>
      </c>
    </row>
    <row r="618" spans="1:9" x14ac:dyDescent="0.25">
      <c r="A618" s="32">
        <v>46241</v>
      </c>
      <c r="B618" s="33" t="s">
        <v>654</v>
      </c>
      <c r="C618" s="33" t="s">
        <v>32</v>
      </c>
      <c r="D618" s="33" t="s">
        <v>32</v>
      </c>
      <c r="E618">
        <v>25</v>
      </c>
      <c r="F618" s="34">
        <v>0.15476851851851853</v>
      </c>
      <c r="G618" s="34">
        <v>6.1907407407407414E-3</v>
      </c>
      <c r="H618" s="33" t="s">
        <v>653</v>
      </c>
      <c r="I618" s="33" t="s">
        <v>100</v>
      </c>
    </row>
    <row r="619" spans="1:9" x14ac:dyDescent="0.25">
      <c r="A619" s="32">
        <v>46241</v>
      </c>
      <c r="B619" s="33" t="s">
        <v>509</v>
      </c>
      <c r="C619" s="33" t="s">
        <v>32</v>
      </c>
      <c r="D619" s="33" t="s">
        <v>32</v>
      </c>
      <c r="E619">
        <v>9</v>
      </c>
      <c r="F619" s="34">
        <v>7.1284722222222222E-2</v>
      </c>
      <c r="G619" s="34">
        <v>7.9205246913580246E-3</v>
      </c>
      <c r="H619" s="33" t="s">
        <v>52</v>
      </c>
      <c r="I619" s="33" t="s">
        <v>100</v>
      </c>
    </row>
    <row r="620" spans="1:9" x14ac:dyDescent="0.25">
      <c r="A620" s="32">
        <v>46241</v>
      </c>
      <c r="B620" s="33" t="s">
        <v>519</v>
      </c>
      <c r="C620" s="33" t="s">
        <v>147</v>
      </c>
      <c r="D620" s="33" t="s">
        <v>147</v>
      </c>
      <c r="E620">
        <v>11</v>
      </c>
      <c r="F620" s="34">
        <v>2.0798611111111111E-2</v>
      </c>
      <c r="G620" s="34">
        <v>1.8907828282828283E-3</v>
      </c>
      <c r="H620" s="33" t="s">
        <v>164</v>
      </c>
      <c r="I620" s="33" t="s">
        <v>146</v>
      </c>
    </row>
    <row r="621" spans="1:9" x14ac:dyDescent="0.25">
      <c r="A621" s="32">
        <v>46241</v>
      </c>
      <c r="B621" s="33" t="s">
        <v>519</v>
      </c>
      <c r="C621" s="33" t="s">
        <v>147</v>
      </c>
      <c r="D621" s="33" t="s">
        <v>32</v>
      </c>
      <c r="E621">
        <v>9</v>
      </c>
      <c r="F621" s="34">
        <v>1.6666666666666666E-2</v>
      </c>
      <c r="G621" s="34">
        <v>1.8518518518518519E-3</v>
      </c>
      <c r="H621" s="33" t="s">
        <v>164</v>
      </c>
      <c r="I621" s="33" t="s">
        <v>146</v>
      </c>
    </row>
    <row r="622" spans="1:9" x14ac:dyDescent="0.25">
      <c r="A622" s="32">
        <v>46241</v>
      </c>
      <c r="B622" s="33" t="s">
        <v>656</v>
      </c>
      <c r="C622" s="33" t="s">
        <v>32</v>
      </c>
      <c r="D622" s="33" t="s">
        <v>32</v>
      </c>
      <c r="E622">
        <v>30</v>
      </c>
      <c r="F622" s="34">
        <v>0.1547337962962963</v>
      </c>
      <c r="G622" s="34">
        <v>5.1577932098765432E-3</v>
      </c>
      <c r="H622" s="33" t="s">
        <v>655</v>
      </c>
      <c r="I622" s="33" t="s">
        <v>100</v>
      </c>
    </row>
    <row r="623" spans="1:9" x14ac:dyDescent="0.25">
      <c r="A623" s="32">
        <v>46241</v>
      </c>
      <c r="B623" s="33" t="s">
        <v>167</v>
      </c>
      <c r="C623" s="33" t="s">
        <v>147</v>
      </c>
      <c r="D623" s="33" t="s">
        <v>147</v>
      </c>
      <c r="E623">
        <v>8</v>
      </c>
      <c r="F623" s="34">
        <v>2.4155092592592593E-2</v>
      </c>
      <c r="G623" s="34">
        <v>3.0193865740740741E-3</v>
      </c>
      <c r="H623" s="33" t="s">
        <v>166</v>
      </c>
      <c r="I623" s="33" t="s">
        <v>146</v>
      </c>
    </row>
    <row r="624" spans="1:9" x14ac:dyDescent="0.25">
      <c r="A624" s="32">
        <v>46241</v>
      </c>
      <c r="B624" s="33" t="s">
        <v>167</v>
      </c>
      <c r="C624" s="33" t="s">
        <v>147</v>
      </c>
      <c r="D624" s="33" t="s">
        <v>32</v>
      </c>
      <c r="E624">
        <v>8</v>
      </c>
      <c r="F624" s="34">
        <v>2.9155092592592594E-2</v>
      </c>
      <c r="G624" s="34">
        <v>3.6443865740740742E-3</v>
      </c>
      <c r="H624" s="33" t="s">
        <v>166</v>
      </c>
      <c r="I624" s="33" t="s">
        <v>146</v>
      </c>
    </row>
    <row r="625" spans="1:9" x14ac:dyDescent="0.25">
      <c r="A625" s="32">
        <v>46241</v>
      </c>
      <c r="B625" s="33" t="s">
        <v>658</v>
      </c>
      <c r="C625" s="33" t="s">
        <v>147</v>
      </c>
      <c r="D625" s="33" t="s">
        <v>147</v>
      </c>
      <c r="E625">
        <v>11</v>
      </c>
      <c r="F625" s="34">
        <v>3.9027777777777779E-2</v>
      </c>
      <c r="G625" s="34">
        <v>3.5479797979797983E-3</v>
      </c>
      <c r="H625" s="33" t="s">
        <v>657</v>
      </c>
      <c r="I625" s="33" t="s">
        <v>274</v>
      </c>
    </row>
    <row r="626" spans="1:9" x14ac:dyDescent="0.25">
      <c r="A626" s="32">
        <v>46241</v>
      </c>
      <c r="B626" s="33" t="s">
        <v>658</v>
      </c>
      <c r="C626" s="33" t="s">
        <v>147</v>
      </c>
      <c r="D626" s="33" t="s">
        <v>32</v>
      </c>
      <c r="E626">
        <v>10</v>
      </c>
      <c r="F626" s="34">
        <v>3.6562499999999998E-2</v>
      </c>
      <c r="G626" s="34">
        <v>3.6562499999999998E-3</v>
      </c>
      <c r="H626" s="33" t="s">
        <v>657</v>
      </c>
      <c r="I626" s="33" t="s">
        <v>274</v>
      </c>
    </row>
    <row r="627" spans="1:9" x14ac:dyDescent="0.25">
      <c r="A627" s="32">
        <v>46241</v>
      </c>
      <c r="B627" s="33" t="s">
        <v>660</v>
      </c>
      <c r="C627" s="33" t="s">
        <v>32</v>
      </c>
      <c r="D627" s="33" t="s">
        <v>32</v>
      </c>
      <c r="E627">
        <v>1</v>
      </c>
      <c r="F627" s="34">
        <v>1.0034722222222223E-2</v>
      </c>
      <c r="G627" s="34">
        <v>1.0034722222222223E-2</v>
      </c>
      <c r="H627" s="33" t="s">
        <v>659</v>
      </c>
      <c r="I627" s="33" t="s">
        <v>100</v>
      </c>
    </row>
    <row r="628" spans="1:9" x14ac:dyDescent="0.25">
      <c r="A628" s="32">
        <v>46241</v>
      </c>
      <c r="B628" s="33" t="s">
        <v>528</v>
      </c>
      <c r="C628" s="33" t="s">
        <v>32</v>
      </c>
      <c r="D628" s="33" t="s">
        <v>32</v>
      </c>
      <c r="E628">
        <v>24</v>
      </c>
      <c r="F628" s="34">
        <v>0.13109953703703703</v>
      </c>
      <c r="G628" s="34">
        <v>5.4624807098765426E-3</v>
      </c>
      <c r="H628" s="33" t="s">
        <v>254</v>
      </c>
      <c r="I628" s="33" t="s">
        <v>233</v>
      </c>
    </row>
    <row r="629" spans="1:9" x14ac:dyDescent="0.25">
      <c r="A629" s="32">
        <v>46241</v>
      </c>
      <c r="B629" s="33" t="s">
        <v>545</v>
      </c>
      <c r="C629" s="33" t="s">
        <v>600</v>
      </c>
      <c r="D629" s="33" t="s">
        <v>600</v>
      </c>
      <c r="E629">
        <v>34</v>
      </c>
      <c r="F629" s="34">
        <v>7.5115740740740747E-2</v>
      </c>
      <c r="G629" s="34">
        <v>2.2092864923747278E-3</v>
      </c>
      <c r="H629" s="33" t="s">
        <v>201</v>
      </c>
      <c r="I629" s="33" t="s">
        <v>601</v>
      </c>
    </row>
    <row r="630" spans="1:9" x14ac:dyDescent="0.25">
      <c r="A630" s="32">
        <v>46241</v>
      </c>
      <c r="B630" s="33" t="s">
        <v>520</v>
      </c>
      <c r="C630" s="33" t="s">
        <v>147</v>
      </c>
      <c r="D630" s="33" t="s">
        <v>147</v>
      </c>
      <c r="E630">
        <v>14</v>
      </c>
      <c r="F630" s="34">
        <v>3.9467592592592596E-2</v>
      </c>
      <c r="G630" s="34">
        <v>2.8191137566137567E-3</v>
      </c>
      <c r="H630" s="33" t="s">
        <v>168</v>
      </c>
      <c r="I630" s="33" t="s">
        <v>274</v>
      </c>
    </row>
    <row r="631" spans="1:9" x14ac:dyDescent="0.25">
      <c r="A631" s="32">
        <v>46241</v>
      </c>
      <c r="B631" s="33" t="s">
        <v>520</v>
      </c>
      <c r="C631" s="33" t="s">
        <v>147</v>
      </c>
      <c r="D631" s="33" t="s">
        <v>32</v>
      </c>
      <c r="E631">
        <v>7</v>
      </c>
      <c r="F631" s="34">
        <v>8.7962962962962968E-3</v>
      </c>
      <c r="G631" s="34">
        <v>1.2566137566137566E-3</v>
      </c>
      <c r="H631" s="33" t="s">
        <v>168</v>
      </c>
      <c r="I631" s="33" t="s">
        <v>274</v>
      </c>
    </row>
    <row r="632" spans="1:9" x14ac:dyDescent="0.25">
      <c r="A632" s="32">
        <v>46241</v>
      </c>
      <c r="B632" s="33" t="s">
        <v>521</v>
      </c>
      <c r="C632" s="33" t="s">
        <v>147</v>
      </c>
      <c r="D632" s="33" t="s">
        <v>147</v>
      </c>
      <c r="E632">
        <v>12</v>
      </c>
      <c r="F632" s="34">
        <v>6.7870370370370373E-2</v>
      </c>
      <c r="G632" s="34">
        <v>5.6558641975308641E-3</v>
      </c>
      <c r="H632" s="33" t="s">
        <v>170</v>
      </c>
      <c r="I632" s="33" t="s">
        <v>146</v>
      </c>
    </row>
    <row r="633" spans="1:9" x14ac:dyDescent="0.25">
      <c r="A633" s="32">
        <v>46241</v>
      </c>
      <c r="B633" s="33" t="s">
        <v>521</v>
      </c>
      <c r="C633" s="33" t="s">
        <v>147</v>
      </c>
      <c r="D633" s="33" t="s">
        <v>32</v>
      </c>
      <c r="E633">
        <v>6</v>
      </c>
      <c r="F633" s="34">
        <v>2.8217592592592593E-2</v>
      </c>
      <c r="G633" s="34">
        <v>4.7029320987654324E-3</v>
      </c>
      <c r="H633" s="33" t="s">
        <v>170</v>
      </c>
      <c r="I633" s="33" t="s">
        <v>146</v>
      </c>
    </row>
    <row r="634" spans="1:9" x14ac:dyDescent="0.25">
      <c r="A634" s="32">
        <v>46241</v>
      </c>
      <c r="B634" s="33" t="s">
        <v>543</v>
      </c>
      <c r="C634" s="33" t="s">
        <v>600</v>
      </c>
      <c r="D634" s="33" t="s">
        <v>600</v>
      </c>
      <c r="E634">
        <v>17</v>
      </c>
      <c r="F634" s="34">
        <v>4.5312499999999999E-2</v>
      </c>
      <c r="G634" s="34">
        <v>2.6654411764705883E-3</v>
      </c>
      <c r="H634" s="33" t="s">
        <v>293</v>
      </c>
      <c r="I634" s="33" t="s">
        <v>104</v>
      </c>
    </row>
    <row r="635" spans="1:9" x14ac:dyDescent="0.25">
      <c r="A635" s="32">
        <v>46241</v>
      </c>
      <c r="B635" s="33" t="s">
        <v>633</v>
      </c>
      <c r="C635" s="33" t="s">
        <v>147</v>
      </c>
      <c r="D635" s="33" t="s">
        <v>147</v>
      </c>
      <c r="E635">
        <v>4</v>
      </c>
      <c r="F635" s="34">
        <v>2.0833333333333332E-2</v>
      </c>
      <c r="G635" s="34">
        <v>5.208333333333333E-3</v>
      </c>
      <c r="H635" s="33" t="s">
        <v>606</v>
      </c>
      <c r="I635" s="33" t="s">
        <v>146</v>
      </c>
    </row>
    <row r="636" spans="1:9" x14ac:dyDescent="0.25">
      <c r="A636" s="32">
        <v>46241</v>
      </c>
      <c r="B636" s="33" t="s">
        <v>633</v>
      </c>
      <c r="C636" s="33" t="s">
        <v>147</v>
      </c>
      <c r="D636" s="33" t="s">
        <v>32</v>
      </c>
      <c r="E636">
        <v>4</v>
      </c>
      <c r="F636" s="34">
        <v>2.7418981481481482E-2</v>
      </c>
      <c r="G636" s="34">
        <v>6.8547453703703704E-3</v>
      </c>
      <c r="H636" s="33" t="s">
        <v>606</v>
      </c>
      <c r="I636" s="33" t="s">
        <v>146</v>
      </c>
    </row>
    <row r="637" spans="1:9" x14ac:dyDescent="0.25">
      <c r="A637" s="32">
        <v>46241</v>
      </c>
      <c r="B637" s="33" t="s">
        <v>634</v>
      </c>
      <c r="C637" s="33" t="s">
        <v>105</v>
      </c>
      <c r="D637" s="33" t="s">
        <v>105</v>
      </c>
      <c r="E637">
        <v>2</v>
      </c>
      <c r="F637" s="34">
        <v>2.5381944444444443E-2</v>
      </c>
      <c r="G637" s="34">
        <v>1.2690972222222222E-2</v>
      </c>
      <c r="H637" s="33" t="s">
        <v>612</v>
      </c>
      <c r="I637" s="33" t="s">
        <v>601</v>
      </c>
    </row>
    <row r="638" spans="1:9" x14ac:dyDescent="0.25">
      <c r="A638" s="32">
        <v>46241</v>
      </c>
      <c r="B638" s="33" t="s">
        <v>529</v>
      </c>
      <c r="C638" s="33" t="s">
        <v>32</v>
      </c>
      <c r="D638" s="33" t="s">
        <v>32</v>
      </c>
      <c r="E638">
        <v>21</v>
      </c>
      <c r="F638" s="34">
        <v>0.15937499999999999</v>
      </c>
      <c r="G638" s="34">
        <v>7.5892857142857133E-3</v>
      </c>
      <c r="H638" s="33" t="s">
        <v>256</v>
      </c>
      <c r="I638" s="33" t="s">
        <v>233</v>
      </c>
    </row>
    <row r="639" spans="1:9" x14ac:dyDescent="0.25">
      <c r="A639" s="32">
        <v>46241</v>
      </c>
      <c r="B639" s="33" t="s">
        <v>662</v>
      </c>
      <c r="C639" s="33" t="s">
        <v>32</v>
      </c>
      <c r="D639" s="33" t="s">
        <v>32</v>
      </c>
      <c r="E639">
        <v>33</v>
      </c>
      <c r="F639" s="34">
        <v>0.14612268518518517</v>
      </c>
      <c r="G639" s="34">
        <v>4.4279601571268236E-3</v>
      </c>
      <c r="H639" s="33" t="s">
        <v>661</v>
      </c>
      <c r="I639" s="33" t="s">
        <v>100</v>
      </c>
    </row>
    <row r="640" spans="1:9" x14ac:dyDescent="0.25">
      <c r="A640" s="32">
        <v>46241</v>
      </c>
      <c r="B640" s="33" t="s">
        <v>664</v>
      </c>
      <c r="C640" s="33" t="s">
        <v>32</v>
      </c>
      <c r="D640" s="33" t="s">
        <v>32</v>
      </c>
      <c r="E640">
        <v>6</v>
      </c>
      <c r="F640" s="34">
        <v>4.6203703703703705E-2</v>
      </c>
      <c r="G640" s="34">
        <v>7.7006172839506172E-3</v>
      </c>
      <c r="H640" s="33" t="s">
        <v>663</v>
      </c>
      <c r="I640" s="33" t="s">
        <v>233</v>
      </c>
    </row>
    <row r="641" spans="1:9" x14ac:dyDescent="0.25">
      <c r="A641" s="32">
        <v>46241</v>
      </c>
      <c r="B641" s="33" t="s">
        <v>565</v>
      </c>
      <c r="C641" s="33" t="s">
        <v>105</v>
      </c>
      <c r="D641" s="33" t="s">
        <v>105</v>
      </c>
      <c r="E641">
        <v>4</v>
      </c>
      <c r="F641" s="34">
        <v>6.8530092592592587E-2</v>
      </c>
      <c r="G641" s="34">
        <v>1.7132523148148147E-2</v>
      </c>
      <c r="H641" s="33" t="s">
        <v>203</v>
      </c>
      <c r="I641" s="33" t="s">
        <v>601</v>
      </c>
    </row>
    <row r="642" spans="1:9" x14ac:dyDescent="0.25">
      <c r="A642" s="32">
        <v>46241</v>
      </c>
      <c r="B642" s="33" t="s">
        <v>666</v>
      </c>
      <c r="C642" s="33" t="s">
        <v>32</v>
      </c>
      <c r="D642" s="33" t="s">
        <v>32</v>
      </c>
      <c r="E642">
        <v>33</v>
      </c>
      <c r="F642" s="34">
        <v>0.17792824074074073</v>
      </c>
      <c r="G642" s="34">
        <v>5.3917648709315372E-3</v>
      </c>
      <c r="H642" s="33" t="s">
        <v>665</v>
      </c>
      <c r="I642" s="33" t="s">
        <v>100</v>
      </c>
    </row>
    <row r="643" spans="1:9" x14ac:dyDescent="0.25">
      <c r="A643" s="32">
        <v>46241</v>
      </c>
      <c r="B643" s="33" t="s">
        <v>555</v>
      </c>
      <c r="C643" s="33" t="s">
        <v>32</v>
      </c>
      <c r="D643" s="33" t="s">
        <v>32</v>
      </c>
      <c r="E643">
        <v>29</v>
      </c>
      <c r="F643" s="34">
        <v>0.14840277777777777</v>
      </c>
      <c r="G643" s="34">
        <v>5.1173371647509572E-3</v>
      </c>
      <c r="H643" s="33" t="s">
        <v>128</v>
      </c>
      <c r="I643" s="33" t="s">
        <v>233</v>
      </c>
    </row>
    <row r="644" spans="1:9" x14ac:dyDescent="0.25">
      <c r="A644" s="32">
        <v>46241</v>
      </c>
      <c r="B644" s="33" t="s">
        <v>522</v>
      </c>
      <c r="C644" s="33" t="s">
        <v>147</v>
      </c>
      <c r="D644" s="33" t="s">
        <v>147</v>
      </c>
      <c r="E644">
        <v>12</v>
      </c>
      <c r="F644" s="34">
        <v>6.0462962962962961E-2</v>
      </c>
      <c r="G644" s="34">
        <v>5.0385802469135798E-3</v>
      </c>
      <c r="H644" s="33" t="s">
        <v>178</v>
      </c>
      <c r="I644" s="33" t="s">
        <v>146</v>
      </c>
    </row>
    <row r="645" spans="1:9" x14ac:dyDescent="0.25">
      <c r="A645" s="32">
        <v>46241</v>
      </c>
      <c r="B645" s="33" t="s">
        <v>522</v>
      </c>
      <c r="C645" s="33" t="s">
        <v>147</v>
      </c>
      <c r="D645" s="33" t="s">
        <v>32</v>
      </c>
      <c r="E645">
        <v>1</v>
      </c>
      <c r="F645" s="34">
        <v>1.6226851851851853E-2</v>
      </c>
      <c r="G645" s="34">
        <v>1.6226851851851853E-2</v>
      </c>
      <c r="H645" s="33" t="s">
        <v>178</v>
      </c>
      <c r="I645" s="33" t="s">
        <v>146</v>
      </c>
    </row>
    <row r="646" spans="1:9" x14ac:dyDescent="0.25">
      <c r="A646" s="32">
        <v>46241</v>
      </c>
      <c r="B646" s="33" t="s">
        <v>531</v>
      </c>
      <c r="C646" s="33" t="s">
        <v>32</v>
      </c>
      <c r="D646" s="33" t="s">
        <v>32</v>
      </c>
      <c r="E646">
        <v>3</v>
      </c>
      <c r="F646" s="34">
        <v>3.9398148148148147E-2</v>
      </c>
      <c r="G646" s="34">
        <v>1.3132716049382716E-2</v>
      </c>
      <c r="H646" s="33" t="s">
        <v>266</v>
      </c>
      <c r="I646" s="33" t="s">
        <v>233</v>
      </c>
    </row>
    <row r="647" spans="1:9" x14ac:dyDescent="0.25">
      <c r="A647" s="32">
        <v>46241</v>
      </c>
      <c r="B647" s="33" t="s">
        <v>667</v>
      </c>
      <c r="C647" s="33" t="s">
        <v>105</v>
      </c>
      <c r="D647" s="33" t="s">
        <v>105</v>
      </c>
      <c r="E647">
        <v>15</v>
      </c>
      <c r="F647" s="34">
        <v>0.18747685185185184</v>
      </c>
      <c r="G647" s="34">
        <v>1.2498456790123456E-2</v>
      </c>
      <c r="H647" s="33" t="s">
        <v>297</v>
      </c>
      <c r="I647" s="33" t="s">
        <v>104</v>
      </c>
    </row>
    <row r="648" spans="1:9" x14ac:dyDescent="0.25">
      <c r="A648" s="32">
        <v>46241</v>
      </c>
      <c r="B648" s="33" t="s">
        <v>635</v>
      </c>
      <c r="C648" s="33" t="s">
        <v>105</v>
      </c>
      <c r="D648" s="33" t="s">
        <v>105</v>
      </c>
      <c r="E648">
        <v>4</v>
      </c>
      <c r="F648" s="34">
        <v>9.6516203703703701E-2</v>
      </c>
      <c r="G648" s="34">
        <v>2.4129050925925925E-2</v>
      </c>
      <c r="H648" s="33" t="s">
        <v>614</v>
      </c>
      <c r="I648" s="33" t="s">
        <v>601</v>
      </c>
    </row>
    <row r="649" spans="1:9" x14ac:dyDescent="0.25">
      <c r="A649" s="32">
        <v>46241</v>
      </c>
      <c r="B649" s="33" t="s">
        <v>523</v>
      </c>
      <c r="C649" s="33" t="s">
        <v>147</v>
      </c>
      <c r="D649" s="33" t="s">
        <v>147</v>
      </c>
      <c r="E649">
        <v>11</v>
      </c>
      <c r="F649" s="34">
        <v>3.6597222222222225E-2</v>
      </c>
      <c r="G649" s="34">
        <v>3.3270202020202022E-3</v>
      </c>
      <c r="H649" s="33" t="s">
        <v>180</v>
      </c>
      <c r="I649" s="33" t="s">
        <v>146</v>
      </c>
    </row>
    <row r="650" spans="1:9" x14ac:dyDescent="0.25">
      <c r="A650" s="32">
        <v>46241</v>
      </c>
      <c r="B650" s="33" t="s">
        <v>523</v>
      </c>
      <c r="C650" s="33" t="s">
        <v>147</v>
      </c>
      <c r="D650" s="33" t="s">
        <v>32</v>
      </c>
      <c r="E650">
        <v>5</v>
      </c>
      <c r="F650" s="34">
        <v>2.9687499999999999E-2</v>
      </c>
      <c r="G650" s="34">
        <v>5.9375000000000001E-3</v>
      </c>
      <c r="H650" s="33" t="s">
        <v>180</v>
      </c>
      <c r="I650" s="33" t="s">
        <v>146</v>
      </c>
    </row>
    <row r="651" spans="1:9" x14ac:dyDescent="0.25">
      <c r="A651" s="32">
        <v>46241</v>
      </c>
      <c r="B651" s="33" t="s">
        <v>636</v>
      </c>
      <c r="C651" s="33" t="s">
        <v>105</v>
      </c>
      <c r="D651" s="33" t="s">
        <v>105</v>
      </c>
      <c r="E651">
        <v>1</v>
      </c>
      <c r="F651" s="34">
        <v>2.7291666666666665E-2</v>
      </c>
      <c r="G651" s="34">
        <v>2.7291666666666665E-2</v>
      </c>
      <c r="H651" s="33" t="s">
        <v>615</v>
      </c>
      <c r="I651" s="33" t="s">
        <v>601</v>
      </c>
    </row>
    <row r="652" spans="1:9" x14ac:dyDescent="0.25">
      <c r="A652" s="32">
        <v>46241</v>
      </c>
      <c r="B652" s="33" t="s">
        <v>566</v>
      </c>
      <c r="C652" s="33" t="s">
        <v>147</v>
      </c>
      <c r="D652" s="33" t="s">
        <v>147</v>
      </c>
      <c r="E652">
        <v>9</v>
      </c>
      <c r="F652" s="34">
        <v>4.2627314814814812E-2</v>
      </c>
      <c r="G652" s="34">
        <v>4.7363683127572016E-3</v>
      </c>
      <c r="H652" s="33" t="s">
        <v>207</v>
      </c>
      <c r="I652" s="33" t="s">
        <v>274</v>
      </c>
    </row>
    <row r="653" spans="1:9" x14ac:dyDescent="0.25">
      <c r="A653" s="32">
        <v>46241</v>
      </c>
      <c r="B653" s="33" t="s">
        <v>566</v>
      </c>
      <c r="C653" s="33" t="s">
        <v>147</v>
      </c>
      <c r="D653" s="33" t="s">
        <v>32</v>
      </c>
      <c r="E653">
        <v>8</v>
      </c>
      <c r="F653" s="34">
        <v>2.9814814814814815E-2</v>
      </c>
      <c r="G653" s="34">
        <v>3.7268518518518519E-3</v>
      </c>
      <c r="H653" s="33" t="s">
        <v>207</v>
      </c>
      <c r="I653" s="33" t="s">
        <v>274</v>
      </c>
    </row>
    <row r="654" spans="1:9" x14ac:dyDescent="0.25">
      <c r="A654" s="32">
        <v>46241</v>
      </c>
      <c r="B654" s="33" t="s">
        <v>637</v>
      </c>
      <c r="C654" s="33" t="s">
        <v>105</v>
      </c>
      <c r="D654" s="33" t="s">
        <v>105</v>
      </c>
      <c r="E654">
        <v>4</v>
      </c>
      <c r="F654" s="34">
        <v>9.0300925925925923E-2</v>
      </c>
      <c r="G654" s="34">
        <v>2.2575231481481481E-2</v>
      </c>
      <c r="H654" s="33" t="s">
        <v>616</v>
      </c>
      <c r="I654" s="33" t="s">
        <v>601</v>
      </c>
    </row>
    <row r="655" spans="1:9" x14ac:dyDescent="0.25">
      <c r="A655" s="32">
        <v>46241</v>
      </c>
      <c r="B655" s="33" t="s">
        <v>567</v>
      </c>
      <c r="C655" s="33" t="s">
        <v>105</v>
      </c>
      <c r="D655" s="33" t="s">
        <v>105</v>
      </c>
      <c r="E655">
        <v>3</v>
      </c>
      <c r="F655" s="34">
        <v>3.2962962962962965E-2</v>
      </c>
      <c r="G655" s="34">
        <v>1.0987654320987654E-2</v>
      </c>
      <c r="H655" s="33" t="s">
        <v>209</v>
      </c>
      <c r="I655" s="33" t="s">
        <v>601</v>
      </c>
    </row>
    <row r="656" spans="1:9" x14ac:dyDescent="0.25">
      <c r="A656" s="32">
        <v>46241</v>
      </c>
      <c r="B656" s="33" t="s">
        <v>510</v>
      </c>
      <c r="C656" s="33" t="s">
        <v>32</v>
      </c>
      <c r="D656" s="33" t="s">
        <v>32</v>
      </c>
      <c r="E656">
        <v>32</v>
      </c>
      <c r="F656" s="34">
        <v>0.17344907407407406</v>
      </c>
      <c r="G656" s="34">
        <v>5.4202835648148144E-3</v>
      </c>
      <c r="H656" s="33" t="s">
        <v>60</v>
      </c>
      <c r="I656" s="33" t="s">
        <v>100</v>
      </c>
    </row>
    <row r="657" spans="1:9" x14ac:dyDescent="0.25">
      <c r="A657" s="32">
        <v>46241</v>
      </c>
      <c r="B657" s="33" t="s">
        <v>512</v>
      </c>
      <c r="C657" s="33" t="s">
        <v>105</v>
      </c>
      <c r="D657" s="33" t="s">
        <v>105</v>
      </c>
      <c r="E657">
        <v>10</v>
      </c>
      <c r="F657" s="34">
        <v>0.16641203703703702</v>
      </c>
      <c r="G657" s="34">
        <v>1.6641203703703703E-2</v>
      </c>
      <c r="H657" s="33" t="s">
        <v>132</v>
      </c>
      <c r="I657" s="33" t="s">
        <v>104</v>
      </c>
    </row>
    <row r="658" spans="1:9" x14ac:dyDescent="0.25">
      <c r="A658" s="32">
        <v>46241</v>
      </c>
      <c r="B658" s="33" t="s">
        <v>560</v>
      </c>
      <c r="C658" s="33" t="s">
        <v>105</v>
      </c>
      <c r="D658" s="33" t="s">
        <v>105</v>
      </c>
      <c r="E658">
        <v>15</v>
      </c>
      <c r="F658" s="34">
        <v>0.23128472222222221</v>
      </c>
      <c r="G658" s="34">
        <v>1.5418981481481481E-2</v>
      </c>
      <c r="H658" s="33" t="s">
        <v>134</v>
      </c>
      <c r="I658" s="33" t="s">
        <v>104</v>
      </c>
    </row>
    <row r="659" spans="1:9" x14ac:dyDescent="0.25">
      <c r="A659" s="32">
        <v>46241</v>
      </c>
      <c r="B659" s="33" t="s">
        <v>546</v>
      </c>
      <c r="C659" s="33" t="s">
        <v>105</v>
      </c>
      <c r="D659" s="33" t="s">
        <v>105</v>
      </c>
      <c r="E659">
        <v>11</v>
      </c>
      <c r="F659" s="34">
        <v>0.21090277777777777</v>
      </c>
      <c r="G659" s="34">
        <v>1.9172979797979797E-2</v>
      </c>
      <c r="H659" s="33" t="s">
        <v>211</v>
      </c>
      <c r="I659" s="33" t="s">
        <v>104</v>
      </c>
    </row>
    <row r="660" spans="1:9" x14ac:dyDescent="0.25">
      <c r="A660" s="32">
        <v>46241</v>
      </c>
      <c r="B660" s="33" t="s">
        <v>638</v>
      </c>
      <c r="C660" s="33" t="s">
        <v>105</v>
      </c>
      <c r="D660" s="33" t="s">
        <v>105</v>
      </c>
      <c r="E660">
        <v>2</v>
      </c>
      <c r="F660" s="34">
        <v>5.3483796296296293E-2</v>
      </c>
      <c r="G660" s="34">
        <v>2.6741898148148147E-2</v>
      </c>
      <c r="H660" s="33" t="s">
        <v>617</v>
      </c>
      <c r="I660" s="33" t="s">
        <v>601</v>
      </c>
    </row>
    <row r="661" spans="1:9" x14ac:dyDescent="0.25">
      <c r="A661" s="32">
        <v>46241</v>
      </c>
      <c r="B661" s="33" t="s">
        <v>639</v>
      </c>
      <c r="C661" s="33" t="s">
        <v>105</v>
      </c>
      <c r="D661" s="33" t="s">
        <v>105</v>
      </c>
      <c r="E661">
        <v>1</v>
      </c>
      <c r="F661" s="34">
        <v>1.7719907407407406E-2</v>
      </c>
      <c r="G661" s="34">
        <v>1.7719907407407406E-2</v>
      </c>
      <c r="H661" s="33" t="s">
        <v>618</v>
      </c>
      <c r="I661" s="33" t="s">
        <v>601</v>
      </c>
    </row>
    <row r="662" spans="1:9" x14ac:dyDescent="0.25">
      <c r="A662" s="32">
        <v>46241</v>
      </c>
      <c r="B662" s="33" t="s">
        <v>524</v>
      </c>
      <c r="C662" s="33" t="s">
        <v>147</v>
      </c>
      <c r="D662" s="33" t="s">
        <v>147</v>
      </c>
      <c r="E662">
        <v>19</v>
      </c>
      <c r="F662" s="34">
        <v>6.1504629629629631E-2</v>
      </c>
      <c r="G662" s="34">
        <v>3.2370857699805071E-3</v>
      </c>
      <c r="H662" s="33" t="s">
        <v>501</v>
      </c>
      <c r="I662" s="33" t="s">
        <v>274</v>
      </c>
    </row>
    <row r="663" spans="1:9" x14ac:dyDescent="0.25">
      <c r="A663" s="32">
        <v>46241</v>
      </c>
      <c r="B663" s="33" t="s">
        <v>524</v>
      </c>
      <c r="C663" s="33" t="s">
        <v>147</v>
      </c>
      <c r="D663" s="33" t="s">
        <v>32</v>
      </c>
      <c r="E663">
        <v>10</v>
      </c>
      <c r="F663" s="34">
        <v>1.3148148148148148E-2</v>
      </c>
      <c r="G663" s="34">
        <v>1.3148148148148149E-3</v>
      </c>
      <c r="H663" s="33" t="s">
        <v>501</v>
      </c>
      <c r="I663" s="33" t="s">
        <v>274</v>
      </c>
    </row>
    <row r="664" spans="1:9" x14ac:dyDescent="0.25">
      <c r="A664" s="32">
        <v>46241</v>
      </c>
      <c r="B664" s="33" t="s">
        <v>572</v>
      </c>
      <c r="C664" s="33" t="s">
        <v>105</v>
      </c>
      <c r="D664" s="33" t="s">
        <v>105</v>
      </c>
      <c r="E664">
        <v>2</v>
      </c>
      <c r="F664" s="34">
        <v>2.9756944444444444E-2</v>
      </c>
      <c r="G664" s="34">
        <v>1.4878472222222222E-2</v>
      </c>
      <c r="H664" s="33" t="s">
        <v>213</v>
      </c>
      <c r="I664" s="33" t="s">
        <v>601</v>
      </c>
    </row>
    <row r="665" spans="1:9" x14ac:dyDescent="0.25">
      <c r="A665" s="32">
        <v>46241</v>
      </c>
      <c r="B665" s="33" t="s">
        <v>640</v>
      </c>
      <c r="C665" s="33" t="s">
        <v>105</v>
      </c>
      <c r="D665" s="33" t="s">
        <v>105</v>
      </c>
      <c r="E665">
        <v>2</v>
      </c>
      <c r="F665" s="34">
        <v>5.4039351851851852E-2</v>
      </c>
      <c r="G665" s="34">
        <v>2.7019675925925926E-2</v>
      </c>
      <c r="H665" s="33" t="s">
        <v>619</v>
      </c>
      <c r="I665" s="33" t="s">
        <v>601</v>
      </c>
    </row>
    <row r="666" spans="1:9" x14ac:dyDescent="0.25">
      <c r="A666" s="32">
        <v>46241</v>
      </c>
      <c r="B666" s="33" t="s">
        <v>669</v>
      </c>
      <c r="C666" s="33" t="s">
        <v>32</v>
      </c>
      <c r="D666" s="33" t="s">
        <v>32</v>
      </c>
      <c r="E666">
        <v>18</v>
      </c>
      <c r="F666" s="34">
        <v>7.8229166666666669E-2</v>
      </c>
      <c r="G666" s="34">
        <v>4.3460648148148148E-3</v>
      </c>
      <c r="H666" s="33" t="s">
        <v>668</v>
      </c>
      <c r="I666" s="33" t="s">
        <v>233</v>
      </c>
    </row>
    <row r="667" spans="1:9" x14ac:dyDescent="0.25">
      <c r="A667" s="32">
        <v>46241</v>
      </c>
      <c r="B667" s="33" t="s">
        <v>670</v>
      </c>
      <c r="C667" s="33" t="s">
        <v>32</v>
      </c>
      <c r="D667" s="33" t="s">
        <v>32</v>
      </c>
      <c r="E667">
        <v>35</v>
      </c>
      <c r="F667" s="34">
        <v>0.16211805555555556</v>
      </c>
      <c r="G667" s="34">
        <v>4.6319444444444446E-3</v>
      </c>
      <c r="H667" s="33" t="s">
        <v>744</v>
      </c>
      <c r="I667" s="33" t="s">
        <v>100</v>
      </c>
    </row>
    <row r="668" spans="1:9" x14ac:dyDescent="0.25">
      <c r="A668" s="32">
        <v>46241</v>
      </c>
      <c r="B668" s="33" t="s">
        <v>548</v>
      </c>
      <c r="C668" s="33" t="s">
        <v>105</v>
      </c>
      <c r="D668" s="33" t="s">
        <v>105</v>
      </c>
      <c r="E668">
        <v>12</v>
      </c>
      <c r="F668" s="34">
        <v>0.1373611111111111</v>
      </c>
      <c r="G668" s="34">
        <v>1.1446759259259259E-2</v>
      </c>
      <c r="H668" s="33" t="s">
        <v>219</v>
      </c>
      <c r="I668" s="33" t="s">
        <v>104</v>
      </c>
    </row>
    <row r="669" spans="1:9" x14ac:dyDescent="0.25">
      <c r="A669" s="32">
        <v>46241</v>
      </c>
      <c r="B669" s="33" t="s">
        <v>306</v>
      </c>
      <c r="C669" s="33" t="s">
        <v>32</v>
      </c>
      <c r="D669" s="33" t="s">
        <v>32</v>
      </c>
      <c r="E669">
        <v>41</v>
      </c>
      <c r="F669" s="34">
        <v>0.14974537037037036</v>
      </c>
      <c r="G669" s="34">
        <v>3.6523261065943991E-3</v>
      </c>
      <c r="H669" s="33" t="s">
        <v>305</v>
      </c>
      <c r="I669" s="33" t="s">
        <v>100</v>
      </c>
    </row>
    <row r="670" spans="1:9" x14ac:dyDescent="0.25">
      <c r="A670" s="32">
        <v>46241</v>
      </c>
      <c r="B670" s="33" t="s">
        <v>641</v>
      </c>
      <c r="C670" s="33" t="s">
        <v>105</v>
      </c>
      <c r="D670" s="33" t="s">
        <v>105</v>
      </c>
      <c r="E670">
        <v>2</v>
      </c>
      <c r="F670" s="34">
        <v>3.8043981481481484E-2</v>
      </c>
      <c r="G670" s="34">
        <v>1.9021990740740742E-2</v>
      </c>
      <c r="H670" s="33" t="s">
        <v>620</v>
      </c>
      <c r="I670" s="33" t="s">
        <v>601</v>
      </c>
    </row>
    <row r="671" spans="1:9" x14ac:dyDescent="0.25">
      <c r="A671" s="32">
        <v>46241</v>
      </c>
      <c r="B671" s="33" t="s">
        <v>556</v>
      </c>
      <c r="C671" s="33" t="s">
        <v>105</v>
      </c>
      <c r="D671" s="33" t="s">
        <v>105</v>
      </c>
      <c r="E671">
        <v>8</v>
      </c>
      <c r="F671" s="34">
        <v>9.2557870370370374E-2</v>
      </c>
      <c r="G671" s="34">
        <v>1.1569733796296297E-2</v>
      </c>
      <c r="H671" s="33" t="s">
        <v>138</v>
      </c>
      <c r="I671" s="33" t="s">
        <v>104</v>
      </c>
    </row>
    <row r="672" spans="1:9" x14ac:dyDescent="0.25">
      <c r="A672" s="32">
        <v>46241</v>
      </c>
      <c r="B672" s="33" t="s">
        <v>532</v>
      </c>
      <c r="C672" s="33" t="s">
        <v>32</v>
      </c>
      <c r="D672" s="33" t="s">
        <v>32</v>
      </c>
      <c r="E672">
        <v>35</v>
      </c>
      <c r="F672" s="34">
        <v>0.15186342592592592</v>
      </c>
      <c r="G672" s="34">
        <v>4.3389550264550259E-3</v>
      </c>
      <c r="H672" s="33" t="s">
        <v>276</v>
      </c>
      <c r="I672" s="33" t="s">
        <v>233</v>
      </c>
    </row>
    <row r="673" spans="1:9" x14ac:dyDescent="0.25">
      <c r="A673" s="32">
        <v>46241</v>
      </c>
      <c r="B673" s="33" t="s">
        <v>533</v>
      </c>
      <c r="C673" s="33" t="s">
        <v>32</v>
      </c>
      <c r="D673" s="33" t="s">
        <v>32</v>
      </c>
      <c r="E673">
        <v>19</v>
      </c>
      <c r="F673" s="34">
        <v>0.17945601851851853</v>
      </c>
      <c r="G673" s="34">
        <v>9.445053606237817E-3</v>
      </c>
      <c r="H673" s="33" t="s">
        <v>278</v>
      </c>
      <c r="I673" s="33" t="s">
        <v>233</v>
      </c>
    </row>
    <row r="674" spans="1:9" x14ac:dyDescent="0.25">
      <c r="A674" s="32">
        <v>46241</v>
      </c>
      <c r="B674" s="33" t="s">
        <v>674</v>
      </c>
      <c r="C674" s="33" t="s">
        <v>105</v>
      </c>
      <c r="D674" s="33" t="s">
        <v>105</v>
      </c>
      <c r="E674">
        <v>11</v>
      </c>
      <c r="F674" s="34">
        <v>0.16883101851851851</v>
      </c>
      <c r="G674" s="34">
        <v>1.534827441077441E-2</v>
      </c>
      <c r="H674" s="33" t="s">
        <v>673</v>
      </c>
      <c r="I674" s="33" t="s">
        <v>104</v>
      </c>
    </row>
    <row r="675" spans="1:9" x14ac:dyDescent="0.25">
      <c r="A675" s="32">
        <v>46241</v>
      </c>
      <c r="B675" s="33" t="s">
        <v>549</v>
      </c>
      <c r="C675" s="33" t="s">
        <v>105</v>
      </c>
      <c r="D675" s="33" t="s">
        <v>105</v>
      </c>
      <c r="E675">
        <v>5</v>
      </c>
      <c r="F675" s="34">
        <v>0.10114583333333334</v>
      </c>
      <c r="G675" s="34">
        <v>2.0229166666666666E-2</v>
      </c>
      <c r="H675" s="33" t="s">
        <v>225</v>
      </c>
      <c r="I675" s="33" t="s">
        <v>601</v>
      </c>
    </row>
    <row r="676" spans="1:9" x14ac:dyDescent="0.25">
      <c r="A676" s="32">
        <v>46241</v>
      </c>
      <c r="B676" s="33" t="s">
        <v>534</v>
      </c>
      <c r="C676" s="33" t="s">
        <v>32</v>
      </c>
      <c r="D676" s="33" t="s">
        <v>32</v>
      </c>
      <c r="E676">
        <v>42</v>
      </c>
      <c r="F676" s="34">
        <v>0.15756944444444446</v>
      </c>
      <c r="G676" s="34">
        <v>3.7516534391534395E-3</v>
      </c>
      <c r="H676" s="33" t="s">
        <v>280</v>
      </c>
      <c r="I676" s="33" t="s">
        <v>233</v>
      </c>
    </row>
    <row r="677" spans="1:9" x14ac:dyDescent="0.25">
      <c r="A677" s="32">
        <v>46241</v>
      </c>
      <c r="B677" s="33" t="s">
        <v>571</v>
      </c>
      <c r="C677" s="33" t="s">
        <v>105</v>
      </c>
      <c r="D677" s="33" t="s">
        <v>105</v>
      </c>
      <c r="E677">
        <v>10</v>
      </c>
      <c r="F677" s="34">
        <v>0.12685185185185185</v>
      </c>
      <c r="G677" s="34">
        <v>1.2685185185185185E-2</v>
      </c>
      <c r="H677" s="33" t="s">
        <v>299</v>
      </c>
      <c r="I677" s="33" t="s">
        <v>104</v>
      </c>
    </row>
    <row r="678" spans="1:9" x14ac:dyDescent="0.25">
      <c r="A678" s="32">
        <v>46241</v>
      </c>
      <c r="B678" s="33" t="s">
        <v>535</v>
      </c>
      <c r="C678" s="33" t="s">
        <v>32</v>
      </c>
      <c r="D678" s="33" t="s">
        <v>32</v>
      </c>
      <c r="E678">
        <v>46</v>
      </c>
      <c r="F678" s="34">
        <v>0.14251157407407408</v>
      </c>
      <c r="G678" s="34">
        <v>3.0980776972624803E-3</v>
      </c>
      <c r="H678" s="33" t="s">
        <v>282</v>
      </c>
      <c r="I678" s="33" t="s">
        <v>233</v>
      </c>
    </row>
    <row r="679" spans="1:9" x14ac:dyDescent="0.25">
      <c r="A679" s="32">
        <v>46241</v>
      </c>
      <c r="B679" s="33" t="s">
        <v>557</v>
      </c>
      <c r="C679" s="33" t="s">
        <v>147</v>
      </c>
      <c r="D679" s="33" t="s">
        <v>147</v>
      </c>
      <c r="E679">
        <v>3</v>
      </c>
      <c r="F679" s="34">
        <v>8.3796296296296292E-3</v>
      </c>
      <c r="G679" s="34">
        <v>2.7932098765432096E-3</v>
      </c>
      <c r="H679" s="33" t="s">
        <v>227</v>
      </c>
      <c r="I679" s="33" t="s">
        <v>146</v>
      </c>
    </row>
    <row r="680" spans="1:9" x14ac:dyDescent="0.25">
      <c r="A680" s="32">
        <v>46241</v>
      </c>
      <c r="B680" s="33" t="s">
        <v>557</v>
      </c>
      <c r="C680" s="33" t="s">
        <v>147</v>
      </c>
      <c r="D680" s="33" t="s">
        <v>32</v>
      </c>
      <c r="E680">
        <v>6</v>
      </c>
      <c r="F680" s="34">
        <v>4.7094907407407405E-2</v>
      </c>
      <c r="G680" s="34">
        <v>7.8491512345679002E-3</v>
      </c>
      <c r="H680" s="33" t="s">
        <v>227</v>
      </c>
      <c r="I680" s="33" t="s">
        <v>146</v>
      </c>
    </row>
    <row r="681" spans="1:9" x14ac:dyDescent="0.25">
      <c r="A681" s="32">
        <v>46241</v>
      </c>
      <c r="B681" s="33" t="s">
        <v>676</v>
      </c>
      <c r="C681" s="33" t="s">
        <v>105</v>
      </c>
      <c r="D681" s="33" t="s">
        <v>105</v>
      </c>
      <c r="E681">
        <v>6</v>
      </c>
      <c r="F681" s="34">
        <v>0.13020833333333334</v>
      </c>
      <c r="G681" s="34">
        <v>2.1701388888888892E-2</v>
      </c>
      <c r="H681" s="33" t="s">
        <v>675</v>
      </c>
      <c r="I681" s="33" t="s">
        <v>104</v>
      </c>
    </row>
    <row r="682" spans="1:9" x14ac:dyDescent="0.25">
      <c r="A682" s="32">
        <v>46241</v>
      </c>
      <c r="B682" s="33" t="s">
        <v>678</v>
      </c>
      <c r="C682" s="33" t="s">
        <v>147</v>
      </c>
      <c r="D682" s="33" t="s">
        <v>147</v>
      </c>
      <c r="E682">
        <v>9</v>
      </c>
      <c r="F682" s="34">
        <v>2.1956018518518517E-2</v>
      </c>
      <c r="G682" s="34">
        <v>2.4395576131687243E-3</v>
      </c>
      <c r="H682" s="33" t="s">
        <v>677</v>
      </c>
      <c r="I682" s="33" t="s">
        <v>274</v>
      </c>
    </row>
    <row r="683" spans="1:9" x14ac:dyDescent="0.25">
      <c r="A683" s="32">
        <v>46241</v>
      </c>
      <c r="B683" s="33" t="s">
        <v>678</v>
      </c>
      <c r="C683" s="33" t="s">
        <v>147</v>
      </c>
      <c r="D683" s="33" t="s">
        <v>32</v>
      </c>
      <c r="E683">
        <v>9</v>
      </c>
      <c r="F683" s="34">
        <v>2.8923611111111112E-2</v>
      </c>
      <c r="G683" s="34">
        <v>3.2137345679012345E-3</v>
      </c>
      <c r="H683" s="33" t="s">
        <v>677</v>
      </c>
      <c r="I683" s="33" t="s">
        <v>274</v>
      </c>
    </row>
    <row r="684" spans="1:9" x14ac:dyDescent="0.25">
      <c r="A684" s="32">
        <v>46242</v>
      </c>
      <c r="B684" s="33" t="s">
        <v>644</v>
      </c>
      <c r="C684" s="33" t="s">
        <v>32</v>
      </c>
      <c r="D684" s="33" t="s">
        <v>32</v>
      </c>
      <c r="E684">
        <v>11</v>
      </c>
      <c r="F684" s="34">
        <v>0.12157407407407407</v>
      </c>
      <c r="G684" s="34">
        <v>1.1052188552188551E-2</v>
      </c>
      <c r="H684" s="33" t="s">
        <v>643</v>
      </c>
      <c r="I684" s="33" t="s">
        <v>233</v>
      </c>
    </row>
    <row r="685" spans="1:9" x14ac:dyDescent="0.25">
      <c r="A685" s="32">
        <v>46242</v>
      </c>
      <c r="B685" s="33" t="s">
        <v>563</v>
      </c>
      <c r="C685" s="33" t="s">
        <v>147</v>
      </c>
      <c r="D685" s="33" t="s">
        <v>147</v>
      </c>
      <c r="E685">
        <v>3</v>
      </c>
      <c r="F685" s="34">
        <v>1.7754629629629631E-2</v>
      </c>
      <c r="G685" s="34">
        <v>5.9182098765432102E-3</v>
      </c>
      <c r="H685" s="33" t="s">
        <v>193</v>
      </c>
      <c r="I685" s="33" t="s">
        <v>274</v>
      </c>
    </row>
    <row r="686" spans="1:9" x14ac:dyDescent="0.25">
      <c r="A686" s="32">
        <v>46242</v>
      </c>
      <c r="B686" s="33" t="s">
        <v>563</v>
      </c>
      <c r="C686" s="33" t="s">
        <v>147</v>
      </c>
      <c r="D686" s="33" t="s">
        <v>32</v>
      </c>
      <c r="E686">
        <v>3</v>
      </c>
      <c r="F686" s="34">
        <v>2.9930555555555554E-2</v>
      </c>
      <c r="G686" s="34">
        <v>9.9768518518518513E-3</v>
      </c>
      <c r="H686" s="33" t="s">
        <v>193</v>
      </c>
      <c r="I686" s="33" t="s">
        <v>274</v>
      </c>
    </row>
    <row r="687" spans="1:9" x14ac:dyDescent="0.25">
      <c r="A687" s="32">
        <v>46242</v>
      </c>
      <c r="B687" s="33" t="s">
        <v>513</v>
      </c>
      <c r="C687" s="33" t="s">
        <v>105</v>
      </c>
      <c r="D687" s="33" t="s">
        <v>105</v>
      </c>
      <c r="E687">
        <v>3</v>
      </c>
      <c r="F687" s="34">
        <v>3.861111111111111E-2</v>
      </c>
      <c r="G687" s="34">
        <v>1.2870370370370371E-2</v>
      </c>
      <c r="H687" s="33" t="s">
        <v>148</v>
      </c>
      <c r="I687" s="33" t="s">
        <v>104</v>
      </c>
    </row>
    <row r="688" spans="1:9" x14ac:dyDescent="0.25">
      <c r="A688" s="32">
        <v>46242</v>
      </c>
      <c r="B688" s="33" t="s">
        <v>505</v>
      </c>
      <c r="C688" s="33" t="s">
        <v>32</v>
      </c>
      <c r="D688" s="33" t="s">
        <v>32</v>
      </c>
      <c r="E688">
        <v>17</v>
      </c>
      <c r="F688" s="34">
        <v>7.5798611111111108E-2</v>
      </c>
      <c r="G688" s="34">
        <v>4.4587418300653589E-3</v>
      </c>
      <c r="H688" s="33" t="s">
        <v>34</v>
      </c>
      <c r="I688" s="33" t="s">
        <v>233</v>
      </c>
    </row>
    <row r="689" spans="1:9" x14ac:dyDescent="0.25">
      <c r="A689" s="32">
        <v>46242</v>
      </c>
      <c r="B689" s="33" t="s">
        <v>569</v>
      </c>
      <c r="C689" s="33" t="s">
        <v>105</v>
      </c>
      <c r="D689" s="33" t="s">
        <v>105</v>
      </c>
      <c r="E689">
        <v>5</v>
      </c>
      <c r="F689" s="34">
        <v>5.5659722222222222E-2</v>
      </c>
      <c r="G689" s="34">
        <v>1.1131944444444444E-2</v>
      </c>
      <c r="H689" s="33" t="s">
        <v>493</v>
      </c>
      <c r="I689" s="33" t="s">
        <v>104</v>
      </c>
    </row>
    <row r="690" spans="1:9" x14ac:dyDescent="0.25">
      <c r="A690" s="32">
        <v>46242</v>
      </c>
      <c r="B690" s="33" t="s">
        <v>551</v>
      </c>
      <c r="C690" s="33" t="s">
        <v>32</v>
      </c>
      <c r="D690" s="33" t="s">
        <v>32</v>
      </c>
      <c r="E690">
        <v>8</v>
      </c>
      <c r="F690" s="34">
        <v>2.1446759259259259E-2</v>
      </c>
      <c r="G690" s="34">
        <v>2.6808449074074074E-3</v>
      </c>
      <c r="H690" s="33" t="s">
        <v>236</v>
      </c>
      <c r="I690" s="33" t="s">
        <v>233</v>
      </c>
    </row>
    <row r="691" spans="1:9" x14ac:dyDescent="0.25">
      <c r="A691" s="32">
        <v>46242</v>
      </c>
      <c r="B691" s="33" t="s">
        <v>526</v>
      </c>
      <c r="C691" s="33" t="s">
        <v>32</v>
      </c>
      <c r="D691" s="33" t="s">
        <v>32</v>
      </c>
      <c r="E691">
        <v>8</v>
      </c>
      <c r="F691" s="34">
        <v>2.4039351851851853E-2</v>
      </c>
      <c r="G691" s="34">
        <v>3.0049189814814817E-3</v>
      </c>
      <c r="H691" s="33" t="s">
        <v>238</v>
      </c>
      <c r="I691" s="33" t="s">
        <v>233</v>
      </c>
    </row>
    <row r="692" spans="1:9" x14ac:dyDescent="0.25">
      <c r="A692" s="32">
        <v>46242</v>
      </c>
      <c r="B692" s="33" t="s">
        <v>631</v>
      </c>
      <c r="C692" s="33" t="s">
        <v>105</v>
      </c>
      <c r="D692" s="33" t="s">
        <v>105</v>
      </c>
      <c r="E692">
        <v>1</v>
      </c>
      <c r="F692" s="34">
        <v>1.744212962962963E-2</v>
      </c>
      <c r="G692" s="34">
        <v>1.744212962962963E-2</v>
      </c>
      <c r="H692" s="33" t="s">
        <v>608</v>
      </c>
      <c r="I692" s="33" t="s">
        <v>601</v>
      </c>
    </row>
    <row r="693" spans="1:9" x14ac:dyDescent="0.25">
      <c r="A693" s="32">
        <v>46242</v>
      </c>
      <c r="B693" s="33" t="s">
        <v>536</v>
      </c>
      <c r="C693" s="33" t="s">
        <v>32</v>
      </c>
      <c r="D693" s="33" t="s">
        <v>32</v>
      </c>
      <c r="E693">
        <v>5</v>
      </c>
      <c r="F693" s="34">
        <v>0.03</v>
      </c>
      <c r="G693" s="34">
        <v>6.0000000000000001E-3</v>
      </c>
      <c r="H693" s="33" t="s">
        <v>38</v>
      </c>
      <c r="I693" s="33" t="s">
        <v>100</v>
      </c>
    </row>
    <row r="694" spans="1:9" x14ac:dyDescent="0.25">
      <c r="A694" s="32">
        <v>46242</v>
      </c>
      <c r="B694" s="33" t="s">
        <v>682</v>
      </c>
      <c r="C694" s="33" t="s">
        <v>105</v>
      </c>
      <c r="D694" s="33" t="s">
        <v>105</v>
      </c>
      <c r="E694">
        <v>1</v>
      </c>
      <c r="F694" s="34">
        <v>3.304398148148148E-2</v>
      </c>
      <c r="G694" s="34">
        <v>3.304398148148148E-2</v>
      </c>
      <c r="H694" s="33" t="s">
        <v>681</v>
      </c>
      <c r="I694" s="33" t="s">
        <v>601</v>
      </c>
    </row>
    <row r="695" spans="1:9" x14ac:dyDescent="0.25">
      <c r="A695" s="32">
        <v>46242</v>
      </c>
      <c r="B695" s="33" t="s">
        <v>515</v>
      </c>
      <c r="C695" s="33" t="s">
        <v>147</v>
      </c>
      <c r="D695" s="33" t="s">
        <v>147</v>
      </c>
      <c r="E695">
        <v>8</v>
      </c>
      <c r="F695" s="34">
        <v>2.7488425925925927E-2</v>
      </c>
      <c r="G695" s="34">
        <v>3.4360532407407408E-3</v>
      </c>
      <c r="H695" s="33" t="s">
        <v>154</v>
      </c>
      <c r="I695" s="33" t="s">
        <v>146</v>
      </c>
    </row>
    <row r="696" spans="1:9" x14ac:dyDescent="0.25">
      <c r="A696" s="32">
        <v>46242</v>
      </c>
      <c r="B696" s="33" t="s">
        <v>515</v>
      </c>
      <c r="C696" s="33" t="s">
        <v>147</v>
      </c>
      <c r="D696" s="33" t="s">
        <v>32</v>
      </c>
      <c r="E696">
        <v>3</v>
      </c>
      <c r="F696" s="34">
        <v>4.5833333333333334E-3</v>
      </c>
      <c r="G696" s="34">
        <v>1.5277777777777779E-3</v>
      </c>
      <c r="H696" s="33" t="s">
        <v>154</v>
      </c>
      <c r="I696" s="33" t="s">
        <v>146</v>
      </c>
    </row>
    <row r="697" spans="1:9" x14ac:dyDescent="0.25">
      <c r="A697" s="32">
        <v>46242</v>
      </c>
      <c r="B697" s="33" t="s">
        <v>570</v>
      </c>
      <c r="C697" s="33" t="s">
        <v>105</v>
      </c>
      <c r="D697" s="33" t="s">
        <v>105</v>
      </c>
      <c r="E697">
        <v>3</v>
      </c>
      <c r="F697" s="34">
        <v>5.2800925925925925E-2</v>
      </c>
      <c r="G697" s="34">
        <v>1.7600308641975308E-2</v>
      </c>
      <c r="H697" s="33" t="s">
        <v>112</v>
      </c>
      <c r="I697" s="33" t="s">
        <v>104</v>
      </c>
    </row>
    <row r="698" spans="1:9" x14ac:dyDescent="0.25">
      <c r="A698" s="32">
        <v>46242</v>
      </c>
      <c r="B698" s="33" t="s">
        <v>537</v>
      </c>
      <c r="C698" s="33" t="s">
        <v>105</v>
      </c>
      <c r="D698" s="33" t="s">
        <v>105</v>
      </c>
      <c r="E698">
        <v>3</v>
      </c>
      <c r="F698" s="34">
        <v>3.4791666666666665E-2</v>
      </c>
      <c r="G698" s="34">
        <v>1.1597222222222222E-2</v>
      </c>
      <c r="H698" s="33" t="s">
        <v>42</v>
      </c>
      <c r="I698" s="33" t="s">
        <v>104</v>
      </c>
    </row>
    <row r="699" spans="1:9" x14ac:dyDescent="0.25">
      <c r="A699" s="32">
        <v>46242</v>
      </c>
      <c r="B699" s="33" t="s">
        <v>516</v>
      </c>
      <c r="C699" s="33" t="s">
        <v>147</v>
      </c>
      <c r="D699" s="33" t="s">
        <v>147</v>
      </c>
      <c r="E699">
        <v>7</v>
      </c>
      <c r="F699" s="34">
        <v>2.193287037037037E-2</v>
      </c>
      <c r="G699" s="34">
        <v>3.1332671957671958E-3</v>
      </c>
      <c r="H699" s="33" t="s">
        <v>156</v>
      </c>
      <c r="I699" s="33" t="s">
        <v>146</v>
      </c>
    </row>
    <row r="700" spans="1:9" x14ac:dyDescent="0.25">
      <c r="A700" s="32">
        <v>46242</v>
      </c>
      <c r="B700" s="33" t="s">
        <v>516</v>
      </c>
      <c r="C700" s="33" t="s">
        <v>147</v>
      </c>
      <c r="D700" s="33" t="s">
        <v>32</v>
      </c>
      <c r="E700">
        <v>4</v>
      </c>
      <c r="F700" s="34">
        <v>4.6643518518518518E-3</v>
      </c>
      <c r="G700" s="34">
        <v>1.166087962962963E-3</v>
      </c>
      <c r="H700" s="33" t="s">
        <v>156</v>
      </c>
      <c r="I700" s="33" t="s">
        <v>146</v>
      </c>
    </row>
    <row r="701" spans="1:9" x14ac:dyDescent="0.25">
      <c r="A701" s="32">
        <v>46242</v>
      </c>
      <c r="B701" s="33" t="s">
        <v>541</v>
      </c>
      <c r="C701" s="33" t="s">
        <v>105</v>
      </c>
      <c r="D701" s="33" t="s">
        <v>105</v>
      </c>
      <c r="E701">
        <v>4</v>
      </c>
      <c r="F701" s="34">
        <v>4.3692129629629629E-2</v>
      </c>
      <c r="G701" s="34">
        <v>1.0923032407407407E-2</v>
      </c>
      <c r="H701" s="33" t="s">
        <v>114</v>
      </c>
      <c r="I701" s="33" t="s">
        <v>104</v>
      </c>
    </row>
    <row r="702" spans="1:9" x14ac:dyDescent="0.25">
      <c r="A702" s="32">
        <v>46242</v>
      </c>
      <c r="B702" s="33" t="s">
        <v>506</v>
      </c>
      <c r="C702" s="33" t="s">
        <v>32</v>
      </c>
      <c r="D702" s="33" t="s">
        <v>32</v>
      </c>
      <c r="E702">
        <v>20</v>
      </c>
      <c r="F702" s="34">
        <v>9.4687499999999994E-2</v>
      </c>
      <c r="G702" s="34">
        <v>4.7343749999999999E-3</v>
      </c>
      <c r="H702" s="33" t="s">
        <v>44</v>
      </c>
      <c r="I702" s="33" t="s">
        <v>100</v>
      </c>
    </row>
    <row r="703" spans="1:9" x14ac:dyDescent="0.25">
      <c r="A703" s="32">
        <v>46242</v>
      </c>
      <c r="B703" s="33" t="s">
        <v>632</v>
      </c>
      <c r="C703" s="33" t="s">
        <v>105</v>
      </c>
      <c r="D703" s="33" t="s">
        <v>105</v>
      </c>
      <c r="E703">
        <v>1</v>
      </c>
      <c r="F703" s="34">
        <v>2.5000000000000001E-2</v>
      </c>
      <c r="G703" s="34">
        <v>2.5000000000000001E-2</v>
      </c>
      <c r="H703" s="33" t="s">
        <v>609</v>
      </c>
      <c r="I703" s="33" t="s">
        <v>601</v>
      </c>
    </row>
    <row r="704" spans="1:9" x14ac:dyDescent="0.25">
      <c r="A704" s="32">
        <v>46242</v>
      </c>
      <c r="B704" s="33" t="s">
        <v>527</v>
      </c>
      <c r="C704" s="33" t="s">
        <v>32</v>
      </c>
      <c r="D704" s="33" t="s">
        <v>32</v>
      </c>
      <c r="E704">
        <v>7</v>
      </c>
      <c r="F704" s="34">
        <v>2.613425925925926E-2</v>
      </c>
      <c r="G704" s="34">
        <v>3.7334656084656087E-3</v>
      </c>
      <c r="H704" s="33" t="s">
        <v>240</v>
      </c>
      <c r="I704" s="33" t="s">
        <v>233</v>
      </c>
    </row>
    <row r="705" spans="1:9" x14ac:dyDescent="0.25">
      <c r="A705" s="32">
        <v>46242</v>
      </c>
      <c r="B705" s="33" t="s">
        <v>646</v>
      </c>
      <c r="C705" s="33" t="s">
        <v>32</v>
      </c>
      <c r="D705" s="33" t="s">
        <v>32</v>
      </c>
      <c r="E705">
        <v>16</v>
      </c>
      <c r="F705" s="34">
        <v>0.12783564814814816</v>
      </c>
      <c r="G705" s="34">
        <v>7.9897280092592598E-3</v>
      </c>
      <c r="H705" s="33" t="s">
        <v>645</v>
      </c>
      <c r="I705" s="33" t="s">
        <v>100</v>
      </c>
    </row>
    <row r="706" spans="1:9" x14ac:dyDescent="0.25">
      <c r="A706" s="32">
        <v>46242</v>
      </c>
      <c r="B706" s="33" t="s">
        <v>544</v>
      </c>
      <c r="C706" s="33" t="s">
        <v>147</v>
      </c>
      <c r="D706" s="33" t="s">
        <v>147</v>
      </c>
      <c r="E706">
        <v>7</v>
      </c>
      <c r="F706" s="34">
        <v>1.6770833333333332E-2</v>
      </c>
      <c r="G706" s="34">
        <v>2.3958333333333331E-3</v>
      </c>
      <c r="H706" s="33" t="s">
        <v>160</v>
      </c>
      <c r="I706" s="33" t="s">
        <v>146</v>
      </c>
    </row>
    <row r="707" spans="1:9" x14ac:dyDescent="0.25">
      <c r="A707" s="32">
        <v>46242</v>
      </c>
      <c r="B707" s="33" t="s">
        <v>544</v>
      </c>
      <c r="C707" s="33" t="s">
        <v>147</v>
      </c>
      <c r="D707" s="33" t="s">
        <v>32</v>
      </c>
      <c r="E707">
        <v>1</v>
      </c>
      <c r="F707" s="34">
        <v>3.0092592592592595E-4</v>
      </c>
      <c r="G707" s="34">
        <v>3.0092592592592595E-4</v>
      </c>
      <c r="H707" s="33" t="s">
        <v>160</v>
      </c>
      <c r="I707" s="33" t="s">
        <v>146</v>
      </c>
    </row>
    <row r="708" spans="1:9" x14ac:dyDescent="0.25">
      <c r="A708" s="32">
        <v>46242</v>
      </c>
      <c r="B708" s="33" t="s">
        <v>558</v>
      </c>
      <c r="C708" s="33" t="s">
        <v>32</v>
      </c>
      <c r="D708" s="33" t="s">
        <v>32</v>
      </c>
      <c r="E708">
        <v>19</v>
      </c>
      <c r="F708" s="34">
        <v>4.8344907407407406E-2</v>
      </c>
      <c r="G708" s="34">
        <v>2.5444688109161791E-3</v>
      </c>
      <c r="H708" s="33" t="s">
        <v>120</v>
      </c>
      <c r="I708" s="33" t="s">
        <v>233</v>
      </c>
    </row>
    <row r="709" spans="1:9" x14ac:dyDescent="0.25">
      <c r="A709" s="32">
        <v>46242</v>
      </c>
      <c r="B709" s="33" t="s">
        <v>507</v>
      </c>
      <c r="C709" s="33" t="s">
        <v>32</v>
      </c>
      <c r="D709" s="33" t="s">
        <v>32</v>
      </c>
      <c r="E709">
        <v>24</v>
      </c>
      <c r="F709" s="34">
        <v>8.6944444444444449E-2</v>
      </c>
      <c r="G709" s="34">
        <v>3.6226851851851854E-3</v>
      </c>
      <c r="H709" s="33" t="s">
        <v>46</v>
      </c>
      <c r="I709" s="33" t="s">
        <v>100</v>
      </c>
    </row>
    <row r="710" spans="1:9" x14ac:dyDescent="0.25">
      <c r="A710" s="32">
        <v>46242</v>
      </c>
      <c r="B710" s="33" t="s">
        <v>542</v>
      </c>
      <c r="C710" s="33" t="s">
        <v>105</v>
      </c>
      <c r="D710" s="33" t="s">
        <v>105</v>
      </c>
      <c r="E710">
        <v>1</v>
      </c>
      <c r="F710" s="34">
        <v>1.8738425925925926E-2</v>
      </c>
      <c r="G710" s="34">
        <v>1.8738425925925926E-2</v>
      </c>
      <c r="H710" s="33" t="s">
        <v>287</v>
      </c>
      <c r="I710" s="33" t="s">
        <v>104</v>
      </c>
    </row>
    <row r="711" spans="1:9" x14ac:dyDescent="0.25">
      <c r="A711" s="32">
        <v>46242</v>
      </c>
      <c r="B711" s="33" t="s">
        <v>517</v>
      </c>
      <c r="C711" s="33" t="s">
        <v>147</v>
      </c>
      <c r="D711" s="33" t="s">
        <v>147</v>
      </c>
      <c r="E711">
        <v>6</v>
      </c>
      <c r="F711" s="34">
        <v>2.6192129629629631E-2</v>
      </c>
      <c r="G711" s="34">
        <v>4.3653549382716055E-3</v>
      </c>
      <c r="H711" s="33" t="s">
        <v>499</v>
      </c>
      <c r="I711" s="33" t="s">
        <v>146</v>
      </c>
    </row>
    <row r="712" spans="1:9" x14ac:dyDescent="0.25">
      <c r="A712" s="32">
        <v>46242</v>
      </c>
      <c r="B712" s="33" t="s">
        <v>517</v>
      </c>
      <c r="C712" s="33" t="s">
        <v>147</v>
      </c>
      <c r="D712" s="33" t="s">
        <v>32</v>
      </c>
      <c r="E712">
        <v>2</v>
      </c>
      <c r="F712" s="34">
        <v>1.1226851851851851E-3</v>
      </c>
      <c r="G712" s="34">
        <v>5.6134259259259256E-4</v>
      </c>
      <c r="H712" s="33" t="s">
        <v>499</v>
      </c>
      <c r="I712" s="33" t="s">
        <v>146</v>
      </c>
    </row>
    <row r="713" spans="1:9" x14ac:dyDescent="0.25">
      <c r="A713" s="32">
        <v>46242</v>
      </c>
      <c r="B713" s="33" t="s">
        <v>648</v>
      </c>
      <c r="C713" s="33" t="s">
        <v>32</v>
      </c>
      <c r="D713" s="33" t="s">
        <v>32</v>
      </c>
      <c r="E713">
        <v>18</v>
      </c>
      <c r="F713" s="34">
        <v>7.273148148148148E-2</v>
      </c>
      <c r="G713" s="34">
        <v>4.0406378600823046E-3</v>
      </c>
      <c r="H713" s="33" t="s">
        <v>647</v>
      </c>
      <c r="I713" s="33" t="s">
        <v>233</v>
      </c>
    </row>
    <row r="714" spans="1:9" x14ac:dyDescent="0.25">
      <c r="A714" s="32">
        <v>46242</v>
      </c>
      <c r="B714" s="33" t="s">
        <v>652</v>
      </c>
      <c r="C714" s="33" t="s">
        <v>32</v>
      </c>
      <c r="D714" s="33" t="s">
        <v>32</v>
      </c>
      <c r="E714">
        <v>15</v>
      </c>
      <c r="F714" s="34">
        <v>0.10092592592592593</v>
      </c>
      <c r="G714" s="34">
        <v>6.7283950617283957E-3</v>
      </c>
      <c r="H714" s="33" t="s">
        <v>651</v>
      </c>
      <c r="I714" s="33" t="s">
        <v>100</v>
      </c>
    </row>
    <row r="715" spans="1:9" x14ac:dyDescent="0.25">
      <c r="A715" s="32">
        <v>46242</v>
      </c>
      <c r="B715" s="33" t="s">
        <v>568</v>
      </c>
      <c r="C715" s="33" t="s">
        <v>32</v>
      </c>
      <c r="D715" s="33" t="s">
        <v>32</v>
      </c>
      <c r="E715">
        <v>21</v>
      </c>
      <c r="F715" s="34">
        <v>5.4293981481481485E-2</v>
      </c>
      <c r="G715" s="34">
        <v>2.5854276895943564E-3</v>
      </c>
      <c r="H715" s="33" t="s">
        <v>246</v>
      </c>
      <c r="I715" s="33" t="s">
        <v>233</v>
      </c>
    </row>
    <row r="716" spans="1:9" x14ac:dyDescent="0.25">
      <c r="A716" s="32">
        <v>46242</v>
      </c>
      <c r="B716" s="33" t="s">
        <v>508</v>
      </c>
      <c r="C716" s="33" t="s">
        <v>32</v>
      </c>
      <c r="D716" s="33" t="s">
        <v>32</v>
      </c>
      <c r="E716">
        <v>18</v>
      </c>
      <c r="F716" s="34">
        <v>8.1099537037037039E-2</v>
      </c>
      <c r="G716" s="34">
        <v>4.5055298353909468E-3</v>
      </c>
      <c r="H716" s="33" t="s">
        <v>48</v>
      </c>
      <c r="I716" s="33" t="s">
        <v>100</v>
      </c>
    </row>
    <row r="717" spans="1:9" x14ac:dyDescent="0.25">
      <c r="A717" s="32">
        <v>46242</v>
      </c>
      <c r="B717" s="33" t="s">
        <v>538</v>
      </c>
      <c r="C717" s="33" t="s">
        <v>32</v>
      </c>
      <c r="D717" s="33" t="s">
        <v>32</v>
      </c>
      <c r="E717">
        <v>1</v>
      </c>
      <c r="F717" s="34">
        <v>1.9907407407407408E-2</v>
      </c>
      <c r="G717" s="34">
        <v>1.9907407407407408E-2</v>
      </c>
      <c r="H717" s="33" t="s">
        <v>50</v>
      </c>
      <c r="I717" s="33" t="s">
        <v>100</v>
      </c>
    </row>
    <row r="718" spans="1:9" x14ac:dyDescent="0.25">
      <c r="A718" s="32">
        <v>46242</v>
      </c>
      <c r="B718" s="33" t="s">
        <v>603</v>
      </c>
      <c r="C718" s="33" t="s">
        <v>32</v>
      </c>
      <c r="D718" s="33" t="s">
        <v>32</v>
      </c>
      <c r="E718">
        <v>22</v>
      </c>
      <c r="F718" s="34">
        <v>0.1348263888888889</v>
      </c>
      <c r="G718" s="34">
        <v>6.1284722222222227E-3</v>
      </c>
      <c r="H718" s="33" t="s">
        <v>242</v>
      </c>
      <c r="I718" s="33" t="s">
        <v>233</v>
      </c>
    </row>
    <row r="719" spans="1:9" x14ac:dyDescent="0.25">
      <c r="A719" s="32">
        <v>46242</v>
      </c>
      <c r="B719" s="33" t="s">
        <v>559</v>
      </c>
      <c r="C719" s="33" t="s">
        <v>105</v>
      </c>
      <c r="D719" s="33" t="s">
        <v>105</v>
      </c>
      <c r="E719">
        <v>2</v>
      </c>
      <c r="F719" s="34">
        <v>1.2766203703703703E-2</v>
      </c>
      <c r="G719" s="34">
        <v>6.3831018518518516E-3</v>
      </c>
      <c r="H719" s="33" t="s">
        <v>289</v>
      </c>
      <c r="I719" s="33" t="s">
        <v>104</v>
      </c>
    </row>
    <row r="720" spans="1:9" x14ac:dyDescent="0.25">
      <c r="A720" s="32">
        <v>46242</v>
      </c>
      <c r="B720" s="33" t="s">
        <v>518</v>
      </c>
      <c r="C720" s="33" t="s">
        <v>147</v>
      </c>
      <c r="D720" s="33" t="s">
        <v>147</v>
      </c>
      <c r="E720">
        <v>5</v>
      </c>
      <c r="F720" s="34">
        <v>3.0416666666666668E-2</v>
      </c>
      <c r="G720" s="34">
        <v>6.0833333333333338E-3</v>
      </c>
      <c r="H720" s="33" t="s">
        <v>500</v>
      </c>
      <c r="I720" s="33" t="s">
        <v>274</v>
      </c>
    </row>
    <row r="721" spans="1:9" x14ac:dyDescent="0.25">
      <c r="A721" s="32">
        <v>46242</v>
      </c>
      <c r="B721" s="33" t="s">
        <v>518</v>
      </c>
      <c r="C721" s="33" t="s">
        <v>147</v>
      </c>
      <c r="D721" s="33" t="s">
        <v>32</v>
      </c>
      <c r="E721">
        <v>3</v>
      </c>
      <c r="F721" s="34">
        <v>1.207175925925926E-2</v>
      </c>
      <c r="G721" s="34">
        <v>4.0239197530864195E-3</v>
      </c>
      <c r="H721" s="33" t="s">
        <v>500</v>
      </c>
      <c r="I721" s="33" t="s">
        <v>274</v>
      </c>
    </row>
    <row r="722" spans="1:9" x14ac:dyDescent="0.25">
      <c r="A722" s="32">
        <v>46242</v>
      </c>
      <c r="B722" s="33" t="s">
        <v>684</v>
      </c>
      <c r="C722" s="33" t="s">
        <v>32</v>
      </c>
      <c r="D722" s="33" t="s">
        <v>32</v>
      </c>
      <c r="E722">
        <v>19</v>
      </c>
      <c r="F722" s="34">
        <v>5.4884259259259258E-2</v>
      </c>
      <c r="G722" s="34">
        <v>2.8886452241715399E-3</v>
      </c>
      <c r="H722" s="33" t="s">
        <v>683</v>
      </c>
      <c r="I722" s="33" t="s">
        <v>233</v>
      </c>
    </row>
    <row r="723" spans="1:9" x14ac:dyDescent="0.25">
      <c r="A723" s="32">
        <v>46242</v>
      </c>
      <c r="B723" s="33" t="s">
        <v>654</v>
      </c>
      <c r="C723" s="33" t="s">
        <v>32</v>
      </c>
      <c r="D723" s="33" t="s">
        <v>32</v>
      </c>
      <c r="E723">
        <v>21</v>
      </c>
      <c r="F723" s="34">
        <v>0.10456018518518519</v>
      </c>
      <c r="G723" s="34">
        <v>4.979056437389771E-3</v>
      </c>
      <c r="H723" s="33" t="s">
        <v>653</v>
      </c>
      <c r="I723" s="33" t="s">
        <v>100</v>
      </c>
    </row>
    <row r="724" spans="1:9" x14ac:dyDescent="0.25">
      <c r="A724" s="32">
        <v>46242</v>
      </c>
      <c r="B724" s="33" t="s">
        <v>656</v>
      </c>
      <c r="C724" s="33" t="s">
        <v>32</v>
      </c>
      <c r="D724" s="33" t="s">
        <v>32</v>
      </c>
      <c r="E724">
        <v>22</v>
      </c>
      <c r="F724" s="34">
        <v>9.6701388888888892E-2</v>
      </c>
      <c r="G724" s="34">
        <v>4.3955176767676773E-3</v>
      </c>
      <c r="H724" s="33" t="s">
        <v>655</v>
      </c>
      <c r="I724" s="33" t="s">
        <v>100</v>
      </c>
    </row>
    <row r="725" spans="1:9" x14ac:dyDescent="0.25">
      <c r="A725" s="32">
        <v>46242</v>
      </c>
      <c r="B725" s="33" t="s">
        <v>167</v>
      </c>
      <c r="C725" s="33" t="s">
        <v>147</v>
      </c>
      <c r="D725" s="33" t="s">
        <v>147</v>
      </c>
      <c r="E725">
        <v>9</v>
      </c>
      <c r="F725" s="34">
        <v>2.1006944444444446E-2</v>
      </c>
      <c r="G725" s="34">
        <v>2.334104938271605E-3</v>
      </c>
      <c r="H725" s="33" t="s">
        <v>166</v>
      </c>
      <c r="I725" s="33" t="s">
        <v>146</v>
      </c>
    </row>
    <row r="726" spans="1:9" x14ac:dyDescent="0.25">
      <c r="A726" s="32">
        <v>46242</v>
      </c>
      <c r="B726" s="33" t="s">
        <v>167</v>
      </c>
      <c r="C726" s="33" t="s">
        <v>147</v>
      </c>
      <c r="D726" s="33" t="s">
        <v>32</v>
      </c>
      <c r="E726">
        <v>3</v>
      </c>
      <c r="F726" s="34">
        <v>8.5995370370370375E-3</v>
      </c>
      <c r="G726" s="34">
        <v>2.8665123456790126E-3</v>
      </c>
      <c r="H726" s="33" t="s">
        <v>166</v>
      </c>
      <c r="I726" s="33" t="s">
        <v>146</v>
      </c>
    </row>
    <row r="727" spans="1:9" x14ac:dyDescent="0.25">
      <c r="A727" s="32">
        <v>46242</v>
      </c>
      <c r="B727" s="33" t="s">
        <v>658</v>
      </c>
      <c r="C727" s="33" t="s">
        <v>147</v>
      </c>
      <c r="D727" s="33" t="s">
        <v>147</v>
      </c>
      <c r="E727">
        <v>4</v>
      </c>
      <c r="F727" s="34">
        <v>1.0185185185185186E-2</v>
      </c>
      <c r="G727" s="34">
        <v>2.5462962962962965E-3</v>
      </c>
      <c r="H727" s="33" t="s">
        <v>657</v>
      </c>
      <c r="I727" s="33" t="s">
        <v>274</v>
      </c>
    </row>
    <row r="728" spans="1:9" x14ac:dyDescent="0.25">
      <c r="A728" s="32">
        <v>46242</v>
      </c>
      <c r="B728" s="33" t="s">
        <v>658</v>
      </c>
      <c r="C728" s="33" t="s">
        <v>147</v>
      </c>
      <c r="D728" s="33" t="s">
        <v>32</v>
      </c>
      <c r="E728">
        <v>1</v>
      </c>
      <c r="F728" s="34">
        <v>4.409722222222222E-3</v>
      </c>
      <c r="G728" s="34">
        <v>4.409722222222222E-3</v>
      </c>
      <c r="H728" s="33" t="s">
        <v>657</v>
      </c>
      <c r="I728" s="33" t="s">
        <v>274</v>
      </c>
    </row>
    <row r="729" spans="1:9" x14ac:dyDescent="0.25">
      <c r="A729" s="32">
        <v>46242</v>
      </c>
      <c r="B729" s="33" t="s">
        <v>660</v>
      </c>
      <c r="C729" s="33" t="s">
        <v>32</v>
      </c>
      <c r="D729" s="33" t="s">
        <v>32</v>
      </c>
      <c r="E729">
        <v>1</v>
      </c>
      <c r="F729" s="34">
        <v>1.4236111111111112E-3</v>
      </c>
      <c r="G729" s="34">
        <v>1.4236111111111112E-3</v>
      </c>
      <c r="H729" s="33" t="s">
        <v>659</v>
      </c>
      <c r="I729" s="33" t="s">
        <v>100</v>
      </c>
    </row>
    <row r="730" spans="1:9" x14ac:dyDescent="0.25">
      <c r="A730" s="32">
        <v>46242</v>
      </c>
      <c r="B730" s="33" t="s">
        <v>528</v>
      </c>
      <c r="C730" s="33" t="s">
        <v>32</v>
      </c>
      <c r="D730" s="33" t="s">
        <v>32</v>
      </c>
      <c r="E730">
        <v>13</v>
      </c>
      <c r="F730" s="34">
        <v>5.9282407407407409E-2</v>
      </c>
      <c r="G730" s="34">
        <v>4.5601851851851853E-3</v>
      </c>
      <c r="H730" s="33" t="s">
        <v>254</v>
      </c>
      <c r="I730" s="33" t="s">
        <v>233</v>
      </c>
    </row>
    <row r="731" spans="1:9" x14ac:dyDescent="0.25">
      <c r="A731" s="32">
        <v>46242</v>
      </c>
      <c r="B731" s="33" t="s">
        <v>545</v>
      </c>
      <c r="C731" s="33" t="s">
        <v>600</v>
      </c>
      <c r="D731" s="33" t="s">
        <v>600</v>
      </c>
      <c r="E731">
        <v>19</v>
      </c>
      <c r="F731" s="34">
        <v>7.3715277777777782E-2</v>
      </c>
      <c r="G731" s="34">
        <v>3.8797514619883042E-3</v>
      </c>
      <c r="H731" s="33" t="s">
        <v>201</v>
      </c>
      <c r="I731" s="33" t="s">
        <v>601</v>
      </c>
    </row>
    <row r="732" spans="1:9" x14ac:dyDescent="0.25">
      <c r="A732" s="32">
        <v>46242</v>
      </c>
      <c r="B732" s="33" t="s">
        <v>520</v>
      </c>
      <c r="C732" s="33" t="s">
        <v>147</v>
      </c>
      <c r="D732" s="33" t="s">
        <v>147</v>
      </c>
      <c r="E732">
        <v>4</v>
      </c>
      <c r="F732" s="34">
        <v>3.5567129629629629E-2</v>
      </c>
      <c r="G732" s="34">
        <v>8.8917824074074073E-3</v>
      </c>
      <c r="H732" s="33" t="s">
        <v>168</v>
      </c>
      <c r="I732" s="33" t="s">
        <v>274</v>
      </c>
    </row>
    <row r="733" spans="1:9" x14ac:dyDescent="0.25">
      <c r="A733" s="32">
        <v>46242</v>
      </c>
      <c r="B733" s="33" t="s">
        <v>520</v>
      </c>
      <c r="C733" s="33" t="s">
        <v>147</v>
      </c>
      <c r="D733" s="33" t="s">
        <v>32</v>
      </c>
      <c r="E733">
        <v>5</v>
      </c>
      <c r="F733" s="34">
        <v>1.4386574074074074E-2</v>
      </c>
      <c r="G733" s="34">
        <v>2.8773148148148148E-3</v>
      </c>
      <c r="H733" s="33" t="s">
        <v>168</v>
      </c>
      <c r="I733" s="33" t="s">
        <v>274</v>
      </c>
    </row>
    <row r="734" spans="1:9" x14ac:dyDescent="0.25">
      <c r="A734" s="32">
        <v>46242</v>
      </c>
      <c r="B734" s="33" t="s">
        <v>521</v>
      </c>
      <c r="C734" s="33" t="s">
        <v>147</v>
      </c>
      <c r="D734" s="33" t="s">
        <v>147</v>
      </c>
      <c r="E734">
        <v>4</v>
      </c>
      <c r="F734" s="34">
        <v>3.4618055555555555E-2</v>
      </c>
      <c r="G734" s="34">
        <v>8.6545138888888887E-3</v>
      </c>
      <c r="H734" s="33" t="s">
        <v>170</v>
      </c>
      <c r="I734" s="33" t="s">
        <v>146</v>
      </c>
    </row>
    <row r="735" spans="1:9" x14ac:dyDescent="0.25">
      <c r="A735" s="32">
        <v>46242</v>
      </c>
      <c r="B735" s="33" t="s">
        <v>521</v>
      </c>
      <c r="C735" s="33" t="s">
        <v>147</v>
      </c>
      <c r="D735" s="33" t="s">
        <v>32</v>
      </c>
      <c r="E735">
        <v>4</v>
      </c>
      <c r="F735" s="34">
        <v>6.2962962962962964E-3</v>
      </c>
      <c r="G735" s="34">
        <v>1.5740740740740741E-3</v>
      </c>
      <c r="H735" s="33" t="s">
        <v>170</v>
      </c>
      <c r="I735" s="33" t="s">
        <v>146</v>
      </c>
    </row>
    <row r="736" spans="1:9" x14ac:dyDescent="0.25">
      <c r="A736" s="32">
        <v>46242</v>
      </c>
      <c r="B736" s="33" t="s">
        <v>543</v>
      </c>
      <c r="C736" s="33" t="s">
        <v>600</v>
      </c>
      <c r="D736" s="33" t="s">
        <v>600</v>
      </c>
      <c r="E736">
        <v>35</v>
      </c>
      <c r="F736" s="34">
        <v>4.7094907407407405E-2</v>
      </c>
      <c r="G736" s="34">
        <v>1.3455687830687829E-3</v>
      </c>
      <c r="H736" s="33" t="s">
        <v>293</v>
      </c>
      <c r="I736" s="33" t="s">
        <v>104</v>
      </c>
    </row>
    <row r="737" spans="1:9" x14ac:dyDescent="0.25">
      <c r="A737" s="32">
        <v>46242</v>
      </c>
      <c r="B737" s="33" t="s">
        <v>633</v>
      </c>
      <c r="C737" s="33" t="s">
        <v>147</v>
      </c>
      <c r="D737" s="33" t="s">
        <v>147</v>
      </c>
      <c r="E737">
        <v>1</v>
      </c>
      <c r="F737" s="34">
        <v>1.238425925925926E-3</v>
      </c>
      <c r="G737" s="34">
        <v>1.238425925925926E-3</v>
      </c>
      <c r="H737" s="33" t="s">
        <v>606</v>
      </c>
      <c r="I737" s="33" t="s">
        <v>146</v>
      </c>
    </row>
    <row r="738" spans="1:9" x14ac:dyDescent="0.25">
      <c r="A738" s="32">
        <v>46242</v>
      </c>
      <c r="B738" s="33" t="s">
        <v>633</v>
      </c>
      <c r="C738" s="33" t="s">
        <v>147</v>
      </c>
      <c r="D738" s="33" t="s">
        <v>32</v>
      </c>
      <c r="E738">
        <v>4</v>
      </c>
      <c r="F738" s="34">
        <v>5.513888888888889E-2</v>
      </c>
      <c r="G738" s="34">
        <v>1.3784722222222223E-2</v>
      </c>
      <c r="H738" s="33" t="s">
        <v>606</v>
      </c>
      <c r="I738" s="33" t="s">
        <v>146</v>
      </c>
    </row>
    <row r="739" spans="1:9" x14ac:dyDescent="0.25">
      <c r="A739" s="32">
        <v>46242</v>
      </c>
      <c r="B739" s="33" t="s">
        <v>529</v>
      </c>
      <c r="C739" s="33" t="s">
        <v>32</v>
      </c>
      <c r="D739" s="33" t="s">
        <v>32</v>
      </c>
      <c r="E739">
        <v>14</v>
      </c>
      <c r="F739" s="34">
        <v>6.643518518518518E-2</v>
      </c>
      <c r="G739" s="34">
        <v>4.7453703703703703E-3</v>
      </c>
      <c r="H739" s="33" t="s">
        <v>256</v>
      </c>
      <c r="I739" s="33" t="s">
        <v>233</v>
      </c>
    </row>
    <row r="740" spans="1:9" x14ac:dyDescent="0.25">
      <c r="A740" s="32">
        <v>46242</v>
      </c>
      <c r="B740" s="33" t="s">
        <v>554</v>
      </c>
      <c r="C740" s="33" t="s">
        <v>32</v>
      </c>
      <c r="D740" s="33" t="s">
        <v>32</v>
      </c>
      <c r="E740">
        <v>4</v>
      </c>
      <c r="F740" s="34">
        <v>6.5729166666666672E-2</v>
      </c>
      <c r="G740" s="34">
        <v>1.6432291666666668E-2</v>
      </c>
      <c r="H740" s="33" t="s">
        <v>258</v>
      </c>
      <c r="I740" s="33" t="s">
        <v>233</v>
      </c>
    </row>
    <row r="741" spans="1:9" x14ac:dyDescent="0.25">
      <c r="A741" s="32">
        <v>46242</v>
      </c>
      <c r="B741" s="33" t="s">
        <v>662</v>
      </c>
      <c r="C741" s="33" t="s">
        <v>32</v>
      </c>
      <c r="D741" s="33" t="s">
        <v>32</v>
      </c>
      <c r="E741">
        <v>20</v>
      </c>
      <c r="F741" s="34">
        <v>9.7569444444444445E-2</v>
      </c>
      <c r="G741" s="34">
        <v>4.8784722222222224E-3</v>
      </c>
      <c r="H741" s="33" t="s">
        <v>661</v>
      </c>
      <c r="I741" s="33" t="s">
        <v>100</v>
      </c>
    </row>
    <row r="742" spans="1:9" x14ac:dyDescent="0.25">
      <c r="A742" s="32">
        <v>46242</v>
      </c>
      <c r="B742" s="33" t="s">
        <v>664</v>
      </c>
      <c r="C742" s="33" t="s">
        <v>32</v>
      </c>
      <c r="D742" s="33" t="s">
        <v>32</v>
      </c>
      <c r="E742">
        <v>17</v>
      </c>
      <c r="F742" s="34">
        <v>9.5474537037037038E-2</v>
      </c>
      <c r="G742" s="34">
        <v>5.6161492374727671E-3</v>
      </c>
      <c r="H742" s="33" t="s">
        <v>663</v>
      </c>
      <c r="I742" s="33" t="s">
        <v>233</v>
      </c>
    </row>
    <row r="743" spans="1:9" x14ac:dyDescent="0.25">
      <c r="A743" s="32">
        <v>46242</v>
      </c>
      <c r="B743" s="33" t="s">
        <v>565</v>
      </c>
      <c r="C743" s="33" t="s">
        <v>105</v>
      </c>
      <c r="D743" s="33" t="s">
        <v>105</v>
      </c>
      <c r="E743">
        <v>1</v>
      </c>
      <c r="F743" s="34">
        <v>2.3703703703703703E-2</v>
      </c>
      <c r="G743" s="34">
        <v>2.3703703703703703E-2</v>
      </c>
      <c r="H743" s="33" t="s">
        <v>203</v>
      </c>
      <c r="I743" s="33" t="s">
        <v>601</v>
      </c>
    </row>
    <row r="744" spans="1:9" x14ac:dyDescent="0.25">
      <c r="A744" s="32">
        <v>46242</v>
      </c>
      <c r="B744" s="33" t="s">
        <v>666</v>
      </c>
      <c r="C744" s="33" t="s">
        <v>32</v>
      </c>
      <c r="D744" s="33" t="s">
        <v>32</v>
      </c>
      <c r="E744">
        <v>26</v>
      </c>
      <c r="F744" s="34">
        <v>0.14269675925925926</v>
      </c>
      <c r="G744" s="34">
        <v>5.4883368945868949E-3</v>
      </c>
      <c r="H744" s="33" t="s">
        <v>665</v>
      </c>
      <c r="I744" s="33" t="s">
        <v>100</v>
      </c>
    </row>
    <row r="745" spans="1:9" x14ac:dyDescent="0.25">
      <c r="A745" s="32">
        <v>46242</v>
      </c>
      <c r="B745" s="33" t="s">
        <v>555</v>
      </c>
      <c r="C745" s="33" t="s">
        <v>32</v>
      </c>
      <c r="D745" s="33" t="s">
        <v>32</v>
      </c>
      <c r="E745">
        <v>17</v>
      </c>
      <c r="F745" s="34">
        <v>7.1423611111111104E-2</v>
      </c>
      <c r="G745" s="34">
        <v>4.2013888888888882E-3</v>
      </c>
      <c r="H745" s="33" t="s">
        <v>128</v>
      </c>
      <c r="I745" s="33" t="s">
        <v>233</v>
      </c>
    </row>
    <row r="746" spans="1:9" x14ac:dyDescent="0.25">
      <c r="A746" s="32">
        <v>46242</v>
      </c>
      <c r="B746" s="33" t="s">
        <v>522</v>
      </c>
      <c r="C746" s="33" t="s">
        <v>147</v>
      </c>
      <c r="D746" s="33" t="s">
        <v>147</v>
      </c>
      <c r="E746">
        <v>5</v>
      </c>
      <c r="F746" s="34">
        <v>5.5613425925925927E-2</v>
      </c>
      <c r="G746" s="34">
        <v>1.1122685185185185E-2</v>
      </c>
      <c r="H746" s="33" t="s">
        <v>178</v>
      </c>
      <c r="I746" s="33" t="s">
        <v>146</v>
      </c>
    </row>
    <row r="747" spans="1:9" x14ac:dyDescent="0.25">
      <c r="A747" s="32">
        <v>46242</v>
      </c>
      <c r="B747" s="33" t="s">
        <v>522</v>
      </c>
      <c r="C747" s="33" t="s">
        <v>147</v>
      </c>
      <c r="D747" s="33" t="s">
        <v>32</v>
      </c>
      <c r="E747">
        <v>2</v>
      </c>
      <c r="F747" s="34">
        <v>2.2951388888888889E-2</v>
      </c>
      <c r="G747" s="34">
        <v>1.1475694444444445E-2</v>
      </c>
      <c r="H747" s="33" t="s">
        <v>178</v>
      </c>
      <c r="I747" s="33" t="s">
        <v>146</v>
      </c>
    </row>
    <row r="748" spans="1:9" x14ac:dyDescent="0.25">
      <c r="A748" s="32">
        <v>46242</v>
      </c>
      <c r="B748" s="33" t="s">
        <v>531</v>
      </c>
      <c r="C748" s="33" t="s">
        <v>32</v>
      </c>
      <c r="D748" s="33" t="s">
        <v>32</v>
      </c>
      <c r="E748">
        <v>7</v>
      </c>
      <c r="F748" s="34">
        <v>2.2800925925925926E-2</v>
      </c>
      <c r="G748" s="34">
        <v>3.2572751322751323E-3</v>
      </c>
      <c r="H748" s="33" t="s">
        <v>266</v>
      </c>
      <c r="I748" s="33" t="s">
        <v>233</v>
      </c>
    </row>
    <row r="749" spans="1:9" x14ac:dyDescent="0.25">
      <c r="A749" s="32">
        <v>46242</v>
      </c>
      <c r="B749" s="33" t="s">
        <v>667</v>
      </c>
      <c r="C749" s="33" t="s">
        <v>105</v>
      </c>
      <c r="D749" s="33" t="s">
        <v>105</v>
      </c>
      <c r="E749">
        <v>3</v>
      </c>
      <c r="F749" s="34">
        <v>3.1377314814814816E-2</v>
      </c>
      <c r="G749" s="34">
        <v>1.0459104938271605E-2</v>
      </c>
      <c r="H749" s="33" t="s">
        <v>297</v>
      </c>
      <c r="I749" s="33" t="s">
        <v>104</v>
      </c>
    </row>
    <row r="750" spans="1:9" x14ac:dyDescent="0.25">
      <c r="A750" s="32">
        <v>46242</v>
      </c>
      <c r="B750" s="33" t="s">
        <v>635</v>
      </c>
      <c r="C750" s="33" t="s">
        <v>105</v>
      </c>
      <c r="D750" s="33" t="s">
        <v>105</v>
      </c>
      <c r="E750">
        <v>3</v>
      </c>
      <c r="F750" s="34">
        <v>2.7650462962962963E-2</v>
      </c>
      <c r="G750" s="34">
        <v>9.2168209876543217E-3</v>
      </c>
      <c r="H750" s="33" t="s">
        <v>614</v>
      </c>
      <c r="I750" s="33" t="s">
        <v>601</v>
      </c>
    </row>
    <row r="751" spans="1:9" x14ac:dyDescent="0.25">
      <c r="A751" s="32">
        <v>46242</v>
      </c>
      <c r="B751" s="33" t="s">
        <v>523</v>
      </c>
      <c r="C751" s="33" t="s">
        <v>147</v>
      </c>
      <c r="D751" s="33" t="s">
        <v>147</v>
      </c>
      <c r="E751">
        <v>6</v>
      </c>
      <c r="F751" s="34">
        <v>3.9976851851851854E-2</v>
      </c>
      <c r="G751" s="34">
        <v>6.6628086419753089E-3</v>
      </c>
      <c r="H751" s="33" t="s">
        <v>180</v>
      </c>
      <c r="I751" s="33" t="s">
        <v>146</v>
      </c>
    </row>
    <row r="752" spans="1:9" x14ac:dyDescent="0.25">
      <c r="A752" s="32">
        <v>46242</v>
      </c>
      <c r="B752" s="33" t="s">
        <v>523</v>
      </c>
      <c r="C752" s="33" t="s">
        <v>147</v>
      </c>
      <c r="D752" s="33" t="s">
        <v>32</v>
      </c>
      <c r="E752">
        <v>4</v>
      </c>
      <c r="F752" s="34">
        <v>2.7083333333333334E-2</v>
      </c>
      <c r="G752" s="34">
        <v>6.7708333333333336E-3</v>
      </c>
      <c r="H752" s="33" t="s">
        <v>180</v>
      </c>
      <c r="I752" s="33" t="s">
        <v>146</v>
      </c>
    </row>
    <row r="753" spans="1:9" x14ac:dyDescent="0.25">
      <c r="A753" s="32">
        <v>46242</v>
      </c>
      <c r="B753" s="33" t="s">
        <v>636</v>
      </c>
      <c r="C753" s="33" t="s">
        <v>105</v>
      </c>
      <c r="D753" s="33" t="s">
        <v>105</v>
      </c>
      <c r="E753">
        <v>1</v>
      </c>
      <c r="F753" s="34">
        <v>2.3090277777777779E-2</v>
      </c>
      <c r="G753" s="34">
        <v>2.3090277777777779E-2</v>
      </c>
      <c r="H753" s="33" t="s">
        <v>615</v>
      </c>
      <c r="I753" s="33" t="s">
        <v>601</v>
      </c>
    </row>
    <row r="754" spans="1:9" x14ac:dyDescent="0.25">
      <c r="A754" s="32">
        <v>46242</v>
      </c>
      <c r="B754" s="33" t="s">
        <v>566</v>
      </c>
      <c r="C754" s="33" t="s">
        <v>147</v>
      </c>
      <c r="D754" s="33" t="s">
        <v>147</v>
      </c>
      <c r="E754">
        <v>4</v>
      </c>
      <c r="F754" s="34">
        <v>1.5740740740740739E-2</v>
      </c>
      <c r="G754" s="34">
        <v>3.9351851851851848E-3</v>
      </c>
      <c r="H754" s="33" t="s">
        <v>207</v>
      </c>
      <c r="I754" s="33" t="s">
        <v>274</v>
      </c>
    </row>
    <row r="755" spans="1:9" x14ac:dyDescent="0.25">
      <c r="A755" s="32">
        <v>46242</v>
      </c>
      <c r="B755" s="33" t="s">
        <v>566</v>
      </c>
      <c r="C755" s="33" t="s">
        <v>147</v>
      </c>
      <c r="D755" s="33" t="s">
        <v>32</v>
      </c>
      <c r="E755">
        <v>3</v>
      </c>
      <c r="F755" s="34">
        <v>4.2280092592592591E-2</v>
      </c>
      <c r="G755" s="34">
        <v>1.4093364197530864E-2</v>
      </c>
      <c r="H755" s="33" t="s">
        <v>207</v>
      </c>
      <c r="I755" s="33" t="s">
        <v>274</v>
      </c>
    </row>
    <row r="756" spans="1:9" x14ac:dyDescent="0.25">
      <c r="A756" s="32">
        <v>46242</v>
      </c>
      <c r="B756" s="33" t="s">
        <v>637</v>
      </c>
      <c r="C756" s="33" t="s">
        <v>105</v>
      </c>
      <c r="D756" s="33" t="s">
        <v>105</v>
      </c>
      <c r="E756">
        <v>1</v>
      </c>
      <c r="F756" s="34">
        <v>1.7245370370370369E-2</v>
      </c>
      <c r="G756" s="34">
        <v>1.7245370370370369E-2</v>
      </c>
      <c r="H756" s="33" t="s">
        <v>616</v>
      </c>
      <c r="I756" s="33" t="s">
        <v>601</v>
      </c>
    </row>
    <row r="757" spans="1:9" x14ac:dyDescent="0.25">
      <c r="A757" s="32">
        <v>46242</v>
      </c>
      <c r="B757" s="33" t="s">
        <v>567</v>
      </c>
      <c r="C757" s="33" t="s">
        <v>105</v>
      </c>
      <c r="D757" s="33" t="s">
        <v>105</v>
      </c>
      <c r="E757">
        <v>1</v>
      </c>
      <c r="F757" s="34">
        <v>2.7164351851851853E-2</v>
      </c>
      <c r="G757" s="34">
        <v>2.7164351851851853E-2</v>
      </c>
      <c r="H757" s="33" t="s">
        <v>209</v>
      </c>
      <c r="I757" s="33" t="s">
        <v>601</v>
      </c>
    </row>
    <row r="758" spans="1:9" x14ac:dyDescent="0.25">
      <c r="A758" s="32">
        <v>46242</v>
      </c>
      <c r="B758" s="33" t="s">
        <v>510</v>
      </c>
      <c r="C758" s="33" t="s">
        <v>32</v>
      </c>
      <c r="D758" s="33" t="s">
        <v>32</v>
      </c>
      <c r="E758">
        <v>27</v>
      </c>
      <c r="F758" s="34">
        <v>0.1076388888888889</v>
      </c>
      <c r="G758" s="34">
        <v>3.9866255144032922E-3</v>
      </c>
      <c r="H758" s="33" t="s">
        <v>60</v>
      </c>
      <c r="I758" s="33" t="s">
        <v>100</v>
      </c>
    </row>
    <row r="759" spans="1:9" x14ac:dyDescent="0.25">
      <c r="A759" s="32">
        <v>46242</v>
      </c>
      <c r="B759" s="33" t="s">
        <v>512</v>
      </c>
      <c r="C759" s="33" t="s">
        <v>105</v>
      </c>
      <c r="D759" s="33" t="s">
        <v>105</v>
      </c>
      <c r="E759">
        <v>2</v>
      </c>
      <c r="F759" s="34">
        <v>1.2511574074074074E-2</v>
      </c>
      <c r="G759" s="34">
        <v>6.2557870370370371E-3</v>
      </c>
      <c r="H759" s="33" t="s">
        <v>132</v>
      </c>
      <c r="I759" s="33" t="s">
        <v>104</v>
      </c>
    </row>
    <row r="760" spans="1:9" x14ac:dyDescent="0.25">
      <c r="A760" s="32">
        <v>46242</v>
      </c>
      <c r="B760" s="33" t="s">
        <v>560</v>
      </c>
      <c r="C760" s="33" t="s">
        <v>105</v>
      </c>
      <c r="D760" s="33" t="s">
        <v>105</v>
      </c>
      <c r="E760">
        <v>5</v>
      </c>
      <c r="F760" s="34">
        <v>4.884259259259259E-2</v>
      </c>
      <c r="G760" s="34">
        <v>9.7685185185185184E-3</v>
      </c>
      <c r="H760" s="33" t="s">
        <v>134</v>
      </c>
      <c r="I760" s="33" t="s">
        <v>104</v>
      </c>
    </row>
    <row r="761" spans="1:9" x14ac:dyDescent="0.25">
      <c r="A761" s="32">
        <v>46242</v>
      </c>
      <c r="B761" s="33" t="s">
        <v>546</v>
      </c>
      <c r="C761" s="33" t="s">
        <v>105</v>
      </c>
      <c r="D761" s="33" t="s">
        <v>105</v>
      </c>
      <c r="E761">
        <v>2</v>
      </c>
      <c r="F761" s="34">
        <v>3.8379629629629632E-2</v>
      </c>
      <c r="G761" s="34">
        <v>1.9189814814814816E-2</v>
      </c>
      <c r="H761" s="33" t="s">
        <v>211</v>
      </c>
      <c r="I761" s="33" t="s">
        <v>104</v>
      </c>
    </row>
    <row r="762" spans="1:9" x14ac:dyDescent="0.25">
      <c r="A762" s="32">
        <v>46242</v>
      </c>
      <c r="B762" s="33" t="s">
        <v>638</v>
      </c>
      <c r="C762" s="33" t="s">
        <v>105</v>
      </c>
      <c r="D762" s="33" t="s">
        <v>105</v>
      </c>
      <c r="E762">
        <v>1</v>
      </c>
      <c r="F762" s="34">
        <v>1.6307870370370372E-2</v>
      </c>
      <c r="G762" s="34">
        <v>1.6307870370370372E-2</v>
      </c>
      <c r="H762" s="33" t="s">
        <v>617</v>
      </c>
      <c r="I762" s="33" t="s">
        <v>601</v>
      </c>
    </row>
    <row r="763" spans="1:9" x14ac:dyDescent="0.25">
      <c r="A763" s="32">
        <v>46242</v>
      </c>
      <c r="B763" s="33" t="s">
        <v>572</v>
      </c>
      <c r="C763" s="33" t="s">
        <v>105</v>
      </c>
      <c r="D763" s="33" t="s">
        <v>105</v>
      </c>
      <c r="E763">
        <v>2</v>
      </c>
      <c r="F763" s="34">
        <v>3.5034722222222224E-2</v>
      </c>
      <c r="G763" s="34">
        <v>1.7517361111111112E-2</v>
      </c>
      <c r="H763" s="33" t="s">
        <v>213</v>
      </c>
      <c r="I763" s="33" t="s">
        <v>601</v>
      </c>
    </row>
    <row r="764" spans="1:9" x14ac:dyDescent="0.25">
      <c r="A764" s="32">
        <v>46242</v>
      </c>
      <c r="B764" s="33" t="s">
        <v>669</v>
      </c>
      <c r="C764" s="33" t="s">
        <v>32</v>
      </c>
      <c r="D764" s="33" t="s">
        <v>32</v>
      </c>
      <c r="E764">
        <v>18</v>
      </c>
      <c r="F764" s="34">
        <v>6.6087962962962959E-2</v>
      </c>
      <c r="G764" s="34">
        <v>3.6715534979423867E-3</v>
      </c>
      <c r="H764" s="33" t="s">
        <v>668</v>
      </c>
      <c r="I764" s="33" t="s">
        <v>233</v>
      </c>
    </row>
    <row r="765" spans="1:9" x14ac:dyDescent="0.25">
      <c r="A765" s="32">
        <v>46242</v>
      </c>
      <c r="B765" s="33" t="s">
        <v>670</v>
      </c>
      <c r="C765" s="33" t="s">
        <v>32</v>
      </c>
      <c r="D765" s="33" t="s">
        <v>32</v>
      </c>
      <c r="E765">
        <v>26</v>
      </c>
      <c r="F765" s="34">
        <v>5.5717592592592589E-2</v>
      </c>
      <c r="G765" s="34">
        <v>2.1429843304843306E-3</v>
      </c>
      <c r="H765" s="33" t="s">
        <v>744</v>
      </c>
      <c r="I765" s="33" t="s">
        <v>100</v>
      </c>
    </row>
    <row r="766" spans="1:9" x14ac:dyDescent="0.25">
      <c r="A766" s="32">
        <v>46242</v>
      </c>
      <c r="B766" s="33" t="s">
        <v>548</v>
      </c>
      <c r="C766" s="33" t="s">
        <v>105</v>
      </c>
      <c r="D766" s="33" t="s">
        <v>105</v>
      </c>
      <c r="E766">
        <v>2</v>
      </c>
      <c r="F766" s="34">
        <v>3.3020833333333333E-2</v>
      </c>
      <c r="G766" s="34">
        <v>1.6510416666666666E-2</v>
      </c>
      <c r="H766" s="33" t="s">
        <v>219</v>
      </c>
      <c r="I766" s="33" t="s">
        <v>104</v>
      </c>
    </row>
    <row r="767" spans="1:9" x14ac:dyDescent="0.25">
      <c r="A767" s="32">
        <v>46242</v>
      </c>
      <c r="B767" s="33" t="s">
        <v>306</v>
      </c>
      <c r="C767" s="33" t="s">
        <v>32</v>
      </c>
      <c r="D767" s="33" t="s">
        <v>32</v>
      </c>
      <c r="E767">
        <v>18</v>
      </c>
      <c r="F767" s="34">
        <v>6.6446759259259261E-2</v>
      </c>
      <c r="G767" s="34">
        <v>3.6914866255144032E-3</v>
      </c>
      <c r="H767" s="33" t="s">
        <v>305</v>
      </c>
      <c r="I767" s="33" t="s">
        <v>100</v>
      </c>
    </row>
    <row r="768" spans="1:9" x14ac:dyDescent="0.25">
      <c r="A768" s="32">
        <v>46242</v>
      </c>
      <c r="B768" s="33" t="s">
        <v>641</v>
      </c>
      <c r="C768" s="33" t="s">
        <v>105</v>
      </c>
      <c r="D768" s="33" t="s">
        <v>105</v>
      </c>
      <c r="E768">
        <v>1</v>
      </c>
      <c r="F768" s="34">
        <v>2.8009259259259258E-2</v>
      </c>
      <c r="G768" s="34">
        <v>2.8009259259259258E-2</v>
      </c>
      <c r="H768" s="33" t="s">
        <v>620</v>
      </c>
      <c r="I768" s="33" t="s">
        <v>601</v>
      </c>
    </row>
    <row r="769" spans="1:9" x14ac:dyDescent="0.25">
      <c r="A769" s="32">
        <v>46242</v>
      </c>
      <c r="B769" s="33" t="s">
        <v>556</v>
      </c>
      <c r="C769" s="33" t="s">
        <v>105</v>
      </c>
      <c r="D769" s="33" t="s">
        <v>105</v>
      </c>
      <c r="E769">
        <v>4</v>
      </c>
      <c r="F769" s="34">
        <v>6.3379629629629633E-2</v>
      </c>
      <c r="G769" s="34">
        <v>1.5844907407407408E-2</v>
      </c>
      <c r="H769" s="33" t="s">
        <v>138</v>
      </c>
      <c r="I769" s="33" t="s">
        <v>104</v>
      </c>
    </row>
    <row r="770" spans="1:9" x14ac:dyDescent="0.25">
      <c r="A770" s="32">
        <v>46242</v>
      </c>
      <c r="B770" s="33" t="s">
        <v>532</v>
      </c>
      <c r="C770" s="33" t="s">
        <v>32</v>
      </c>
      <c r="D770" s="33" t="s">
        <v>32</v>
      </c>
      <c r="E770">
        <v>6</v>
      </c>
      <c r="F770" s="34">
        <v>2.7534722222222221E-2</v>
      </c>
      <c r="G770" s="34">
        <v>4.5891203703703701E-3</v>
      </c>
      <c r="H770" s="33" t="s">
        <v>276</v>
      </c>
      <c r="I770" s="33" t="s">
        <v>233</v>
      </c>
    </row>
    <row r="771" spans="1:9" x14ac:dyDescent="0.25">
      <c r="A771" s="32">
        <v>46242</v>
      </c>
      <c r="B771" s="33" t="s">
        <v>533</v>
      </c>
      <c r="C771" s="33" t="s">
        <v>32</v>
      </c>
      <c r="D771" s="33" t="s">
        <v>32</v>
      </c>
      <c r="E771">
        <v>16</v>
      </c>
      <c r="F771" s="34">
        <v>0.10398148148148148</v>
      </c>
      <c r="G771" s="34">
        <v>6.4988425925925925E-3</v>
      </c>
      <c r="H771" s="33" t="s">
        <v>278</v>
      </c>
      <c r="I771" s="33" t="s">
        <v>233</v>
      </c>
    </row>
    <row r="772" spans="1:9" x14ac:dyDescent="0.25">
      <c r="A772" s="32">
        <v>46242</v>
      </c>
      <c r="B772" s="33" t="s">
        <v>511</v>
      </c>
      <c r="C772" s="33" t="s">
        <v>80</v>
      </c>
      <c r="D772" s="33" t="s">
        <v>32</v>
      </c>
      <c r="E772">
        <v>1</v>
      </c>
      <c r="F772" s="34">
        <v>1.6319444444444445E-2</v>
      </c>
      <c r="G772" s="34">
        <v>1.6319444444444445E-2</v>
      </c>
      <c r="H772" s="33" t="s">
        <v>313</v>
      </c>
      <c r="I772" s="33" t="s">
        <v>78</v>
      </c>
    </row>
    <row r="773" spans="1:9" x14ac:dyDescent="0.25">
      <c r="A773" s="32">
        <v>46242</v>
      </c>
      <c r="B773" s="33" t="s">
        <v>674</v>
      </c>
      <c r="C773" s="33" t="s">
        <v>105</v>
      </c>
      <c r="D773" s="33" t="s">
        <v>105</v>
      </c>
      <c r="E773">
        <v>2</v>
      </c>
      <c r="F773" s="34">
        <v>1.5856481481481481E-3</v>
      </c>
      <c r="G773" s="34">
        <v>7.9282407407407405E-4</v>
      </c>
      <c r="H773" s="33" t="s">
        <v>673</v>
      </c>
      <c r="I773" s="33" t="s">
        <v>104</v>
      </c>
    </row>
    <row r="774" spans="1:9" x14ac:dyDescent="0.25">
      <c r="A774" s="32">
        <v>46242</v>
      </c>
      <c r="B774" s="33" t="s">
        <v>549</v>
      </c>
      <c r="C774" s="33" t="s">
        <v>105</v>
      </c>
      <c r="D774" s="33" t="s">
        <v>105</v>
      </c>
      <c r="E774">
        <v>1</v>
      </c>
      <c r="F774" s="34">
        <v>1.7199074074074075E-2</v>
      </c>
      <c r="G774" s="34">
        <v>1.7199074074074075E-2</v>
      </c>
      <c r="H774" s="33" t="s">
        <v>225</v>
      </c>
      <c r="I774" s="33" t="s">
        <v>601</v>
      </c>
    </row>
    <row r="775" spans="1:9" x14ac:dyDescent="0.25">
      <c r="A775" s="32">
        <v>46242</v>
      </c>
      <c r="B775" s="33" t="s">
        <v>571</v>
      </c>
      <c r="C775" s="33" t="s">
        <v>105</v>
      </c>
      <c r="D775" s="33" t="s">
        <v>105</v>
      </c>
      <c r="E775">
        <v>4</v>
      </c>
      <c r="F775" s="34">
        <v>4.2465277777777775E-2</v>
      </c>
      <c r="G775" s="34">
        <v>1.0616319444444444E-2</v>
      </c>
      <c r="H775" s="33" t="s">
        <v>299</v>
      </c>
      <c r="I775" s="33" t="s">
        <v>104</v>
      </c>
    </row>
    <row r="776" spans="1:9" x14ac:dyDescent="0.25">
      <c r="A776" s="32">
        <v>46242</v>
      </c>
      <c r="B776" s="33" t="s">
        <v>535</v>
      </c>
      <c r="C776" s="33" t="s">
        <v>32</v>
      </c>
      <c r="D776" s="33" t="s">
        <v>32</v>
      </c>
      <c r="E776">
        <v>1</v>
      </c>
      <c r="F776" s="34">
        <v>3.8310185185185183E-3</v>
      </c>
      <c r="G776" s="34">
        <v>3.8310185185185183E-3</v>
      </c>
      <c r="H776" s="33" t="s">
        <v>282</v>
      </c>
      <c r="I776" s="33" t="s">
        <v>233</v>
      </c>
    </row>
    <row r="777" spans="1:9" x14ac:dyDescent="0.25">
      <c r="A777" s="32">
        <v>46242</v>
      </c>
      <c r="B777" s="33" t="s">
        <v>557</v>
      </c>
      <c r="C777" s="33" t="s">
        <v>147</v>
      </c>
      <c r="D777" s="33" t="s">
        <v>147</v>
      </c>
      <c r="E777">
        <v>3</v>
      </c>
      <c r="F777" s="34">
        <v>9.5949074074074079E-3</v>
      </c>
      <c r="G777" s="34">
        <v>3.1983024691358028E-3</v>
      </c>
      <c r="H777" s="33" t="s">
        <v>227</v>
      </c>
      <c r="I777" s="33" t="s">
        <v>146</v>
      </c>
    </row>
    <row r="778" spans="1:9" x14ac:dyDescent="0.25">
      <c r="A778" s="32">
        <v>46242</v>
      </c>
      <c r="B778" s="33" t="s">
        <v>557</v>
      </c>
      <c r="C778" s="33" t="s">
        <v>147</v>
      </c>
      <c r="D778" s="33" t="s">
        <v>32</v>
      </c>
      <c r="E778">
        <v>5</v>
      </c>
      <c r="F778" s="34">
        <v>1.1284722222222222E-2</v>
      </c>
      <c r="G778" s="34">
        <v>2.2569444444444442E-3</v>
      </c>
      <c r="H778" s="33" t="s">
        <v>227</v>
      </c>
      <c r="I778" s="33" t="s">
        <v>146</v>
      </c>
    </row>
    <row r="779" spans="1:9" x14ac:dyDescent="0.25">
      <c r="A779" s="32">
        <v>46242</v>
      </c>
      <c r="B779" s="33" t="s">
        <v>676</v>
      </c>
      <c r="C779" s="33" t="s">
        <v>105</v>
      </c>
      <c r="D779" s="33" t="s">
        <v>105</v>
      </c>
      <c r="E779">
        <v>3</v>
      </c>
      <c r="F779" s="34">
        <v>6.0451388888888888E-2</v>
      </c>
      <c r="G779" s="34">
        <v>2.0150462962962964E-2</v>
      </c>
      <c r="H779" s="33" t="s">
        <v>675</v>
      </c>
      <c r="I779" s="33" t="s">
        <v>104</v>
      </c>
    </row>
    <row r="780" spans="1:9" x14ac:dyDescent="0.25">
      <c r="A780" s="32">
        <v>46242</v>
      </c>
      <c r="B780" s="33" t="s">
        <v>678</v>
      </c>
      <c r="C780" s="33" t="s">
        <v>147</v>
      </c>
      <c r="D780" s="33" t="s">
        <v>147</v>
      </c>
      <c r="E780">
        <v>5</v>
      </c>
      <c r="F780" s="34">
        <v>4.7025462962962963E-2</v>
      </c>
      <c r="G780" s="34">
        <v>9.4050925925925934E-3</v>
      </c>
      <c r="H780" s="33" t="s">
        <v>677</v>
      </c>
      <c r="I780" s="33" t="s">
        <v>274</v>
      </c>
    </row>
    <row r="781" spans="1:9" x14ac:dyDescent="0.25">
      <c r="A781" s="32">
        <v>46242</v>
      </c>
      <c r="B781" s="33" t="s">
        <v>678</v>
      </c>
      <c r="C781" s="33" t="s">
        <v>147</v>
      </c>
      <c r="D781" s="33" t="s">
        <v>32</v>
      </c>
      <c r="E781">
        <v>4</v>
      </c>
      <c r="F781" s="34">
        <v>4.5486111111111109E-3</v>
      </c>
      <c r="G781" s="34">
        <v>1.1371527777777777E-3</v>
      </c>
      <c r="H781" s="33" t="s">
        <v>677</v>
      </c>
      <c r="I781" s="33" t="s">
        <v>274</v>
      </c>
    </row>
    <row r="782" spans="1:9" x14ac:dyDescent="0.25">
      <c r="A782" s="32">
        <v>46244</v>
      </c>
      <c r="B782" s="33" t="s">
        <v>562</v>
      </c>
      <c r="C782" s="33" t="s">
        <v>80</v>
      </c>
      <c r="D782" s="33" t="s">
        <v>32</v>
      </c>
      <c r="E782">
        <v>2</v>
      </c>
      <c r="F782" s="34">
        <v>6.1921296296296299E-3</v>
      </c>
      <c r="G782" s="34">
        <v>3.0960648148148149E-3</v>
      </c>
      <c r="H782" s="33" t="s">
        <v>186</v>
      </c>
      <c r="I782" s="33" t="s">
        <v>78</v>
      </c>
    </row>
    <row r="783" spans="1:9" x14ac:dyDescent="0.25">
      <c r="A783" s="32">
        <v>46244</v>
      </c>
      <c r="B783" s="33" t="s">
        <v>644</v>
      </c>
      <c r="C783" s="33" t="s">
        <v>32</v>
      </c>
      <c r="D783" s="33" t="s">
        <v>32</v>
      </c>
      <c r="E783">
        <v>20</v>
      </c>
      <c r="F783" s="34">
        <v>0.16665509259259259</v>
      </c>
      <c r="G783" s="34">
        <v>8.3327546296296292E-3</v>
      </c>
      <c r="H783" s="33" t="s">
        <v>643</v>
      </c>
      <c r="I783" s="33" t="s">
        <v>233</v>
      </c>
    </row>
    <row r="784" spans="1:9" x14ac:dyDescent="0.25">
      <c r="A784" s="32">
        <v>46244</v>
      </c>
      <c r="B784" s="33" t="s">
        <v>563</v>
      </c>
      <c r="C784" s="33" t="s">
        <v>147</v>
      </c>
      <c r="D784" s="33" t="s">
        <v>147</v>
      </c>
      <c r="E784">
        <v>11</v>
      </c>
      <c r="F784" s="34">
        <v>4.5879629629629631E-2</v>
      </c>
      <c r="G784" s="34">
        <v>4.1708754208754214E-3</v>
      </c>
      <c r="H784" s="33" t="s">
        <v>193</v>
      </c>
      <c r="I784" s="33" t="s">
        <v>274</v>
      </c>
    </row>
    <row r="785" spans="1:9" x14ac:dyDescent="0.25">
      <c r="A785" s="32">
        <v>46244</v>
      </c>
      <c r="B785" s="33" t="s">
        <v>563</v>
      </c>
      <c r="C785" s="33" t="s">
        <v>147</v>
      </c>
      <c r="D785" s="33" t="s">
        <v>32</v>
      </c>
      <c r="E785">
        <v>7</v>
      </c>
      <c r="F785" s="34">
        <v>1.8668981481481481E-2</v>
      </c>
      <c r="G785" s="34">
        <v>2.6669973544973546E-3</v>
      </c>
      <c r="H785" s="33" t="s">
        <v>193</v>
      </c>
      <c r="I785" s="33" t="s">
        <v>274</v>
      </c>
    </row>
    <row r="786" spans="1:9" x14ac:dyDescent="0.25">
      <c r="A786" s="32">
        <v>46244</v>
      </c>
      <c r="B786" s="33" t="s">
        <v>525</v>
      </c>
      <c r="C786" s="33" t="s">
        <v>32</v>
      </c>
      <c r="D786" s="33" t="s">
        <v>32</v>
      </c>
      <c r="E786">
        <v>41</v>
      </c>
      <c r="F786" s="34">
        <v>0.13798611111111111</v>
      </c>
      <c r="G786" s="34">
        <v>3.3655149051490516E-3</v>
      </c>
      <c r="H786" s="33" t="s">
        <v>231</v>
      </c>
      <c r="I786" s="33" t="s">
        <v>233</v>
      </c>
    </row>
    <row r="787" spans="1:9" x14ac:dyDescent="0.25">
      <c r="A787" s="32">
        <v>46244</v>
      </c>
      <c r="B787" s="33" t="s">
        <v>513</v>
      </c>
      <c r="C787" s="33" t="s">
        <v>105</v>
      </c>
      <c r="D787" s="33" t="s">
        <v>105</v>
      </c>
      <c r="E787">
        <v>7</v>
      </c>
      <c r="F787" s="34">
        <v>0.14166666666666666</v>
      </c>
      <c r="G787" s="34">
        <v>2.0238095238095239E-2</v>
      </c>
      <c r="H787" s="33" t="s">
        <v>148</v>
      </c>
      <c r="I787" s="33" t="s">
        <v>104</v>
      </c>
    </row>
    <row r="788" spans="1:9" x14ac:dyDescent="0.25">
      <c r="A788" s="32">
        <v>46244</v>
      </c>
      <c r="B788" s="33" t="s">
        <v>550</v>
      </c>
      <c r="C788" s="33" t="s">
        <v>32</v>
      </c>
      <c r="D788" s="33" t="s">
        <v>32</v>
      </c>
      <c r="E788">
        <v>32</v>
      </c>
      <c r="F788" s="34">
        <v>0.1514699074074074</v>
      </c>
      <c r="G788" s="34">
        <v>4.7334346064814813E-3</v>
      </c>
      <c r="H788" s="33" t="s">
        <v>234</v>
      </c>
      <c r="I788" s="33" t="s">
        <v>233</v>
      </c>
    </row>
    <row r="789" spans="1:9" x14ac:dyDescent="0.25">
      <c r="A789" s="32">
        <v>46244</v>
      </c>
      <c r="B789" s="33" t="s">
        <v>505</v>
      </c>
      <c r="C789" s="33" t="s">
        <v>32</v>
      </c>
      <c r="D789" s="33" t="s">
        <v>32</v>
      </c>
      <c r="E789">
        <v>38</v>
      </c>
      <c r="F789" s="34">
        <v>0.14078703703703704</v>
      </c>
      <c r="G789" s="34">
        <v>3.7049220272904484E-3</v>
      </c>
      <c r="H789" s="33" t="s">
        <v>34</v>
      </c>
      <c r="I789" s="33" t="s">
        <v>233</v>
      </c>
    </row>
    <row r="790" spans="1:9" x14ac:dyDescent="0.25">
      <c r="A790" s="32">
        <v>46244</v>
      </c>
      <c r="B790" s="33" t="s">
        <v>569</v>
      </c>
      <c r="C790" s="33" t="s">
        <v>105</v>
      </c>
      <c r="D790" s="33" t="s">
        <v>105</v>
      </c>
      <c r="E790">
        <v>6</v>
      </c>
      <c r="F790" s="34">
        <v>8.532407407407408E-2</v>
      </c>
      <c r="G790" s="34">
        <v>1.422067901234568E-2</v>
      </c>
      <c r="H790" s="33" t="s">
        <v>493</v>
      </c>
      <c r="I790" s="33" t="s">
        <v>104</v>
      </c>
    </row>
    <row r="791" spans="1:9" x14ac:dyDescent="0.25">
      <c r="A791" s="32">
        <v>46244</v>
      </c>
      <c r="B791" s="33" t="s">
        <v>551</v>
      </c>
      <c r="C791" s="33" t="s">
        <v>32</v>
      </c>
      <c r="D791" s="33" t="s">
        <v>32</v>
      </c>
      <c r="E791">
        <v>3</v>
      </c>
      <c r="F791" s="34">
        <v>1.0300925925925926E-3</v>
      </c>
      <c r="G791" s="34">
        <v>3.433641975308642E-4</v>
      </c>
      <c r="H791" s="33" t="s">
        <v>236</v>
      </c>
      <c r="I791" s="33" t="s">
        <v>233</v>
      </c>
    </row>
    <row r="792" spans="1:9" x14ac:dyDescent="0.25">
      <c r="A792" s="32">
        <v>46244</v>
      </c>
      <c r="B792" s="33" t="s">
        <v>631</v>
      </c>
      <c r="C792" s="33" t="s">
        <v>105</v>
      </c>
      <c r="D792" s="33" t="s">
        <v>105</v>
      </c>
      <c r="E792">
        <v>3</v>
      </c>
      <c r="F792" s="34">
        <v>8.1678240740740746E-2</v>
      </c>
      <c r="G792" s="34">
        <v>2.7226080246913583E-2</v>
      </c>
      <c r="H792" s="33" t="s">
        <v>608</v>
      </c>
      <c r="I792" s="33" t="s">
        <v>601</v>
      </c>
    </row>
    <row r="793" spans="1:9" x14ac:dyDescent="0.25">
      <c r="A793" s="32">
        <v>46244</v>
      </c>
      <c r="B793" s="33" t="s">
        <v>564</v>
      </c>
      <c r="C793" s="33" t="s">
        <v>105</v>
      </c>
      <c r="D793" s="33" t="s">
        <v>105</v>
      </c>
      <c r="E793">
        <v>1</v>
      </c>
      <c r="F793" s="34">
        <v>2.4236111111111111E-2</v>
      </c>
      <c r="G793" s="34">
        <v>2.4236111111111111E-2</v>
      </c>
      <c r="H793" s="33" t="s">
        <v>197</v>
      </c>
      <c r="I793" s="33" t="s">
        <v>601</v>
      </c>
    </row>
    <row r="794" spans="1:9" x14ac:dyDescent="0.25">
      <c r="A794" s="32">
        <v>46244</v>
      </c>
      <c r="B794" s="33" t="s">
        <v>536</v>
      </c>
      <c r="C794" s="33" t="s">
        <v>32</v>
      </c>
      <c r="D794" s="33" t="s">
        <v>32</v>
      </c>
      <c r="E794">
        <v>4</v>
      </c>
      <c r="F794" s="34">
        <v>1.744212962962963E-2</v>
      </c>
      <c r="G794" s="34">
        <v>4.3605324074074076E-3</v>
      </c>
      <c r="H794" s="33" t="s">
        <v>38</v>
      </c>
      <c r="I794" s="33" t="s">
        <v>100</v>
      </c>
    </row>
    <row r="795" spans="1:9" x14ac:dyDescent="0.25">
      <c r="A795" s="32">
        <v>46244</v>
      </c>
      <c r="B795" s="33" t="s">
        <v>682</v>
      </c>
      <c r="C795" s="33" t="s">
        <v>105</v>
      </c>
      <c r="D795" s="33" t="s">
        <v>105</v>
      </c>
      <c r="E795">
        <v>1</v>
      </c>
      <c r="F795" s="34">
        <v>3.9247685185185184E-2</v>
      </c>
      <c r="G795" s="34">
        <v>3.9247685185185184E-2</v>
      </c>
      <c r="H795" s="33" t="s">
        <v>681</v>
      </c>
      <c r="I795" s="33" t="s">
        <v>601</v>
      </c>
    </row>
    <row r="796" spans="1:9" x14ac:dyDescent="0.25">
      <c r="A796" s="32">
        <v>46244</v>
      </c>
      <c r="B796" s="33" t="s">
        <v>515</v>
      </c>
      <c r="C796" s="33" t="s">
        <v>147</v>
      </c>
      <c r="D796" s="33" t="s">
        <v>147</v>
      </c>
      <c r="E796">
        <v>18</v>
      </c>
      <c r="F796" s="34">
        <v>3.9085648148148147E-2</v>
      </c>
      <c r="G796" s="34">
        <v>2.1714248971193414E-3</v>
      </c>
      <c r="H796" s="33" t="s">
        <v>154</v>
      </c>
      <c r="I796" s="33" t="s">
        <v>146</v>
      </c>
    </row>
    <row r="797" spans="1:9" x14ac:dyDescent="0.25">
      <c r="A797" s="32">
        <v>46244</v>
      </c>
      <c r="B797" s="33" t="s">
        <v>515</v>
      </c>
      <c r="C797" s="33" t="s">
        <v>147</v>
      </c>
      <c r="D797" s="33" t="s">
        <v>32</v>
      </c>
      <c r="E797">
        <v>11</v>
      </c>
      <c r="F797" s="34">
        <v>1.6689814814814814E-2</v>
      </c>
      <c r="G797" s="34">
        <v>1.5172558922558921E-3</v>
      </c>
      <c r="H797" s="33" t="s">
        <v>154</v>
      </c>
      <c r="I797" s="33" t="s">
        <v>146</v>
      </c>
    </row>
    <row r="798" spans="1:9" x14ac:dyDescent="0.25">
      <c r="A798" s="32">
        <v>46244</v>
      </c>
      <c r="B798" s="33" t="s">
        <v>570</v>
      </c>
      <c r="C798" s="33" t="s">
        <v>105</v>
      </c>
      <c r="D798" s="33" t="s">
        <v>105</v>
      </c>
      <c r="E798">
        <v>5</v>
      </c>
      <c r="F798" s="34">
        <v>0.1547337962962963</v>
      </c>
      <c r="G798" s="34">
        <v>3.0946759259259261E-2</v>
      </c>
      <c r="H798" s="33" t="s">
        <v>112</v>
      </c>
      <c r="I798" s="33" t="s">
        <v>104</v>
      </c>
    </row>
    <row r="799" spans="1:9" x14ac:dyDescent="0.25">
      <c r="A799" s="32">
        <v>46244</v>
      </c>
      <c r="B799" s="33" t="s">
        <v>516</v>
      </c>
      <c r="C799" s="33" t="s">
        <v>147</v>
      </c>
      <c r="D799" s="33" t="s">
        <v>147</v>
      </c>
      <c r="E799">
        <v>17</v>
      </c>
      <c r="F799" s="34">
        <v>4.5960648148148146E-2</v>
      </c>
      <c r="G799" s="34">
        <v>2.7035675381263616E-3</v>
      </c>
      <c r="H799" s="33" t="s">
        <v>156</v>
      </c>
      <c r="I799" s="33" t="s">
        <v>146</v>
      </c>
    </row>
    <row r="800" spans="1:9" x14ac:dyDescent="0.25">
      <c r="A800" s="32">
        <v>46244</v>
      </c>
      <c r="B800" s="33" t="s">
        <v>516</v>
      </c>
      <c r="C800" s="33" t="s">
        <v>147</v>
      </c>
      <c r="D800" s="33" t="s">
        <v>32</v>
      </c>
      <c r="E800">
        <v>10</v>
      </c>
      <c r="F800" s="34">
        <v>1.1828703703703704E-2</v>
      </c>
      <c r="G800" s="34">
        <v>1.1828703703703704E-3</v>
      </c>
      <c r="H800" s="33" t="s">
        <v>156</v>
      </c>
      <c r="I800" s="33" t="s">
        <v>146</v>
      </c>
    </row>
    <row r="801" spans="1:9" x14ac:dyDescent="0.25">
      <c r="A801" s="32">
        <v>46244</v>
      </c>
      <c r="B801" s="33" t="s">
        <v>541</v>
      </c>
      <c r="C801" s="33" t="s">
        <v>105</v>
      </c>
      <c r="D801" s="33" t="s">
        <v>105</v>
      </c>
      <c r="E801">
        <v>7</v>
      </c>
      <c r="F801" s="34">
        <v>0.14543981481481483</v>
      </c>
      <c r="G801" s="34">
        <v>2.0777116402116404E-2</v>
      </c>
      <c r="H801" s="33" t="s">
        <v>114</v>
      </c>
      <c r="I801" s="33" t="s">
        <v>104</v>
      </c>
    </row>
    <row r="802" spans="1:9" x14ac:dyDescent="0.25">
      <c r="A802" s="32">
        <v>46244</v>
      </c>
      <c r="B802" s="33" t="s">
        <v>506</v>
      </c>
      <c r="C802" s="33" t="s">
        <v>32</v>
      </c>
      <c r="D802" s="33" t="s">
        <v>32</v>
      </c>
      <c r="E802">
        <v>33</v>
      </c>
      <c r="F802" s="34">
        <v>0.16623842592592591</v>
      </c>
      <c r="G802" s="34">
        <v>5.0375280583613916E-3</v>
      </c>
      <c r="H802" s="33" t="s">
        <v>44</v>
      </c>
      <c r="I802" s="33" t="s">
        <v>100</v>
      </c>
    </row>
    <row r="803" spans="1:9" x14ac:dyDescent="0.25">
      <c r="A803" s="32">
        <v>46244</v>
      </c>
      <c r="B803" s="33" t="s">
        <v>632</v>
      </c>
      <c r="C803" s="33" t="s">
        <v>105</v>
      </c>
      <c r="D803" s="33" t="s">
        <v>105</v>
      </c>
      <c r="E803">
        <v>2</v>
      </c>
      <c r="F803" s="34">
        <v>4.0868055555555553E-2</v>
      </c>
      <c r="G803" s="34">
        <v>2.0434027777777777E-2</v>
      </c>
      <c r="H803" s="33" t="s">
        <v>609</v>
      </c>
      <c r="I803" s="33" t="s">
        <v>601</v>
      </c>
    </row>
    <row r="804" spans="1:9" x14ac:dyDescent="0.25">
      <c r="A804" s="32">
        <v>46244</v>
      </c>
      <c r="B804" s="33" t="s">
        <v>646</v>
      </c>
      <c r="C804" s="33" t="s">
        <v>32</v>
      </c>
      <c r="D804" s="33" t="s">
        <v>32</v>
      </c>
      <c r="E804">
        <v>43</v>
      </c>
      <c r="F804" s="34">
        <v>0.17996527777777777</v>
      </c>
      <c r="G804" s="34">
        <v>4.1852390180878553E-3</v>
      </c>
      <c r="H804" s="33" t="s">
        <v>645</v>
      </c>
      <c r="I804" s="33" t="s">
        <v>100</v>
      </c>
    </row>
    <row r="805" spans="1:9" x14ac:dyDescent="0.25">
      <c r="A805" s="32">
        <v>46244</v>
      </c>
      <c r="B805" s="33" t="s">
        <v>544</v>
      </c>
      <c r="C805" s="33" t="s">
        <v>147</v>
      </c>
      <c r="D805" s="33" t="s">
        <v>147</v>
      </c>
      <c r="E805">
        <v>19</v>
      </c>
      <c r="F805" s="34">
        <v>4.386574074074074E-2</v>
      </c>
      <c r="G805" s="34">
        <v>2.3087231968810917E-3</v>
      </c>
      <c r="H805" s="33" t="s">
        <v>160</v>
      </c>
      <c r="I805" s="33" t="s">
        <v>146</v>
      </c>
    </row>
    <row r="806" spans="1:9" x14ac:dyDescent="0.25">
      <c r="A806" s="32">
        <v>46244</v>
      </c>
      <c r="B806" s="33" t="s">
        <v>544</v>
      </c>
      <c r="C806" s="33" t="s">
        <v>147</v>
      </c>
      <c r="D806" s="33" t="s">
        <v>32</v>
      </c>
      <c r="E806">
        <v>10</v>
      </c>
      <c r="F806" s="34">
        <v>1.2719907407407407E-2</v>
      </c>
      <c r="G806" s="34">
        <v>1.2719907407407406E-3</v>
      </c>
      <c r="H806" s="33" t="s">
        <v>160</v>
      </c>
      <c r="I806" s="33" t="s">
        <v>146</v>
      </c>
    </row>
    <row r="807" spans="1:9" x14ac:dyDescent="0.25">
      <c r="A807" s="32">
        <v>46244</v>
      </c>
      <c r="B807" s="33" t="s">
        <v>558</v>
      </c>
      <c r="C807" s="33" t="s">
        <v>32</v>
      </c>
      <c r="D807" s="33" t="s">
        <v>32</v>
      </c>
      <c r="E807">
        <v>48</v>
      </c>
      <c r="F807" s="34">
        <v>0.13994212962962962</v>
      </c>
      <c r="G807" s="34">
        <v>2.9154610339506173E-3</v>
      </c>
      <c r="H807" s="33" t="s">
        <v>120</v>
      </c>
      <c r="I807" s="33" t="s">
        <v>233</v>
      </c>
    </row>
    <row r="808" spans="1:9" x14ac:dyDescent="0.25">
      <c r="A808" s="32">
        <v>46244</v>
      </c>
      <c r="B808" s="33" t="s">
        <v>507</v>
      </c>
      <c r="C808" s="33" t="s">
        <v>32</v>
      </c>
      <c r="D808" s="33" t="s">
        <v>32</v>
      </c>
      <c r="E808">
        <v>44</v>
      </c>
      <c r="F808" s="34">
        <v>0.17393518518518519</v>
      </c>
      <c r="G808" s="34">
        <v>3.9530723905723906E-3</v>
      </c>
      <c r="H808" s="33" t="s">
        <v>46</v>
      </c>
      <c r="I808" s="33" t="s">
        <v>100</v>
      </c>
    </row>
    <row r="809" spans="1:9" x14ac:dyDescent="0.25">
      <c r="A809" s="32">
        <v>46244</v>
      </c>
      <c r="B809" s="33" t="s">
        <v>542</v>
      </c>
      <c r="C809" s="33" t="s">
        <v>105</v>
      </c>
      <c r="D809" s="33" t="s">
        <v>105</v>
      </c>
      <c r="E809">
        <v>4</v>
      </c>
      <c r="F809" s="34">
        <v>8.7766203703703707E-2</v>
      </c>
      <c r="G809" s="34">
        <v>2.1941550925925927E-2</v>
      </c>
      <c r="H809" s="33" t="s">
        <v>287</v>
      </c>
      <c r="I809" s="33" t="s">
        <v>104</v>
      </c>
    </row>
    <row r="810" spans="1:9" x14ac:dyDescent="0.25">
      <c r="A810" s="32">
        <v>46244</v>
      </c>
      <c r="B810" s="33" t="s">
        <v>517</v>
      </c>
      <c r="C810" s="33" t="s">
        <v>147</v>
      </c>
      <c r="D810" s="33" t="s">
        <v>147</v>
      </c>
      <c r="E810">
        <v>14</v>
      </c>
      <c r="F810" s="34">
        <v>3.9097222222222221E-2</v>
      </c>
      <c r="G810" s="34">
        <v>2.7926587301587299E-3</v>
      </c>
      <c r="H810" s="33" t="s">
        <v>499</v>
      </c>
      <c r="I810" s="33" t="s">
        <v>146</v>
      </c>
    </row>
    <row r="811" spans="1:9" x14ac:dyDescent="0.25">
      <c r="A811" s="32">
        <v>46244</v>
      </c>
      <c r="B811" s="33" t="s">
        <v>517</v>
      </c>
      <c r="C811" s="33" t="s">
        <v>147</v>
      </c>
      <c r="D811" s="33" t="s">
        <v>32</v>
      </c>
      <c r="E811">
        <v>10</v>
      </c>
      <c r="F811" s="34">
        <v>3.4953703703703702E-2</v>
      </c>
      <c r="G811" s="34">
        <v>3.49537037037037E-3</v>
      </c>
      <c r="H811" s="33" t="s">
        <v>499</v>
      </c>
      <c r="I811" s="33" t="s">
        <v>146</v>
      </c>
    </row>
    <row r="812" spans="1:9" x14ac:dyDescent="0.25">
      <c r="A812" s="32">
        <v>46244</v>
      </c>
      <c r="B812" s="33" t="s">
        <v>648</v>
      </c>
      <c r="C812" s="33" t="s">
        <v>32</v>
      </c>
      <c r="D812" s="33" t="s">
        <v>32</v>
      </c>
      <c r="E812">
        <v>33</v>
      </c>
      <c r="F812" s="34">
        <v>0.14221064814814816</v>
      </c>
      <c r="G812" s="34">
        <v>4.3094135802469137E-3</v>
      </c>
      <c r="H812" s="33" t="s">
        <v>647</v>
      </c>
      <c r="I812" s="33" t="s">
        <v>233</v>
      </c>
    </row>
    <row r="813" spans="1:9" x14ac:dyDescent="0.25">
      <c r="A813" s="32">
        <v>46244</v>
      </c>
      <c r="B813" s="33" t="s">
        <v>650</v>
      </c>
      <c r="C813" s="33" t="s">
        <v>105</v>
      </c>
      <c r="D813" s="33" t="s">
        <v>105</v>
      </c>
      <c r="E813">
        <v>8</v>
      </c>
      <c r="F813" s="34">
        <v>0.18138888888888888</v>
      </c>
      <c r="G813" s="34">
        <v>2.267361111111111E-2</v>
      </c>
      <c r="H813" s="33" t="s">
        <v>649</v>
      </c>
      <c r="I813" s="33" t="s">
        <v>104</v>
      </c>
    </row>
    <row r="814" spans="1:9" x14ac:dyDescent="0.25">
      <c r="A814" s="32">
        <v>46244</v>
      </c>
      <c r="B814" s="33" t="s">
        <v>650</v>
      </c>
      <c r="C814" s="33" t="s">
        <v>105</v>
      </c>
      <c r="D814" s="33" t="s">
        <v>32</v>
      </c>
      <c r="E814">
        <v>10</v>
      </c>
      <c r="F814" s="34">
        <v>4.0740740740740744E-2</v>
      </c>
      <c r="G814" s="34">
        <v>4.0740740740740746E-3</v>
      </c>
      <c r="H814" s="33" t="s">
        <v>649</v>
      </c>
      <c r="I814" s="33" t="s">
        <v>104</v>
      </c>
    </row>
    <row r="815" spans="1:9" x14ac:dyDescent="0.25">
      <c r="A815" s="32">
        <v>46244</v>
      </c>
      <c r="B815" s="33" t="s">
        <v>568</v>
      </c>
      <c r="C815" s="33" t="s">
        <v>32</v>
      </c>
      <c r="D815" s="33" t="s">
        <v>32</v>
      </c>
      <c r="E815">
        <v>40</v>
      </c>
      <c r="F815" s="34">
        <v>0.20607638888888888</v>
      </c>
      <c r="G815" s="34">
        <v>5.1519097222222218E-3</v>
      </c>
      <c r="H815" s="33" t="s">
        <v>246</v>
      </c>
      <c r="I815" s="33" t="s">
        <v>233</v>
      </c>
    </row>
    <row r="816" spans="1:9" x14ac:dyDescent="0.25">
      <c r="A816" s="32">
        <v>46244</v>
      </c>
      <c r="B816" s="33" t="s">
        <v>538</v>
      </c>
      <c r="C816" s="33" t="s">
        <v>32</v>
      </c>
      <c r="D816" s="33" t="s">
        <v>32</v>
      </c>
      <c r="E816">
        <v>7</v>
      </c>
      <c r="F816" s="34">
        <v>1.7465277777777777E-2</v>
      </c>
      <c r="G816" s="34">
        <v>2.4950396825396824E-3</v>
      </c>
      <c r="H816" s="33" t="s">
        <v>50</v>
      </c>
      <c r="I816" s="33" t="s">
        <v>100</v>
      </c>
    </row>
    <row r="817" spans="1:9" x14ac:dyDescent="0.25">
      <c r="A817" s="32">
        <v>46244</v>
      </c>
      <c r="B817" s="33" t="s">
        <v>603</v>
      </c>
      <c r="C817" s="33" t="s">
        <v>32</v>
      </c>
      <c r="D817" s="33" t="s">
        <v>32</v>
      </c>
      <c r="E817">
        <v>28</v>
      </c>
      <c r="F817" s="34">
        <v>0.15961805555555555</v>
      </c>
      <c r="G817" s="34">
        <v>5.7006448412698415E-3</v>
      </c>
      <c r="H817" s="33" t="s">
        <v>242</v>
      </c>
      <c r="I817" s="33" t="s">
        <v>233</v>
      </c>
    </row>
    <row r="818" spans="1:9" x14ac:dyDescent="0.25">
      <c r="A818" s="32">
        <v>46244</v>
      </c>
      <c r="B818" s="33" t="s">
        <v>249</v>
      </c>
      <c r="C818" s="33" t="s">
        <v>80</v>
      </c>
      <c r="D818" s="33" t="s">
        <v>32</v>
      </c>
      <c r="E818">
        <v>1</v>
      </c>
      <c r="F818" s="34">
        <v>3.7870370370370374E-2</v>
      </c>
      <c r="G818" s="34">
        <v>3.7870370370370374E-2</v>
      </c>
      <c r="H818" s="33" t="s">
        <v>248</v>
      </c>
      <c r="I818" s="33" t="s">
        <v>78</v>
      </c>
    </row>
    <row r="819" spans="1:9" x14ac:dyDescent="0.25">
      <c r="A819" s="32">
        <v>46244</v>
      </c>
      <c r="B819" s="33" t="s">
        <v>559</v>
      </c>
      <c r="C819" s="33" t="s">
        <v>105</v>
      </c>
      <c r="D819" s="33" t="s">
        <v>105</v>
      </c>
      <c r="E819">
        <v>8</v>
      </c>
      <c r="F819" s="34">
        <v>0.14472222222222222</v>
      </c>
      <c r="G819" s="34">
        <v>1.8090277777777778E-2</v>
      </c>
      <c r="H819" s="33" t="s">
        <v>289</v>
      </c>
      <c r="I819" s="33" t="s">
        <v>104</v>
      </c>
    </row>
    <row r="820" spans="1:9" x14ac:dyDescent="0.25">
      <c r="A820" s="32">
        <v>46244</v>
      </c>
      <c r="B820" s="33" t="s">
        <v>518</v>
      </c>
      <c r="C820" s="33" t="s">
        <v>147</v>
      </c>
      <c r="D820" s="33" t="s">
        <v>147</v>
      </c>
      <c r="E820">
        <v>17</v>
      </c>
      <c r="F820" s="34">
        <v>4.2083333333333334E-2</v>
      </c>
      <c r="G820" s="34">
        <v>2.4754901960784316E-3</v>
      </c>
      <c r="H820" s="33" t="s">
        <v>500</v>
      </c>
      <c r="I820" s="33" t="s">
        <v>274</v>
      </c>
    </row>
    <row r="821" spans="1:9" x14ac:dyDescent="0.25">
      <c r="A821" s="32">
        <v>46244</v>
      </c>
      <c r="B821" s="33" t="s">
        <v>518</v>
      </c>
      <c r="C821" s="33" t="s">
        <v>147</v>
      </c>
      <c r="D821" s="33" t="s">
        <v>32</v>
      </c>
      <c r="E821">
        <v>6</v>
      </c>
      <c r="F821" s="34">
        <v>2.5949074074074076E-2</v>
      </c>
      <c r="G821" s="34">
        <v>4.3248456790123463E-3</v>
      </c>
      <c r="H821" s="33" t="s">
        <v>500</v>
      </c>
      <c r="I821" s="33" t="s">
        <v>274</v>
      </c>
    </row>
    <row r="822" spans="1:9" x14ac:dyDescent="0.25">
      <c r="A822" s="32">
        <v>46244</v>
      </c>
      <c r="B822" s="33" t="s">
        <v>684</v>
      </c>
      <c r="C822" s="33" t="s">
        <v>32</v>
      </c>
      <c r="D822" s="33" t="s">
        <v>32</v>
      </c>
      <c r="E822">
        <v>30</v>
      </c>
      <c r="F822" s="34">
        <v>0.14435185185185184</v>
      </c>
      <c r="G822" s="34">
        <v>4.8117283950617285E-3</v>
      </c>
      <c r="H822" s="33" t="s">
        <v>683</v>
      </c>
      <c r="I822" s="33" t="s">
        <v>233</v>
      </c>
    </row>
    <row r="823" spans="1:9" x14ac:dyDescent="0.25">
      <c r="A823" s="32">
        <v>46244</v>
      </c>
      <c r="B823" s="33" t="s">
        <v>654</v>
      </c>
      <c r="C823" s="33" t="s">
        <v>32</v>
      </c>
      <c r="D823" s="33" t="s">
        <v>32</v>
      </c>
      <c r="E823">
        <v>41</v>
      </c>
      <c r="F823" s="34">
        <v>0.1519212962962963</v>
      </c>
      <c r="G823" s="34">
        <v>3.7053974706413731E-3</v>
      </c>
      <c r="H823" s="33" t="s">
        <v>653</v>
      </c>
      <c r="I823" s="33" t="s">
        <v>100</v>
      </c>
    </row>
    <row r="824" spans="1:9" x14ac:dyDescent="0.25">
      <c r="A824" s="32">
        <v>46244</v>
      </c>
      <c r="B824" s="33" t="s">
        <v>509</v>
      </c>
      <c r="C824" s="33" t="s">
        <v>32</v>
      </c>
      <c r="D824" s="33" t="s">
        <v>32</v>
      </c>
      <c r="E824">
        <v>7</v>
      </c>
      <c r="F824" s="34">
        <v>3.9745370370370368E-2</v>
      </c>
      <c r="G824" s="34">
        <v>5.6779100529100526E-3</v>
      </c>
      <c r="H824" s="33" t="s">
        <v>52</v>
      </c>
      <c r="I824" s="33" t="s">
        <v>100</v>
      </c>
    </row>
    <row r="825" spans="1:9" x14ac:dyDescent="0.25">
      <c r="A825" s="32">
        <v>46244</v>
      </c>
      <c r="B825" s="33" t="s">
        <v>656</v>
      </c>
      <c r="C825" s="33" t="s">
        <v>32</v>
      </c>
      <c r="D825" s="33" t="s">
        <v>32</v>
      </c>
      <c r="E825">
        <v>35</v>
      </c>
      <c r="F825" s="34">
        <v>0.16173611111111111</v>
      </c>
      <c r="G825" s="34">
        <v>4.6210317460317462E-3</v>
      </c>
      <c r="H825" s="33" t="s">
        <v>655</v>
      </c>
      <c r="I825" s="33" t="s">
        <v>100</v>
      </c>
    </row>
    <row r="826" spans="1:9" x14ac:dyDescent="0.25">
      <c r="A826" s="32">
        <v>46244</v>
      </c>
      <c r="B826" s="33" t="s">
        <v>167</v>
      </c>
      <c r="C826" s="33" t="s">
        <v>147</v>
      </c>
      <c r="D826" s="33" t="s">
        <v>147</v>
      </c>
      <c r="E826">
        <v>17</v>
      </c>
      <c r="F826" s="34">
        <v>2.9942129629629631E-2</v>
      </c>
      <c r="G826" s="34">
        <v>1.7613017429193901E-3</v>
      </c>
      <c r="H826" s="33" t="s">
        <v>166</v>
      </c>
      <c r="I826" s="33" t="s">
        <v>146</v>
      </c>
    </row>
    <row r="827" spans="1:9" x14ac:dyDescent="0.25">
      <c r="A827" s="32">
        <v>46244</v>
      </c>
      <c r="B827" s="33" t="s">
        <v>167</v>
      </c>
      <c r="C827" s="33" t="s">
        <v>147</v>
      </c>
      <c r="D827" s="33" t="s">
        <v>32</v>
      </c>
      <c r="E827">
        <v>14</v>
      </c>
      <c r="F827" s="34">
        <v>1.9050925925925926E-2</v>
      </c>
      <c r="G827" s="34">
        <v>1.3607804232804233E-3</v>
      </c>
      <c r="H827" s="33" t="s">
        <v>166</v>
      </c>
      <c r="I827" s="33" t="s">
        <v>146</v>
      </c>
    </row>
    <row r="828" spans="1:9" x14ac:dyDescent="0.25">
      <c r="A828" s="32">
        <v>46244</v>
      </c>
      <c r="B828" s="33" t="s">
        <v>658</v>
      </c>
      <c r="C828" s="33" t="s">
        <v>147</v>
      </c>
      <c r="D828" s="33" t="s">
        <v>147</v>
      </c>
      <c r="E828">
        <v>8</v>
      </c>
      <c r="F828" s="34">
        <v>2.8206018518518519E-2</v>
      </c>
      <c r="G828" s="34">
        <v>3.5257523148148149E-3</v>
      </c>
      <c r="H828" s="33" t="s">
        <v>657</v>
      </c>
      <c r="I828" s="33" t="s">
        <v>274</v>
      </c>
    </row>
    <row r="829" spans="1:9" x14ac:dyDescent="0.25">
      <c r="A829" s="32">
        <v>46244</v>
      </c>
      <c r="B829" s="33" t="s">
        <v>658</v>
      </c>
      <c r="C829" s="33" t="s">
        <v>147</v>
      </c>
      <c r="D829" s="33" t="s">
        <v>32</v>
      </c>
      <c r="E829">
        <v>10</v>
      </c>
      <c r="F829" s="34">
        <v>5.6782407407407406E-2</v>
      </c>
      <c r="G829" s="34">
        <v>5.6782407407407406E-3</v>
      </c>
      <c r="H829" s="33" t="s">
        <v>657</v>
      </c>
      <c r="I829" s="33" t="s">
        <v>274</v>
      </c>
    </row>
    <row r="830" spans="1:9" x14ac:dyDescent="0.25">
      <c r="A830" s="32">
        <v>46244</v>
      </c>
      <c r="B830" s="33" t="s">
        <v>660</v>
      </c>
      <c r="C830" s="33" t="s">
        <v>32</v>
      </c>
      <c r="D830" s="33" t="s">
        <v>32</v>
      </c>
      <c r="E830">
        <v>5</v>
      </c>
      <c r="F830" s="34">
        <v>3.6736111111111108E-2</v>
      </c>
      <c r="G830" s="34">
        <v>7.347222222222222E-3</v>
      </c>
      <c r="H830" s="33" t="s">
        <v>659</v>
      </c>
      <c r="I830" s="33" t="s">
        <v>100</v>
      </c>
    </row>
    <row r="831" spans="1:9" x14ac:dyDescent="0.25">
      <c r="A831" s="32">
        <v>46244</v>
      </c>
      <c r="B831" s="33" t="s">
        <v>528</v>
      </c>
      <c r="C831" s="33" t="s">
        <v>32</v>
      </c>
      <c r="D831" s="33" t="s">
        <v>32</v>
      </c>
      <c r="E831">
        <v>26</v>
      </c>
      <c r="F831" s="34">
        <v>0.12406250000000001</v>
      </c>
      <c r="G831" s="34">
        <v>4.771634615384616E-3</v>
      </c>
      <c r="H831" s="33" t="s">
        <v>254</v>
      </c>
      <c r="I831" s="33" t="s">
        <v>233</v>
      </c>
    </row>
    <row r="832" spans="1:9" x14ac:dyDescent="0.25">
      <c r="A832" s="32">
        <v>46244</v>
      </c>
      <c r="B832" s="33" t="s">
        <v>545</v>
      </c>
      <c r="C832" s="33" t="s">
        <v>600</v>
      </c>
      <c r="D832" s="33" t="s">
        <v>600</v>
      </c>
      <c r="E832">
        <v>23</v>
      </c>
      <c r="F832" s="34">
        <v>7.6516203703703697E-2</v>
      </c>
      <c r="G832" s="34">
        <v>3.3267914653784215E-3</v>
      </c>
      <c r="H832" s="33" t="s">
        <v>201</v>
      </c>
      <c r="I832" s="33" t="s">
        <v>601</v>
      </c>
    </row>
    <row r="833" spans="1:9" x14ac:dyDescent="0.25">
      <c r="A833" s="32">
        <v>46244</v>
      </c>
      <c r="B833" s="33" t="s">
        <v>520</v>
      </c>
      <c r="C833" s="33" t="s">
        <v>147</v>
      </c>
      <c r="D833" s="33" t="s">
        <v>147</v>
      </c>
      <c r="E833">
        <v>11</v>
      </c>
      <c r="F833" s="34">
        <v>1.9837962962962963E-2</v>
      </c>
      <c r="G833" s="34">
        <v>1.8034511784511785E-3</v>
      </c>
      <c r="H833" s="33" t="s">
        <v>168</v>
      </c>
      <c r="I833" s="33" t="s">
        <v>274</v>
      </c>
    </row>
    <row r="834" spans="1:9" x14ac:dyDescent="0.25">
      <c r="A834" s="32">
        <v>46244</v>
      </c>
      <c r="B834" s="33" t="s">
        <v>520</v>
      </c>
      <c r="C834" s="33" t="s">
        <v>147</v>
      </c>
      <c r="D834" s="33" t="s">
        <v>32</v>
      </c>
      <c r="E834">
        <v>12</v>
      </c>
      <c r="F834" s="34">
        <v>4.3657407407407409E-2</v>
      </c>
      <c r="G834" s="34">
        <v>3.6381172839506175E-3</v>
      </c>
      <c r="H834" s="33" t="s">
        <v>168</v>
      </c>
      <c r="I834" s="33" t="s">
        <v>274</v>
      </c>
    </row>
    <row r="835" spans="1:9" x14ac:dyDescent="0.25">
      <c r="A835" s="32">
        <v>46244</v>
      </c>
      <c r="B835" s="33" t="s">
        <v>521</v>
      </c>
      <c r="C835" s="33" t="s">
        <v>147</v>
      </c>
      <c r="D835" s="33" t="s">
        <v>147</v>
      </c>
      <c r="E835">
        <v>10</v>
      </c>
      <c r="F835" s="34">
        <v>5.8634259259259261E-2</v>
      </c>
      <c r="G835" s="34">
        <v>5.8634259259259264E-3</v>
      </c>
      <c r="H835" s="33" t="s">
        <v>170</v>
      </c>
      <c r="I835" s="33" t="s">
        <v>146</v>
      </c>
    </row>
    <row r="836" spans="1:9" x14ac:dyDescent="0.25">
      <c r="A836" s="32">
        <v>46244</v>
      </c>
      <c r="B836" s="33" t="s">
        <v>521</v>
      </c>
      <c r="C836" s="33" t="s">
        <v>147</v>
      </c>
      <c r="D836" s="33" t="s">
        <v>32</v>
      </c>
      <c r="E836">
        <v>8</v>
      </c>
      <c r="F836" s="34">
        <v>4.2997685185185187E-2</v>
      </c>
      <c r="G836" s="34">
        <v>5.3747106481481484E-3</v>
      </c>
      <c r="H836" s="33" t="s">
        <v>170</v>
      </c>
      <c r="I836" s="33" t="s">
        <v>146</v>
      </c>
    </row>
    <row r="837" spans="1:9" x14ac:dyDescent="0.25">
      <c r="A837" s="32">
        <v>46244</v>
      </c>
      <c r="B837" s="33" t="s">
        <v>543</v>
      </c>
      <c r="C837" s="33" t="s">
        <v>600</v>
      </c>
      <c r="D837" s="33" t="s">
        <v>600</v>
      </c>
      <c r="E837">
        <v>53</v>
      </c>
      <c r="F837" s="34">
        <v>8.9907407407407408E-2</v>
      </c>
      <c r="G837" s="34">
        <v>1.696366177498253E-3</v>
      </c>
      <c r="H837" s="33" t="s">
        <v>293</v>
      </c>
      <c r="I837" s="33" t="s">
        <v>104</v>
      </c>
    </row>
    <row r="838" spans="1:9" x14ac:dyDescent="0.25">
      <c r="A838" s="32">
        <v>46244</v>
      </c>
      <c r="B838" s="33" t="s">
        <v>634</v>
      </c>
      <c r="C838" s="33" t="s">
        <v>105</v>
      </c>
      <c r="D838" s="33" t="s">
        <v>105</v>
      </c>
      <c r="E838">
        <v>1</v>
      </c>
      <c r="F838" s="34">
        <v>3.1805555555555552E-2</v>
      </c>
      <c r="G838" s="34">
        <v>3.1805555555555552E-2</v>
      </c>
      <c r="H838" s="33" t="s">
        <v>612</v>
      </c>
      <c r="I838" s="33" t="s">
        <v>601</v>
      </c>
    </row>
    <row r="839" spans="1:9" x14ac:dyDescent="0.25">
      <c r="A839" s="32">
        <v>46244</v>
      </c>
      <c r="B839" s="33" t="s">
        <v>529</v>
      </c>
      <c r="C839" s="33" t="s">
        <v>32</v>
      </c>
      <c r="D839" s="33" t="s">
        <v>32</v>
      </c>
      <c r="E839">
        <v>27</v>
      </c>
      <c r="F839" s="34">
        <v>7.1006944444444442E-2</v>
      </c>
      <c r="G839" s="34">
        <v>2.6298868312757202E-3</v>
      </c>
      <c r="H839" s="33" t="s">
        <v>256</v>
      </c>
      <c r="I839" s="33" t="s">
        <v>233</v>
      </c>
    </row>
    <row r="840" spans="1:9" x14ac:dyDescent="0.25">
      <c r="A840" s="32">
        <v>46244</v>
      </c>
      <c r="B840" s="33" t="s">
        <v>554</v>
      </c>
      <c r="C840" s="33" t="s">
        <v>32</v>
      </c>
      <c r="D840" s="33" t="s">
        <v>32</v>
      </c>
      <c r="E840">
        <v>4</v>
      </c>
      <c r="F840" s="34">
        <v>1.5671296296296298E-2</v>
      </c>
      <c r="G840" s="34">
        <v>3.9178240740740744E-3</v>
      </c>
      <c r="H840" s="33" t="s">
        <v>258</v>
      </c>
      <c r="I840" s="33" t="s">
        <v>233</v>
      </c>
    </row>
    <row r="841" spans="1:9" x14ac:dyDescent="0.25">
      <c r="A841" s="32">
        <v>46244</v>
      </c>
      <c r="B841" s="33" t="s">
        <v>662</v>
      </c>
      <c r="C841" s="33" t="s">
        <v>32</v>
      </c>
      <c r="D841" s="33" t="s">
        <v>32</v>
      </c>
      <c r="E841">
        <v>45</v>
      </c>
      <c r="F841" s="34">
        <v>0.15459490740740742</v>
      </c>
      <c r="G841" s="34">
        <v>3.4354423868312761E-3</v>
      </c>
      <c r="H841" s="33" t="s">
        <v>661</v>
      </c>
      <c r="I841" s="33" t="s">
        <v>100</v>
      </c>
    </row>
    <row r="842" spans="1:9" x14ac:dyDescent="0.25">
      <c r="A842" s="32">
        <v>46244</v>
      </c>
      <c r="B842" s="33" t="s">
        <v>664</v>
      </c>
      <c r="C842" s="33" t="s">
        <v>32</v>
      </c>
      <c r="D842" s="33" t="s">
        <v>32</v>
      </c>
      <c r="E842">
        <v>22</v>
      </c>
      <c r="F842" s="34">
        <v>0.15608796296296296</v>
      </c>
      <c r="G842" s="34">
        <v>7.0949074074074074E-3</v>
      </c>
      <c r="H842" s="33" t="s">
        <v>663</v>
      </c>
      <c r="I842" s="33" t="s">
        <v>233</v>
      </c>
    </row>
    <row r="843" spans="1:9" x14ac:dyDescent="0.25">
      <c r="A843" s="32">
        <v>46244</v>
      </c>
      <c r="B843" s="33" t="s">
        <v>565</v>
      </c>
      <c r="C843" s="33" t="s">
        <v>105</v>
      </c>
      <c r="D843" s="33" t="s">
        <v>105</v>
      </c>
      <c r="E843">
        <v>1</v>
      </c>
      <c r="F843" s="34">
        <v>2.4502314814814814E-2</v>
      </c>
      <c r="G843" s="34">
        <v>2.4502314814814814E-2</v>
      </c>
      <c r="H843" s="33" t="s">
        <v>203</v>
      </c>
      <c r="I843" s="33" t="s">
        <v>601</v>
      </c>
    </row>
    <row r="844" spans="1:9" x14ac:dyDescent="0.25">
      <c r="A844" s="32">
        <v>46244</v>
      </c>
      <c r="B844" s="33" t="s">
        <v>666</v>
      </c>
      <c r="C844" s="33" t="s">
        <v>32</v>
      </c>
      <c r="D844" s="33" t="s">
        <v>32</v>
      </c>
      <c r="E844">
        <v>41</v>
      </c>
      <c r="F844" s="34">
        <v>0.1733912037037037</v>
      </c>
      <c r="G844" s="34">
        <v>4.2290537488708221E-3</v>
      </c>
      <c r="H844" s="33" t="s">
        <v>665</v>
      </c>
      <c r="I844" s="33" t="s">
        <v>100</v>
      </c>
    </row>
    <row r="845" spans="1:9" x14ac:dyDescent="0.25">
      <c r="A845" s="32">
        <v>46244</v>
      </c>
      <c r="B845" s="33" t="s">
        <v>555</v>
      </c>
      <c r="C845" s="33" t="s">
        <v>32</v>
      </c>
      <c r="D845" s="33" t="s">
        <v>32</v>
      </c>
      <c r="E845">
        <v>34</v>
      </c>
      <c r="F845" s="34">
        <v>0.13476851851851851</v>
      </c>
      <c r="G845" s="34">
        <v>3.9637799564270146E-3</v>
      </c>
      <c r="H845" s="33" t="s">
        <v>128</v>
      </c>
      <c r="I845" s="33" t="s">
        <v>233</v>
      </c>
    </row>
    <row r="846" spans="1:9" x14ac:dyDescent="0.25">
      <c r="A846" s="32">
        <v>46244</v>
      </c>
      <c r="B846" s="33" t="s">
        <v>522</v>
      </c>
      <c r="C846" s="33" t="s">
        <v>147</v>
      </c>
      <c r="D846" s="33" t="s">
        <v>147</v>
      </c>
      <c r="E846">
        <v>12</v>
      </c>
      <c r="F846" s="34">
        <v>0.10289351851851852</v>
      </c>
      <c r="G846" s="34">
        <v>8.5744598765432108E-3</v>
      </c>
      <c r="H846" s="33" t="s">
        <v>178</v>
      </c>
      <c r="I846" s="33" t="s">
        <v>146</v>
      </c>
    </row>
    <row r="847" spans="1:9" x14ac:dyDescent="0.25">
      <c r="A847" s="32">
        <v>46244</v>
      </c>
      <c r="B847" s="33" t="s">
        <v>522</v>
      </c>
      <c r="C847" s="33" t="s">
        <v>147</v>
      </c>
      <c r="D847" s="33" t="s">
        <v>32</v>
      </c>
      <c r="E847">
        <v>5</v>
      </c>
      <c r="F847" s="34">
        <v>2.826388888888889E-2</v>
      </c>
      <c r="G847" s="34">
        <v>5.6527777777777783E-3</v>
      </c>
      <c r="H847" s="33" t="s">
        <v>178</v>
      </c>
      <c r="I847" s="33" t="s">
        <v>146</v>
      </c>
    </row>
    <row r="848" spans="1:9" x14ac:dyDescent="0.25">
      <c r="A848" s="32">
        <v>46244</v>
      </c>
      <c r="B848" s="33" t="s">
        <v>667</v>
      </c>
      <c r="C848" s="33" t="s">
        <v>105</v>
      </c>
      <c r="D848" s="33" t="s">
        <v>105</v>
      </c>
      <c r="E848">
        <v>8</v>
      </c>
      <c r="F848" s="34">
        <v>0.13532407407407407</v>
      </c>
      <c r="G848" s="34">
        <v>1.6915509259259259E-2</v>
      </c>
      <c r="H848" s="33" t="s">
        <v>297</v>
      </c>
      <c r="I848" s="33" t="s">
        <v>104</v>
      </c>
    </row>
    <row r="849" spans="1:9" x14ac:dyDescent="0.25">
      <c r="A849" s="32">
        <v>46244</v>
      </c>
      <c r="B849" s="33" t="s">
        <v>635</v>
      </c>
      <c r="C849" s="33" t="s">
        <v>105</v>
      </c>
      <c r="D849" s="33" t="s">
        <v>105</v>
      </c>
      <c r="E849">
        <v>1</v>
      </c>
      <c r="F849" s="34">
        <v>3.2731481481481479E-2</v>
      </c>
      <c r="G849" s="34">
        <v>3.2731481481481479E-2</v>
      </c>
      <c r="H849" s="33" t="s">
        <v>614</v>
      </c>
      <c r="I849" s="33" t="s">
        <v>601</v>
      </c>
    </row>
    <row r="850" spans="1:9" x14ac:dyDescent="0.25">
      <c r="A850" s="32">
        <v>46244</v>
      </c>
      <c r="B850" s="33" t="s">
        <v>523</v>
      </c>
      <c r="C850" s="33" t="s">
        <v>147</v>
      </c>
      <c r="D850" s="33" t="s">
        <v>147</v>
      </c>
      <c r="E850">
        <v>15</v>
      </c>
      <c r="F850" s="34">
        <v>6.4953703703703708E-2</v>
      </c>
      <c r="G850" s="34">
        <v>4.3302469135802473E-3</v>
      </c>
      <c r="H850" s="33" t="s">
        <v>180</v>
      </c>
      <c r="I850" s="33" t="s">
        <v>146</v>
      </c>
    </row>
    <row r="851" spans="1:9" x14ac:dyDescent="0.25">
      <c r="A851" s="32">
        <v>46244</v>
      </c>
      <c r="B851" s="33" t="s">
        <v>523</v>
      </c>
      <c r="C851" s="33" t="s">
        <v>147</v>
      </c>
      <c r="D851" s="33" t="s">
        <v>32</v>
      </c>
      <c r="E851">
        <v>13</v>
      </c>
      <c r="F851" s="34">
        <v>2.9849537037037036E-2</v>
      </c>
      <c r="G851" s="34">
        <v>2.2961182336182335E-3</v>
      </c>
      <c r="H851" s="33" t="s">
        <v>180</v>
      </c>
      <c r="I851" s="33" t="s">
        <v>146</v>
      </c>
    </row>
    <row r="852" spans="1:9" x14ac:dyDescent="0.25">
      <c r="A852" s="32">
        <v>46244</v>
      </c>
      <c r="B852" s="33" t="s">
        <v>636</v>
      </c>
      <c r="C852" s="33" t="s">
        <v>105</v>
      </c>
      <c r="D852" s="33" t="s">
        <v>105</v>
      </c>
      <c r="E852">
        <v>3</v>
      </c>
      <c r="F852" s="34">
        <v>6.3148148148148148E-2</v>
      </c>
      <c r="G852" s="34">
        <v>2.1049382716049381E-2</v>
      </c>
      <c r="H852" s="33" t="s">
        <v>615</v>
      </c>
      <c r="I852" s="33" t="s">
        <v>601</v>
      </c>
    </row>
    <row r="853" spans="1:9" x14ac:dyDescent="0.25">
      <c r="A853" s="32">
        <v>46244</v>
      </c>
      <c r="B853" s="33" t="s">
        <v>566</v>
      </c>
      <c r="C853" s="33" t="s">
        <v>147</v>
      </c>
      <c r="D853" s="33" t="s">
        <v>147</v>
      </c>
      <c r="E853">
        <v>10</v>
      </c>
      <c r="F853" s="34">
        <v>3.2268518518518516E-2</v>
      </c>
      <c r="G853" s="34">
        <v>3.2268518518518514E-3</v>
      </c>
      <c r="H853" s="33" t="s">
        <v>207</v>
      </c>
      <c r="I853" s="33" t="s">
        <v>274</v>
      </c>
    </row>
    <row r="854" spans="1:9" x14ac:dyDescent="0.25">
      <c r="A854" s="32">
        <v>46244</v>
      </c>
      <c r="B854" s="33" t="s">
        <v>566</v>
      </c>
      <c r="C854" s="33" t="s">
        <v>147</v>
      </c>
      <c r="D854" s="33" t="s">
        <v>32</v>
      </c>
      <c r="E854">
        <v>8</v>
      </c>
      <c r="F854" s="34">
        <v>2.3136574074074073E-2</v>
      </c>
      <c r="G854" s="34">
        <v>2.8920717592592592E-3</v>
      </c>
      <c r="H854" s="33" t="s">
        <v>207</v>
      </c>
      <c r="I854" s="33" t="s">
        <v>274</v>
      </c>
    </row>
    <row r="855" spans="1:9" x14ac:dyDescent="0.25">
      <c r="A855" s="32">
        <v>46244</v>
      </c>
      <c r="B855" s="33" t="s">
        <v>637</v>
      </c>
      <c r="C855" s="33" t="s">
        <v>105</v>
      </c>
      <c r="D855" s="33" t="s">
        <v>105</v>
      </c>
      <c r="E855">
        <v>1</v>
      </c>
      <c r="F855" s="34">
        <v>2.9641203703703704E-2</v>
      </c>
      <c r="G855" s="34">
        <v>2.9641203703703704E-2</v>
      </c>
      <c r="H855" s="33" t="s">
        <v>616</v>
      </c>
      <c r="I855" s="33" t="s">
        <v>601</v>
      </c>
    </row>
    <row r="856" spans="1:9" x14ac:dyDescent="0.25">
      <c r="A856" s="32">
        <v>46244</v>
      </c>
      <c r="B856" s="33" t="s">
        <v>567</v>
      </c>
      <c r="C856" s="33" t="s">
        <v>105</v>
      </c>
      <c r="D856" s="33" t="s">
        <v>105</v>
      </c>
      <c r="E856">
        <v>1</v>
      </c>
      <c r="F856" s="34">
        <v>2.7604166666666666E-2</v>
      </c>
      <c r="G856" s="34">
        <v>2.7604166666666666E-2</v>
      </c>
      <c r="H856" s="33" t="s">
        <v>209</v>
      </c>
      <c r="I856" s="33" t="s">
        <v>601</v>
      </c>
    </row>
    <row r="857" spans="1:9" x14ac:dyDescent="0.25">
      <c r="A857" s="32">
        <v>46244</v>
      </c>
      <c r="B857" s="33" t="s">
        <v>510</v>
      </c>
      <c r="C857" s="33" t="s">
        <v>32</v>
      </c>
      <c r="D857" s="33" t="s">
        <v>32</v>
      </c>
      <c r="E857">
        <v>23</v>
      </c>
      <c r="F857" s="34">
        <v>0.1072337962962963</v>
      </c>
      <c r="G857" s="34">
        <v>4.6623389694041865E-3</v>
      </c>
      <c r="H857" s="33" t="s">
        <v>60</v>
      </c>
      <c r="I857" s="33" t="s">
        <v>100</v>
      </c>
    </row>
    <row r="858" spans="1:9" x14ac:dyDescent="0.25">
      <c r="A858" s="32">
        <v>46244</v>
      </c>
      <c r="B858" s="33" t="s">
        <v>512</v>
      </c>
      <c r="C858" s="33" t="s">
        <v>105</v>
      </c>
      <c r="D858" s="33" t="s">
        <v>105</v>
      </c>
      <c r="E858">
        <v>9</v>
      </c>
      <c r="F858" s="34">
        <v>0.14924768518518519</v>
      </c>
      <c r="G858" s="34">
        <v>1.6583076131687243E-2</v>
      </c>
      <c r="H858" s="33" t="s">
        <v>132</v>
      </c>
      <c r="I858" s="33" t="s">
        <v>104</v>
      </c>
    </row>
    <row r="859" spans="1:9" x14ac:dyDescent="0.25">
      <c r="A859" s="32">
        <v>46244</v>
      </c>
      <c r="B859" s="33" t="s">
        <v>560</v>
      </c>
      <c r="C859" s="33" t="s">
        <v>105</v>
      </c>
      <c r="D859" s="33" t="s">
        <v>105</v>
      </c>
      <c r="E859">
        <v>9</v>
      </c>
      <c r="F859" s="34">
        <v>0.18839120370370371</v>
      </c>
      <c r="G859" s="34">
        <v>2.0932355967078192E-2</v>
      </c>
      <c r="H859" s="33" t="s">
        <v>134</v>
      </c>
      <c r="I859" s="33" t="s">
        <v>104</v>
      </c>
    </row>
    <row r="860" spans="1:9" x14ac:dyDescent="0.25">
      <c r="A860" s="32">
        <v>46244</v>
      </c>
      <c r="B860" s="33" t="s">
        <v>638</v>
      </c>
      <c r="C860" s="33" t="s">
        <v>105</v>
      </c>
      <c r="D860" s="33" t="s">
        <v>105</v>
      </c>
      <c r="E860">
        <v>1</v>
      </c>
      <c r="F860" s="34">
        <v>3.0636574074074073E-2</v>
      </c>
      <c r="G860" s="34">
        <v>3.0636574074074073E-2</v>
      </c>
      <c r="H860" s="33" t="s">
        <v>617</v>
      </c>
      <c r="I860" s="33" t="s">
        <v>601</v>
      </c>
    </row>
    <row r="861" spans="1:9" x14ac:dyDescent="0.25">
      <c r="A861" s="32">
        <v>46244</v>
      </c>
      <c r="B861" s="33" t="s">
        <v>639</v>
      </c>
      <c r="C861" s="33" t="s">
        <v>105</v>
      </c>
      <c r="D861" s="33" t="s">
        <v>105</v>
      </c>
      <c r="E861">
        <v>1</v>
      </c>
      <c r="F861" s="34">
        <v>2.585648148148148E-2</v>
      </c>
      <c r="G861" s="34">
        <v>2.585648148148148E-2</v>
      </c>
      <c r="H861" s="33" t="s">
        <v>618</v>
      </c>
      <c r="I861" s="33" t="s">
        <v>601</v>
      </c>
    </row>
    <row r="862" spans="1:9" x14ac:dyDescent="0.25">
      <c r="A862" s="32">
        <v>46244</v>
      </c>
      <c r="B862" s="33" t="s">
        <v>524</v>
      </c>
      <c r="C862" s="33" t="s">
        <v>147</v>
      </c>
      <c r="D862" s="33" t="s">
        <v>147</v>
      </c>
      <c r="E862">
        <v>15</v>
      </c>
      <c r="F862" s="34">
        <v>5.4537037037037037E-2</v>
      </c>
      <c r="G862" s="34">
        <v>3.6358024691358023E-3</v>
      </c>
      <c r="H862" s="33" t="s">
        <v>501</v>
      </c>
      <c r="I862" s="33" t="s">
        <v>274</v>
      </c>
    </row>
    <row r="863" spans="1:9" x14ac:dyDescent="0.25">
      <c r="A863" s="32">
        <v>46244</v>
      </c>
      <c r="B863" s="33" t="s">
        <v>524</v>
      </c>
      <c r="C863" s="33" t="s">
        <v>147</v>
      </c>
      <c r="D863" s="33" t="s">
        <v>32</v>
      </c>
      <c r="E863">
        <v>6</v>
      </c>
      <c r="F863" s="34">
        <v>1.9351851851851853E-2</v>
      </c>
      <c r="G863" s="34">
        <v>3.2253086419753089E-3</v>
      </c>
      <c r="H863" s="33" t="s">
        <v>501</v>
      </c>
      <c r="I863" s="33" t="s">
        <v>274</v>
      </c>
    </row>
    <row r="864" spans="1:9" x14ac:dyDescent="0.25">
      <c r="A864" s="32">
        <v>46244</v>
      </c>
      <c r="B864" s="33" t="s">
        <v>572</v>
      </c>
      <c r="C864" s="33" t="s">
        <v>105</v>
      </c>
      <c r="D864" s="33" t="s">
        <v>105</v>
      </c>
      <c r="E864">
        <v>1</v>
      </c>
      <c r="F864" s="34">
        <v>2.4340277777777777E-2</v>
      </c>
      <c r="G864" s="34">
        <v>2.4340277777777777E-2</v>
      </c>
      <c r="H864" s="33" t="s">
        <v>213</v>
      </c>
      <c r="I864" s="33" t="s">
        <v>601</v>
      </c>
    </row>
    <row r="865" spans="1:9" x14ac:dyDescent="0.25">
      <c r="A865" s="32">
        <v>46244</v>
      </c>
      <c r="B865" s="33" t="s">
        <v>640</v>
      </c>
      <c r="C865" s="33" t="s">
        <v>105</v>
      </c>
      <c r="D865" s="33" t="s">
        <v>105</v>
      </c>
      <c r="E865">
        <v>1</v>
      </c>
      <c r="F865" s="34">
        <v>2.960648148148148E-2</v>
      </c>
      <c r="G865" s="34">
        <v>2.960648148148148E-2</v>
      </c>
      <c r="H865" s="33" t="s">
        <v>619</v>
      </c>
      <c r="I865" s="33" t="s">
        <v>601</v>
      </c>
    </row>
    <row r="866" spans="1:9" x14ac:dyDescent="0.25">
      <c r="A866" s="32">
        <v>46244</v>
      </c>
      <c r="B866" s="33" t="s">
        <v>669</v>
      </c>
      <c r="C866" s="33" t="s">
        <v>32</v>
      </c>
      <c r="D866" s="33" t="s">
        <v>32</v>
      </c>
      <c r="E866">
        <v>37</v>
      </c>
      <c r="F866" s="34">
        <v>0.15172453703703703</v>
      </c>
      <c r="G866" s="34">
        <v>4.1006631631631627E-3</v>
      </c>
      <c r="H866" s="33" t="s">
        <v>668</v>
      </c>
      <c r="I866" s="33" t="s">
        <v>233</v>
      </c>
    </row>
    <row r="867" spans="1:9" x14ac:dyDescent="0.25">
      <c r="A867" s="32">
        <v>46244</v>
      </c>
      <c r="B867" s="33" t="s">
        <v>670</v>
      </c>
      <c r="C867" s="33" t="s">
        <v>32</v>
      </c>
      <c r="D867" s="33" t="s">
        <v>32</v>
      </c>
      <c r="E867">
        <v>35</v>
      </c>
      <c r="F867" s="34">
        <v>0.13523148148148148</v>
      </c>
      <c r="G867" s="34">
        <v>3.8637566137566135E-3</v>
      </c>
      <c r="H867" s="33" t="s">
        <v>744</v>
      </c>
      <c r="I867" s="33" t="s">
        <v>100</v>
      </c>
    </row>
    <row r="868" spans="1:9" x14ac:dyDescent="0.25">
      <c r="A868" s="32">
        <v>46244</v>
      </c>
      <c r="B868" s="33" t="s">
        <v>548</v>
      </c>
      <c r="C868" s="33" t="s">
        <v>105</v>
      </c>
      <c r="D868" s="33" t="s">
        <v>105</v>
      </c>
      <c r="E868">
        <v>6</v>
      </c>
      <c r="F868" s="34">
        <v>0.12835648148148149</v>
      </c>
      <c r="G868" s="34">
        <v>2.1392746913580247E-2</v>
      </c>
      <c r="H868" s="33" t="s">
        <v>219</v>
      </c>
      <c r="I868" s="33" t="s">
        <v>104</v>
      </c>
    </row>
    <row r="869" spans="1:9" x14ac:dyDescent="0.25">
      <c r="A869" s="32">
        <v>46244</v>
      </c>
      <c r="B869" s="33" t="s">
        <v>306</v>
      </c>
      <c r="C869" s="33" t="s">
        <v>32</v>
      </c>
      <c r="D869" s="33" t="s">
        <v>32</v>
      </c>
      <c r="E869">
        <v>46</v>
      </c>
      <c r="F869" s="34">
        <v>0.1332986111111111</v>
      </c>
      <c r="G869" s="34">
        <v>2.8977958937198068E-3</v>
      </c>
      <c r="H869" s="33" t="s">
        <v>305</v>
      </c>
      <c r="I869" s="33" t="s">
        <v>100</v>
      </c>
    </row>
    <row r="870" spans="1:9" x14ac:dyDescent="0.25">
      <c r="A870" s="32">
        <v>46244</v>
      </c>
      <c r="B870" s="33" t="s">
        <v>641</v>
      </c>
      <c r="C870" s="33" t="s">
        <v>105</v>
      </c>
      <c r="D870" s="33" t="s">
        <v>105</v>
      </c>
      <c r="E870">
        <v>2</v>
      </c>
      <c r="F870" s="34">
        <v>5.0509259259259261E-2</v>
      </c>
      <c r="G870" s="34">
        <v>2.525462962962963E-2</v>
      </c>
      <c r="H870" s="33" t="s">
        <v>620</v>
      </c>
      <c r="I870" s="33" t="s">
        <v>601</v>
      </c>
    </row>
    <row r="871" spans="1:9" x14ac:dyDescent="0.25">
      <c r="A871" s="32">
        <v>46244</v>
      </c>
      <c r="B871" s="33" t="s">
        <v>556</v>
      </c>
      <c r="C871" s="33" t="s">
        <v>105</v>
      </c>
      <c r="D871" s="33" t="s">
        <v>105</v>
      </c>
      <c r="E871">
        <v>10</v>
      </c>
      <c r="F871" s="34">
        <v>0.18060185185185185</v>
      </c>
      <c r="G871" s="34">
        <v>1.8060185185185186E-2</v>
      </c>
      <c r="H871" s="33" t="s">
        <v>138</v>
      </c>
      <c r="I871" s="33" t="s">
        <v>104</v>
      </c>
    </row>
    <row r="872" spans="1:9" x14ac:dyDescent="0.25">
      <c r="A872" s="32">
        <v>46244</v>
      </c>
      <c r="B872" s="33" t="s">
        <v>556</v>
      </c>
      <c r="C872" s="33" t="s">
        <v>105</v>
      </c>
      <c r="D872" s="33" t="s">
        <v>32</v>
      </c>
      <c r="E872">
        <v>10</v>
      </c>
      <c r="F872" s="34">
        <v>5.6354166666666664E-2</v>
      </c>
      <c r="G872" s="34">
        <v>5.6354166666666662E-3</v>
      </c>
      <c r="H872" s="33" t="s">
        <v>138</v>
      </c>
      <c r="I872" s="33" t="s">
        <v>104</v>
      </c>
    </row>
    <row r="873" spans="1:9" x14ac:dyDescent="0.25">
      <c r="A873" s="32">
        <v>46244</v>
      </c>
      <c r="B873" s="33" t="s">
        <v>532</v>
      </c>
      <c r="C873" s="33" t="s">
        <v>32</v>
      </c>
      <c r="D873" s="33" t="s">
        <v>32</v>
      </c>
      <c r="E873">
        <v>44</v>
      </c>
      <c r="F873" s="34">
        <v>0.10769675925925926</v>
      </c>
      <c r="G873" s="34">
        <v>2.4476536195286195E-3</v>
      </c>
      <c r="H873" s="33" t="s">
        <v>276</v>
      </c>
      <c r="I873" s="33" t="s">
        <v>233</v>
      </c>
    </row>
    <row r="874" spans="1:9" x14ac:dyDescent="0.25">
      <c r="A874" s="32">
        <v>46244</v>
      </c>
      <c r="B874" s="33" t="s">
        <v>533</v>
      </c>
      <c r="C874" s="33" t="s">
        <v>32</v>
      </c>
      <c r="D874" s="33" t="s">
        <v>32</v>
      </c>
      <c r="E874">
        <v>26</v>
      </c>
      <c r="F874" s="34">
        <v>0.12795138888888888</v>
      </c>
      <c r="G874" s="34">
        <v>4.9212072649572648E-3</v>
      </c>
      <c r="H874" s="33" t="s">
        <v>278</v>
      </c>
      <c r="I874" s="33" t="s">
        <v>233</v>
      </c>
    </row>
    <row r="875" spans="1:9" x14ac:dyDescent="0.25">
      <c r="A875" s="32">
        <v>46244</v>
      </c>
      <c r="B875" s="33" t="s">
        <v>511</v>
      </c>
      <c r="C875" s="33" t="s">
        <v>80</v>
      </c>
      <c r="D875" s="33" t="s">
        <v>32</v>
      </c>
      <c r="E875">
        <v>4</v>
      </c>
      <c r="F875" s="34">
        <v>7.9629629629629634E-3</v>
      </c>
      <c r="G875" s="34">
        <v>1.9907407407407408E-3</v>
      </c>
      <c r="H875" s="33" t="s">
        <v>313</v>
      </c>
      <c r="I875" s="33" t="s">
        <v>78</v>
      </c>
    </row>
    <row r="876" spans="1:9" x14ac:dyDescent="0.25">
      <c r="A876" s="32">
        <v>46244</v>
      </c>
      <c r="B876" s="33" t="s">
        <v>674</v>
      </c>
      <c r="C876" s="33" t="s">
        <v>105</v>
      </c>
      <c r="D876" s="33" t="s">
        <v>105</v>
      </c>
      <c r="E876">
        <v>9</v>
      </c>
      <c r="F876" s="34">
        <v>0.20281250000000001</v>
      </c>
      <c r="G876" s="34">
        <v>2.2534722222222223E-2</v>
      </c>
      <c r="H876" s="33" t="s">
        <v>673</v>
      </c>
      <c r="I876" s="33" t="s">
        <v>104</v>
      </c>
    </row>
    <row r="877" spans="1:9" x14ac:dyDescent="0.25">
      <c r="A877" s="32">
        <v>46244</v>
      </c>
      <c r="B877" s="33" t="s">
        <v>674</v>
      </c>
      <c r="C877" s="33" t="s">
        <v>105</v>
      </c>
      <c r="D877" s="33" t="s">
        <v>32</v>
      </c>
      <c r="E877">
        <v>8</v>
      </c>
      <c r="F877" s="34">
        <v>2.5983796296296297E-2</v>
      </c>
      <c r="G877" s="34">
        <v>3.2479745370370371E-3</v>
      </c>
      <c r="H877" s="33" t="s">
        <v>673</v>
      </c>
      <c r="I877" s="33" t="s">
        <v>104</v>
      </c>
    </row>
    <row r="878" spans="1:9" x14ac:dyDescent="0.25">
      <c r="A878" s="32">
        <v>46244</v>
      </c>
      <c r="B878" s="33" t="s">
        <v>549</v>
      </c>
      <c r="C878" s="33" t="s">
        <v>105</v>
      </c>
      <c r="D878" s="33" t="s">
        <v>105</v>
      </c>
      <c r="E878">
        <v>1</v>
      </c>
      <c r="F878" s="34">
        <v>3.591435185185185E-2</v>
      </c>
      <c r="G878" s="34">
        <v>3.591435185185185E-2</v>
      </c>
      <c r="H878" s="33" t="s">
        <v>225</v>
      </c>
      <c r="I878" s="33" t="s">
        <v>601</v>
      </c>
    </row>
    <row r="879" spans="1:9" x14ac:dyDescent="0.25">
      <c r="A879" s="32">
        <v>46244</v>
      </c>
      <c r="B879" s="33" t="s">
        <v>534</v>
      </c>
      <c r="C879" s="33" t="s">
        <v>32</v>
      </c>
      <c r="D879" s="33" t="s">
        <v>32</v>
      </c>
      <c r="E879">
        <v>3</v>
      </c>
      <c r="F879" s="34">
        <v>6.2037037037037035E-3</v>
      </c>
      <c r="G879" s="34">
        <v>2.0679012345679012E-3</v>
      </c>
      <c r="H879" s="33" t="s">
        <v>280</v>
      </c>
      <c r="I879" s="33" t="s">
        <v>233</v>
      </c>
    </row>
    <row r="880" spans="1:9" x14ac:dyDescent="0.25">
      <c r="A880" s="32">
        <v>46244</v>
      </c>
      <c r="B880" s="33" t="s">
        <v>571</v>
      </c>
      <c r="C880" s="33" t="s">
        <v>105</v>
      </c>
      <c r="D880" s="33" t="s">
        <v>105</v>
      </c>
      <c r="E880">
        <v>8</v>
      </c>
      <c r="F880" s="34">
        <v>0.19877314814814814</v>
      </c>
      <c r="G880" s="34">
        <v>2.4846643518518518E-2</v>
      </c>
      <c r="H880" s="33" t="s">
        <v>299</v>
      </c>
      <c r="I880" s="33" t="s">
        <v>104</v>
      </c>
    </row>
    <row r="881" spans="1:9" x14ac:dyDescent="0.25">
      <c r="A881" s="32">
        <v>46244</v>
      </c>
      <c r="B881" s="33" t="s">
        <v>557</v>
      </c>
      <c r="C881" s="33" t="s">
        <v>147</v>
      </c>
      <c r="D881" s="33" t="s">
        <v>147</v>
      </c>
      <c r="E881">
        <v>7</v>
      </c>
      <c r="F881" s="34">
        <v>5.4560185185185184E-2</v>
      </c>
      <c r="G881" s="34">
        <v>7.7943121693121687E-3</v>
      </c>
      <c r="H881" s="33" t="s">
        <v>227</v>
      </c>
      <c r="I881" s="33" t="s">
        <v>146</v>
      </c>
    </row>
    <row r="882" spans="1:9" x14ac:dyDescent="0.25">
      <c r="A882" s="32">
        <v>46244</v>
      </c>
      <c r="B882" s="33" t="s">
        <v>557</v>
      </c>
      <c r="C882" s="33" t="s">
        <v>147</v>
      </c>
      <c r="D882" s="33" t="s">
        <v>32</v>
      </c>
      <c r="E882">
        <v>7</v>
      </c>
      <c r="F882" s="34">
        <v>2.0300925925925927E-2</v>
      </c>
      <c r="G882" s="34">
        <v>2.9001322751322752E-3</v>
      </c>
      <c r="H882" s="33" t="s">
        <v>227</v>
      </c>
      <c r="I882" s="33" t="s">
        <v>146</v>
      </c>
    </row>
    <row r="883" spans="1:9" x14ac:dyDescent="0.25">
      <c r="A883" s="32">
        <v>46244</v>
      </c>
      <c r="B883" s="33" t="s">
        <v>676</v>
      </c>
      <c r="C883" s="33" t="s">
        <v>105</v>
      </c>
      <c r="D883" s="33" t="s">
        <v>105</v>
      </c>
      <c r="E883">
        <v>6</v>
      </c>
      <c r="F883" s="34">
        <v>0.19896990740740741</v>
      </c>
      <c r="G883" s="34">
        <v>3.31616512345679E-2</v>
      </c>
      <c r="H883" s="33" t="s">
        <v>675</v>
      </c>
      <c r="I883" s="33" t="s">
        <v>104</v>
      </c>
    </row>
    <row r="884" spans="1:9" x14ac:dyDescent="0.25">
      <c r="A884" s="32">
        <v>46244</v>
      </c>
      <c r="B884" s="33" t="s">
        <v>678</v>
      </c>
      <c r="C884" s="33" t="s">
        <v>147</v>
      </c>
      <c r="D884" s="33" t="s">
        <v>147</v>
      </c>
      <c r="E884">
        <v>12</v>
      </c>
      <c r="F884" s="34">
        <v>4.2476851851851849E-2</v>
      </c>
      <c r="G884" s="34">
        <v>3.5397376543209874E-3</v>
      </c>
      <c r="H884" s="33" t="s">
        <v>677</v>
      </c>
      <c r="I884" s="33" t="s">
        <v>274</v>
      </c>
    </row>
    <row r="885" spans="1:9" x14ac:dyDescent="0.25">
      <c r="A885" s="32">
        <v>46244</v>
      </c>
      <c r="B885" s="33" t="s">
        <v>678</v>
      </c>
      <c r="C885" s="33" t="s">
        <v>147</v>
      </c>
      <c r="D885" s="33" t="s">
        <v>32</v>
      </c>
      <c r="E885">
        <v>6</v>
      </c>
      <c r="F885" s="34">
        <v>3.5682870370370372E-2</v>
      </c>
      <c r="G885" s="34">
        <v>5.947145061728395E-3</v>
      </c>
      <c r="H885" s="33" t="s">
        <v>677</v>
      </c>
      <c r="I885" s="33" t="s">
        <v>274</v>
      </c>
    </row>
    <row r="886" spans="1:9" x14ac:dyDescent="0.25">
      <c r="A886" s="32">
        <v>46245</v>
      </c>
      <c r="B886" s="33" t="s">
        <v>562</v>
      </c>
      <c r="C886" s="33" t="s">
        <v>80</v>
      </c>
      <c r="D886" s="33" t="s">
        <v>32</v>
      </c>
      <c r="E886">
        <v>1</v>
      </c>
      <c r="F886" s="34">
        <v>2.0023148148148148E-2</v>
      </c>
      <c r="G886" s="34">
        <v>2.0023148148148148E-2</v>
      </c>
      <c r="H886" s="33" t="s">
        <v>186</v>
      </c>
      <c r="I886" s="33" t="s">
        <v>78</v>
      </c>
    </row>
    <row r="887" spans="1:9" x14ac:dyDescent="0.25">
      <c r="A887" s="32">
        <v>46245</v>
      </c>
      <c r="B887" s="33" t="s">
        <v>644</v>
      </c>
      <c r="C887" s="33" t="s">
        <v>32</v>
      </c>
      <c r="D887" s="33" t="s">
        <v>32</v>
      </c>
      <c r="E887">
        <v>16</v>
      </c>
      <c r="F887" s="34">
        <v>0.11626157407407407</v>
      </c>
      <c r="G887" s="34">
        <v>7.2663483796296295E-3</v>
      </c>
      <c r="H887" s="33" t="s">
        <v>643</v>
      </c>
      <c r="I887" s="33" t="s">
        <v>233</v>
      </c>
    </row>
    <row r="888" spans="1:9" x14ac:dyDescent="0.25">
      <c r="A888" s="32">
        <v>46245</v>
      </c>
      <c r="B888" s="33" t="s">
        <v>563</v>
      </c>
      <c r="C888" s="33" t="s">
        <v>147</v>
      </c>
      <c r="D888" s="33" t="s">
        <v>147</v>
      </c>
      <c r="E888">
        <v>13</v>
      </c>
      <c r="F888" s="34">
        <v>5.4849537037037037E-2</v>
      </c>
      <c r="G888" s="34">
        <v>4.2191951566951571E-3</v>
      </c>
      <c r="H888" s="33" t="s">
        <v>193</v>
      </c>
      <c r="I888" s="33" t="s">
        <v>274</v>
      </c>
    </row>
    <row r="889" spans="1:9" x14ac:dyDescent="0.25">
      <c r="A889" s="32">
        <v>46245</v>
      </c>
      <c r="B889" s="33" t="s">
        <v>563</v>
      </c>
      <c r="C889" s="33" t="s">
        <v>147</v>
      </c>
      <c r="D889" s="33" t="s">
        <v>32</v>
      </c>
      <c r="E889">
        <v>6</v>
      </c>
      <c r="F889" s="34">
        <v>3.1307870370370368E-2</v>
      </c>
      <c r="G889" s="34">
        <v>5.217978395061728E-3</v>
      </c>
      <c r="H889" s="33" t="s">
        <v>193</v>
      </c>
      <c r="I889" s="33" t="s">
        <v>274</v>
      </c>
    </row>
    <row r="890" spans="1:9" x14ac:dyDescent="0.25">
      <c r="A890" s="32">
        <v>46245</v>
      </c>
      <c r="B890" s="33" t="s">
        <v>525</v>
      </c>
      <c r="C890" s="33" t="s">
        <v>32</v>
      </c>
      <c r="D890" s="33" t="s">
        <v>32</v>
      </c>
      <c r="E890">
        <v>27</v>
      </c>
      <c r="F890" s="34">
        <v>0.12085648148148148</v>
      </c>
      <c r="G890" s="34">
        <v>4.4761659807956104E-3</v>
      </c>
      <c r="H890" s="33" t="s">
        <v>231</v>
      </c>
      <c r="I890" s="33" t="s">
        <v>233</v>
      </c>
    </row>
    <row r="891" spans="1:9" x14ac:dyDescent="0.25">
      <c r="A891" s="32">
        <v>46245</v>
      </c>
      <c r="B891" s="33" t="s">
        <v>513</v>
      </c>
      <c r="C891" s="33" t="s">
        <v>105</v>
      </c>
      <c r="D891" s="33" t="s">
        <v>105</v>
      </c>
      <c r="E891">
        <v>5</v>
      </c>
      <c r="F891" s="34">
        <v>7.8981481481481486E-2</v>
      </c>
      <c r="G891" s="34">
        <v>1.5796296296296298E-2</v>
      </c>
      <c r="H891" s="33" t="s">
        <v>148</v>
      </c>
      <c r="I891" s="33" t="s">
        <v>104</v>
      </c>
    </row>
    <row r="892" spans="1:9" x14ac:dyDescent="0.25">
      <c r="A892" s="32">
        <v>46245</v>
      </c>
      <c r="B892" s="33" t="s">
        <v>550</v>
      </c>
      <c r="C892" s="33" t="s">
        <v>32</v>
      </c>
      <c r="D892" s="33" t="s">
        <v>32</v>
      </c>
      <c r="E892">
        <v>36</v>
      </c>
      <c r="F892" s="34">
        <v>9.2824074074074073E-2</v>
      </c>
      <c r="G892" s="34">
        <v>2.5784465020576132E-3</v>
      </c>
      <c r="H892" s="33" t="s">
        <v>234</v>
      </c>
      <c r="I892" s="33" t="s">
        <v>233</v>
      </c>
    </row>
    <row r="893" spans="1:9" x14ac:dyDescent="0.25">
      <c r="A893" s="32">
        <v>46245</v>
      </c>
      <c r="B893" s="33" t="s">
        <v>505</v>
      </c>
      <c r="C893" s="33" t="s">
        <v>32</v>
      </c>
      <c r="D893" s="33" t="s">
        <v>32</v>
      </c>
      <c r="E893">
        <v>32</v>
      </c>
      <c r="F893" s="34">
        <v>0.10459490740740741</v>
      </c>
      <c r="G893" s="34">
        <v>3.2685908564814817E-3</v>
      </c>
      <c r="H893" s="33" t="s">
        <v>34</v>
      </c>
      <c r="I893" s="33" t="s">
        <v>233</v>
      </c>
    </row>
    <row r="894" spans="1:9" x14ac:dyDescent="0.25">
      <c r="A894" s="32">
        <v>46245</v>
      </c>
      <c r="B894" s="33" t="s">
        <v>569</v>
      </c>
      <c r="C894" s="33" t="s">
        <v>105</v>
      </c>
      <c r="D894" s="33" t="s">
        <v>105</v>
      </c>
      <c r="E894">
        <v>7</v>
      </c>
      <c r="F894" s="34">
        <v>9.7766203703703702E-2</v>
      </c>
      <c r="G894" s="34">
        <v>1.3966600529100528E-2</v>
      </c>
      <c r="H894" s="33" t="s">
        <v>493</v>
      </c>
      <c r="I894" s="33" t="s">
        <v>104</v>
      </c>
    </row>
    <row r="895" spans="1:9" x14ac:dyDescent="0.25">
      <c r="A895" s="32">
        <v>46245</v>
      </c>
      <c r="B895" s="33" t="s">
        <v>631</v>
      </c>
      <c r="C895" s="33" t="s">
        <v>105</v>
      </c>
      <c r="D895" s="33" t="s">
        <v>105</v>
      </c>
      <c r="E895">
        <v>3</v>
      </c>
      <c r="F895" s="34">
        <v>6.9363425925925926E-2</v>
      </c>
      <c r="G895" s="34">
        <v>2.3121141975308641E-2</v>
      </c>
      <c r="H895" s="33" t="s">
        <v>608</v>
      </c>
      <c r="I895" s="33" t="s">
        <v>601</v>
      </c>
    </row>
    <row r="896" spans="1:9" x14ac:dyDescent="0.25">
      <c r="A896" s="32">
        <v>46245</v>
      </c>
      <c r="B896" s="33" t="s">
        <v>631</v>
      </c>
      <c r="C896" s="33" t="s">
        <v>105</v>
      </c>
      <c r="D896" s="33" t="s">
        <v>32</v>
      </c>
      <c r="E896">
        <v>1</v>
      </c>
      <c r="F896" s="34">
        <v>9.0509259259259258E-3</v>
      </c>
      <c r="G896" s="34">
        <v>9.0509259259259258E-3</v>
      </c>
      <c r="H896" s="33" t="s">
        <v>608</v>
      </c>
      <c r="I896" s="33" t="s">
        <v>601</v>
      </c>
    </row>
    <row r="897" spans="1:9" x14ac:dyDescent="0.25">
      <c r="A897" s="32">
        <v>46245</v>
      </c>
      <c r="B897" s="33" t="s">
        <v>564</v>
      </c>
      <c r="C897" s="33" t="s">
        <v>105</v>
      </c>
      <c r="D897" s="33" t="s">
        <v>105</v>
      </c>
      <c r="E897">
        <v>2</v>
      </c>
      <c r="F897" s="34">
        <v>5.8067129629629628E-2</v>
      </c>
      <c r="G897" s="34">
        <v>2.9033564814814814E-2</v>
      </c>
      <c r="H897" s="33" t="s">
        <v>197</v>
      </c>
      <c r="I897" s="33" t="s">
        <v>601</v>
      </c>
    </row>
    <row r="898" spans="1:9" x14ac:dyDescent="0.25">
      <c r="A898" s="32">
        <v>46245</v>
      </c>
      <c r="B898" s="33" t="s">
        <v>514</v>
      </c>
      <c r="C898" s="33" t="s">
        <v>147</v>
      </c>
      <c r="D898" s="33" t="s">
        <v>147</v>
      </c>
      <c r="E898">
        <v>15</v>
      </c>
      <c r="F898" s="34">
        <v>3.318287037037037E-2</v>
      </c>
      <c r="G898" s="34">
        <v>2.2121913580246911E-3</v>
      </c>
      <c r="H898" s="33" t="s">
        <v>150</v>
      </c>
      <c r="I898" s="33" t="s">
        <v>146</v>
      </c>
    </row>
    <row r="899" spans="1:9" x14ac:dyDescent="0.25">
      <c r="A899" s="32">
        <v>46245</v>
      </c>
      <c r="B899" s="33" t="s">
        <v>514</v>
      </c>
      <c r="C899" s="33" t="s">
        <v>147</v>
      </c>
      <c r="D899" s="33" t="s">
        <v>32</v>
      </c>
      <c r="E899">
        <v>3</v>
      </c>
      <c r="F899" s="34">
        <v>7.5231481481481477E-3</v>
      </c>
      <c r="G899" s="34">
        <v>2.5077160493827159E-3</v>
      </c>
      <c r="H899" s="33" t="s">
        <v>150</v>
      </c>
      <c r="I899" s="33" t="s">
        <v>146</v>
      </c>
    </row>
    <row r="900" spans="1:9" x14ac:dyDescent="0.25">
      <c r="A900" s="32">
        <v>46245</v>
      </c>
      <c r="B900" s="33" t="s">
        <v>682</v>
      </c>
      <c r="C900" s="33" t="s">
        <v>105</v>
      </c>
      <c r="D900" s="33" t="s">
        <v>105</v>
      </c>
      <c r="E900">
        <v>2</v>
      </c>
      <c r="F900" s="34">
        <v>8.5405092592592588E-2</v>
      </c>
      <c r="G900" s="34">
        <v>4.2702546296296294E-2</v>
      </c>
      <c r="H900" s="33" t="s">
        <v>681</v>
      </c>
      <c r="I900" s="33" t="s">
        <v>601</v>
      </c>
    </row>
    <row r="901" spans="1:9" x14ac:dyDescent="0.25">
      <c r="A901" s="32">
        <v>46245</v>
      </c>
      <c r="B901" s="33" t="s">
        <v>682</v>
      </c>
      <c r="C901" s="33" t="s">
        <v>105</v>
      </c>
      <c r="D901" s="33" t="s">
        <v>32</v>
      </c>
      <c r="E901">
        <v>1</v>
      </c>
      <c r="F901" s="34">
        <v>4.0312500000000001E-2</v>
      </c>
      <c r="G901" s="34">
        <v>4.0312500000000001E-2</v>
      </c>
      <c r="H901" s="33" t="s">
        <v>681</v>
      </c>
      <c r="I901" s="33" t="s">
        <v>601</v>
      </c>
    </row>
    <row r="902" spans="1:9" x14ac:dyDescent="0.25">
      <c r="A902" s="32">
        <v>46245</v>
      </c>
      <c r="B902" s="33" t="s">
        <v>515</v>
      </c>
      <c r="C902" s="33" t="s">
        <v>147</v>
      </c>
      <c r="D902" s="33" t="s">
        <v>147</v>
      </c>
      <c r="E902">
        <v>9</v>
      </c>
      <c r="F902" s="34">
        <v>2.5219907407407406E-2</v>
      </c>
      <c r="G902" s="34">
        <v>2.8022119341563783E-3</v>
      </c>
      <c r="H902" s="33" t="s">
        <v>154</v>
      </c>
      <c r="I902" s="33" t="s">
        <v>146</v>
      </c>
    </row>
    <row r="903" spans="1:9" x14ac:dyDescent="0.25">
      <c r="A903" s="32">
        <v>46245</v>
      </c>
      <c r="B903" s="33" t="s">
        <v>515</v>
      </c>
      <c r="C903" s="33" t="s">
        <v>147</v>
      </c>
      <c r="D903" s="33" t="s">
        <v>32</v>
      </c>
      <c r="E903">
        <v>5</v>
      </c>
      <c r="F903" s="34">
        <v>6.030092592592593E-3</v>
      </c>
      <c r="G903" s="34">
        <v>1.2060185185185186E-3</v>
      </c>
      <c r="H903" s="33" t="s">
        <v>154</v>
      </c>
      <c r="I903" s="33" t="s">
        <v>146</v>
      </c>
    </row>
    <row r="904" spans="1:9" x14ac:dyDescent="0.25">
      <c r="A904" s="32">
        <v>46245</v>
      </c>
      <c r="B904" s="33" t="s">
        <v>570</v>
      </c>
      <c r="C904" s="33" t="s">
        <v>105</v>
      </c>
      <c r="D904" s="33" t="s">
        <v>105</v>
      </c>
      <c r="E904">
        <v>5</v>
      </c>
      <c r="F904" s="34">
        <v>9.8460648148148144E-2</v>
      </c>
      <c r="G904" s="34">
        <v>1.9692129629629629E-2</v>
      </c>
      <c r="H904" s="33" t="s">
        <v>112</v>
      </c>
      <c r="I904" s="33" t="s">
        <v>104</v>
      </c>
    </row>
    <row r="905" spans="1:9" x14ac:dyDescent="0.25">
      <c r="A905" s="32">
        <v>46245</v>
      </c>
      <c r="B905" s="33" t="s">
        <v>537</v>
      </c>
      <c r="C905" s="33" t="s">
        <v>105</v>
      </c>
      <c r="D905" s="33" t="s">
        <v>105</v>
      </c>
      <c r="E905">
        <v>9</v>
      </c>
      <c r="F905" s="34">
        <v>0.1228125</v>
      </c>
      <c r="G905" s="34">
        <v>1.3645833333333334E-2</v>
      </c>
      <c r="H905" s="33" t="s">
        <v>42</v>
      </c>
      <c r="I905" s="33" t="s">
        <v>104</v>
      </c>
    </row>
    <row r="906" spans="1:9" x14ac:dyDescent="0.25">
      <c r="A906" s="32">
        <v>46245</v>
      </c>
      <c r="B906" s="33" t="s">
        <v>516</v>
      </c>
      <c r="C906" s="33" t="s">
        <v>147</v>
      </c>
      <c r="D906" s="33" t="s">
        <v>147</v>
      </c>
      <c r="E906">
        <v>7</v>
      </c>
      <c r="F906" s="34">
        <v>1.9259259259259261E-2</v>
      </c>
      <c r="G906" s="34">
        <v>2.7513227513227515E-3</v>
      </c>
      <c r="H906" s="33" t="s">
        <v>156</v>
      </c>
      <c r="I906" s="33" t="s">
        <v>146</v>
      </c>
    </row>
    <row r="907" spans="1:9" x14ac:dyDescent="0.25">
      <c r="A907" s="32">
        <v>46245</v>
      </c>
      <c r="B907" s="33" t="s">
        <v>516</v>
      </c>
      <c r="C907" s="33" t="s">
        <v>147</v>
      </c>
      <c r="D907" s="33" t="s">
        <v>32</v>
      </c>
      <c r="E907">
        <v>5</v>
      </c>
      <c r="F907" s="34">
        <v>1.3993055555555555E-2</v>
      </c>
      <c r="G907" s="34">
        <v>2.7986111111111111E-3</v>
      </c>
      <c r="H907" s="33" t="s">
        <v>156</v>
      </c>
      <c r="I907" s="33" t="s">
        <v>146</v>
      </c>
    </row>
    <row r="908" spans="1:9" x14ac:dyDescent="0.25">
      <c r="A908" s="32">
        <v>46245</v>
      </c>
      <c r="B908" s="33" t="s">
        <v>541</v>
      </c>
      <c r="C908" s="33" t="s">
        <v>105</v>
      </c>
      <c r="D908" s="33" t="s">
        <v>105</v>
      </c>
      <c r="E908">
        <v>6</v>
      </c>
      <c r="F908" s="34">
        <v>0.10204861111111112</v>
      </c>
      <c r="G908" s="34">
        <v>1.7008101851851854E-2</v>
      </c>
      <c r="H908" s="33" t="s">
        <v>114</v>
      </c>
      <c r="I908" s="33" t="s">
        <v>104</v>
      </c>
    </row>
    <row r="909" spans="1:9" x14ac:dyDescent="0.25">
      <c r="A909" s="32">
        <v>46245</v>
      </c>
      <c r="B909" s="33" t="s">
        <v>506</v>
      </c>
      <c r="C909" s="33" t="s">
        <v>32</v>
      </c>
      <c r="D909" s="33" t="s">
        <v>32</v>
      </c>
      <c r="E909">
        <v>29</v>
      </c>
      <c r="F909" s="34">
        <v>0.17787037037037037</v>
      </c>
      <c r="G909" s="34">
        <v>6.1334610472541509E-3</v>
      </c>
      <c r="H909" s="33" t="s">
        <v>44</v>
      </c>
      <c r="I909" s="33" t="s">
        <v>100</v>
      </c>
    </row>
    <row r="910" spans="1:9" x14ac:dyDescent="0.25">
      <c r="A910" s="32">
        <v>46245</v>
      </c>
      <c r="B910" s="33" t="s">
        <v>632</v>
      </c>
      <c r="C910" s="33" t="s">
        <v>105</v>
      </c>
      <c r="D910" s="33" t="s">
        <v>105</v>
      </c>
      <c r="E910">
        <v>2</v>
      </c>
      <c r="F910" s="34">
        <v>6.8831018518518514E-2</v>
      </c>
      <c r="G910" s="34">
        <v>3.4415509259259257E-2</v>
      </c>
      <c r="H910" s="33" t="s">
        <v>609</v>
      </c>
      <c r="I910" s="33" t="s">
        <v>601</v>
      </c>
    </row>
    <row r="911" spans="1:9" x14ac:dyDescent="0.25">
      <c r="A911" s="32">
        <v>46245</v>
      </c>
      <c r="B911" s="33" t="s">
        <v>498</v>
      </c>
      <c r="C911" s="33" t="s">
        <v>80</v>
      </c>
      <c r="D911" s="33" t="s">
        <v>32</v>
      </c>
      <c r="E911">
        <v>1</v>
      </c>
      <c r="F911" s="34">
        <v>1.0185185185185184E-3</v>
      </c>
      <c r="G911" s="34">
        <v>1.0185185185185184E-3</v>
      </c>
      <c r="H911" s="33" t="s">
        <v>497</v>
      </c>
      <c r="I911" s="33" t="s">
        <v>78</v>
      </c>
    </row>
    <row r="912" spans="1:9" x14ac:dyDescent="0.25">
      <c r="A912" s="32">
        <v>46245</v>
      </c>
      <c r="B912" s="33" t="s">
        <v>310</v>
      </c>
      <c r="C912" s="33" t="s">
        <v>80</v>
      </c>
      <c r="D912" s="33" t="s">
        <v>32</v>
      </c>
      <c r="E912">
        <v>1</v>
      </c>
      <c r="F912" s="34">
        <v>1.1608796296296296E-2</v>
      </c>
      <c r="G912" s="34">
        <v>1.1608796296296296E-2</v>
      </c>
      <c r="H912" s="33" t="s">
        <v>309</v>
      </c>
      <c r="I912" s="33" t="s">
        <v>78</v>
      </c>
    </row>
    <row r="913" spans="1:9" x14ac:dyDescent="0.25">
      <c r="A913" s="32">
        <v>46245</v>
      </c>
      <c r="B913" s="33" t="s">
        <v>646</v>
      </c>
      <c r="C913" s="33" t="s">
        <v>32</v>
      </c>
      <c r="D913" s="33" t="s">
        <v>32</v>
      </c>
      <c r="E913">
        <v>33</v>
      </c>
      <c r="F913" s="34">
        <v>0.19530092592592593</v>
      </c>
      <c r="G913" s="34">
        <v>5.9182098765432102E-3</v>
      </c>
      <c r="H913" s="33" t="s">
        <v>645</v>
      </c>
      <c r="I913" s="33" t="s">
        <v>100</v>
      </c>
    </row>
    <row r="914" spans="1:9" x14ac:dyDescent="0.25">
      <c r="A914" s="32">
        <v>46245</v>
      </c>
      <c r="B914" s="33" t="s">
        <v>544</v>
      </c>
      <c r="C914" s="33" t="s">
        <v>147</v>
      </c>
      <c r="D914" s="33" t="s">
        <v>147</v>
      </c>
      <c r="E914">
        <v>6</v>
      </c>
      <c r="F914" s="34">
        <v>1.361111111111111E-2</v>
      </c>
      <c r="G914" s="34">
        <v>2.2685185185185182E-3</v>
      </c>
      <c r="H914" s="33" t="s">
        <v>160</v>
      </c>
      <c r="I914" s="33" t="s">
        <v>146</v>
      </c>
    </row>
    <row r="915" spans="1:9" x14ac:dyDescent="0.25">
      <c r="A915" s="32">
        <v>46245</v>
      </c>
      <c r="B915" s="33" t="s">
        <v>544</v>
      </c>
      <c r="C915" s="33" t="s">
        <v>147</v>
      </c>
      <c r="D915" s="33" t="s">
        <v>32</v>
      </c>
      <c r="E915">
        <v>8</v>
      </c>
      <c r="F915" s="34">
        <v>2.4687500000000001E-2</v>
      </c>
      <c r="G915" s="34">
        <v>3.0859375000000001E-3</v>
      </c>
      <c r="H915" s="33" t="s">
        <v>160</v>
      </c>
      <c r="I915" s="33" t="s">
        <v>146</v>
      </c>
    </row>
    <row r="916" spans="1:9" x14ac:dyDescent="0.25">
      <c r="A916" s="32">
        <v>46245</v>
      </c>
      <c r="B916" s="33" t="s">
        <v>558</v>
      </c>
      <c r="C916" s="33" t="s">
        <v>32</v>
      </c>
      <c r="D916" s="33" t="s">
        <v>32</v>
      </c>
      <c r="E916">
        <v>33</v>
      </c>
      <c r="F916" s="34">
        <v>9.8217592592592592E-2</v>
      </c>
      <c r="G916" s="34">
        <v>2.976290684624018E-3</v>
      </c>
      <c r="H916" s="33" t="s">
        <v>120</v>
      </c>
      <c r="I916" s="33" t="s">
        <v>233</v>
      </c>
    </row>
    <row r="917" spans="1:9" x14ac:dyDescent="0.25">
      <c r="A917" s="32">
        <v>46245</v>
      </c>
      <c r="B917" s="33" t="s">
        <v>507</v>
      </c>
      <c r="C917" s="33" t="s">
        <v>32</v>
      </c>
      <c r="D917" s="33" t="s">
        <v>32</v>
      </c>
      <c r="E917">
        <v>35</v>
      </c>
      <c r="F917" s="34">
        <v>0.19304398148148147</v>
      </c>
      <c r="G917" s="34">
        <v>5.5155423280423277E-3</v>
      </c>
      <c r="H917" s="33" t="s">
        <v>46</v>
      </c>
      <c r="I917" s="33" t="s">
        <v>100</v>
      </c>
    </row>
    <row r="918" spans="1:9" x14ac:dyDescent="0.25">
      <c r="A918" s="32">
        <v>46245</v>
      </c>
      <c r="B918" s="33" t="s">
        <v>517</v>
      </c>
      <c r="C918" s="33" t="s">
        <v>147</v>
      </c>
      <c r="D918" s="33" t="s">
        <v>147</v>
      </c>
      <c r="E918">
        <v>9</v>
      </c>
      <c r="F918" s="34">
        <v>3.2476851851851854E-2</v>
      </c>
      <c r="G918" s="34">
        <v>3.6085390946502061E-3</v>
      </c>
      <c r="H918" s="33" t="s">
        <v>499</v>
      </c>
      <c r="I918" s="33" t="s">
        <v>146</v>
      </c>
    </row>
    <row r="919" spans="1:9" x14ac:dyDescent="0.25">
      <c r="A919" s="32">
        <v>46245</v>
      </c>
      <c r="B919" s="33" t="s">
        <v>517</v>
      </c>
      <c r="C919" s="33" t="s">
        <v>147</v>
      </c>
      <c r="D919" s="33" t="s">
        <v>32</v>
      </c>
      <c r="E919">
        <v>1</v>
      </c>
      <c r="F919" s="34">
        <v>7.2106481481481483E-3</v>
      </c>
      <c r="G919" s="34">
        <v>7.2106481481481483E-3</v>
      </c>
      <c r="H919" s="33" t="s">
        <v>499</v>
      </c>
      <c r="I919" s="33" t="s">
        <v>146</v>
      </c>
    </row>
    <row r="920" spans="1:9" x14ac:dyDescent="0.25">
      <c r="A920" s="32">
        <v>46245</v>
      </c>
      <c r="B920" s="33" t="s">
        <v>648</v>
      </c>
      <c r="C920" s="33" t="s">
        <v>32</v>
      </c>
      <c r="D920" s="33" t="s">
        <v>32</v>
      </c>
      <c r="E920">
        <v>32</v>
      </c>
      <c r="F920" s="34">
        <v>8.2430555555555562E-2</v>
      </c>
      <c r="G920" s="34">
        <v>2.5759548611111113E-3</v>
      </c>
      <c r="H920" s="33" t="s">
        <v>647</v>
      </c>
      <c r="I920" s="33" t="s">
        <v>233</v>
      </c>
    </row>
    <row r="921" spans="1:9" x14ac:dyDescent="0.25">
      <c r="A921" s="32">
        <v>46245</v>
      </c>
      <c r="B921" s="33" t="s">
        <v>650</v>
      </c>
      <c r="C921" s="33" t="s">
        <v>105</v>
      </c>
      <c r="D921" s="33" t="s">
        <v>105</v>
      </c>
      <c r="E921">
        <v>6</v>
      </c>
      <c r="F921" s="34">
        <v>9.6701388888888892E-2</v>
      </c>
      <c r="G921" s="34">
        <v>1.6116898148148148E-2</v>
      </c>
      <c r="H921" s="33" t="s">
        <v>649</v>
      </c>
      <c r="I921" s="33" t="s">
        <v>104</v>
      </c>
    </row>
    <row r="922" spans="1:9" x14ac:dyDescent="0.25">
      <c r="A922" s="32">
        <v>46245</v>
      </c>
      <c r="B922" s="33" t="s">
        <v>652</v>
      </c>
      <c r="C922" s="33" t="s">
        <v>32</v>
      </c>
      <c r="D922" s="33" t="s">
        <v>32</v>
      </c>
      <c r="E922">
        <v>26</v>
      </c>
      <c r="F922" s="34">
        <v>0.16525462962962964</v>
      </c>
      <c r="G922" s="34">
        <v>6.3559472934472941E-3</v>
      </c>
      <c r="H922" s="33" t="s">
        <v>651</v>
      </c>
      <c r="I922" s="33" t="s">
        <v>100</v>
      </c>
    </row>
    <row r="923" spans="1:9" x14ac:dyDescent="0.25">
      <c r="A923" s="32">
        <v>46245</v>
      </c>
      <c r="B923" s="33" t="s">
        <v>568</v>
      </c>
      <c r="C923" s="33" t="s">
        <v>32</v>
      </c>
      <c r="D923" s="33" t="s">
        <v>32</v>
      </c>
      <c r="E923">
        <v>47</v>
      </c>
      <c r="F923" s="34">
        <v>0.1632986111111111</v>
      </c>
      <c r="G923" s="34">
        <v>3.4744385342789594E-3</v>
      </c>
      <c r="H923" s="33" t="s">
        <v>246</v>
      </c>
      <c r="I923" s="33" t="s">
        <v>233</v>
      </c>
    </row>
    <row r="924" spans="1:9" x14ac:dyDescent="0.25">
      <c r="A924" s="32">
        <v>46245</v>
      </c>
      <c r="B924" s="33" t="s">
        <v>508</v>
      </c>
      <c r="C924" s="33" t="s">
        <v>32</v>
      </c>
      <c r="D924" s="33" t="s">
        <v>32</v>
      </c>
      <c r="E924">
        <v>43</v>
      </c>
      <c r="F924" s="34">
        <v>0.15912037037037038</v>
      </c>
      <c r="G924" s="34">
        <v>3.7004737295434974E-3</v>
      </c>
      <c r="H924" s="33" t="s">
        <v>48</v>
      </c>
      <c r="I924" s="33" t="s">
        <v>100</v>
      </c>
    </row>
    <row r="925" spans="1:9" x14ac:dyDescent="0.25">
      <c r="A925" s="32">
        <v>46245</v>
      </c>
      <c r="B925" s="33" t="s">
        <v>538</v>
      </c>
      <c r="C925" s="33" t="s">
        <v>32</v>
      </c>
      <c r="D925" s="33" t="s">
        <v>32</v>
      </c>
      <c r="E925">
        <v>5</v>
      </c>
      <c r="F925" s="34">
        <v>5.4722222222222221E-2</v>
      </c>
      <c r="G925" s="34">
        <v>1.0944444444444444E-2</v>
      </c>
      <c r="H925" s="33" t="s">
        <v>50</v>
      </c>
      <c r="I925" s="33" t="s">
        <v>100</v>
      </c>
    </row>
    <row r="926" spans="1:9" x14ac:dyDescent="0.25">
      <c r="A926" s="32">
        <v>46245</v>
      </c>
      <c r="B926" s="33" t="s">
        <v>603</v>
      </c>
      <c r="C926" s="33" t="s">
        <v>32</v>
      </c>
      <c r="D926" s="33" t="s">
        <v>32</v>
      </c>
      <c r="E926">
        <v>25</v>
      </c>
      <c r="F926" s="34">
        <v>0.12487268518518518</v>
      </c>
      <c r="G926" s="34">
        <v>4.9949074074074071E-3</v>
      </c>
      <c r="H926" s="33" t="s">
        <v>242</v>
      </c>
      <c r="I926" s="33" t="s">
        <v>233</v>
      </c>
    </row>
    <row r="927" spans="1:9" x14ac:dyDescent="0.25">
      <c r="A927" s="32">
        <v>46245</v>
      </c>
      <c r="B927" s="33" t="s">
        <v>559</v>
      </c>
      <c r="C927" s="33" t="s">
        <v>105</v>
      </c>
      <c r="D927" s="33" t="s">
        <v>105</v>
      </c>
      <c r="E927">
        <v>5</v>
      </c>
      <c r="F927" s="34">
        <v>8.9525462962962959E-2</v>
      </c>
      <c r="G927" s="34">
        <v>1.7905092592592591E-2</v>
      </c>
      <c r="H927" s="33" t="s">
        <v>289</v>
      </c>
      <c r="I927" s="33" t="s">
        <v>104</v>
      </c>
    </row>
    <row r="928" spans="1:9" x14ac:dyDescent="0.25">
      <c r="A928" s="32">
        <v>46245</v>
      </c>
      <c r="B928" s="33" t="s">
        <v>553</v>
      </c>
      <c r="C928" s="33" t="s">
        <v>80</v>
      </c>
      <c r="D928" s="33" t="s">
        <v>32</v>
      </c>
      <c r="E928">
        <v>1</v>
      </c>
      <c r="F928" s="34">
        <v>7.1064814814814819E-3</v>
      </c>
      <c r="G928" s="34">
        <v>7.1064814814814819E-3</v>
      </c>
      <c r="H928" s="33" t="s">
        <v>252</v>
      </c>
      <c r="I928" s="33" t="s">
        <v>78</v>
      </c>
    </row>
    <row r="929" spans="1:9" x14ac:dyDescent="0.25">
      <c r="A929" s="32">
        <v>46245</v>
      </c>
      <c r="B929" s="33" t="s">
        <v>518</v>
      </c>
      <c r="C929" s="33" t="s">
        <v>147</v>
      </c>
      <c r="D929" s="33" t="s">
        <v>147</v>
      </c>
      <c r="E929">
        <v>10</v>
      </c>
      <c r="F929" s="34">
        <v>4.6099537037037036E-2</v>
      </c>
      <c r="G929" s="34">
        <v>4.6099537037037038E-3</v>
      </c>
      <c r="H929" s="33" t="s">
        <v>500</v>
      </c>
      <c r="I929" s="33" t="s">
        <v>274</v>
      </c>
    </row>
    <row r="930" spans="1:9" x14ac:dyDescent="0.25">
      <c r="A930" s="32">
        <v>46245</v>
      </c>
      <c r="B930" s="33" t="s">
        <v>518</v>
      </c>
      <c r="C930" s="33" t="s">
        <v>147</v>
      </c>
      <c r="D930" s="33" t="s">
        <v>32</v>
      </c>
      <c r="E930">
        <v>8</v>
      </c>
      <c r="F930" s="34">
        <v>3.2638888888888891E-2</v>
      </c>
      <c r="G930" s="34">
        <v>4.0798611111111114E-3</v>
      </c>
      <c r="H930" s="33" t="s">
        <v>500</v>
      </c>
      <c r="I930" s="33" t="s">
        <v>274</v>
      </c>
    </row>
    <row r="931" spans="1:9" x14ac:dyDescent="0.25">
      <c r="A931" s="32">
        <v>46245</v>
      </c>
      <c r="B931" s="33" t="s">
        <v>684</v>
      </c>
      <c r="C931" s="33" t="s">
        <v>32</v>
      </c>
      <c r="D931" s="33" t="s">
        <v>32</v>
      </c>
      <c r="E931">
        <v>27</v>
      </c>
      <c r="F931" s="34">
        <v>0.1082638888888889</v>
      </c>
      <c r="G931" s="34">
        <v>4.0097736625514403E-3</v>
      </c>
      <c r="H931" s="33" t="s">
        <v>683</v>
      </c>
      <c r="I931" s="33" t="s">
        <v>233</v>
      </c>
    </row>
    <row r="932" spans="1:9" x14ac:dyDescent="0.25">
      <c r="A932" s="32">
        <v>46245</v>
      </c>
      <c r="B932" s="33" t="s">
        <v>654</v>
      </c>
      <c r="C932" s="33" t="s">
        <v>32</v>
      </c>
      <c r="D932" s="33" t="s">
        <v>32</v>
      </c>
      <c r="E932">
        <v>26</v>
      </c>
      <c r="F932" s="34">
        <v>0.18335648148148148</v>
      </c>
      <c r="G932" s="34">
        <v>7.052172364672365E-3</v>
      </c>
      <c r="H932" s="33" t="s">
        <v>653</v>
      </c>
      <c r="I932" s="33" t="s">
        <v>100</v>
      </c>
    </row>
    <row r="933" spans="1:9" x14ac:dyDescent="0.25">
      <c r="A933" s="32">
        <v>46245</v>
      </c>
      <c r="B933" s="33" t="s">
        <v>509</v>
      </c>
      <c r="C933" s="33" t="s">
        <v>32</v>
      </c>
      <c r="D933" s="33" t="s">
        <v>32</v>
      </c>
      <c r="E933">
        <v>5</v>
      </c>
      <c r="F933" s="34">
        <v>1.8101851851851852E-2</v>
      </c>
      <c r="G933" s="34">
        <v>3.6203703703703701E-3</v>
      </c>
      <c r="H933" s="33" t="s">
        <v>52</v>
      </c>
      <c r="I933" s="33" t="s">
        <v>100</v>
      </c>
    </row>
    <row r="934" spans="1:9" x14ac:dyDescent="0.25">
      <c r="A934" s="32">
        <v>46245</v>
      </c>
      <c r="B934" s="33" t="s">
        <v>656</v>
      </c>
      <c r="C934" s="33" t="s">
        <v>32</v>
      </c>
      <c r="D934" s="33" t="s">
        <v>32</v>
      </c>
      <c r="E934">
        <v>39</v>
      </c>
      <c r="F934" s="34">
        <v>0.1653125</v>
      </c>
      <c r="G934" s="34">
        <v>4.2387820512820515E-3</v>
      </c>
      <c r="H934" s="33" t="s">
        <v>655</v>
      </c>
      <c r="I934" s="33" t="s">
        <v>100</v>
      </c>
    </row>
    <row r="935" spans="1:9" x14ac:dyDescent="0.25">
      <c r="A935" s="32">
        <v>46245</v>
      </c>
      <c r="B935" s="33" t="s">
        <v>167</v>
      </c>
      <c r="C935" s="33" t="s">
        <v>147</v>
      </c>
      <c r="D935" s="33" t="s">
        <v>147</v>
      </c>
      <c r="E935">
        <v>11</v>
      </c>
      <c r="F935" s="34">
        <v>3.3865740740740738E-2</v>
      </c>
      <c r="G935" s="34">
        <v>3.0787037037037033E-3</v>
      </c>
      <c r="H935" s="33" t="s">
        <v>166</v>
      </c>
      <c r="I935" s="33" t="s">
        <v>146</v>
      </c>
    </row>
    <row r="936" spans="1:9" x14ac:dyDescent="0.25">
      <c r="A936" s="32">
        <v>46245</v>
      </c>
      <c r="B936" s="33" t="s">
        <v>167</v>
      </c>
      <c r="C936" s="33" t="s">
        <v>147</v>
      </c>
      <c r="D936" s="33" t="s">
        <v>32</v>
      </c>
      <c r="E936">
        <v>2</v>
      </c>
      <c r="F936" s="34">
        <v>6.3078703703703708E-3</v>
      </c>
      <c r="G936" s="34">
        <v>3.1539351851851854E-3</v>
      </c>
      <c r="H936" s="33" t="s">
        <v>166</v>
      </c>
      <c r="I936" s="33" t="s">
        <v>146</v>
      </c>
    </row>
    <row r="937" spans="1:9" x14ac:dyDescent="0.25">
      <c r="A937" s="32">
        <v>46245</v>
      </c>
      <c r="B937" s="33" t="s">
        <v>658</v>
      </c>
      <c r="C937" s="33" t="s">
        <v>147</v>
      </c>
      <c r="D937" s="33" t="s">
        <v>147</v>
      </c>
      <c r="E937">
        <v>14</v>
      </c>
      <c r="F937" s="34">
        <v>6.4120370370370369E-2</v>
      </c>
      <c r="G937" s="34">
        <v>4.5800264550264549E-3</v>
      </c>
      <c r="H937" s="33" t="s">
        <v>657</v>
      </c>
      <c r="I937" s="33" t="s">
        <v>274</v>
      </c>
    </row>
    <row r="938" spans="1:9" x14ac:dyDescent="0.25">
      <c r="A938" s="32">
        <v>46245</v>
      </c>
      <c r="B938" s="33" t="s">
        <v>658</v>
      </c>
      <c r="C938" s="33" t="s">
        <v>147</v>
      </c>
      <c r="D938" s="33" t="s">
        <v>32</v>
      </c>
      <c r="E938">
        <v>6</v>
      </c>
      <c r="F938" s="34">
        <v>2.431712962962963E-2</v>
      </c>
      <c r="G938" s="34">
        <v>4.0528549382716052E-3</v>
      </c>
      <c r="H938" s="33" t="s">
        <v>657</v>
      </c>
      <c r="I938" s="33" t="s">
        <v>274</v>
      </c>
    </row>
    <row r="939" spans="1:9" x14ac:dyDescent="0.25">
      <c r="A939" s="32">
        <v>46245</v>
      </c>
      <c r="B939" s="33" t="s">
        <v>660</v>
      </c>
      <c r="C939" s="33" t="s">
        <v>32</v>
      </c>
      <c r="D939" s="33" t="s">
        <v>32</v>
      </c>
      <c r="E939">
        <v>6</v>
      </c>
      <c r="F939" s="34">
        <v>2.0324074074074074E-2</v>
      </c>
      <c r="G939" s="34">
        <v>3.3873456790123459E-3</v>
      </c>
      <c r="H939" s="33" t="s">
        <v>659</v>
      </c>
      <c r="I939" s="33" t="s">
        <v>100</v>
      </c>
    </row>
    <row r="940" spans="1:9" x14ac:dyDescent="0.25">
      <c r="A940" s="32">
        <v>46245</v>
      </c>
      <c r="B940" s="33" t="s">
        <v>528</v>
      </c>
      <c r="C940" s="33" t="s">
        <v>32</v>
      </c>
      <c r="D940" s="33" t="s">
        <v>32</v>
      </c>
      <c r="E940">
        <v>24</v>
      </c>
      <c r="F940" s="34">
        <v>0.1028587962962963</v>
      </c>
      <c r="G940" s="34">
        <v>4.2857831790123454E-3</v>
      </c>
      <c r="H940" s="33" t="s">
        <v>254</v>
      </c>
      <c r="I940" s="33" t="s">
        <v>233</v>
      </c>
    </row>
    <row r="941" spans="1:9" x14ac:dyDescent="0.25">
      <c r="A941" s="32">
        <v>46245</v>
      </c>
      <c r="B941" s="33" t="s">
        <v>545</v>
      </c>
      <c r="C941" s="33" t="s">
        <v>600</v>
      </c>
      <c r="D941" s="33" t="s">
        <v>600</v>
      </c>
      <c r="E941">
        <v>32</v>
      </c>
      <c r="F941" s="34">
        <v>5.7175925925925929E-2</v>
      </c>
      <c r="G941" s="34">
        <v>1.7867476851851853E-3</v>
      </c>
      <c r="H941" s="33" t="s">
        <v>201</v>
      </c>
      <c r="I941" s="33" t="s">
        <v>601</v>
      </c>
    </row>
    <row r="942" spans="1:9" x14ac:dyDescent="0.25">
      <c r="A942" s="32">
        <v>46245</v>
      </c>
      <c r="B942" s="33" t="s">
        <v>520</v>
      </c>
      <c r="C942" s="33" t="s">
        <v>147</v>
      </c>
      <c r="D942" s="33" t="s">
        <v>147</v>
      </c>
      <c r="E942">
        <v>11</v>
      </c>
      <c r="F942" s="34">
        <v>4.2453703703703702E-2</v>
      </c>
      <c r="G942" s="34">
        <v>3.8594276094276094E-3</v>
      </c>
      <c r="H942" s="33" t="s">
        <v>168</v>
      </c>
      <c r="I942" s="33" t="s">
        <v>274</v>
      </c>
    </row>
    <row r="943" spans="1:9" x14ac:dyDescent="0.25">
      <c r="A943" s="32">
        <v>46245</v>
      </c>
      <c r="B943" s="33" t="s">
        <v>520</v>
      </c>
      <c r="C943" s="33" t="s">
        <v>147</v>
      </c>
      <c r="D943" s="33" t="s">
        <v>32</v>
      </c>
      <c r="E943">
        <v>4</v>
      </c>
      <c r="F943" s="34">
        <v>2.0995370370370369E-2</v>
      </c>
      <c r="G943" s="34">
        <v>5.2488425925925923E-3</v>
      </c>
      <c r="H943" s="33" t="s">
        <v>168</v>
      </c>
      <c r="I943" s="33" t="s">
        <v>274</v>
      </c>
    </row>
    <row r="944" spans="1:9" x14ac:dyDescent="0.25">
      <c r="A944" s="32">
        <v>46245</v>
      </c>
      <c r="B944" s="33" t="s">
        <v>521</v>
      </c>
      <c r="C944" s="33" t="s">
        <v>147</v>
      </c>
      <c r="D944" s="33" t="s">
        <v>147</v>
      </c>
      <c r="E944">
        <v>9</v>
      </c>
      <c r="F944" s="34">
        <v>5.3437499999999999E-2</v>
      </c>
      <c r="G944" s="34">
        <v>5.9375000000000001E-3</v>
      </c>
      <c r="H944" s="33" t="s">
        <v>170</v>
      </c>
      <c r="I944" s="33" t="s">
        <v>146</v>
      </c>
    </row>
    <row r="945" spans="1:9" x14ac:dyDescent="0.25">
      <c r="A945" s="32">
        <v>46245</v>
      </c>
      <c r="B945" s="33" t="s">
        <v>521</v>
      </c>
      <c r="C945" s="33" t="s">
        <v>147</v>
      </c>
      <c r="D945" s="33" t="s">
        <v>32</v>
      </c>
      <c r="E945">
        <v>6</v>
      </c>
      <c r="F945" s="34">
        <v>2.9618055555555557E-2</v>
      </c>
      <c r="G945" s="34">
        <v>4.9363425925925929E-3</v>
      </c>
      <c r="H945" s="33" t="s">
        <v>170</v>
      </c>
      <c r="I945" s="33" t="s">
        <v>146</v>
      </c>
    </row>
    <row r="946" spans="1:9" x14ac:dyDescent="0.25">
      <c r="A946" s="32">
        <v>46245</v>
      </c>
      <c r="B946" s="33" t="s">
        <v>93</v>
      </c>
      <c r="C946" s="33" t="s">
        <v>80</v>
      </c>
      <c r="D946" s="33" t="s">
        <v>32</v>
      </c>
      <c r="E946">
        <v>1</v>
      </c>
      <c r="F946" s="34">
        <v>2.6990740740740742E-2</v>
      </c>
      <c r="G946" s="34">
        <v>2.6990740740740742E-2</v>
      </c>
      <c r="H946" s="33" t="s">
        <v>92</v>
      </c>
      <c r="I946" s="33" t="s">
        <v>78</v>
      </c>
    </row>
    <row r="947" spans="1:9" x14ac:dyDescent="0.25">
      <c r="A947" s="32">
        <v>46245</v>
      </c>
      <c r="B947" s="33" t="s">
        <v>543</v>
      </c>
      <c r="C947" s="33" t="s">
        <v>600</v>
      </c>
      <c r="D947" s="33" t="s">
        <v>600</v>
      </c>
      <c r="E947">
        <v>34</v>
      </c>
      <c r="F947" s="34">
        <v>6.2488425925925926E-2</v>
      </c>
      <c r="G947" s="34">
        <v>1.837894880174292E-3</v>
      </c>
      <c r="H947" s="33" t="s">
        <v>293</v>
      </c>
      <c r="I947" s="33" t="s">
        <v>104</v>
      </c>
    </row>
    <row r="948" spans="1:9" x14ac:dyDescent="0.25">
      <c r="A948" s="32">
        <v>46245</v>
      </c>
      <c r="B948" s="33" t="s">
        <v>633</v>
      </c>
      <c r="C948" s="33" t="s">
        <v>147</v>
      </c>
      <c r="D948" s="33" t="s">
        <v>147</v>
      </c>
      <c r="E948">
        <v>5</v>
      </c>
      <c r="F948" s="34">
        <v>2.1539351851851851E-2</v>
      </c>
      <c r="G948" s="34">
        <v>4.3078703703703699E-3</v>
      </c>
      <c r="H948" s="33" t="s">
        <v>606</v>
      </c>
      <c r="I948" s="33" t="s">
        <v>146</v>
      </c>
    </row>
    <row r="949" spans="1:9" x14ac:dyDescent="0.25">
      <c r="A949" s="32">
        <v>46245</v>
      </c>
      <c r="B949" s="33" t="s">
        <v>633</v>
      </c>
      <c r="C949" s="33" t="s">
        <v>147</v>
      </c>
      <c r="D949" s="33" t="s">
        <v>32</v>
      </c>
      <c r="E949">
        <v>3</v>
      </c>
      <c r="F949" s="34">
        <v>3.0011574074074072E-2</v>
      </c>
      <c r="G949" s="34">
        <v>1.0003858024691357E-2</v>
      </c>
      <c r="H949" s="33" t="s">
        <v>606</v>
      </c>
      <c r="I949" s="33" t="s">
        <v>146</v>
      </c>
    </row>
    <row r="950" spans="1:9" x14ac:dyDescent="0.25">
      <c r="A950" s="32">
        <v>46245</v>
      </c>
      <c r="B950" s="33" t="s">
        <v>634</v>
      </c>
      <c r="C950" s="33" t="s">
        <v>105</v>
      </c>
      <c r="D950" s="33" t="s">
        <v>105</v>
      </c>
      <c r="E950">
        <v>1</v>
      </c>
      <c r="F950" s="34">
        <v>2.4594907407407409E-2</v>
      </c>
      <c r="G950" s="34">
        <v>2.4594907407407409E-2</v>
      </c>
      <c r="H950" s="33" t="s">
        <v>612</v>
      </c>
      <c r="I950" s="33" t="s">
        <v>601</v>
      </c>
    </row>
    <row r="951" spans="1:9" x14ac:dyDescent="0.25">
      <c r="A951" s="32">
        <v>46245</v>
      </c>
      <c r="B951" s="33" t="s">
        <v>634</v>
      </c>
      <c r="C951" s="33" t="s">
        <v>105</v>
      </c>
      <c r="D951" s="33" t="s">
        <v>32</v>
      </c>
      <c r="E951">
        <v>1</v>
      </c>
      <c r="F951" s="34">
        <v>1.1597222222222222E-2</v>
      </c>
      <c r="G951" s="34">
        <v>1.1597222222222222E-2</v>
      </c>
      <c r="H951" s="33" t="s">
        <v>612</v>
      </c>
      <c r="I951" s="33" t="s">
        <v>601</v>
      </c>
    </row>
    <row r="952" spans="1:9" x14ac:dyDescent="0.25">
      <c r="A952" s="32">
        <v>46245</v>
      </c>
      <c r="B952" s="33" t="s">
        <v>529</v>
      </c>
      <c r="C952" s="33" t="s">
        <v>32</v>
      </c>
      <c r="D952" s="33" t="s">
        <v>32</v>
      </c>
      <c r="E952">
        <v>19</v>
      </c>
      <c r="F952" s="34">
        <v>7.4490740740740746E-2</v>
      </c>
      <c r="G952" s="34">
        <v>3.9205653021442497E-3</v>
      </c>
      <c r="H952" s="33" t="s">
        <v>256</v>
      </c>
      <c r="I952" s="33" t="s">
        <v>233</v>
      </c>
    </row>
    <row r="953" spans="1:9" x14ac:dyDescent="0.25">
      <c r="A953" s="32">
        <v>46245</v>
      </c>
      <c r="B953" s="33" t="s">
        <v>662</v>
      </c>
      <c r="C953" s="33" t="s">
        <v>32</v>
      </c>
      <c r="D953" s="33" t="s">
        <v>32</v>
      </c>
      <c r="E953">
        <v>25</v>
      </c>
      <c r="F953" s="34">
        <v>0.18712962962962962</v>
      </c>
      <c r="G953" s="34">
        <v>7.485185185185185E-3</v>
      </c>
      <c r="H953" s="33" t="s">
        <v>661</v>
      </c>
      <c r="I953" s="33" t="s">
        <v>100</v>
      </c>
    </row>
    <row r="954" spans="1:9" x14ac:dyDescent="0.25">
      <c r="A954" s="32">
        <v>46245</v>
      </c>
      <c r="B954" s="33" t="s">
        <v>664</v>
      </c>
      <c r="C954" s="33" t="s">
        <v>32</v>
      </c>
      <c r="D954" s="33" t="s">
        <v>32</v>
      </c>
      <c r="E954">
        <v>21</v>
      </c>
      <c r="F954" s="34">
        <v>0.13513888888888889</v>
      </c>
      <c r="G954" s="34">
        <v>6.4351851851851853E-3</v>
      </c>
      <c r="H954" s="33" t="s">
        <v>663</v>
      </c>
      <c r="I954" s="33" t="s">
        <v>233</v>
      </c>
    </row>
    <row r="955" spans="1:9" x14ac:dyDescent="0.25">
      <c r="A955" s="32">
        <v>46245</v>
      </c>
      <c r="B955" s="33" t="s">
        <v>565</v>
      </c>
      <c r="C955" s="33" t="s">
        <v>105</v>
      </c>
      <c r="D955" s="33" t="s">
        <v>105</v>
      </c>
      <c r="E955">
        <v>1</v>
      </c>
      <c r="F955" s="34">
        <v>2.2465277777777778E-2</v>
      </c>
      <c r="G955" s="34">
        <v>2.2465277777777778E-2</v>
      </c>
      <c r="H955" s="33" t="s">
        <v>203</v>
      </c>
      <c r="I955" s="33" t="s">
        <v>601</v>
      </c>
    </row>
    <row r="956" spans="1:9" x14ac:dyDescent="0.25">
      <c r="A956" s="32">
        <v>46245</v>
      </c>
      <c r="B956" s="33" t="s">
        <v>565</v>
      </c>
      <c r="C956" s="33" t="s">
        <v>105</v>
      </c>
      <c r="D956" s="33" t="s">
        <v>32</v>
      </c>
      <c r="E956">
        <v>2</v>
      </c>
      <c r="F956" s="34">
        <v>2.537037037037037E-2</v>
      </c>
      <c r="G956" s="34">
        <v>1.2685185185185185E-2</v>
      </c>
      <c r="H956" s="33" t="s">
        <v>203</v>
      </c>
      <c r="I956" s="33" t="s">
        <v>601</v>
      </c>
    </row>
    <row r="957" spans="1:9" x14ac:dyDescent="0.25">
      <c r="A957" s="32">
        <v>46245</v>
      </c>
      <c r="B957" s="33" t="s">
        <v>666</v>
      </c>
      <c r="C957" s="33" t="s">
        <v>32</v>
      </c>
      <c r="D957" s="33" t="s">
        <v>32</v>
      </c>
      <c r="E957">
        <v>36</v>
      </c>
      <c r="F957" s="34">
        <v>0.17743055555555556</v>
      </c>
      <c r="G957" s="34">
        <v>4.9286265432098766E-3</v>
      </c>
      <c r="H957" s="33" t="s">
        <v>665</v>
      </c>
      <c r="I957" s="33" t="s">
        <v>100</v>
      </c>
    </row>
    <row r="958" spans="1:9" x14ac:dyDescent="0.25">
      <c r="A958" s="32">
        <v>46245</v>
      </c>
      <c r="B958" s="33" t="s">
        <v>555</v>
      </c>
      <c r="C958" s="33" t="s">
        <v>32</v>
      </c>
      <c r="D958" s="33" t="s">
        <v>32</v>
      </c>
      <c r="E958">
        <v>20</v>
      </c>
      <c r="F958" s="34">
        <v>8.458333333333333E-2</v>
      </c>
      <c r="G958" s="34">
        <v>4.2291666666666667E-3</v>
      </c>
      <c r="H958" s="33" t="s">
        <v>128</v>
      </c>
      <c r="I958" s="33" t="s">
        <v>233</v>
      </c>
    </row>
    <row r="959" spans="1:9" x14ac:dyDescent="0.25">
      <c r="A959" s="32">
        <v>46245</v>
      </c>
      <c r="B959" s="33" t="s">
        <v>522</v>
      </c>
      <c r="C959" s="33" t="s">
        <v>147</v>
      </c>
      <c r="D959" s="33" t="s">
        <v>147</v>
      </c>
      <c r="E959">
        <v>9</v>
      </c>
      <c r="F959" s="34">
        <v>3.6261574074074071E-2</v>
      </c>
      <c r="G959" s="34">
        <v>4.0290637860082301E-3</v>
      </c>
      <c r="H959" s="33" t="s">
        <v>178</v>
      </c>
      <c r="I959" s="33" t="s">
        <v>146</v>
      </c>
    </row>
    <row r="960" spans="1:9" x14ac:dyDescent="0.25">
      <c r="A960" s="32">
        <v>46245</v>
      </c>
      <c r="B960" s="33" t="s">
        <v>522</v>
      </c>
      <c r="C960" s="33" t="s">
        <v>147</v>
      </c>
      <c r="D960" s="33" t="s">
        <v>32</v>
      </c>
      <c r="E960">
        <v>3</v>
      </c>
      <c r="F960" s="34">
        <v>9.6064814814814815E-3</v>
      </c>
      <c r="G960" s="34">
        <v>3.2021604938271605E-3</v>
      </c>
      <c r="H960" s="33" t="s">
        <v>178</v>
      </c>
      <c r="I960" s="33" t="s">
        <v>146</v>
      </c>
    </row>
    <row r="961" spans="1:9" x14ac:dyDescent="0.25">
      <c r="A961" s="32">
        <v>46245</v>
      </c>
      <c r="B961" s="33" t="s">
        <v>667</v>
      </c>
      <c r="C961" s="33" t="s">
        <v>105</v>
      </c>
      <c r="D961" s="33" t="s">
        <v>105</v>
      </c>
      <c r="E961">
        <v>9</v>
      </c>
      <c r="F961" s="34">
        <v>0.1207175925925926</v>
      </c>
      <c r="G961" s="34">
        <v>1.34130658436214E-2</v>
      </c>
      <c r="H961" s="33" t="s">
        <v>297</v>
      </c>
      <c r="I961" s="33" t="s">
        <v>104</v>
      </c>
    </row>
    <row r="962" spans="1:9" x14ac:dyDescent="0.25">
      <c r="A962" s="32">
        <v>46245</v>
      </c>
      <c r="B962" s="33" t="s">
        <v>635</v>
      </c>
      <c r="C962" s="33" t="s">
        <v>105</v>
      </c>
      <c r="D962" s="33" t="s">
        <v>105</v>
      </c>
      <c r="E962">
        <v>3</v>
      </c>
      <c r="F962" s="34">
        <v>7.4826388888888887E-2</v>
      </c>
      <c r="G962" s="34">
        <v>2.494212962962963E-2</v>
      </c>
      <c r="H962" s="33" t="s">
        <v>614</v>
      </c>
      <c r="I962" s="33" t="s">
        <v>601</v>
      </c>
    </row>
    <row r="963" spans="1:9" x14ac:dyDescent="0.25">
      <c r="A963" s="32">
        <v>46245</v>
      </c>
      <c r="B963" s="33" t="s">
        <v>635</v>
      </c>
      <c r="C963" s="33" t="s">
        <v>105</v>
      </c>
      <c r="D963" s="33" t="s">
        <v>32</v>
      </c>
      <c r="E963">
        <v>1</v>
      </c>
      <c r="F963" s="34">
        <v>9.6874999999999999E-3</v>
      </c>
      <c r="G963" s="34">
        <v>9.6874999999999999E-3</v>
      </c>
      <c r="H963" s="33" t="s">
        <v>614</v>
      </c>
      <c r="I963" s="33" t="s">
        <v>601</v>
      </c>
    </row>
    <row r="964" spans="1:9" x14ac:dyDescent="0.25">
      <c r="A964" s="32">
        <v>46245</v>
      </c>
      <c r="B964" s="33" t="s">
        <v>523</v>
      </c>
      <c r="C964" s="33" t="s">
        <v>147</v>
      </c>
      <c r="D964" s="33" t="s">
        <v>147</v>
      </c>
      <c r="E964">
        <v>8</v>
      </c>
      <c r="F964" s="34">
        <v>3.5787037037037034E-2</v>
      </c>
      <c r="G964" s="34">
        <v>4.4733796296296292E-3</v>
      </c>
      <c r="H964" s="33" t="s">
        <v>180</v>
      </c>
      <c r="I964" s="33" t="s">
        <v>146</v>
      </c>
    </row>
    <row r="965" spans="1:9" x14ac:dyDescent="0.25">
      <c r="A965" s="32">
        <v>46245</v>
      </c>
      <c r="B965" s="33" t="s">
        <v>523</v>
      </c>
      <c r="C965" s="33" t="s">
        <v>147</v>
      </c>
      <c r="D965" s="33" t="s">
        <v>32</v>
      </c>
      <c r="E965">
        <v>6</v>
      </c>
      <c r="F965" s="34">
        <v>2.9062500000000002E-2</v>
      </c>
      <c r="G965" s="34">
        <v>4.84375E-3</v>
      </c>
      <c r="H965" s="33" t="s">
        <v>180</v>
      </c>
      <c r="I965" s="33" t="s">
        <v>146</v>
      </c>
    </row>
    <row r="966" spans="1:9" x14ac:dyDescent="0.25">
      <c r="A966" s="32">
        <v>46245</v>
      </c>
      <c r="B966" s="33" t="s">
        <v>636</v>
      </c>
      <c r="C966" s="33" t="s">
        <v>105</v>
      </c>
      <c r="D966" s="33" t="s">
        <v>105</v>
      </c>
      <c r="E966">
        <v>2</v>
      </c>
      <c r="F966" s="34">
        <v>3.3113425925925928E-2</v>
      </c>
      <c r="G966" s="34">
        <v>1.6556712962962964E-2</v>
      </c>
      <c r="H966" s="33" t="s">
        <v>615</v>
      </c>
      <c r="I966" s="33" t="s">
        <v>601</v>
      </c>
    </row>
    <row r="967" spans="1:9" x14ac:dyDescent="0.25">
      <c r="A967" s="32">
        <v>46245</v>
      </c>
      <c r="B967" s="33" t="s">
        <v>636</v>
      </c>
      <c r="C967" s="33" t="s">
        <v>105</v>
      </c>
      <c r="D967" s="33" t="s">
        <v>32</v>
      </c>
      <c r="E967">
        <v>2</v>
      </c>
      <c r="F967" s="34">
        <v>1.8263888888888889E-2</v>
      </c>
      <c r="G967" s="34">
        <v>9.1319444444444443E-3</v>
      </c>
      <c r="H967" s="33" t="s">
        <v>615</v>
      </c>
      <c r="I967" s="33" t="s">
        <v>601</v>
      </c>
    </row>
    <row r="968" spans="1:9" x14ac:dyDescent="0.25">
      <c r="A968" s="32">
        <v>46245</v>
      </c>
      <c r="B968" s="33" t="s">
        <v>97</v>
      </c>
      <c r="C968" s="33" t="s">
        <v>80</v>
      </c>
      <c r="D968" s="33" t="s">
        <v>32</v>
      </c>
      <c r="E968">
        <v>1</v>
      </c>
      <c r="F968" s="34">
        <v>1.9872685185185184E-2</v>
      </c>
      <c r="G968" s="34">
        <v>1.9872685185185184E-2</v>
      </c>
      <c r="H968" s="33" t="s">
        <v>96</v>
      </c>
      <c r="I968" s="33" t="s">
        <v>78</v>
      </c>
    </row>
    <row r="969" spans="1:9" x14ac:dyDescent="0.25">
      <c r="A969" s="32">
        <v>46245</v>
      </c>
      <c r="B969" s="33" t="s">
        <v>566</v>
      </c>
      <c r="C969" s="33" t="s">
        <v>147</v>
      </c>
      <c r="D969" s="33" t="s">
        <v>147</v>
      </c>
      <c r="E969">
        <v>20</v>
      </c>
      <c r="F969" s="34">
        <v>7.4328703703703702E-2</v>
      </c>
      <c r="G969" s="34">
        <v>3.716435185185185E-3</v>
      </c>
      <c r="H969" s="33" t="s">
        <v>207</v>
      </c>
      <c r="I969" s="33" t="s">
        <v>274</v>
      </c>
    </row>
    <row r="970" spans="1:9" x14ac:dyDescent="0.25">
      <c r="A970" s="32">
        <v>46245</v>
      </c>
      <c r="B970" s="33" t="s">
        <v>566</v>
      </c>
      <c r="C970" s="33" t="s">
        <v>147</v>
      </c>
      <c r="D970" s="33" t="s">
        <v>32</v>
      </c>
      <c r="E970">
        <v>3</v>
      </c>
      <c r="F970" s="34">
        <v>1.2337962962962964E-2</v>
      </c>
      <c r="G970" s="34">
        <v>4.1126543209876543E-3</v>
      </c>
      <c r="H970" s="33" t="s">
        <v>207</v>
      </c>
      <c r="I970" s="33" t="s">
        <v>274</v>
      </c>
    </row>
    <row r="971" spans="1:9" x14ac:dyDescent="0.25">
      <c r="A971" s="32">
        <v>46245</v>
      </c>
      <c r="B971" s="33" t="s">
        <v>637</v>
      </c>
      <c r="C971" s="33" t="s">
        <v>105</v>
      </c>
      <c r="D971" s="33" t="s">
        <v>105</v>
      </c>
      <c r="E971">
        <v>2</v>
      </c>
      <c r="F971" s="34">
        <v>5.4837962962962963E-2</v>
      </c>
      <c r="G971" s="34">
        <v>2.7418981481481482E-2</v>
      </c>
      <c r="H971" s="33" t="s">
        <v>616</v>
      </c>
      <c r="I971" s="33" t="s">
        <v>601</v>
      </c>
    </row>
    <row r="972" spans="1:9" x14ac:dyDescent="0.25">
      <c r="A972" s="32">
        <v>46245</v>
      </c>
      <c r="B972" s="33" t="s">
        <v>567</v>
      </c>
      <c r="C972" s="33" t="s">
        <v>105</v>
      </c>
      <c r="D972" s="33" t="s">
        <v>105</v>
      </c>
      <c r="E972">
        <v>2</v>
      </c>
      <c r="F972" s="34">
        <v>6.8437499999999998E-2</v>
      </c>
      <c r="G972" s="34">
        <v>3.4218749999999999E-2</v>
      </c>
      <c r="H972" s="33" t="s">
        <v>209</v>
      </c>
      <c r="I972" s="33" t="s">
        <v>601</v>
      </c>
    </row>
    <row r="973" spans="1:9" x14ac:dyDescent="0.25">
      <c r="A973" s="32">
        <v>46245</v>
      </c>
      <c r="B973" s="33" t="s">
        <v>510</v>
      </c>
      <c r="C973" s="33" t="s">
        <v>32</v>
      </c>
      <c r="D973" s="33" t="s">
        <v>32</v>
      </c>
      <c r="E973">
        <v>42</v>
      </c>
      <c r="F973" s="34">
        <v>0.24208333333333334</v>
      </c>
      <c r="G973" s="34">
        <v>5.7638888888888896E-3</v>
      </c>
      <c r="H973" s="33" t="s">
        <v>60</v>
      </c>
      <c r="I973" s="33" t="s">
        <v>100</v>
      </c>
    </row>
    <row r="974" spans="1:9" x14ac:dyDescent="0.25">
      <c r="A974" s="32">
        <v>46245</v>
      </c>
      <c r="B974" s="33" t="s">
        <v>512</v>
      </c>
      <c r="C974" s="33" t="s">
        <v>105</v>
      </c>
      <c r="D974" s="33" t="s">
        <v>105</v>
      </c>
      <c r="E974">
        <v>8</v>
      </c>
      <c r="F974" s="34">
        <v>0.10751157407407408</v>
      </c>
      <c r="G974" s="34">
        <v>1.343894675925926E-2</v>
      </c>
      <c r="H974" s="33" t="s">
        <v>132</v>
      </c>
      <c r="I974" s="33" t="s">
        <v>104</v>
      </c>
    </row>
    <row r="975" spans="1:9" x14ac:dyDescent="0.25">
      <c r="A975" s="32">
        <v>46245</v>
      </c>
      <c r="B975" s="33" t="s">
        <v>560</v>
      </c>
      <c r="C975" s="33" t="s">
        <v>105</v>
      </c>
      <c r="D975" s="33" t="s">
        <v>105</v>
      </c>
      <c r="E975">
        <v>6</v>
      </c>
      <c r="F975" s="34">
        <v>8.7499999999999994E-2</v>
      </c>
      <c r="G975" s="34">
        <v>1.4583333333333332E-2</v>
      </c>
      <c r="H975" s="33" t="s">
        <v>134</v>
      </c>
      <c r="I975" s="33" t="s">
        <v>104</v>
      </c>
    </row>
    <row r="976" spans="1:9" x14ac:dyDescent="0.25">
      <c r="A976" s="32">
        <v>46245</v>
      </c>
      <c r="B976" s="33" t="s">
        <v>546</v>
      </c>
      <c r="C976" s="33" t="s">
        <v>105</v>
      </c>
      <c r="D976" s="33" t="s">
        <v>105</v>
      </c>
      <c r="E976">
        <v>8</v>
      </c>
      <c r="F976" s="34">
        <v>0.13574074074074075</v>
      </c>
      <c r="G976" s="34">
        <v>1.6967592592592593E-2</v>
      </c>
      <c r="H976" s="33" t="s">
        <v>211</v>
      </c>
      <c r="I976" s="33" t="s">
        <v>104</v>
      </c>
    </row>
    <row r="977" spans="1:9" x14ac:dyDescent="0.25">
      <c r="A977" s="32">
        <v>46245</v>
      </c>
      <c r="B977" s="33" t="s">
        <v>638</v>
      </c>
      <c r="C977" s="33" t="s">
        <v>105</v>
      </c>
      <c r="D977" s="33" t="s">
        <v>105</v>
      </c>
      <c r="E977">
        <v>1</v>
      </c>
      <c r="F977" s="34">
        <v>2.9074074074074075E-2</v>
      </c>
      <c r="G977" s="34">
        <v>2.9074074074074075E-2</v>
      </c>
      <c r="H977" s="33" t="s">
        <v>617</v>
      </c>
      <c r="I977" s="33" t="s">
        <v>601</v>
      </c>
    </row>
    <row r="978" spans="1:9" x14ac:dyDescent="0.25">
      <c r="A978" s="32">
        <v>46245</v>
      </c>
      <c r="B978" s="33" t="s">
        <v>638</v>
      </c>
      <c r="C978" s="33" t="s">
        <v>105</v>
      </c>
      <c r="D978" s="33" t="s">
        <v>32</v>
      </c>
      <c r="E978">
        <v>3</v>
      </c>
      <c r="F978" s="34">
        <v>8.518518518518519E-3</v>
      </c>
      <c r="G978" s="34">
        <v>2.8395061728395065E-3</v>
      </c>
      <c r="H978" s="33" t="s">
        <v>617</v>
      </c>
      <c r="I978" s="33" t="s">
        <v>601</v>
      </c>
    </row>
    <row r="979" spans="1:9" x14ac:dyDescent="0.25">
      <c r="A979" s="32">
        <v>46245</v>
      </c>
      <c r="B979" s="33" t="s">
        <v>639</v>
      </c>
      <c r="C979" s="33" t="s">
        <v>105</v>
      </c>
      <c r="D979" s="33" t="s">
        <v>105</v>
      </c>
      <c r="E979">
        <v>3</v>
      </c>
      <c r="F979" s="34">
        <v>7.5671296296296292E-2</v>
      </c>
      <c r="G979" s="34">
        <v>2.5223765432098765E-2</v>
      </c>
      <c r="H979" s="33" t="s">
        <v>618</v>
      </c>
      <c r="I979" s="33" t="s">
        <v>601</v>
      </c>
    </row>
    <row r="980" spans="1:9" x14ac:dyDescent="0.25">
      <c r="A980" s="32">
        <v>46245</v>
      </c>
      <c r="B980" s="33" t="s">
        <v>524</v>
      </c>
      <c r="C980" s="33" t="s">
        <v>147</v>
      </c>
      <c r="D980" s="33" t="s">
        <v>147</v>
      </c>
      <c r="E980">
        <v>13</v>
      </c>
      <c r="F980" s="34">
        <v>4.130787037037037E-2</v>
      </c>
      <c r="G980" s="34">
        <v>3.1775284900284898E-3</v>
      </c>
      <c r="H980" s="33" t="s">
        <v>501</v>
      </c>
      <c r="I980" s="33" t="s">
        <v>274</v>
      </c>
    </row>
    <row r="981" spans="1:9" x14ac:dyDescent="0.25">
      <c r="A981" s="32">
        <v>46245</v>
      </c>
      <c r="B981" s="33" t="s">
        <v>524</v>
      </c>
      <c r="C981" s="33" t="s">
        <v>147</v>
      </c>
      <c r="D981" s="33" t="s">
        <v>32</v>
      </c>
      <c r="E981">
        <v>7</v>
      </c>
      <c r="F981" s="34">
        <v>2.3506944444444445E-2</v>
      </c>
      <c r="G981" s="34">
        <v>3.3581349206349208E-3</v>
      </c>
      <c r="H981" s="33" t="s">
        <v>501</v>
      </c>
      <c r="I981" s="33" t="s">
        <v>274</v>
      </c>
    </row>
    <row r="982" spans="1:9" x14ac:dyDescent="0.25">
      <c r="A982" s="32">
        <v>46245</v>
      </c>
      <c r="B982" s="33" t="s">
        <v>572</v>
      </c>
      <c r="C982" s="33" t="s">
        <v>105</v>
      </c>
      <c r="D982" s="33" t="s">
        <v>105</v>
      </c>
      <c r="E982">
        <v>3</v>
      </c>
      <c r="F982" s="34">
        <v>6.4062499999999994E-2</v>
      </c>
      <c r="G982" s="34">
        <v>2.1354166666666664E-2</v>
      </c>
      <c r="H982" s="33" t="s">
        <v>213</v>
      </c>
      <c r="I982" s="33" t="s">
        <v>601</v>
      </c>
    </row>
    <row r="983" spans="1:9" x14ac:dyDescent="0.25">
      <c r="A983" s="32">
        <v>46245</v>
      </c>
      <c r="B983" s="33" t="s">
        <v>640</v>
      </c>
      <c r="C983" s="33" t="s">
        <v>105</v>
      </c>
      <c r="D983" s="33" t="s">
        <v>105</v>
      </c>
      <c r="E983">
        <v>2</v>
      </c>
      <c r="F983" s="34">
        <v>5.7175925925925929E-2</v>
      </c>
      <c r="G983" s="34">
        <v>2.8587962962962964E-2</v>
      </c>
      <c r="H983" s="33" t="s">
        <v>619</v>
      </c>
      <c r="I983" s="33" t="s">
        <v>601</v>
      </c>
    </row>
    <row r="984" spans="1:9" x14ac:dyDescent="0.25">
      <c r="A984" s="32">
        <v>46245</v>
      </c>
      <c r="B984" s="33" t="s">
        <v>640</v>
      </c>
      <c r="C984" s="33" t="s">
        <v>105</v>
      </c>
      <c r="D984" s="33" t="s">
        <v>32</v>
      </c>
      <c r="E984">
        <v>2</v>
      </c>
      <c r="F984" s="34">
        <v>8.2291666666666659E-3</v>
      </c>
      <c r="G984" s="34">
        <v>4.1145833333333329E-3</v>
      </c>
      <c r="H984" s="33" t="s">
        <v>619</v>
      </c>
      <c r="I984" s="33" t="s">
        <v>601</v>
      </c>
    </row>
    <row r="985" spans="1:9" x14ac:dyDescent="0.25">
      <c r="A985" s="32">
        <v>46245</v>
      </c>
      <c r="B985" s="33" t="s">
        <v>669</v>
      </c>
      <c r="C985" s="33" t="s">
        <v>32</v>
      </c>
      <c r="D985" s="33" t="s">
        <v>32</v>
      </c>
      <c r="E985">
        <v>23</v>
      </c>
      <c r="F985" s="34">
        <v>0.11449074074074074</v>
      </c>
      <c r="G985" s="34">
        <v>4.9778582930756843E-3</v>
      </c>
      <c r="H985" s="33" t="s">
        <v>668</v>
      </c>
      <c r="I985" s="33" t="s">
        <v>233</v>
      </c>
    </row>
    <row r="986" spans="1:9" x14ac:dyDescent="0.25">
      <c r="A986" s="32">
        <v>46245</v>
      </c>
      <c r="B986" s="33" t="s">
        <v>670</v>
      </c>
      <c r="C986" s="33" t="s">
        <v>32</v>
      </c>
      <c r="D986" s="33" t="s">
        <v>32</v>
      </c>
      <c r="E986">
        <v>25</v>
      </c>
      <c r="F986" s="34">
        <v>0.17966435185185184</v>
      </c>
      <c r="G986" s="34">
        <v>7.1865740740740735E-3</v>
      </c>
      <c r="H986" s="33" t="s">
        <v>744</v>
      </c>
      <c r="I986" s="33" t="s">
        <v>100</v>
      </c>
    </row>
    <row r="987" spans="1:9" x14ac:dyDescent="0.25">
      <c r="A987" s="32">
        <v>46245</v>
      </c>
      <c r="B987" s="33" t="s">
        <v>548</v>
      </c>
      <c r="C987" s="33" t="s">
        <v>105</v>
      </c>
      <c r="D987" s="33" t="s">
        <v>105</v>
      </c>
      <c r="E987">
        <v>6</v>
      </c>
      <c r="F987" s="34">
        <v>5.5023148148148147E-2</v>
      </c>
      <c r="G987" s="34">
        <v>9.170524691358024E-3</v>
      </c>
      <c r="H987" s="33" t="s">
        <v>219</v>
      </c>
      <c r="I987" s="33" t="s">
        <v>104</v>
      </c>
    </row>
    <row r="988" spans="1:9" x14ac:dyDescent="0.25">
      <c r="A988" s="32">
        <v>46245</v>
      </c>
      <c r="B988" s="33" t="s">
        <v>306</v>
      </c>
      <c r="C988" s="33" t="s">
        <v>32</v>
      </c>
      <c r="D988" s="33" t="s">
        <v>32</v>
      </c>
      <c r="E988">
        <v>38</v>
      </c>
      <c r="F988" s="34">
        <v>0.14732638888888888</v>
      </c>
      <c r="G988" s="34">
        <v>3.8770102339181285E-3</v>
      </c>
      <c r="H988" s="33" t="s">
        <v>305</v>
      </c>
      <c r="I988" s="33" t="s">
        <v>100</v>
      </c>
    </row>
    <row r="989" spans="1:9" x14ac:dyDescent="0.25">
      <c r="A989" s="32">
        <v>46245</v>
      </c>
      <c r="B989" s="33" t="s">
        <v>641</v>
      </c>
      <c r="C989" s="33" t="s">
        <v>105</v>
      </c>
      <c r="D989" s="33" t="s">
        <v>105</v>
      </c>
      <c r="E989">
        <v>2</v>
      </c>
      <c r="F989" s="34">
        <v>5.2175925925925924E-2</v>
      </c>
      <c r="G989" s="34">
        <v>2.6087962962962962E-2</v>
      </c>
      <c r="H989" s="33" t="s">
        <v>620</v>
      </c>
      <c r="I989" s="33" t="s">
        <v>601</v>
      </c>
    </row>
    <row r="990" spans="1:9" x14ac:dyDescent="0.25">
      <c r="A990" s="32">
        <v>46245</v>
      </c>
      <c r="B990" s="33" t="s">
        <v>641</v>
      </c>
      <c r="C990" s="33" t="s">
        <v>105</v>
      </c>
      <c r="D990" s="33" t="s">
        <v>32</v>
      </c>
      <c r="E990">
        <v>2</v>
      </c>
      <c r="F990" s="34">
        <v>1.9930555555555556E-2</v>
      </c>
      <c r="G990" s="34">
        <v>9.9652777777777778E-3</v>
      </c>
      <c r="H990" s="33" t="s">
        <v>620</v>
      </c>
      <c r="I990" s="33" t="s">
        <v>601</v>
      </c>
    </row>
    <row r="991" spans="1:9" x14ac:dyDescent="0.25">
      <c r="A991" s="32">
        <v>46245</v>
      </c>
      <c r="B991" s="33" t="s">
        <v>556</v>
      </c>
      <c r="C991" s="33" t="s">
        <v>105</v>
      </c>
      <c r="D991" s="33" t="s">
        <v>105</v>
      </c>
      <c r="E991">
        <v>7</v>
      </c>
      <c r="F991" s="34">
        <v>8.5277777777777772E-2</v>
      </c>
      <c r="G991" s="34">
        <v>1.2182539682539682E-2</v>
      </c>
      <c r="H991" s="33" t="s">
        <v>138</v>
      </c>
      <c r="I991" s="33" t="s">
        <v>104</v>
      </c>
    </row>
    <row r="992" spans="1:9" x14ac:dyDescent="0.25">
      <c r="A992" s="32">
        <v>46245</v>
      </c>
      <c r="B992" s="33" t="s">
        <v>532</v>
      </c>
      <c r="C992" s="33" t="s">
        <v>32</v>
      </c>
      <c r="D992" s="33" t="s">
        <v>32</v>
      </c>
      <c r="E992">
        <v>39</v>
      </c>
      <c r="F992" s="34">
        <v>0.12739583333333335</v>
      </c>
      <c r="G992" s="34">
        <v>3.2665598290598295E-3</v>
      </c>
      <c r="H992" s="33" t="s">
        <v>276</v>
      </c>
      <c r="I992" s="33" t="s">
        <v>233</v>
      </c>
    </row>
    <row r="993" spans="1:9" x14ac:dyDescent="0.25">
      <c r="A993" s="32">
        <v>46245</v>
      </c>
      <c r="B993" s="33" t="s">
        <v>533</v>
      </c>
      <c r="C993" s="33" t="s">
        <v>32</v>
      </c>
      <c r="D993" s="33" t="s">
        <v>32</v>
      </c>
      <c r="E993">
        <v>19</v>
      </c>
      <c r="F993" s="34">
        <v>0.1025462962962963</v>
      </c>
      <c r="G993" s="34">
        <v>5.3971734892787528E-3</v>
      </c>
      <c r="H993" s="33" t="s">
        <v>278</v>
      </c>
      <c r="I993" s="33" t="s">
        <v>233</v>
      </c>
    </row>
    <row r="994" spans="1:9" x14ac:dyDescent="0.25">
      <c r="A994" s="32">
        <v>46245</v>
      </c>
      <c r="B994" s="33" t="s">
        <v>511</v>
      </c>
      <c r="C994" s="33" t="s">
        <v>80</v>
      </c>
      <c r="D994" s="33" t="s">
        <v>32</v>
      </c>
      <c r="E994">
        <v>1</v>
      </c>
      <c r="F994" s="34">
        <v>3.1250000000000001E-4</v>
      </c>
      <c r="G994" s="34">
        <v>3.1250000000000001E-4</v>
      </c>
      <c r="H994" s="33" t="s">
        <v>313</v>
      </c>
      <c r="I994" s="33" t="s">
        <v>78</v>
      </c>
    </row>
    <row r="995" spans="1:9" x14ac:dyDescent="0.25">
      <c r="A995" s="32">
        <v>46245</v>
      </c>
      <c r="B995" s="33" t="s">
        <v>674</v>
      </c>
      <c r="C995" s="33" t="s">
        <v>105</v>
      </c>
      <c r="D995" s="33" t="s">
        <v>105</v>
      </c>
      <c r="E995">
        <v>5</v>
      </c>
      <c r="F995" s="34">
        <v>7.8321759259259258E-2</v>
      </c>
      <c r="G995" s="34">
        <v>1.5664351851851853E-2</v>
      </c>
      <c r="H995" s="33" t="s">
        <v>673</v>
      </c>
      <c r="I995" s="33" t="s">
        <v>104</v>
      </c>
    </row>
    <row r="996" spans="1:9" x14ac:dyDescent="0.25">
      <c r="A996" s="32">
        <v>46245</v>
      </c>
      <c r="B996" s="33" t="s">
        <v>571</v>
      </c>
      <c r="C996" s="33" t="s">
        <v>105</v>
      </c>
      <c r="D996" s="33" t="s">
        <v>105</v>
      </c>
      <c r="E996">
        <v>7</v>
      </c>
      <c r="F996" s="34">
        <v>8.5925925925925919E-2</v>
      </c>
      <c r="G996" s="34">
        <v>1.2275132275132274E-2</v>
      </c>
      <c r="H996" s="33" t="s">
        <v>299</v>
      </c>
      <c r="I996" s="33" t="s">
        <v>104</v>
      </c>
    </row>
    <row r="997" spans="1:9" x14ac:dyDescent="0.25">
      <c r="A997" s="32">
        <v>46245</v>
      </c>
      <c r="B997" s="33" t="s">
        <v>535</v>
      </c>
      <c r="C997" s="33" t="s">
        <v>32</v>
      </c>
      <c r="D997" s="33" t="s">
        <v>32</v>
      </c>
      <c r="E997">
        <v>37</v>
      </c>
      <c r="F997" s="34">
        <v>9.7986111111111107E-2</v>
      </c>
      <c r="G997" s="34">
        <v>2.648273273273273E-3</v>
      </c>
      <c r="H997" s="33" t="s">
        <v>282</v>
      </c>
      <c r="I997" s="33" t="s">
        <v>233</v>
      </c>
    </row>
    <row r="998" spans="1:9" x14ac:dyDescent="0.25">
      <c r="A998" s="32">
        <v>46245</v>
      </c>
      <c r="B998" s="33" t="s">
        <v>557</v>
      </c>
      <c r="C998" s="33" t="s">
        <v>147</v>
      </c>
      <c r="D998" s="33" t="s">
        <v>147</v>
      </c>
      <c r="E998">
        <v>7</v>
      </c>
      <c r="F998" s="34">
        <v>3.7037037037037035E-2</v>
      </c>
      <c r="G998" s="34">
        <v>5.2910052910052907E-3</v>
      </c>
      <c r="H998" s="33" t="s">
        <v>227</v>
      </c>
      <c r="I998" s="33" t="s">
        <v>146</v>
      </c>
    </row>
    <row r="999" spans="1:9" x14ac:dyDescent="0.25">
      <c r="A999" s="32">
        <v>46245</v>
      </c>
      <c r="B999" s="33" t="s">
        <v>557</v>
      </c>
      <c r="C999" s="33" t="s">
        <v>147</v>
      </c>
      <c r="D999" s="33" t="s">
        <v>32</v>
      </c>
      <c r="E999">
        <v>3</v>
      </c>
      <c r="F999" s="34">
        <v>1.6608796296296295E-2</v>
      </c>
      <c r="G999" s="34">
        <v>5.536265432098765E-3</v>
      </c>
      <c r="H999" s="33" t="s">
        <v>227</v>
      </c>
      <c r="I999" s="33" t="s">
        <v>146</v>
      </c>
    </row>
    <row r="1000" spans="1:9" x14ac:dyDescent="0.25">
      <c r="A1000" s="32">
        <v>46245</v>
      </c>
      <c r="B1000" s="33" t="s">
        <v>676</v>
      </c>
      <c r="C1000" s="33" t="s">
        <v>105</v>
      </c>
      <c r="D1000" s="33" t="s">
        <v>105</v>
      </c>
      <c r="E1000">
        <v>5</v>
      </c>
      <c r="F1000" s="34">
        <v>0.10912037037037037</v>
      </c>
      <c r="G1000" s="34">
        <v>2.1824074074074072E-2</v>
      </c>
      <c r="H1000" s="33" t="s">
        <v>675</v>
      </c>
      <c r="I1000" s="33" t="s">
        <v>104</v>
      </c>
    </row>
    <row r="1001" spans="1:9" x14ac:dyDescent="0.25">
      <c r="A1001" s="32">
        <v>46245</v>
      </c>
      <c r="B1001" s="33" t="s">
        <v>678</v>
      </c>
      <c r="C1001" s="33" t="s">
        <v>147</v>
      </c>
      <c r="D1001" s="33" t="s">
        <v>147</v>
      </c>
      <c r="E1001">
        <v>16</v>
      </c>
      <c r="F1001" s="34">
        <v>5.4895833333333331E-2</v>
      </c>
      <c r="G1001" s="34">
        <v>3.4309895833333332E-3</v>
      </c>
      <c r="H1001" s="33" t="s">
        <v>677</v>
      </c>
      <c r="I1001" s="33" t="s">
        <v>274</v>
      </c>
    </row>
    <row r="1002" spans="1:9" x14ac:dyDescent="0.25">
      <c r="A1002" s="32">
        <v>46245</v>
      </c>
      <c r="B1002" s="33" t="s">
        <v>678</v>
      </c>
      <c r="C1002" s="33" t="s">
        <v>147</v>
      </c>
      <c r="D1002" s="33" t="s">
        <v>32</v>
      </c>
      <c r="E1002">
        <v>10</v>
      </c>
      <c r="F1002" s="34">
        <v>3.5636574074074077E-2</v>
      </c>
      <c r="G1002" s="34">
        <v>3.5636574074074077E-3</v>
      </c>
      <c r="H1002" s="33" t="s">
        <v>677</v>
      </c>
      <c r="I1002" s="33" t="s">
        <v>274</v>
      </c>
    </row>
    <row r="1003" spans="1:9" x14ac:dyDescent="0.25">
      <c r="A1003" s="32">
        <v>46246</v>
      </c>
      <c r="B1003" s="33" t="s">
        <v>562</v>
      </c>
      <c r="C1003" s="33" t="s">
        <v>80</v>
      </c>
      <c r="D1003" s="33" t="s">
        <v>32</v>
      </c>
      <c r="E1003">
        <v>2</v>
      </c>
      <c r="F1003" s="34">
        <v>1.8287037037037037E-3</v>
      </c>
      <c r="G1003" s="34">
        <v>9.1435185185185185E-4</v>
      </c>
      <c r="H1003" s="33" t="s">
        <v>186</v>
      </c>
      <c r="I1003" s="33" t="s">
        <v>78</v>
      </c>
    </row>
    <row r="1004" spans="1:9" x14ac:dyDescent="0.25">
      <c r="A1004" s="32">
        <v>46246</v>
      </c>
      <c r="B1004" s="33" t="s">
        <v>644</v>
      </c>
      <c r="C1004" s="33" t="s">
        <v>32</v>
      </c>
      <c r="D1004" s="33" t="s">
        <v>32</v>
      </c>
      <c r="E1004">
        <v>18</v>
      </c>
      <c r="F1004" s="34">
        <v>0.14105324074074074</v>
      </c>
      <c r="G1004" s="34">
        <v>7.8362911522633742E-3</v>
      </c>
      <c r="H1004" s="33" t="s">
        <v>643</v>
      </c>
      <c r="I1004" s="33" t="s">
        <v>233</v>
      </c>
    </row>
    <row r="1005" spans="1:9" x14ac:dyDescent="0.25">
      <c r="A1005" s="32">
        <v>46246</v>
      </c>
      <c r="B1005" s="33" t="s">
        <v>563</v>
      </c>
      <c r="C1005" s="33" t="s">
        <v>147</v>
      </c>
      <c r="D1005" s="33" t="s">
        <v>147</v>
      </c>
      <c r="E1005">
        <v>13</v>
      </c>
      <c r="F1005" s="34">
        <v>3.3206018518518517E-2</v>
      </c>
      <c r="G1005" s="34">
        <v>2.5543091168091165E-3</v>
      </c>
      <c r="H1005" s="33" t="s">
        <v>193</v>
      </c>
      <c r="I1005" s="33" t="s">
        <v>274</v>
      </c>
    </row>
    <row r="1006" spans="1:9" x14ac:dyDescent="0.25">
      <c r="A1006" s="32">
        <v>46246</v>
      </c>
      <c r="B1006" s="33" t="s">
        <v>563</v>
      </c>
      <c r="C1006" s="33" t="s">
        <v>147</v>
      </c>
      <c r="D1006" s="33" t="s">
        <v>32</v>
      </c>
      <c r="E1006">
        <v>5</v>
      </c>
      <c r="F1006" s="34">
        <v>2.267361111111111E-2</v>
      </c>
      <c r="G1006" s="34">
        <v>4.5347222222222221E-3</v>
      </c>
      <c r="H1006" s="33" t="s">
        <v>193</v>
      </c>
      <c r="I1006" s="33" t="s">
        <v>274</v>
      </c>
    </row>
    <row r="1007" spans="1:9" x14ac:dyDescent="0.25">
      <c r="A1007" s="32">
        <v>46246</v>
      </c>
      <c r="B1007" s="33" t="s">
        <v>525</v>
      </c>
      <c r="C1007" s="33" t="s">
        <v>32</v>
      </c>
      <c r="D1007" s="33" t="s">
        <v>32</v>
      </c>
      <c r="E1007">
        <v>44</v>
      </c>
      <c r="F1007" s="34">
        <v>0.13120370370370371</v>
      </c>
      <c r="G1007" s="34">
        <v>2.9819023569023569E-3</v>
      </c>
      <c r="H1007" s="33" t="s">
        <v>231</v>
      </c>
      <c r="I1007" s="33" t="s">
        <v>233</v>
      </c>
    </row>
    <row r="1008" spans="1:9" x14ac:dyDescent="0.25">
      <c r="A1008" s="32">
        <v>46246</v>
      </c>
      <c r="B1008" s="33" t="s">
        <v>513</v>
      </c>
      <c r="C1008" s="33" t="s">
        <v>105</v>
      </c>
      <c r="D1008" s="33" t="s">
        <v>105</v>
      </c>
      <c r="E1008">
        <v>7</v>
      </c>
      <c r="F1008" s="34">
        <v>0.15217592592592594</v>
      </c>
      <c r="G1008" s="34">
        <v>2.1739417989417992E-2</v>
      </c>
      <c r="H1008" s="33" t="s">
        <v>148</v>
      </c>
      <c r="I1008" s="33" t="s">
        <v>104</v>
      </c>
    </row>
    <row r="1009" spans="1:9" x14ac:dyDescent="0.25">
      <c r="A1009" s="32">
        <v>46246</v>
      </c>
      <c r="B1009" s="33" t="s">
        <v>550</v>
      </c>
      <c r="C1009" s="33" t="s">
        <v>32</v>
      </c>
      <c r="D1009" s="33" t="s">
        <v>32</v>
      </c>
      <c r="E1009">
        <v>27</v>
      </c>
      <c r="F1009" s="34">
        <v>0.12657407407407406</v>
      </c>
      <c r="G1009" s="34">
        <v>4.6879286694101506E-3</v>
      </c>
      <c r="H1009" s="33" t="s">
        <v>234</v>
      </c>
      <c r="I1009" s="33" t="s">
        <v>233</v>
      </c>
    </row>
    <row r="1010" spans="1:9" x14ac:dyDescent="0.25">
      <c r="A1010" s="32">
        <v>46246</v>
      </c>
      <c r="B1010" s="33" t="s">
        <v>505</v>
      </c>
      <c r="C1010" s="33" t="s">
        <v>32</v>
      </c>
      <c r="D1010" s="33" t="s">
        <v>32</v>
      </c>
      <c r="E1010">
        <v>42</v>
      </c>
      <c r="F1010" s="34">
        <v>0.12958333333333333</v>
      </c>
      <c r="G1010" s="34">
        <v>3.0853174603174601E-3</v>
      </c>
      <c r="H1010" s="33" t="s">
        <v>34</v>
      </c>
      <c r="I1010" s="33" t="s">
        <v>233</v>
      </c>
    </row>
    <row r="1011" spans="1:9" x14ac:dyDescent="0.25">
      <c r="A1011" s="32">
        <v>46246</v>
      </c>
      <c r="B1011" s="33" t="s">
        <v>569</v>
      </c>
      <c r="C1011" s="33" t="s">
        <v>105</v>
      </c>
      <c r="D1011" s="33" t="s">
        <v>105</v>
      </c>
      <c r="E1011">
        <v>14</v>
      </c>
      <c r="F1011" s="34">
        <v>0.18349537037037036</v>
      </c>
      <c r="G1011" s="34">
        <v>1.3106812169312169E-2</v>
      </c>
      <c r="H1011" s="33" t="s">
        <v>493</v>
      </c>
      <c r="I1011" s="33" t="s">
        <v>104</v>
      </c>
    </row>
    <row r="1012" spans="1:9" x14ac:dyDescent="0.25">
      <c r="A1012" s="32">
        <v>46246</v>
      </c>
      <c r="B1012" s="33" t="s">
        <v>631</v>
      </c>
      <c r="C1012" s="33" t="s">
        <v>105</v>
      </c>
      <c r="D1012" s="33" t="s">
        <v>105</v>
      </c>
      <c r="E1012">
        <v>6</v>
      </c>
      <c r="F1012" s="34">
        <v>0.12827546296296297</v>
      </c>
      <c r="G1012" s="34">
        <v>2.1379243827160496E-2</v>
      </c>
      <c r="H1012" s="33" t="s">
        <v>608</v>
      </c>
      <c r="I1012" s="33" t="s">
        <v>601</v>
      </c>
    </row>
    <row r="1013" spans="1:9" x14ac:dyDescent="0.25">
      <c r="A1013" s="32">
        <v>46246</v>
      </c>
      <c r="B1013" s="33" t="s">
        <v>564</v>
      </c>
      <c r="C1013" s="33" t="s">
        <v>105</v>
      </c>
      <c r="D1013" s="33" t="s">
        <v>105</v>
      </c>
      <c r="E1013">
        <v>3</v>
      </c>
      <c r="F1013" s="34">
        <v>9.0972222222222218E-2</v>
      </c>
      <c r="G1013" s="34">
        <v>3.0324074074074073E-2</v>
      </c>
      <c r="H1013" s="33" t="s">
        <v>197</v>
      </c>
      <c r="I1013" s="33" t="s">
        <v>601</v>
      </c>
    </row>
    <row r="1014" spans="1:9" x14ac:dyDescent="0.25">
      <c r="A1014" s="32">
        <v>46246</v>
      </c>
      <c r="B1014" s="33" t="s">
        <v>514</v>
      </c>
      <c r="C1014" s="33" t="s">
        <v>147</v>
      </c>
      <c r="D1014" s="33" t="s">
        <v>147</v>
      </c>
      <c r="E1014">
        <v>16</v>
      </c>
      <c r="F1014" s="34">
        <v>3.861111111111111E-2</v>
      </c>
      <c r="G1014" s="34">
        <v>2.4131944444444444E-3</v>
      </c>
      <c r="H1014" s="33" t="s">
        <v>150</v>
      </c>
      <c r="I1014" s="33" t="s">
        <v>146</v>
      </c>
    </row>
    <row r="1015" spans="1:9" x14ac:dyDescent="0.25">
      <c r="A1015" s="32">
        <v>46246</v>
      </c>
      <c r="B1015" s="33" t="s">
        <v>514</v>
      </c>
      <c r="C1015" s="33" t="s">
        <v>147</v>
      </c>
      <c r="D1015" s="33" t="s">
        <v>32</v>
      </c>
      <c r="E1015">
        <v>5</v>
      </c>
      <c r="F1015" s="34">
        <v>1.136574074074074E-2</v>
      </c>
      <c r="G1015" s="34">
        <v>2.2731481481481483E-3</v>
      </c>
      <c r="H1015" s="33" t="s">
        <v>150</v>
      </c>
      <c r="I1015" s="33" t="s">
        <v>146</v>
      </c>
    </row>
    <row r="1016" spans="1:9" x14ac:dyDescent="0.25">
      <c r="A1016" s="32">
        <v>46246</v>
      </c>
      <c r="B1016" s="33" t="s">
        <v>682</v>
      </c>
      <c r="C1016" s="33" t="s">
        <v>105</v>
      </c>
      <c r="D1016" s="33" t="s">
        <v>105</v>
      </c>
      <c r="E1016">
        <v>4</v>
      </c>
      <c r="F1016" s="34">
        <v>0.12784722222222222</v>
      </c>
      <c r="G1016" s="34">
        <v>3.1961805555555556E-2</v>
      </c>
      <c r="H1016" s="33" t="s">
        <v>681</v>
      </c>
      <c r="I1016" s="33" t="s">
        <v>601</v>
      </c>
    </row>
    <row r="1017" spans="1:9" x14ac:dyDescent="0.25">
      <c r="A1017" s="32">
        <v>46246</v>
      </c>
      <c r="B1017" s="33" t="s">
        <v>515</v>
      </c>
      <c r="C1017" s="33" t="s">
        <v>147</v>
      </c>
      <c r="D1017" s="33" t="s">
        <v>147</v>
      </c>
      <c r="E1017">
        <v>11</v>
      </c>
      <c r="F1017" s="34">
        <v>2.1828703703703704E-2</v>
      </c>
      <c r="G1017" s="34">
        <v>1.9844276094276095E-3</v>
      </c>
      <c r="H1017" s="33" t="s">
        <v>154</v>
      </c>
      <c r="I1017" s="33" t="s">
        <v>146</v>
      </c>
    </row>
    <row r="1018" spans="1:9" x14ac:dyDescent="0.25">
      <c r="A1018" s="32">
        <v>46246</v>
      </c>
      <c r="B1018" s="33" t="s">
        <v>515</v>
      </c>
      <c r="C1018" s="33" t="s">
        <v>147</v>
      </c>
      <c r="D1018" s="33" t="s">
        <v>32</v>
      </c>
      <c r="E1018">
        <v>3</v>
      </c>
      <c r="F1018" s="34">
        <v>1.4675925925925926E-2</v>
      </c>
      <c r="G1018" s="34">
        <v>4.8919753086419755E-3</v>
      </c>
      <c r="H1018" s="33" t="s">
        <v>154</v>
      </c>
      <c r="I1018" s="33" t="s">
        <v>146</v>
      </c>
    </row>
    <row r="1019" spans="1:9" x14ac:dyDescent="0.25">
      <c r="A1019" s="32">
        <v>46246</v>
      </c>
      <c r="B1019" s="33" t="s">
        <v>570</v>
      </c>
      <c r="C1019" s="33" t="s">
        <v>105</v>
      </c>
      <c r="D1019" s="33" t="s">
        <v>105</v>
      </c>
      <c r="E1019">
        <v>10</v>
      </c>
      <c r="F1019" s="34">
        <v>0.19526620370370371</v>
      </c>
      <c r="G1019" s="34">
        <v>1.9526620370370371E-2</v>
      </c>
      <c r="H1019" s="33" t="s">
        <v>112</v>
      </c>
      <c r="I1019" s="33" t="s">
        <v>104</v>
      </c>
    </row>
    <row r="1020" spans="1:9" x14ac:dyDescent="0.25">
      <c r="A1020" s="32">
        <v>46246</v>
      </c>
      <c r="B1020" s="33" t="s">
        <v>537</v>
      </c>
      <c r="C1020" s="33" t="s">
        <v>105</v>
      </c>
      <c r="D1020" s="33" t="s">
        <v>105</v>
      </c>
      <c r="E1020">
        <v>17</v>
      </c>
      <c r="F1020" s="34">
        <v>0.19648148148148148</v>
      </c>
      <c r="G1020" s="34">
        <v>1.1557734204793028E-2</v>
      </c>
      <c r="H1020" s="33" t="s">
        <v>42</v>
      </c>
      <c r="I1020" s="33" t="s">
        <v>104</v>
      </c>
    </row>
    <row r="1021" spans="1:9" x14ac:dyDescent="0.25">
      <c r="A1021" s="32">
        <v>46246</v>
      </c>
      <c r="B1021" s="33" t="s">
        <v>516</v>
      </c>
      <c r="C1021" s="33" t="s">
        <v>147</v>
      </c>
      <c r="D1021" s="33" t="s">
        <v>147</v>
      </c>
      <c r="E1021">
        <v>13</v>
      </c>
      <c r="F1021" s="34">
        <v>2.4687500000000001E-2</v>
      </c>
      <c r="G1021" s="34">
        <v>1.8990384615384616E-3</v>
      </c>
      <c r="H1021" s="33" t="s">
        <v>156</v>
      </c>
      <c r="I1021" s="33" t="s">
        <v>146</v>
      </c>
    </row>
    <row r="1022" spans="1:9" x14ac:dyDescent="0.25">
      <c r="A1022" s="32">
        <v>46246</v>
      </c>
      <c r="B1022" s="33" t="s">
        <v>516</v>
      </c>
      <c r="C1022" s="33" t="s">
        <v>147</v>
      </c>
      <c r="D1022" s="33" t="s">
        <v>32</v>
      </c>
      <c r="E1022">
        <v>9</v>
      </c>
      <c r="F1022" s="34">
        <v>1.7094907407407406E-2</v>
      </c>
      <c r="G1022" s="34">
        <v>1.8994341563786006E-3</v>
      </c>
      <c r="H1022" s="33" t="s">
        <v>156</v>
      </c>
      <c r="I1022" s="33" t="s">
        <v>146</v>
      </c>
    </row>
    <row r="1023" spans="1:9" x14ac:dyDescent="0.25">
      <c r="A1023" s="32">
        <v>46246</v>
      </c>
      <c r="B1023" s="33" t="s">
        <v>541</v>
      </c>
      <c r="C1023" s="33" t="s">
        <v>105</v>
      </c>
      <c r="D1023" s="33" t="s">
        <v>105</v>
      </c>
      <c r="E1023">
        <v>9</v>
      </c>
      <c r="F1023" s="34">
        <v>0.11587962962962962</v>
      </c>
      <c r="G1023" s="34">
        <v>1.287551440329218E-2</v>
      </c>
      <c r="H1023" s="33" t="s">
        <v>114</v>
      </c>
      <c r="I1023" s="33" t="s">
        <v>104</v>
      </c>
    </row>
    <row r="1024" spans="1:9" x14ac:dyDescent="0.25">
      <c r="A1024" s="32">
        <v>46246</v>
      </c>
      <c r="B1024" s="33" t="s">
        <v>506</v>
      </c>
      <c r="C1024" s="33" t="s">
        <v>32</v>
      </c>
      <c r="D1024" s="33" t="s">
        <v>32</v>
      </c>
      <c r="E1024">
        <v>35</v>
      </c>
      <c r="F1024" s="34">
        <v>0.18875</v>
      </c>
      <c r="G1024" s="34">
        <v>5.3928571428571428E-3</v>
      </c>
      <c r="H1024" s="33" t="s">
        <v>44</v>
      </c>
      <c r="I1024" s="33" t="s">
        <v>100</v>
      </c>
    </row>
    <row r="1025" spans="1:9" x14ac:dyDescent="0.25">
      <c r="A1025" s="32">
        <v>46246</v>
      </c>
      <c r="B1025" s="33" t="s">
        <v>632</v>
      </c>
      <c r="C1025" s="33" t="s">
        <v>105</v>
      </c>
      <c r="D1025" s="33" t="s">
        <v>105</v>
      </c>
      <c r="E1025">
        <v>3</v>
      </c>
      <c r="F1025" s="34">
        <v>5.9884259259259262E-2</v>
      </c>
      <c r="G1025" s="34">
        <v>1.9961419753086421E-2</v>
      </c>
      <c r="H1025" s="33" t="s">
        <v>609</v>
      </c>
      <c r="I1025" s="33" t="s">
        <v>601</v>
      </c>
    </row>
    <row r="1026" spans="1:9" x14ac:dyDescent="0.25">
      <c r="A1026" s="32">
        <v>46246</v>
      </c>
      <c r="B1026" s="33" t="s">
        <v>632</v>
      </c>
      <c r="C1026" s="33" t="s">
        <v>105</v>
      </c>
      <c r="D1026" s="33" t="s">
        <v>32</v>
      </c>
      <c r="E1026">
        <v>2</v>
      </c>
      <c r="F1026" s="34">
        <v>1.3958333333333333E-2</v>
      </c>
      <c r="G1026" s="34">
        <v>6.9791666666666665E-3</v>
      </c>
      <c r="H1026" s="33" t="s">
        <v>609</v>
      </c>
      <c r="I1026" s="33" t="s">
        <v>601</v>
      </c>
    </row>
    <row r="1027" spans="1:9" x14ac:dyDescent="0.25">
      <c r="A1027" s="32">
        <v>46246</v>
      </c>
      <c r="B1027" s="33" t="s">
        <v>498</v>
      </c>
      <c r="C1027" s="33" t="s">
        <v>80</v>
      </c>
      <c r="D1027" s="33" t="s">
        <v>32</v>
      </c>
      <c r="E1027">
        <v>1</v>
      </c>
      <c r="F1027" s="34">
        <v>2.3287037037037037E-2</v>
      </c>
      <c r="G1027" s="34">
        <v>2.3287037037037037E-2</v>
      </c>
      <c r="H1027" s="33" t="s">
        <v>497</v>
      </c>
      <c r="I1027" s="33" t="s">
        <v>78</v>
      </c>
    </row>
    <row r="1028" spans="1:9" x14ac:dyDescent="0.25">
      <c r="A1028" s="32">
        <v>46246</v>
      </c>
      <c r="B1028" s="33" t="s">
        <v>310</v>
      </c>
      <c r="C1028" s="33" t="s">
        <v>80</v>
      </c>
      <c r="D1028" s="33" t="s">
        <v>32</v>
      </c>
      <c r="E1028">
        <v>1</v>
      </c>
      <c r="F1028" s="34">
        <v>1.0173611111111111E-2</v>
      </c>
      <c r="G1028" s="34">
        <v>1.0173611111111111E-2</v>
      </c>
      <c r="H1028" s="33" t="s">
        <v>309</v>
      </c>
      <c r="I1028" s="33" t="s">
        <v>78</v>
      </c>
    </row>
    <row r="1029" spans="1:9" x14ac:dyDescent="0.25">
      <c r="A1029" s="32">
        <v>46246</v>
      </c>
      <c r="B1029" s="33" t="s">
        <v>646</v>
      </c>
      <c r="C1029" s="33" t="s">
        <v>32</v>
      </c>
      <c r="D1029" s="33" t="s">
        <v>32</v>
      </c>
      <c r="E1029">
        <v>35</v>
      </c>
      <c r="F1029" s="34">
        <v>0.17482638888888888</v>
      </c>
      <c r="G1029" s="34">
        <v>4.9950396825396825E-3</v>
      </c>
      <c r="H1029" s="33" t="s">
        <v>645</v>
      </c>
      <c r="I1029" s="33" t="s">
        <v>100</v>
      </c>
    </row>
    <row r="1030" spans="1:9" x14ac:dyDescent="0.25">
      <c r="A1030" s="32">
        <v>46246</v>
      </c>
      <c r="B1030" s="33" t="s">
        <v>544</v>
      </c>
      <c r="C1030" s="33" t="s">
        <v>147</v>
      </c>
      <c r="D1030" s="33" t="s">
        <v>147</v>
      </c>
      <c r="E1030">
        <v>9</v>
      </c>
      <c r="F1030" s="34">
        <v>2.0208333333333332E-2</v>
      </c>
      <c r="G1030" s="34">
        <v>2.2453703703703702E-3</v>
      </c>
      <c r="H1030" s="33" t="s">
        <v>160</v>
      </c>
      <c r="I1030" s="33" t="s">
        <v>146</v>
      </c>
    </row>
    <row r="1031" spans="1:9" x14ac:dyDescent="0.25">
      <c r="A1031" s="32">
        <v>46246</v>
      </c>
      <c r="B1031" s="33" t="s">
        <v>544</v>
      </c>
      <c r="C1031" s="33" t="s">
        <v>147</v>
      </c>
      <c r="D1031" s="33" t="s">
        <v>32</v>
      </c>
      <c r="E1031">
        <v>9</v>
      </c>
      <c r="F1031" s="34">
        <v>2.7893518518518519E-2</v>
      </c>
      <c r="G1031" s="34">
        <v>3.0992798353909464E-3</v>
      </c>
      <c r="H1031" s="33" t="s">
        <v>160</v>
      </c>
      <c r="I1031" s="33" t="s">
        <v>146</v>
      </c>
    </row>
    <row r="1032" spans="1:9" x14ac:dyDescent="0.25">
      <c r="A1032" s="32">
        <v>46246</v>
      </c>
      <c r="B1032" s="33" t="s">
        <v>558</v>
      </c>
      <c r="C1032" s="33" t="s">
        <v>32</v>
      </c>
      <c r="D1032" s="33" t="s">
        <v>32</v>
      </c>
      <c r="E1032">
        <v>37</v>
      </c>
      <c r="F1032" s="34">
        <v>0.11076388888888888</v>
      </c>
      <c r="G1032" s="34">
        <v>2.9936186186186185E-3</v>
      </c>
      <c r="H1032" s="33" t="s">
        <v>120</v>
      </c>
      <c r="I1032" s="33" t="s">
        <v>233</v>
      </c>
    </row>
    <row r="1033" spans="1:9" x14ac:dyDescent="0.25">
      <c r="A1033" s="32">
        <v>46246</v>
      </c>
      <c r="B1033" s="33" t="s">
        <v>507</v>
      </c>
      <c r="C1033" s="33" t="s">
        <v>32</v>
      </c>
      <c r="D1033" s="33" t="s">
        <v>32</v>
      </c>
      <c r="E1033">
        <v>39</v>
      </c>
      <c r="F1033" s="34">
        <v>0.15418981481481481</v>
      </c>
      <c r="G1033" s="34">
        <v>3.9535849952516619E-3</v>
      </c>
      <c r="H1033" s="33" t="s">
        <v>46</v>
      </c>
      <c r="I1033" s="33" t="s">
        <v>100</v>
      </c>
    </row>
    <row r="1034" spans="1:9" x14ac:dyDescent="0.25">
      <c r="A1034" s="32">
        <v>46246</v>
      </c>
      <c r="B1034" s="33" t="s">
        <v>542</v>
      </c>
      <c r="C1034" s="33" t="s">
        <v>105</v>
      </c>
      <c r="D1034" s="33" t="s">
        <v>105</v>
      </c>
      <c r="E1034">
        <v>7</v>
      </c>
      <c r="F1034" s="34">
        <v>0.11972222222222222</v>
      </c>
      <c r="G1034" s="34">
        <v>1.7103174603174603E-2</v>
      </c>
      <c r="H1034" s="33" t="s">
        <v>287</v>
      </c>
      <c r="I1034" s="33" t="s">
        <v>104</v>
      </c>
    </row>
    <row r="1035" spans="1:9" x14ac:dyDescent="0.25">
      <c r="A1035" s="32">
        <v>46246</v>
      </c>
      <c r="B1035" s="33" t="s">
        <v>517</v>
      </c>
      <c r="C1035" s="33" t="s">
        <v>147</v>
      </c>
      <c r="D1035" s="33" t="s">
        <v>147</v>
      </c>
      <c r="E1035">
        <v>8</v>
      </c>
      <c r="F1035" s="34">
        <v>2.1180555555555557E-2</v>
      </c>
      <c r="G1035" s="34">
        <v>2.6475694444444446E-3</v>
      </c>
      <c r="H1035" s="33" t="s">
        <v>499</v>
      </c>
      <c r="I1035" s="33" t="s">
        <v>146</v>
      </c>
    </row>
    <row r="1036" spans="1:9" x14ac:dyDescent="0.25">
      <c r="A1036" s="32">
        <v>46246</v>
      </c>
      <c r="B1036" s="33" t="s">
        <v>517</v>
      </c>
      <c r="C1036" s="33" t="s">
        <v>147</v>
      </c>
      <c r="D1036" s="33" t="s">
        <v>32</v>
      </c>
      <c r="E1036">
        <v>3</v>
      </c>
      <c r="F1036" s="34">
        <v>1.412037037037037E-2</v>
      </c>
      <c r="G1036" s="34">
        <v>4.7067901234567897E-3</v>
      </c>
      <c r="H1036" s="33" t="s">
        <v>499</v>
      </c>
      <c r="I1036" s="33" t="s">
        <v>146</v>
      </c>
    </row>
    <row r="1037" spans="1:9" x14ac:dyDescent="0.25">
      <c r="A1037" s="32">
        <v>46246</v>
      </c>
      <c r="B1037" s="33" t="s">
        <v>648</v>
      </c>
      <c r="C1037" s="33" t="s">
        <v>32</v>
      </c>
      <c r="D1037" s="33" t="s">
        <v>32</v>
      </c>
      <c r="E1037">
        <v>33</v>
      </c>
      <c r="F1037" s="34">
        <v>0.11674768518518519</v>
      </c>
      <c r="G1037" s="34">
        <v>3.5378086419753088E-3</v>
      </c>
      <c r="H1037" s="33" t="s">
        <v>647</v>
      </c>
      <c r="I1037" s="33" t="s">
        <v>233</v>
      </c>
    </row>
    <row r="1038" spans="1:9" x14ac:dyDescent="0.25">
      <c r="A1038" s="32">
        <v>46246</v>
      </c>
      <c r="B1038" s="33" t="s">
        <v>650</v>
      </c>
      <c r="C1038" s="33" t="s">
        <v>105</v>
      </c>
      <c r="D1038" s="33" t="s">
        <v>105</v>
      </c>
      <c r="E1038">
        <v>10</v>
      </c>
      <c r="F1038" s="34">
        <v>0.12886574074074075</v>
      </c>
      <c r="G1038" s="34">
        <v>1.2886574074074075E-2</v>
      </c>
      <c r="H1038" s="33" t="s">
        <v>649</v>
      </c>
      <c r="I1038" s="33" t="s">
        <v>104</v>
      </c>
    </row>
    <row r="1039" spans="1:9" x14ac:dyDescent="0.25">
      <c r="A1039" s="32">
        <v>46246</v>
      </c>
      <c r="B1039" s="33" t="s">
        <v>650</v>
      </c>
      <c r="C1039" s="33" t="s">
        <v>105</v>
      </c>
      <c r="D1039" s="33" t="s">
        <v>32</v>
      </c>
      <c r="E1039">
        <v>3</v>
      </c>
      <c r="F1039" s="34">
        <v>1.1828703703703704E-2</v>
      </c>
      <c r="G1039" s="34">
        <v>3.9429012345679011E-3</v>
      </c>
      <c r="H1039" s="33" t="s">
        <v>649</v>
      </c>
      <c r="I1039" s="33" t="s">
        <v>104</v>
      </c>
    </row>
    <row r="1040" spans="1:9" x14ac:dyDescent="0.25">
      <c r="A1040" s="32">
        <v>46246</v>
      </c>
      <c r="B1040" s="33" t="s">
        <v>652</v>
      </c>
      <c r="C1040" s="33" t="s">
        <v>32</v>
      </c>
      <c r="D1040" s="33" t="s">
        <v>32</v>
      </c>
      <c r="E1040">
        <v>27</v>
      </c>
      <c r="F1040" s="34">
        <v>0.19872685185185185</v>
      </c>
      <c r="G1040" s="34">
        <v>7.3602537722908092E-3</v>
      </c>
      <c r="H1040" s="33" t="s">
        <v>651</v>
      </c>
      <c r="I1040" s="33" t="s">
        <v>100</v>
      </c>
    </row>
    <row r="1041" spans="1:9" x14ac:dyDescent="0.25">
      <c r="A1041" s="32">
        <v>46246</v>
      </c>
      <c r="B1041" s="33" t="s">
        <v>568</v>
      </c>
      <c r="C1041" s="33" t="s">
        <v>32</v>
      </c>
      <c r="D1041" s="33" t="s">
        <v>32</v>
      </c>
      <c r="E1041">
        <v>49</v>
      </c>
      <c r="F1041" s="34">
        <v>0.1763888888888889</v>
      </c>
      <c r="G1041" s="34">
        <v>3.5997732426303855E-3</v>
      </c>
      <c r="H1041" s="33" t="s">
        <v>246</v>
      </c>
      <c r="I1041" s="33" t="s">
        <v>233</v>
      </c>
    </row>
    <row r="1042" spans="1:9" x14ac:dyDescent="0.25">
      <c r="A1042" s="32">
        <v>46246</v>
      </c>
      <c r="B1042" s="33" t="s">
        <v>508</v>
      </c>
      <c r="C1042" s="33" t="s">
        <v>32</v>
      </c>
      <c r="D1042" s="33" t="s">
        <v>32</v>
      </c>
      <c r="E1042">
        <v>37</v>
      </c>
      <c r="F1042" s="34">
        <v>0.14921296296296296</v>
      </c>
      <c r="G1042" s="34">
        <v>4.0327827827827826E-3</v>
      </c>
      <c r="H1042" s="33" t="s">
        <v>48</v>
      </c>
      <c r="I1042" s="33" t="s">
        <v>100</v>
      </c>
    </row>
    <row r="1043" spans="1:9" x14ac:dyDescent="0.25">
      <c r="A1043" s="32">
        <v>46246</v>
      </c>
      <c r="B1043" s="33" t="s">
        <v>603</v>
      </c>
      <c r="C1043" s="33" t="s">
        <v>32</v>
      </c>
      <c r="D1043" s="33" t="s">
        <v>32</v>
      </c>
      <c r="E1043">
        <v>37</v>
      </c>
      <c r="F1043" s="34">
        <v>0.18174768518518519</v>
      </c>
      <c r="G1043" s="34">
        <v>4.9120995995995996E-3</v>
      </c>
      <c r="H1043" s="33" t="s">
        <v>242</v>
      </c>
      <c r="I1043" s="33" t="s">
        <v>233</v>
      </c>
    </row>
    <row r="1044" spans="1:9" x14ac:dyDescent="0.25">
      <c r="A1044" s="32">
        <v>46246</v>
      </c>
      <c r="B1044" s="33" t="s">
        <v>559</v>
      </c>
      <c r="C1044" s="33" t="s">
        <v>105</v>
      </c>
      <c r="D1044" s="33" t="s">
        <v>105</v>
      </c>
      <c r="E1044">
        <v>7</v>
      </c>
      <c r="F1044" s="34">
        <v>0.13934027777777777</v>
      </c>
      <c r="G1044" s="34">
        <v>1.9905753968253968E-2</v>
      </c>
      <c r="H1044" s="33" t="s">
        <v>289</v>
      </c>
      <c r="I1044" s="33" t="s">
        <v>104</v>
      </c>
    </row>
    <row r="1045" spans="1:9" x14ac:dyDescent="0.25">
      <c r="A1045" s="32">
        <v>46246</v>
      </c>
      <c r="B1045" s="33" t="s">
        <v>553</v>
      </c>
      <c r="C1045" s="33" t="s">
        <v>80</v>
      </c>
      <c r="D1045" s="33" t="s">
        <v>32</v>
      </c>
      <c r="E1045">
        <v>1</v>
      </c>
      <c r="F1045" s="34">
        <v>5.7986111111111112E-3</v>
      </c>
      <c r="G1045" s="34">
        <v>5.7986111111111112E-3</v>
      </c>
      <c r="H1045" s="33" t="s">
        <v>252</v>
      </c>
      <c r="I1045" s="33" t="s">
        <v>78</v>
      </c>
    </row>
    <row r="1046" spans="1:9" x14ac:dyDescent="0.25">
      <c r="A1046" s="32">
        <v>46246</v>
      </c>
      <c r="B1046" s="33" t="s">
        <v>518</v>
      </c>
      <c r="C1046" s="33" t="s">
        <v>147</v>
      </c>
      <c r="D1046" s="33" t="s">
        <v>147</v>
      </c>
      <c r="E1046">
        <v>9</v>
      </c>
      <c r="F1046" s="34">
        <v>2.8298611111111111E-2</v>
      </c>
      <c r="G1046" s="34">
        <v>3.14429012345679E-3</v>
      </c>
      <c r="H1046" s="33" t="s">
        <v>500</v>
      </c>
      <c r="I1046" s="33" t="s">
        <v>274</v>
      </c>
    </row>
    <row r="1047" spans="1:9" x14ac:dyDescent="0.25">
      <c r="A1047" s="32">
        <v>46246</v>
      </c>
      <c r="B1047" s="33" t="s">
        <v>518</v>
      </c>
      <c r="C1047" s="33" t="s">
        <v>147</v>
      </c>
      <c r="D1047" s="33" t="s">
        <v>32</v>
      </c>
      <c r="E1047">
        <v>6</v>
      </c>
      <c r="F1047" s="34">
        <v>2.9155092592592594E-2</v>
      </c>
      <c r="G1047" s="34">
        <v>4.8591820987654325E-3</v>
      </c>
      <c r="H1047" s="33" t="s">
        <v>500</v>
      </c>
      <c r="I1047" s="33" t="s">
        <v>274</v>
      </c>
    </row>
    <row r="1048" spans="1:9" x14ac:dyDescent="0.25">
      <c r="A1048" s="32">
        <v>46246</v>
      </c>
      <c r="B1048" s="33" t="s">
        <v>684</v>
      </c>
      <c r="C1048" s="33" t="s">
        <v>32</v>
      </c>
      <c r="D1048" s="33" t="s">
        <v>32</v>
      </c>
      <c r="E1048">
        <v>29</v>
      </c>
      <c r="F1048" s="34">
        <v>0.16516203703703702</v>
      </c>
      <c r="G1048" s="34">
        <v>5.6952426564495524E-3</v>
      </c>
      <c r="H1048" s="33" t="s">
        <v>683</v>
      </c>
      <c r="I1048" s="33" t="s">
        <v>233</v>
      </c>
    </row>
    <row r="1049" spans="1:9" x14ac:dyDescent="0.25">
      <c r="A1049" s="32">
        <v>46246</v>
      </c>
      <c r="B1049" s="33" t="s">
        <v>654</v>
      </c>
      <c r="C1049" s="33" t="s">
        <v>32</v>
      </c>
      <c r="D1049" s="33" t="s">
        <v>32</v>
      </c>
      <c r="E1049">
        <v>34</v>
      </c>
      <c r="F1049" s="34">
        <v>0.16826388888888888</v>
      </c>
      <c r="G1049" s="34">
        <v>4.9489379084967314E-3</v>
      </c>
      <c r="H1049" s="33" t="s">
        <v>653</v>
      </c>
      <c r="I1049" s="33" t="s">
        <v>100</v>
      </c>
    </row>
    <row r="1050" spans="1:9" x14ac:dyDescent="0.25">
      <c r="A1050" s="32">
        <v>46246</v>
      </c>
      <c r="B1050" s="33" t="s">
        <v>519</v>
      </c>
      <c r="C1050" s="33" t="s">
        <v>147</v>
      </c>
      <c r="D1050" s="33" t="s">
        <v>147</v>
      </c>
      <c r="E1050">
        <v>15</v>
      </c>
      <c r="F1050" s="34">
        <v>3.4062500000000002E-2</v>
      </c>
      <c r="G1050" s="34">
        <v>2.2708333333333335E-3</v>
      </c>
      <c r="H1050" s="33" t="s">
        <v>164</v>
      </c>
      <c r="I1050" s="33" t="s">
        <v>146</v>
      </c>
    </row>
    <row r="1051" spans="1:9" x14ac:dyDescent="0.25">
      <c r="A1051" s="32">
        <v>46246</v>
      </c>
      <c r="B1051" s="33" t="s">
        <v>519</v>
      </c>
      <c r="C1051" s="33" t="s">
        <v>147</v>
      </c>
      <c r="D1051" s="33" t="s">
        <v>32</v>
      </c>
      <c r="E1051">
        <v>12</v>
      </c>
      <c r="F1051" s="34">
        <v>1.4224537037037037E-2</v>
      </c>
      <c r="G1051" s="34">
        <v>1.185378086419753E-3</v>
      </c>
      <c r="H1051" s="33" t="s">
        <v>164</v>
      </c>
      <c r="I1051" s="33" t="s">
        <v>146</v>
      </c>
    </row>
    <row r="1052" spans="1:9" x14ac:dyDescent="0.25">
      <c r="A1052" s="32">
        <v>46246</v>
      </c>
      <c r="B1052" s="33" t="s">
        <v>656</v>
      </c>
      <c r="C1052" s="33" t="s">
        <v>32</v>
      </c>
      <c r="D1052" s="33" t="s">
        <v>32</v>
      </c>
      <c r="E1052">
        <v>25</v>
      </c>
      <c r="F1052" s="34">
        <v>0.15291666666666667</v>
      </c>
      <c r="G1052" s="34">
        <v>6.116666666666667E-3</v>
      </c>
      <c r="H1052" s="33" t="s">
        <v>655</v>
      </c>
      <c r="I1052" s="33" t="s">
        <v>100</v>
      </c>
    </row>
    <row r="1053" spans="1:9" x14ac:dyDescent="0.25">
      <c r="A1053" s="32">
        <v>46246</v>
      </c>
      <c r="B1053" s="33" t="s">
        <v>167</v>
      </c>
      <c r="C1053" s="33" t="s">
        <v>147</v>
      </c>
      <c r="D1053" s="33" t="s">
        <v>147</v>
      </c>
      <c r="E1053">
        <v>15</v>
      </c>
      <c r="F1053" s="34">
        <v>4.5254629629629631E-2</v>
      </c>
      <c r="G1053" s="34">
        <v>3.0169753086419756E-3</v>
      </c>
      <c r="H1053" s="33" t="s">
        <v>166</v>
      </c>
      <c r="I1053" s="33" t="s">
        <v>146</v>
      </c>
    </row>
    <row r="1054" spans="1:9" x14ac:dyDescent="0.25">
      <c r="A1054" s="32">
        <v>46246</v>
      </c>
      <c r="B1054" s="33" t="s">
        <v>167</v>
      </c>
      <c r="C1054" s="33" t="s">
        <v>147</v>
      </c>
      <c r="D1054" s="33" t="s">
        <v>32</v>
      </c>
      <c r="E1054">
        <v>8</v>
      </c>
      <c r="F1054" s="34">
        <v>2.2650462962962963E-2</v>
      </c>
      <c r="G1054" s="34">
        <v>2.8313078703703703E-3</v>
      </c>
      <c r="H1054" s="33" t="s">
        <v>166</v>
      </c>
      <c r="I1054" s="33" t="s">
        <v>146</v>
      </c>
    </row>
    <row r="1055" spans="1:9" x14ac:dyDescent="0.25">
      <c r="A1055" s="32">
        <v>46246</v>
      </c>
      <c r="B1055" s="33" t="s">
        <v>658</v>
      </c>
      <c r="C1055" s="33" t="s">
        <v>147</v>
      </c>
      <c r="D1055" s="33" t="s">
        <v>147</v>
      </c>
      <c r="E1055">
        <v>12</v>
      </c>
      <c r="F1055" s="34">
        <v>3.2696759259259259E-2</v>
      </c>
      <c r="G1055" s="34">
        <v>2.7247299382716049E-3</v>
      </c>
      <c r="H1055" s="33" t="s">
        <v>657</v>
      </c>
      <c r="I1055" s="33" t="s">
        <v>274</v>
      </c>
    </row>
    <row r="1056" spans="1:9" x14ac:dyDescent="0.25">
      <c r="A1056" s="32">
        <v>46246</v>
      </c>
      <c r="B1056" s="33" t="s">
        <v>658</v>
      </c>
      <c r="C1056" s="33" t="s">
        <v>147</v>
      </c>
      <c r="D1056" s="33" t="s">
        <v>32</v>
      </c>
      <c r="E1056">
        <v>5</v>
      </c>
      <c r="F1056" s="34">
        <v>1.3229166666666667E-2</v>
      </c>
      <c r="G1056" s="34">
        <v>2.6458333333333334E-3</v>
      </c>
      <c r="H1056" s="33" t="s">
        <v>657</v>
      </c>
      <c r="I1056" s="33" t="s">
        <v>274</v>
      </c>
    </row>
    <row r="1057" spans="1:9" x14ac:dyDescent="0.25">
      <c r="A1057" s="32">
        <v>46246</v>
      </c>
      <c r="B1057" s="33" t="s">
        <v>660</v>
      </c>
      <c r="C1057" s="33" t="s">
        <v>32</v>
      </c>
      <c r="D1057" s="33" t="s">
        <v>32</v>
      </c>
      <c r="E1057">
        <v>6</v>
      </c>
      <c r="F1057" s="34">
        <v>3.1643518518518515E-2</v>
      </c>
      <c r="G1057" s="34">
        <v>5.2739197530864189E-3</v>
      </c>
      <c r="H1057" s="33" t="s">
        <v>659</v>
      </c>
      <c r="I1057" s="33" t="s">
        <v>100</v>
      </c>
    </row>
    <row r="1058" spans="1:9" x14ac:dyDescent="0.25">
      <c r="A1058" s="32">
        <v>46246</v>
      </c>
      <c r="B1058" s="33" t="s">
        <v>528</v>
      </c>
      <c r="C1058" s="33" t="s">
        <v>32</v>
      </c>
      <c r="D1058" s="33" t="s">
        <v>32</v>
      </c>
      <c r="E1058">
        <v>24</v>
      </c>
      <c r="F1058" s="34">
        <v>0.11256944444444444</v>
      </c>
      <c r="G1058" s="34">
        <v>4.6903935185185182E-3</v>
      </c>
      <c r="H1058" s="33" t="s">
        <v>254</v>
      </c>
      <c r="I1058" s="33" t="s">
        <v>233</v>
      </c>
    </row>
    <row r="1059" spans="1:9" x14ac:dyDescent="0.25">
      <c r="A1059" s="32">
        <v>46246</v>
      </c>
      <c r="B1059" s="33" t="s">
        <v>545</v>
      </c>
      <c r="C1059" s="33" t="s">
        <v>600</v>
      </c>
      <c r="D1059" s="33" t="s">
        <v>600</v>
      </c>
      <c r="E1059">
        <v>21</v>
      </c>
      <c r="F1059" s="34">
        <v>9.6631944444444451E-2</v>
      </c>
      <c r="G1059" s="34">
        <v>4.6015211640211646E-3</v>
      </c>
      <c r="H1059" s="33" t="s">
        <v>201</v>
      </c>
      <c r="I1059" s="33" t="s">
        <v>601</v>
      </c>
    </row>
    <row r="1060" spans="1:9" x14ac:dyDescent="0.25">
      <c r="A1060" s="32">
        <v>46246</v>
      </c>
      <c r="B1060" s="33" t="s">
        <v>520</v>
      </c>
      <c r="C1060" s="33" t="s">
        <v>147</v>
      </c>
      <c r="D1060" s="33" t="s">
        <v>147</v>
      </c>
      <c r="E1060">
        <v>8</v>
      </c>
      <c r="F1060" s="34">
        <v>1.8217592592592594E-2</v>
      </c>
      <c r="G1060" s="34">
        <v>2.2771990740740743E-3</v>
      </c>
      <c r="H1060" s="33" t="s">
        <v>168</v>
      </c>
      <c r="I1060" s="33" t="s">
        <v>274</v>
      </c>
    </row>
    <row r="1061" spans="1:9" x14ac:dyDescent="0.25">
      <c r="A1061" s="32">
        <v>46246</v>
      </c>
      <c r="B1061" s="33" t="s">
        <v>520</v>
      </c>
      <c r="C1061" s="33" t="s">
        <v>147</v>
      </c>
      <c r="D1061" s="33" t="s">
        <v>32</v>
      </c>
      <c r="E1061">
        <v>6</v>
      </c>
      <c r="F1061" s="34">
        <v>4.6527777777777774E-3</v>
      </c>
      <c r="G1061" s="34">
        <v>7.7546296296296293E-4</v>
      </c>
      <c r="H1061" s="33" t="s">
        <v>168</v>
      </c>
      <c r="I1061" s="33" t="s">
        <v>274</v>
      </c>
    </row>
    <row r="1062" spans="1:9" x14ac:dyDescent="0.25">
      <c r="A1062" s="32">
        <v>46246</v>
      </c>
      <c r="B1062" s="33" t="s">
        <v>521</v>
      </c>
      <c r="C1062" s="33" t="s">
        <v>147</v>
      </c>
      <c r="D1062" s="33" t="s">
        <v>147</v>
      </c>
      <c r="E1062">
        <v>13</v>
      </c>
      <c r="F1062" s="34">
        <v>5.7199074074074076E-2</v>
      </c>
      <c r="G1062" s="34">
        <v>4.3999287749287748E-3</v>
      </c>
      <c r="H1062" s="33" t="s">
        <v>170</v>
      </c>
      <c r="I1062" s="33" t="s">
        <v>146</v>
      </c>
    </row>
    <row r="1063" spans="1:9" x14ac:dyDescent="0.25">
      <c r="A1063" s="32">
        <v>46246</v>
      </c>
      <c r="B1063" s="33" t="s">
        <v>521</v>
      </c>
      <c r="C1063" s="33" t="s">
        <v>147</v>
      </c>
      <c r="D1063" s="33" t="s">
        <v>32</v>
      </c>
      <c r="E1063">
        <v>4</v>
      </c>
      <c r="F1063" s="34">
        <v>3.6990740740740741E-2</v>
      </c>
      <c r="G1063" s="34">
        <v>9.2476851851851852E-3</v>
      </c>
      <c r="H1063" s="33" t="s">
        <v>170</v>
      </c>
      <c r="I1063" s="33" t="s">
        <v>146</v>
      </c>
    </row>
    <row r="1064" spans="1:9" x14ac:dyDescent="0.25">
      <c r="A1064" s="32">
        <v>46246</v>
      </c>
      <c r="B1064" s="33" t="s">
        <v>543</v>
      </c>
      <c r="C1064" s="33" t="s">
        <v>600</v>
      </c>
      <c r="D1064" s="33" t="s">
        <v>600</v>
      </c>
      <c r="E1064">
        <v>42</v>
      </c>
      <c r="F1064" s="34">
        <v>0.11157407407407408</v>
      </c>
      <c r="G1064" s="34">
        <v>2.6565255731922401E-3</v>
      </c>
      <c r="H1064" s="33" t="s">
        <v>293</v>
      </c>
      <c r="I1064" s="33" t="s">
        <v>104</v>
      </c>
    </row>
    <row r="1065" spans="1:9" x14ac:dyDescent="0.25">
      <c r="A1065" s="32">
        <v>46246</v>
      </c>
      <c r="B1065" s="33" t="s">
        <v>633</v>
      </c>
      <c r="C1065" s="33" t="s">
        <v>147</v>
      </c>
      <c r="D1065" s="33" t="s">
        <v>147</v>
      </c>
      <c r="E1065">
        <v>4</v>
      </c>
      <c r="F1065" s="34">
        <v>1.4525462962962962E-2</v>
      </c>
      <c r="G1065" s="34">
        <v>3.6313657407407406E-3</v>
      </c>
      <c r="H1065" s="33" t="s">
        <v>606</v>
      </c>
      <c r="I1065" s="33" t="s">
        <v>146</v>
      </c>
    </row>
    <row r="1066" spans="1:9" x14ac:dyDescent="0.25">
      <c r="A1066" s="32">
        <v>46246</v>
      </c>
      <c r="B1066" s="33" t="s">
        <v>633</v>
      </c>
      <c r="C1066" s="33" t="s">
        <v>147</v>
      </c>
      <c r="D1066" s="33" t="s">
        <v>32</v>
      </c>
      <c r="E1066">
        <v>4</v>
      </c>
      <c r="F1066" s="34">
        <v>3.9930555555555552E-2</v>
      </c>
      <c r="G1066" s="34">
        <v>9.9826388888888881E-3</v>
      </c>
      <c r="H1066" s="33" t="s">
        <v>606</v>
      </c>
      <c r="I1066" s="33" t="s">
        <v>146</v>
      </c>
    </row>
    <row r="1067" spans="1:9" x14ac:dyDescent="0.25">
      <c r="A1067" s="32">
        <v>46246</v>
      </c>
      <c r="B1067" s="33" t="s">
        <v>634</v>
      </c>
      <c r="C1067" s="33" t="s">
        <v>105</v>
      </c>
      <c r="D1067" s="33" t="s">
        <v>105</v>
      </c>
      <c r="E1067">
        <v>3</v>
      </c>
      <c r="F1067" s="34">
        <v>5.665509259259259E-2</v>
      </c>
      <c r="G1067" s="34">
        <v>1.888503086419753E-2</v>
      </c>
      <c r="H1067" s="33" t="s">
        <v>612</v>
      </c>
      <c r="I1067" s="33" t="s">
        <v>601</v>
      </c>
    </row>
    <row r="1068" spans="1:9" x14ac:dyDescent="0.25">
      <c r="A1068" s="32">
        <v>46246</v>
      </c>
      <c r="B1068" s="33" t="s">
        <v>529</v>
      </c>
      <c r="C1068" s="33" t="s">
        <v>32</v>
      </c>
      <c r="D1068" s="33" t="s">
        <v>32</v>
      </c>
      <c r="E1068">
        <v>22</v>
      </c>
      <c r="F1068" s="34">
        <v>0.12519675925925927</v>
      </c>
      <c r="G1068" s="34">
        <v>5.6907617845117853E-3</v>
      </c>
      <c r="H1068" s="33" t="s">
        <v>256</v>
      </c>
      <c r="I1068" s="33" t="s">
        <v>233</v>
      </c>
    </row>
    <row r="1069" spans="1:9" x14ac:dyDescent="0.25">
      <c r="A1069" s="32">
        <v>46246</v>
      </c>
      <c r="B1069" s="33" t="s">
        <v>662</v>
      </c>
      <c r="C1069" s="33" t="s">
        <v>32</v>
      </c>
      <c r="D1069" s="33" t="s">
        <v>32</v>
      </c>
      <c r="E1069">
        <v>34</v>
      </c>
      <c r="F1069" s="34">
        <v>0.16336805555555556</v>
      </c>
      <c r="G1069" s="34">
        <v>4.8049428104575166E-3</v>
      </c>
      <c r="H1069" s="33" t="s">
        <v>661</v>
      </c>
      <c r="I1069" s="33" t="s">
        <v>100</v>
      </c>
    </row>
    <row r="1070" spans="1:9" x14ac:dyDescent="0.25">
      <c r="A1070" s="32">
        <v>46246</v>
      </c>
      <c r="B1070" s="33" t="s">
        <v>664</v>
      </c>
      <c r="C1070" s="33" t="s">
        <v>32</v>
      </c>
      <c r="D1070" s="33" t="s">
        <v>32</v>
      </c>
      <c r="E1070">
        <v>25</v>
      </c>
      <c r="F1070" s="34">
        <v>0.14407407407407408</v>
      </c>
      <c r="G1070" s="34">
        <v>5.7629629629629628E-3</v>
      </c>
      <c r="H1070" s="33" t="s">
        <v>663</v>
      </c>
      <c r="I1070" s="33" t="s">
        <v>233</v>
      </c>
    </row>
    <row r="1071" spans="1:9" x14ac:dyDescent="0.25">
      <c r="A1071" s="32">
        <v>46246</v>
      </c>
      <c r="B1071" s="33" t="s">
        <v>565</v>
      </c>
      <c r="C1071" s="33" t="s">
        <v>105</v>
      </c>
      <c r="D1071" s="33" t="s">
        <v>105</v>
      </c>
      <c r="E1071">
        <v>6</v>
      </c>
      <c r="F1071" s="34">
        <v>0.13179398148148147</v>
      </c>
      <c r="G1071" s="34">
        <v>2.1965663580246913E-2</v>
      </c>
      <c r="H1071" s="33" t="s">
        <v>203</v>
      </c>
      <c r="I1071" s="33" t="s">
        <v>601</v>
      </c>
    </row>
    <row r="1072" spans="1:9" x14ac:dyDescent="0.25">
      <c r="A1072" s="32">
        <v>46246</v>
      </c>
      <c r="B1072" s="33" t="s">
        <v>666</v>
      </c>
      <c r="C1072" s="33" t="s">
        <v>32</v>
      </c>
      <c r="D1072" s="33" t="s">
        <v>32</v>
      </c>
      <c r="E1072">
        <v>39</v>
      </c>
      <c r="F1072" s="34">
        <v>0.17184027777777777</v>
      </c>
      <c r="G1072" s="34">
        <v>4.4061609686609684E-3</v>
      </c>
      <c r="H1072" s="33" t="s">
        <v>665</v>
      </c>
      <c r="I1072" s="33" t="s">
        <v>100</v>
      </c>
    </row>
    <row r="1073" spans="1:9" x14ac:dyDescent="0.25">
      <c r="A1073" s="32">
        <v>46246</v>
      </c>
      <c r="B1073" s="33" t="s">
        <v>555</v>
      </c>
      <c r="C1073" s="33" t="s">
        <v>32</v>
      </c>
      <c r="D1073" s="33" t="s">
        <v>32</v>
      </c>
      <c r="E1073">
        <v>43</v>
      </c>
      <c r="F1073" s="34">
        <v>0.11071759259259259</v>
      </c>
      <c r="G1073" s="34">
        <v>2.5748277347114558E-3</v>
      </c>
      <c r="H1073" s="33" t="s">
        <v>128</v>
      </c>
      <c r="I1073" s="33" t="s">
        <v>233</v>
      </c>
    </row>
    <row r="1074" spans="1:9" x14ac:dyDescent="0.25">
      <c r="A1074" s="32">
        <v>46246</v>
      </c>
      <c r="B1074" s="33" t="s">
        <v>522</v>
      </c>
      <c r="C1074" s="33" t="s">
        <v>147</v>
      </c>
      <c r="D1074" s="33" t="s">
        <v>147</v>
      </c>
      <c r="E1074">
        <v>10</v>
      </c>
      <c r="F1074" s="34">
        <v>6.4664351851851848E-2</v>
      </c>
      <c r="G1074" s="34">
        <v>6.4664351851851844E-3</v>
      </c>
      <c r="H1074" s="33" t="s">
        <v>178</v>
      </c>
      <c r="I1074" s="33" t="s">
        <v>146</v>
      </c>
    </row>
    <row r="1075" spans="1:9" x14ac:dyDescent="0.25">
      <c r="A1075" s="32">
        <v>46246</v>
      </c>
      <c r="B1075" s="33" t="s">
        <v>522</v>
      </c>
      <c r="C1075" s="33" t="s">
        <v>147</v>
      </c>
      <c r="D1075" s="33" t="s">
        <v>32</v>
      </c>
      <c r="E1075">
        <v>6</v>
      </c>
      <c r="F1075" s="34">
        <v>2.8726851851851851E-2</v>
      </c>
      <c r="G1075" s="34">
        <v>4.7878086419753082E-3</v>
      </c>
      <c r="H1075" s="33" t="s">
        <v>178</v>
      </c>
      <c r="I1075" s="33" t="s">
        <v>146</v>
      </c>
    </row>
    <row r="1076" spans="1:9" x14ac:dyDescent="0.25">
      <c r="A1076" s="32">
        <v>46246</v>
      </c>
      <c r="B1076" s="33" t="s">
        <v>667</v>
      </c>
      <c r="C1076" s="33" t="s">
        <v>105</v>
      </c>
      <c r="D1076" s="33" t="s">
        <v>105</v>
      </c>
      <c r="E1076">
        <v>9</v>
      </c>
      <c r="F1076" s="34">
        <v>0.12314814814814815</v>
      </c>
      <c r="G1076" s="34">
        <v>1.368312757201646E-2</v>
      </c>
      <c r="H1076" s="33" t="s">
        <v>297</v>
      </c>
      <c r="I1076" s="33" t="s">
        <v>104</v>
      </c>
    </row>
    <row r="1077" spans="1:9" x14ac:dyDescent="0.25">
      <c r="A1077" s="32">
        <v>46246</v>
      </c>
      <c r="B1077" s="33" t="s">
        <v>635</v>
      </c>
      <c r="C1077" s="33" t="s">
        <v>105</v>
      </c>
      <c r="D1077" s="33" t="s">
        <v>105</v>
      </c>
      <c r="E1077">
        <v>4</v>
      </c>
      <c r="F1077" s="34">
        <v>9.1018518518518512E-2</v>
      </c>
      <c r="G1077" s="34">
        <v>2.2754629629629628E-2</v>
      </c>
      <c r="H1077" s="33" t="s">
        <v>614</v>
      </c>
      <c r="I1077" s="33" t="s">
        <v>601</v>
      </c>
    </row>
    <row r="1078" spans="1:9" x14ac:dyDescent="0.25">
      <c r="A1078" s="32">
        <v>46246</v>
      </c>
      <c r="B1078" s="33" t="s">
        <v>523</v>
      </c>
      <c r="C1078" s="33" t="s">
        <v>147</v>
      </c>
      <c r="D1078" s="33" t="s">
        <v>147</v>
      </c>
      <c r="E1078">
        <v>11</v>
      </c>
      <c r="F1078" s="34">
        <v>5.3912037037037036E-2</v>
      </c>
      <c r="G1078" s="34">
        <v>4.9010942760942759E-3</v>
      </c>
      <c r="H1078" s="33" t="s">
        <v>180</v>
      </c>
      <c r="I1078" s="33" t="s">
        <v>146</v>
      </c>
    </row>
    <row r="1079" spans="1:9" x14ac:dyDescent="0.25">
      <c r="A1079" s="32">
        <v>46246</v>
      </c>
      <c r="B1079" s="33" t="s">
        <v>523</v>
      </c>
      <c r="C1079" s="33" t="s">
        <v>147</v>
      </c>
      <c r="D1079" s="33" t="s">
        <v>32</v>
      </c>
      <c r="E1079">
        <v>6</v>
      </c>
      <c r="F1079" s="34">
        <v>8.8078703703703704E-3</v>
      </c>
      <c r="G1079" s="34">
        <v>1.4679783950617283E-3</v>
      </c>
      <c r="H1079" s="33" t="s">
        <v>180</v>
      </c>
      <c r="I1079" s="33" t="s">
        <v>146</v>
      </c>
    </row>
    <row r="1080" spans="1:9" x14ac:dyDescent="0.25">
      <c r="A1080" s="32">
        <v>46246</v>
      </c>
      <c r="B1080" s="33" t="s">
        <v>566</v>
      </c>
      <c r="C1080" s="33" t="s">
        <v>147</v>
      </c>
      <c r="D1080" s="33" t="s">
        <v>147</v>
      </c>
      <c r="E1080">
        <v>9</v>
      </c>
      <c r="F1080" s="34">
        <v>4.238425925925926E-2</v>
      </c>
      <c r="G1080" s="34">
        <v>4.7093621399176954E-3</v>
      </c>
      <c r="H1080" s="33" t="s">
        <v>207</v>
      </c>
      <c r="I1080" s="33" t="s">
        <v>274</v>
      </c>
    </row>
    <row r="1081" spans="1:9" x14ac:dyDescent="0.25">
      <c r="A1081" s="32">
        <v>46246</v>
      </c>
      <c r="B1081" s="33" t="s">
        <v>566</v>
      </c>
      <c r="C1081" s="33" t="s">
        <v>147</v>
      </c>
      <c r="D1081" s="33" t="s">
        <v>32</v>
      </c>
      <c r="E1081">
        <v>7</v>
      </c>
      <c r="F1081" s="34">
        <v>2.7407407407407408E-2</v>
      </c>
      <c r="G1081" s="34">
        <v>3.9153439153439152E-3</v>
      </c>
      <c r="H1081" s="33" t="s">
        <v>207</v>
      </c>
      <c r="I1081" s="33" t="s">
        <v>274</v>
      </c>
    </row>
    <row r="1082" spans="1:9" x14ac:dyDescent="0.25">
      <c r="A1082" s="32">
        <v>46246</v>
      </c>
      <c r="B1082" s="33" t="s">
        <v>637</v>
      </c>
      <c r="C1082" s="33" t="s">
        <v>105</v>
      </c>
      <c r="D1082" s="33" t="s">
        <v>105</v>
      </c>
      <c r="E1082">
        <v>5</v>
      </c>
      <c r="F1082" s="34">
        <v>0.10799768518518518</v>
      </c>
      <c r="G1082" s="34">
        <v>2.1599537037037035E-2</v>
      </c>
      <c r="H1082" s="33" t="s">
        <v>616</v>
      </c>
      <c r="I1082" s="33" t="s">
        <v>601</v>
      </c>
    </row>
    <row r="1083" spans="1:9" x14ac:dyDescent="0.25">
      <c r="A1083" s="32">
        <v>46246</v>
      </c>
      <c r="B1083" s="33" t="s">
        <v>567</v>
      </c>
      <c r="C1083" s="33" t="s">
        <v>105</v>
      </c>
      <c r="D1083" s="33" t="s">
        <v>105</v>
      </c>
      <c r="E1083">
        <v>2</v>
      </c>
      <c r="F1083" s="34">
        <v>4.8576388888888891E-2</v>
      </c>
      <c r="G1083" s="34">
        <v>2.4288194444444446E-2</v>
      </c>
      <c r="H1083" s="33" t="s">
        <v>209</v>
      </c>
      <c r="I1083" s="33" t="s">
        <v>601</v>
      </c>
    </row>
    <row r="1084" spans="1:9" x14ac:dyDescent="0.25">
      <c r="A1084" s="32">
        <v>46246</v>
      </c>
      <c r="B1084" s="33" t="s">
        <v>567</v>
      </c>
      <c r="C1084" s="33" t="s">
        <v>105</v>
      </c>
      <c r="D1084" s="33" t="s">
        <v>32</v>
      </c>
      <c r="E1084">
        <v>2</v>
      </c>
      <c r="F1084" s="34">
        <v>1.9525462962962963E-2</v>
      </c>
      <c r="G1084" s="34">
        <v>9.7627314814814816E-3</v>
      </c>
      <c r="H1084" s="33" t="s">
        <v>209</v>
      </c>
      <c r="I1084" s="33" t="s">
        <v>601</v>
      </c>
    </row>
    <row r="1085" spans="1:9" x14ac:dyDescent="0.25">
      <c r="A1085" s="32">
        <v>46246</v>
      </c>
      <c r="B1085" s="33" t="s">
        <v>510</v>
      </c>
      <c r="C1085" s="33" t="s">
        <v>32</v>
      </c>
      <c r="D1085" s="33" t="s">
        <v>32</v>
      </c>
      <c r="E1085">
        <v>33</v>
      </c>
      <c r="F1085" s="34">
        <v>0.16708333333333333</v>
      </c>
      <c r="G1085" s="34">
        <v>5.0631313131313128E-3</v>
      </c>
      <c r="H1085" s="33" t="s">
        <v>60</v>
      </c>
      <c r="I1085" s="33" t="s">
        <v>100</v>
      </c>
    </row>
    <row r="1086" spans="1:9" x14ac:dyDescent="0.25">
      <c r="A1086" s="32">
        <v>46246</v>
      </c>
      <c r="B1086" s="33" t="s">
        <v>512</v>
      </c>
      <c r="C1086" s="33" t="s">
        <v>105</v>
      </c>
      <c r="D1086" s="33" t="s">
        <v>105</v>
      </c>
      <c r="E1086">
        <v>14</v>
      </c>
      <c r="F1086" s="34">
        <v>0.21376157407407406</v>
      </c>
      <c r="G1086" s="34">
        <v>1.5268683862433862E-2</v>
      </c>
      <c r="H1086" s="33" t="s">
        <v>132</v>
      </c>
      <c r="I1086" s="33" t="s">
        <v>104</v>
      </c>
    </row>
    <row r="1087" spans="1:9" x14ac:dyDescent="0.25">
      <c r="A1087" s="32">
        <v>46246</v>
      </c>
      <c r="B1087" s="33" t="s">
        <v>560</v>
      </c>
      <c r="C1087" s="33" t="s">
        <v>105</v>
      </c>
      <c r="D1087" s="33" t="s">
        <v>105</v>
      </c>
      <c r="E1087">
        <v>8</v>
      </c>
      <c r="F1087" s="34">
        <v>0.1220949074074074</v>
      </c>
      <c r="G1087" s="34">
        <v>1.5261863425925925E-2</v>
      </c>
      <c r="H1087" s="33" t="s">
        <v>134</v>
      </c>
      <c r="I1087" s="33" t="s">
        <v>104</v>
      </c>
    </row>
    <row r="1088" spans="1:9" x14ac:dyDescent="0.25">
      <c r="A1088" s="32">
        <v>46246</v>
      </c>
      <c r="B1088" s="33" t="s">
        <v>546</v>
      </c>
      <c r="C1088" s="33" t="s">
        <v>105</v>
      </c>
      <c r="D1088" s="33" t="s">
        <v>105</v>
      </c>
      <c r="E1088">
        <v>7</v>
      </c>
      <c r="F1088" s="34">
        <v>0.17929398148148148</v>
      </c>
      <c r="G1088" s="34">
        <v>2.5613425925925925E-2</v>
      </c>
      <c r="H1088" s="33" t="s">
        <v>211</v>
      </c>
      <c r="I1088" s="33" t="s">
        <v>104</v>
      </c>
    </row>
    <row r="1089" spans="1:9" x14ac:dyDescent="0.25">
      <c r="A1089" s="32">
        <v>46246</v>
      </c>
      <c r="B1089" s="33" t="s">
        <v>638</v>
      </c>
      <c r="C1089" s="33" t="s">
        <v>105</v>
      </c>
      <c r="D1089" s="33" t="s">
        <v>105</v>
      </c>
      <c r="E1089">
        <v>3</v>
      </c>
      <c r="F1089" s="34">
        <v>8.9155092592592591E-2</v>
      </c>
      <c r="G1089" s="34">
        <v>2.9718364197530864E-2</v>
      </c>
      <c r="H1089" s="33" t="s">
        <v>617</v>
      </c>
      <c r="I1089" s="33" t="s">
        <v>601</v>
      </c>
    </row>
    <row r="1090" spans="1:9" x14ac:dyDescent="0.25">
      <c r="A1090" s="32">
        <v>46246</v>
      </c>
      <c r="B1090" s="33" t="s">
        <v>638</v>
      </c>
      <c r="C1090" s="33" t="s">
        <v>105</v>
      </c>
      <c r="D1090" s="33" t="s">
        <v>32</v>
      </c>
      <c r="E1090">
        <v>1</v>
      </c>
      <c r="F1090" s="34">
        <v>2.9178240740740741E-2</v>
      </c>
      <c r="G1090" s="34">
        <v>2.9178240740740741E-2</v>
      </c>
      <c r="H1090" s="33" t="s">
        <v>617</v>
      </c>
      <c r="I1090" s="33" t="s">
        <v>601</v>
      </c>
    </row>
    <row r="1091" spans="1:9" x14ac:dyDescent="0.25">
      <c r="A1091" s="32">
        <v>46246</v>
      </c>
      <c r="B1091" s="33" t="s">
        <v>639</v>
      </c>
      <c r="C1091" s="33" t="s">
        <v>105</v>
      </c>
      <c r="D1091" s="33" t="s">
        <v>105</v>
      </c>
      <c r="E1091">
        <v>9</v>
      </c>
      <c r="F1091" s="34">
        <v>0.20439814814814813</v>
      </c>
      <c r="G1091" s="34">
        <v>2.2710905349794239E-2</v>
      </c>
      <c r="H1091" s="33" t="s">
        <v>618</v>
      </c>
      <c r="I1091" s="33" t="s">
        <v>601</v>
      </c>
    </row>
    <row r="1092" spans="1:9" x14ac:dyDescent="0.25">
      <c r="A1092" s="32">
        <v>46246</v>
      </c>
      <c r="B1092" s="33" t="s">
        <v>639</v>
      </c>
      <c r="C1092" s="33" t="s">
        <v>105</v>
      </c>
      <c r="D1092" s="33" t="s">
        <v>32</v>
      </c>
      <c r="E1092">
        <v>1</v>
      </c>
      <c r="F1092" s="34">
        <v>5.6712962962962967E-4</v>
      </c>
      <c r="G1092" s="34">
        <v>5.6712962962962967E-4</v>
      </c>
      <c r="H1092" s="33" t="s">
        <v>618</v>
      </c>
      <c r="I1092" s="33" t="s">
        <v>601</v>
      </c>
    </row>
    <row r="1093" spans="1:9" x14ac:dyDescent="0.25">
      <c r="A1093" s="32">
        <v>46246</v>
      </c>
      <c r="B1093" s="33" t="s">
        <v>524</v>
      </c>
      <c r="C1093" s="33" t="s">
        <v>147</v>
      </c>
      <c r="D1093" s="33" t="s">
        <v>147</v>
      </c>
      <c r="E1093">
        <v>11</v>
      </c>
      <c r="F1093" s="34">
        <v>3.3449074074074076E-2</v>
      </c>
      <c r="G1093" s="34">
        <v>3.040824915824916E-3</v>
      </c>
      <c r="H1093" s="33" t="s">
        <v>501</v>
      </c>
      <c r="I1093" s="33" t="s">
        <v>274</v>
      </c>
    </row>
    <row r="1094" spans="1:9" x14ac:dyDescent="0.25">
      <c r="A1094" s="32">
        <v>46246</v>
      </c>
      <c r="B1094" s="33" t="s">
        <v>524</v>
      </c>
      <c r="C1094" s="33" t="s">
        <v>147</v>
      </c>
      <c r="D1094" s="33" t="s">
        <v>32</v>
      </c>
      <c r="E1094">
        <v>5</v>
      </c>
      <c r="F1094" s="34">
        <v>3.4814814814814812E-2</v>
      </c>
      <c r="G1094" s="34">
        <v>6.9629629629629625E-3</v>
      </c>
      <c r="H1094" s="33" t="s">
        <v>501</v>
      </c>
      <c r="I1094" s="33" t="s">
        <v>274</v>
      </c>
    </row>
    <row r="1095" spans="1:9" x14ac:dyDescent="0.25">
      <c r="A1095" s="32">
        <v>46246</v>
      </c>
      <c r="B1095" s="33" t="s">
        <v>572</v>
      </c>
      <c r="C1095" s="33" t="s">
        <v>105</v>
      </c>
      <c r="D1095" s="33" t="s">
        <v>105</v>
      </c>
      <c r="E1095">
        <v>2</v>
      </c>
      <c r="F1095" s="34">
        <v>4.2858796296296298E-2</v>
      </c>
      <c r="G1095" s="34">
        <v>2.1429398148148149E-2</v>
      </c>
      <c r="H1095" s="33" t="s">
        <v>213</v>
      </c>
      <c r="I1095" s="33" t="s">
        <v>601</v>
      </c>
    </row>
    <row r="1096" spans="1:9" x14ac:dyDescent="0.25">
      <c r="A1096" s="32">
        <v>46246</v>
      </c>
      <c r="B1096" s="33" t="s">
        <v>572</v>
      </c>
      <c r="C1096" s="33" t="s">
        <v>105</v>
      </c>
      <c r="D1096" s="33" t="s">
        <v>32</v>
      </c>
      <c r="E1096">
        <v>3</v>
      </c>
      <c r="F1096" s="34">
        <v>1.579861111111111E-2</v>
      </c>
      <c r="G1096" s="34">
        <v>5.2662037037037035E-3</v>
      </c>
      <c r="H1096" s="33" t="s">
        <v>213</v>
      </c>
      <c r="I1096" s="33" t="s">
        <v>601</v>
      </c>
    </row>
    <row r="1097" spans="1:9" x14ac:dyDescent="0.25">
      <c r="A1097" s="32">
        <v>46246</v>
      </c>
      <c r="B1097" s="33" t="s">
        <v>640</v>
      </c>
      <c r="C1097" s="33" t="s">
        <v>105</v>
      </c>
      <c r="D1097" s="33" t="s">
        <v>105</v>
      </c>
      <c r="E1097">
        <v>3</v>
      </c>
      <c r="F1097" s="34">
        <v>5.559027777777778E-2</v>
      </c>
      <c r="G1097" s="34">
        <v>1.8530092592592595E-2</v>
      </c>
      <c r="H1097" s="33" t="s">
        <v>619</v>
      </c>
      <c r="I1097" s="33" t="s">
        <v>601</v>
      </c>
    </row>
    <row r="1098" spans="1:9" x14ac:dyDescent="0.25">
      <c r="A1098" s="32">
        <v>46246</v>
      </c>
      <c r="B1098" s="33" t="s">
        <v>640</v>
      </c>
      <c r="C1098" s="33" t="s">
        <v>105</v>
      </c>
      <c r="D1098" s="33" t="s">
        <v>32</v>
      </c>
      <c r="E1098">
        <v>5</v>
      </c>
      <c r="F1098" s="34">
        <v>2.0069444444444445E-2</v>
      </c>
      <c r="G1098" s="34">
        <v>4.0138888888888889E-3</v>
      </c>
      <c r="H1098" s="33" t="s">
        <v>619</v>
      </c>
      <c r="I1098" s="33" t="s">
        <v>601</v>
      </c>
    </row>
    <row r="1099" spans="1:9" x14ac:dyDescent="0.25">
      <c r="A1099" s="32">
        <v>46246</v>
      </c>
      <c r="B1099" s="33" t="s">
        <v>670</v>
      </c>
      <c r="C1099" s="33" t="s">
        <v>32</v>
      </c>
      <c r="D1099" s="33" t="s">
        <v>32</v>
      </c>
      <c r="E1099">
        <v>35</v>
      </c>
      <c r="F1099" s="34">
        <v>0.16347222222222221</v>
      </c>
      <c r="G1099" s="34">
        <v>4.6706349206349206E-3</v>
      </c>
      <c r="H1099" s="33" t="s">
        <v>744</v>
      </c>
      <c r="I1099" s="33" t="s">
        <v>100</v>
      </c>
    </row>
    <row r="1100" spans="1:9" x14ac:dyDescent="0.25">
      <c r="A1100" s="32">
        <v>46246</v>
      </c>
      <c r="B1100" s="33" t="s">
        <v>548</v>
      </c>
      <c r="C1100" s="33" t="s">
        <v>105</v>
      </c>
      <c r="D1100" s="33" t="s">
        <v>105</v>
      </c>
      <c r="E1100">
        <v>6</v>
      </c>
      <c r="F1100" s="34">
        <v>8.2708333333333328E-2</v>
      </c>
      <c r="G1100" s="34">
        <v>1.3784722222222221E-2</v>
      </c>
      <c r="H1100" s="33" t="s">
        <v>219</v>
      </c>
      <c r="I1100" s="33" t="s">
        <v>104</v>
      </c>
    </row>
    <row r="1101" spans="1:9" x14ac:dyDescent="0.25">
      <c r="A1101" s="32">
        <v>46246</v>
      </c>
      <c r="B1101" s="33" t="s">
        <v>306</v>
      </c>
      <c r="C1101" s="33" t="s">
        <v>32</v>
      </c>
      <c r="D1101" s="33" t="s">
        <v>32</v>
      </c>
      <c r="E1101">
        <v>35</v>
      </c>
      <c r="F1101" s="34">
        <v>0.16575231481481481</v>
      </c>
      <c r="G1101" s="34">
        <v>4.7357804232804231E-3</v>
      </c>
      <c r="H1101" s="33" t="s">
        <v>305</v>
      </c>
      <c r="I1101" s="33" t="s">
        <v>100</v>
      </c>
    </row>
    <row r="1102" spans="1:9" x14ac:dyDescent="0.25">
      <c r="A1102" s="32">
        <v>46246</v>
      </c>
      <c r="B1102" s="33" t="s">
        <v>641</v>
      </c>
      <c r="C1102" s="33" t="s">
        <v>105</v>
      </c>
      <c r="D1102" s="33" t="s">
        <v>105</v>
      </c>
      <c r="E1102">
        <v>4</v>
      </c>
      <c r="F1102" s="34">
        <v>8.4189814814814815E-2</v>
      </c>
      <c r="G1102" s="34">
        <v>2.1047453703703704E-2</v>
      </c>
      <c r="H1102" s="33" t="s">
        <v>620</v>
      </c>
      <c r="I1102" s="33" t="s">
        <v>601</v>
      </c>
    </row>
    <row r="1103" spans="1:9" x14ac:dyDescent="0.25">
      <c r="A1103" s="32">
        <v>46246</v>
      </c>
      <c r="B1103" s="33" t="s">
        <v>641</v>
      </c>
      <c r="C1103" s="33" t="s">
        <v>105</v>
      </c>
      <c r="D1103" s="33" t="s">
        <v>32</v>
      </c>
      <c r="E1103">
        <v>2</v>
      </c>
      <c r="F1103" s="34">
        <v>1.3877314814814815E-2</v>
      </c>
      <c r="G1103" s="34">
        <v>6.9386574074074073E-3</v>
      </c>
      <c r="H1103" s="33" t="s">
        <v>620</v>
      </c>
      <c r="I1103" s="33" t="s">
        <v>601</v>
      </c>
    </row>
    <row r="1104" spans="1:9" x14ac:dyDescent="0.25">
      <c r="A1104" s="32">
        <v>46246</v>
      </c>
      <c r="B1104" s="33" t="s">
        <v>556</v>
      </c>
      <c r="C1104" s="33" t="s">
        <v>105</v>
      </c>
      <c r="D1104" s="33" t="s">
        <v>105</v>
      </c>
      <c r="E1104">
        <v>9</v>
      </c>
      <c r="F1104" s="34">
        <v>0.14701388888888889</v>
      </c>
      <c r="G1104" s="34">
        <v>1.6334876543209878E-2</v>
      </c>
      <c r="H1104" s="33" t="s">
        <v>138</v>
      </c>
      <c r="I1104" s="33" t="s">
        <v>104</v>
      </c>
    </row>
    <row r="1105" spans="1:9" x14ac:dyDescent="0.25">
      <c r="A1105" s="32">
        <v>46246</v>
      </c>
      <c r="B1105" s="33" t="s">
        <v>556</v>
      </c>
      <c r="C1105" s="33" t="s">
        <v>105</v>
      </c>
      <c r="D1105" s="33" t="s">
        <v>32</v>
      </c>
      <c r="E1105">
        <v>3</v>
      </c>
      <c r="F1105" s="34">
        <v>1.681712962962963E-2</v>
      </c>
      <c r="G1105" s="34">
        <v>5.6057098765432099E-3</v>
      </c>
      <c r="H1105" s="33" t="s">
        <v>138</v>
      </c>
      <c r="I1105" s="33" t="s">
        <v>104</v>
      </c>
    </row>
    <row r="1106" spans="1:9" x14ac:dyDescent="0.25">
      <c r="A1106" s="32">
        <v>46246</v>
      </c>
      <c r="B1106" s="33" t="s">
        <v>532</v>
      </c>
      <c r="C1106" s="33" t="s">
        <v>32</v>
      </c>
      <c r="D1106" s="33" t="s">
        <v>32</v>
      </c>
      <c r="E1106">
        <v>35</v>
      </c>
      <c r="F1106" s="34">
        <v>0.10616898148148148</v>
      </c>
      <c r="G1106" s="34">
        <v>3.0333994708994709E-3</v>
      </c>
      <c r="H1106" s="33" t="s">
        <v>276</v>
      </c>
      <c r="I1106" s="33" t="s">
        <v>233</v>
      </c>
    </row>
    <row r="1107" spans="1:9" x14ac:dyDescent="0.25">
      <c r="A1107" s="32">
        <v>46246</v>
      </c>
      <c r="B1107" s="33" t="s">
        <v>533</v>
      </c>
      <c r="C1107" s="33" t="s">
        <v>32</v>
      </c>
      <c r="D1107" s="33" t="s">
        <v>32</v>
      </c>
      <c r="E1107">
        <v>18</v>
      </c>
      <c r="F1107" s="34">
        <v>0.13817129629629629</v>
      </c>
      <c r="G1107" s="34">
        <v>7.6761831275720159E-3</v>
      </c>
      <c r="H1107" s="33" t="s">
        <v>278</v>
      </c>
      <c r="I1107" s="33" t="s">
        <v>233</v>
      </c>
    </row>
    <row r="1108" spans="1:9" x14ac:dyDescent="0.25">
      <c r="A1108" s="32">
        <v>46246</v>
      </c>
      <c r="B1108" s="33" t="s">
        <v>674</v>
      </c>
      <c r="C1108" s="33" t="s">
        <v>105</v>
      </c>
      <c r="D1108" s="33" t="s">
        <v>105</v>
      </c>
      <c r="E1108">
        <v>9</v>
      </c>
      <c r="F1108" s="34">
        <v>0.15268518518518517</v>
      </c>
      <c r="G1108" s="34">
        <v>1.6965020576131685E-2</v>
      </c>
      <c r="H1108" s="33" t="s">
        <v>673</v>
      </c>
      <c r="I1108" s="33" t="s">
        <v>104</v>
      </c>
    </row>
    <row r="1109" spans="1:9" x14ac:dyDescent="0.25">
      <c r="A1109" s="32">
        <v>46246</v>
      </c>
      <c r="B1109" s="33" t="s">
        <v>549</v>
      </c>
      <c r="C1109" s="33" t="s">
        <v>105</v>
      </c>
      <c r="D1109" s="33" t="s">
        <v>105</v>
      </c>
      <c r="E1109">
        <v>4</v>
      </c>
      <c r="F1109" s="34">
        <v>7.0949074074074067E-2</v>
      </c>
      <c r="G1109" s="34">
        <v>1.7737268518518517E-2</v>
      </c>
      <c r="H1109" s="33" t="s">
        <v>225</v>
      </c>
      <c r="I1109" s="33" t="s">
        <v>601</v>
      </c>
    </row>
    <row r="1110" spans="1:9" x14ac:dyDescent="0.25">
      <c r="A1110" s="32">
        <v>46246</v>
      </c>
      <c r="B1110" s="33" t="s">
        <v>549</v>
      </c>
      <c r="C1110" s="33" t="s">
        <v>105</v>
      </c>
      <c r="D1110" s="33" t="s">
        <v>32</v>
      </c>
      <c r="E1110">
        <v>1</v>
      </c>
      <c r="F1110" s="34">
        <v>5.3587962962962964E-3</v>
      </c>
      <c r="G1110" s="34">
        <v>5.3587962962962964E-3</v>
      </c>
      <c r="H1110" s="33" t="s">
        <v>225</v>
      </c>
      <c r="I1110" s="33" t="s">
        <v>601</v>
      </c>
    </row>
    <row r="1111" spans="1:9" x14ac:dyDescent="0.25">
      <c r="A1111" s="32">
        <v>46246</v>
      </c>
      <c r="B1111" s="33" t="s">
        <v>534</v>
      </c>
      <c r="C1111" s="33" t="s">
        <v>32</v>
      </c>
      <c r="D1111" s="33" t="s">
        <v>32</v>
      </c>
      <c r="E1111">
        <v>29</v>
      </c>
      <c r="F1111" s="34">
        <v>0.11996527777777778</v>
      </c>
      <c r="G1111" s="34">
        <v>4.1367337164750963E-3</v>
      </c>
      <c r="H1111" s="33" t="s">
        <v>280</v>
      </c>
      <c r="I1111" s="33" t="s">
        <v>233</v>
      </c>
    </row>
    <row r="1112" spans="1:9" x14ac:dyDescent="0.25">
      <c r="A1112" s="32">
        <v>46246</v>
      </c>
      <c r="B1112" s="33" t="s">
        <v>571</v>
      </c>
      <c r="C1112" s="33" t="s">
        <v>105</v>
      </c>
      <c r="D1112" s="33" t="s">
        <v>105</v>
      </c>
      <c r="E1112">
        <v>9</v>
      </c>
      <c r="F1112" s="34">
        <v>0.19439814814814815</v>
      </c>
      <c r="G1112" s="34">
        <v>2.1599794238683127E-2</v>
      </c>
      <c r="H1112" s="33" t="s">
        <v>299</v>
      </c>
      <c r="I1112" s="33" t="s">
        <v>104</v>
      </c>
    </row>
    <row r="1113" spans="1:9" x14ac:dyDescent="0.25">
      <c r="A1113" s="32">
        <v>46246</v>
      </c>
      <c r="B1113" s="33" t="s">
        <v>535</v>
      </c>
      <c r="C1113" s="33" t="s">
        <v>32</v>
      </c>
      <c r="D1113" s="33" t="s">
        <v>32</v>
      </c>
      <c r="E1113">
        <v>54</v>
      </c>
      <c r="F1113" s="34">
        <v>0.11582175925925926</v>
      </c>
      <c r="G1113" s="34">
        <v>2.1448473936899865E-3</v>
      </c>
      <c r="H1113" s="33" t="s">
        <v>282</v>
      </c>
      <c r="I1113" s="33" t="s">
        <v>233</v>
      </c>
    </row>
    <row r="1114" spans="1:9" x14ac:dyDescent="0.25">
      <c r="A1114" s="32">
        <v>46246</v>
      </c>
      <c r="B1114" s="33" t="s">
        <v>557</v>
      </c>
      <c r="C1114" s="33" t="s">
        <v>147</v>
      </c>
      <c r="D1114" s="33" t="s">
        <v>147</v>
      </c>
      <c r="E1114">
        <v>6</v>
      </c>
      <c r="F1114" s="34">
        <v>3.6030092592592593E-2</v>
      </c>
      <c r="G1114" s="34">
        <v>6.0050154320987655E-3</v>
      </c>
      <c r="H1114" s="33" t="s">
        <v>227</v>
      </c>
      <c r="I1114" s="33" t="s">
        <v>146</v>
      </c>
    </row>
    <row r="1115" spans="1:9" x14ac:dyDescent="0.25">
      <c r="A1115" s="32">
        <v>46246</v>
      </c>
      <c r="B1115" s="33" t="s">
        <v>557</v>
      </c>
      <c r="C1115" s="33" t="s">
        <v>147</v>
      </c>
      <c r="D1115" s="33" t="s">
        <v>32</v>
      </c>
      <c r="E1115">
        <v>5</v>
      </c>
      <c r="F1115" s="34">
        <v>3.5266203703703702E-2</v>
      </c>
      <c r="G1115" s="34">
        <v>7.0532407407407401E-3</v>
      </c>
      <c r="H1115" s="33" t="s">
        <v>227</v>
      </c>
      <c r="I1115" s="33" t="s">
        <v>146</v>
      </c>
    </row>
    <row r="1116" spans="1:9" x14ac:dyDescent="0.25">
      <c r="A1116" s="32">
        <v>46246</v>
      </c>
      <c r="B1116" s="33" t="s">
        <v>676</v>
      </c>
      <c r="C1116" s="33" t="s">
        <v>105</v>
      </c>
      <c r="D1116" s="33" t="s">
        <v>105</v>
      </c>
      <c r="E1116">
        <v>8</v>
      </c>
      <c r="F1116" s="34">
        <v>0.15809027777777779</v>
      </c>
      <c r="G1116" s="34">
        <v>1.9761284722222223E-2</v>
      </c>
      <c r="H1116" s="33" t="s">
        <v>675</v>
      </c>
      <c r="I1116" s="33" t="s">
        <v>104</v>
      </c>
    </row>
    <row r="1117" spans="1:9" x14ac:dyDescent="0.25">
      <c r="A1117" s="32">
        <v>46246</v>
      </c>
      <c r="B1117" s="33" t="s">
        <v>678</v>
      </c>
      <c r="C1117" s="33" t="s">
        <v>147</v>
      </c>
      <c r="D1117" s="33" t="s">
        <v>147</v>
      </c>
      <c r="E1117">
        <v>13</v>
      </c>
      <c r="F1117" s="34">
        <v>4.0636574074074075E-2</v>
      </c>
      <c r="G1117" s="34">
        <v>3.1258903133903134E-3</v>
      </c>
      <c r="H1117" s="33" t="s">
        <v>677</v>
      </c>
      <c r="I1117" s="33" t="s">
        <v>274</v>
      </c>
    </row>
    <row r="1118" spans="1:9" x14ac:dyDescent="0.25">
      <c r="A1118" s="32">
        <v>46246</v>
      </c>
      <c r="B1118" s="33" t="s">
        <v>678</v>
      </c>
      <c r="C1118" s="33" t="s">
        <v>147</v>
      </c>
      <c r="D1118" s="33" t="s">
        <v>32</v>
      </c>
      <c r="E1118">
        <v>4</v>
      </c>
      <c r="F1118" s="34">
        <v>1.2870370370370371E-2</v>
      </c>
      <c r="G1118" s="34">
        <v>3.2175925925925926E-3</v>
      </c>
      <c r="H1118" s="33" t="s">
        <v>677</v>
      </c>
      <c r="I1118" s="33" t="s">
        <v>274</v>
      </c>
    </row>
    <row r="1119" spans="1:9" x14ac:dyDescent="0.25">
      <c r="A1119" s="32">
        <v>46247</v>
      </c>
      <c r="B1119" s="33" t="s">
        <v>562</v>
      </c>
      <c r="C1119" s="33" t="s">
        <v>80</v>
      </c>
      <c r="D1119" s="33" t="s">
        <v>32</v>
      </c>
      <c r="E1119">
        <v>3</v>
      </c>
      <c r="F1119" s="34">
        <v>7.8703703703703696E-3</v>
      </c>
      <c r="G1119" s="34">
        <v>2.6234567901234564E-3</v>
      </c>
      <c r="H1119" s="33" t="s">
        <v>186</v>
      </c>
      <c r="I1119" s="33" t="s">
        <v>78</v>
      </c>
    </row>
    <row r="1120" spans="1:9" x14ac:dyDescent="0.25">
      <c r="A1120" s="32">
        <v>46247</v>
      </c>
      <c r="B1120" s="33" t="s">
        <v>644</v>
      </c>
      <c r="C1120" s="33" t="s">
        <v>32</v>
      </c>
      <c r="D1120" s="33" t="s">
        <v>32</v>
      </c>
      <c r="E1120">
        <v>11</v>
      </c>
      <c r="F1120" s="34">
        <v>0.11306712962962963</v>
      </c>
      <c r="G1120" s="34">
        <v>1.0278829966329965E-2</v>
      </c>
      <c r="H1120" s="33" t="s">
        <v>643</v>
      </c>
      <c r="I1120" s="33" t="s">
        <v>233</v>
      </c>
    </row>
    <row r="1121" spans="1:9" x14ac:dyDescent="0.25">
      <c r="A1121" s="32">
        <v>46247</v>
      </c>
      <c r="B1121" s="33" t="s">
        <v>563</v>
      </c>
      <c r="C1121" s="33" t="s">
        <v>147</v>
      </c>
      <c r="D1121" s="33" t="s">
        <v>147</v>
      </c>
      <c r="E1121">
        <v>8</v>
      </c>
      <c r="F1121" s="34">
        <v>3.0787037037037036E-2</v>
      </c>
      <c r="G1121" s="34">
        <v>3.8483796296296295E-3</v>
      </c>
      <c r="H1121" s="33" t="s">
        <v>193</v>
      </c>
      <c r="I1121" s="33" t="s">
        <v>274</v>
      </c>
    </row>
    <row r="1122" spans="1:9" x14ac:dyDescent="0.25">
      <c r="A1122" s="32">
        <v>46247</v>
      </c>
      <c r="B1122" s="33" t="s">
        <v>563</v>
      </c>
      <c r="C1122" s="33" t="s">
        <v>147</v>
      </c>
      <c r="D1122" s="33" t="s">
        <v>32</v>
      </c>
      <c r="E1122">
        <v>7</v>
      </c>
      <c r="F1122" s="34">
        <v>1.6053240740740739E-2</v>
      </c>
      <c r="G1122" s="34">
        <v>2.2933201058201054E-3</v>
      </c>
      <c r="H1122" s="33" t="s">
        <v>193</v>
      </c>
      <c r="I1122" s="33" t="s">
        <v>274</v>
      </c>
    </row>
    <row r="1123" spans="1:9" x14ac:dyDescent="0.25">
      <c r="A1123" s="32">
        <v>46247</v>
      </c>
      <c r="B1123" s="33" t="s">
        <v>525</v>
      </c>
      <c r="C1123" s="33" t="s">
        <v>32</v>
      </c>
      <c r="D1123" s="33" t="s">
        <v>32</v>
      </c>
      <c r="E1123">
        <v>29</v>
      </c>
      <c r="F1123" s="34">
        <v>0.1005324074074074</v>
      </c>
      <c r="G1123" s="34">
        <v>3.4666347381864622E-3</v>
      </c>
      <c r="H1123" s="33" t="s">
        <v>231</v>
      </c>
      <c r="I1123" s="33" t="s">
        <v>233</v>
      </c>
    </row>
    <row r="1124" spans="1:9" x14ac:dyDescent="0.25">
      <c r="A1124" s="32">
        <v>46247</v>
      </c>
      <c r="B1124" s="33" t="s">
        <v>513</v>
      </c>
      <c r="C1124" s="33" t="s">
        <v>105</v>
      </c>
      <c r="D1124" s="33" t="s">
        <v>105</v>
      </c>
      <c r="E1124">
        <v>4</v>
      </c>
      <c r="F1124" s="34">
        <v>9.8576388888888894E-2</v>
      </c>
      <c r="G1124" s="34">
        <v>2.4644097222222223E-2</v>
      </c>
      <c r="H1124" s="33" t="s">
        <v>148</v>
      </c>
      <c r="I1124" s="33" t="s">
        <v>104</v>
      </c>
    </row>
    <row r="1125" spans="1:9" x14ac:dyDescent="0.25">
      <c r="A1125" s="32">
        <v>46247</v>
      </c>
      <c r="B1125" s="33" t="s">
        <v>550</v>
      </c>
      <c r="C1125" s="33" t="s">
        <v>32</v>
      </c>
      <c r="D1125" s="33" t="s">
        <v>32</v>
      </c>
      <c r="E1125">
        <v>22</v>
      </c>
      <c r="F1125" s="34">
        <v>9.9027777777777784E-2</v>
      </c>
      <c r="G1125" s="34">
        <v>4.5012626262626266E-3</v>
      </c>
      <c r="H1125" s="33" t="s">
        <v>234</v>
      </c>
      <c r="I1125" s="33" t="s">
        <v>233</v>
      </c>
    </row>
    <row r="1126" spans="1:9" x14ac:dyDescent="0.25">
      <c r="A1126" s="32">
        <v>46247</v>
      </c>
      <c r="B1126" s="33" t="s">
        <v>505</v>
      </c>
      <c r="C1126" s="33" t="s">
        <v>32</v>
      </c>
      <c r="D1126" s="33" t="s">
        <v>32</v>
      </c>
      <c r="E1126">
        <v>30</v>
      </c>
      <c r="F1126" s="34">
        <v>9.8171296296296298E-2</v>
      </c>
      <c r="G1126" s="34">
        <v>3.2723765432098764E-3</v>
      </c>
      <c r="H1126" s="33" t="s">
        <v>34</v>
      </c>
      <c r="I1126" s="33" t="s">
        <v>233</v>
      </c>
    </row>
    <row r="1127" spans="1:9" x14ac:dyDescent="0.25">
      <c r="A1127" s="32">
        <v>46247</v>
      </c>
      <c r="B1127" s="33" t="s">
        <v>631</v>
      </c>
      <c r="C1127" s="33" t="s">
        <v>105</v>
      </c>
      <c r="D1127" s="33" t="s">
        <v>105</v>
      </c>
      <c r="E1127">
        <v>3</v>
      </c>
      <c r="F1127" s="34">
        <v>5.6215277777777781E-2</v>
      </c>
      <c r="G1127" s="34">
        <v>1.8738425925925926E-2</v>
      </c>
      <c r="H1127" s="33" t="s">
        <v>608</v>
      </c>
      <c r="I1127" s="33" t="s">
        <v>601</v>
      </c>
    </row>
    <row r="1128" spans="1:9" x14ac:dyDescent="0.25">
      <c r="A1128" s="32">
        <v>46247</v>
      </c>
      <c r="B1128" s="33" t="s">
        <v>564</v>
      </c>
      <c r="C1128" s="33" t="s">
        <v>105</v>
      </c>
      <c r="D1128" s="33" t="s">
        <v>105</v>
      </c>
      <c r="E1128">
        <v>3</v>
      </c>
      <c r="F1128" s="34">
        <v>5.0069444444444444E-2</v>
      </c>
      <c r="G1128" s="34">
        <v>1.6689814814814814E-2</v>
      </c>
      <c r="H1128" s="33" t="s">
        <v>197</v>
      </c>
      <c r="I1128" s="33" t="s">
        <v>601</v>
      </c>
    </row>
    <row r="1129" spans="1:9" x14ac:dyDescent="0.25">
      <c r="A1129" s="32">
        <v>46247</v>
      </c>
      <c r="B1129" s="33" t="s">
        <v>514</v>
      </c>
      <c r="C1129" s="33" t="s">
        <v>147</v>
      </c>
      <c r="D1129" s="33" t="s">
        <v>147</v>
      </c>
      <c r="E1129">
        <v>12</v>
      </c>
      <c r="F1129" s="34">
        <v>2.4791666666666667E-2</v>
      </c>
      <c r="G1129" s="34">
        <v>2.0659722222222221E-3</v>
      </c>
      <c r="H1129" s="33" t="s">
        <v>150</v>
      </c>
      <c r="I1129" s="33" t="s">
        <v>146</v>
      </c>
    </row>
    <row r="1130" spans="1:9" x14ac:dyDescent="0.25">
      <c r="A1130" s="32">
        <v>46247</v>
      </c>
      <c r="B1130" s="33" t="s">
        <v>514</v>
      </c>
      <c r="C1130" s="33" t="s">
        <v>147</v>
      </c>
      <c r="D1130" s="33" t="s">
        <v>32</v>
      </c>
      <c r="E1130">
        <v>6</v>
      </c>
      <c r="F1130" s="34">
        <v>1.1446759259259259E-2</v>
      </c>
      <c r="G1130" s="34">
        <v>1.9077932098765431E-3</v>
      </c>
      <c r="H1130" s="33" t="s">
        <v>150</v>
      </c>
      <c r="I1130" s="33" t="s">
        <v>146</v>
      </c>
    </row>
    <row r="1131" spans="1:9" x14ac:dyDescent="0.25">
      <c r="A1131" s="32">
        <v>46247</v>
      </c>
      <c r="B1131" s="33" t="s">
        <v>682</v>
      </c>
      <c r="C1131" s="33" t="s">
        <v>105</v>
      </c>
      <c r="D1131" s="33" t="s">
        <v>105</v>
      </c>
      <c r="E1131">
        <v>2</v>
      </c>
      <c r="F1131" s="34">
        <v>6.3807870370370376E-2</v>
      </c>
      <c r="G1131" s="34">
        <v>3.1903935185185188E-2</v>
      </c>
      <c r="H1131" s="33" t="s">
        <v>681</v>
      </c>
      <c r="I1131" s="33" t="s">
        <v>601</v>
      </c>
    </row>
    <row r="1132" spans="1:9" x14ac:dyDescent="0.25">
      <c r="A1132" s="32">
        <v>46247</v>
      </c>
      <c r="B1132" s="33" t="s">
        <v>515</v>
      </c>
      <c r="C1132" s="33" t="s">
        <v>147</v>
      </c>
      <c r="D1132" s="33" t="s">
        <v>147</v>
      </c>
      <c r="E1132">
        <v>8</v>
      </c>
      <c r="F1132" s="34">
        <v>2.480324074074074E-2</v>
      </c>
      <c r="G1132" s="34">
        <v>3.1004050925925925E-3</v>
      </c>
      <c r="H1132" s="33" t="s">
        <v>154</v>
      </c>
      <c r="I1132" s="33" t="s">
        <v>146</v>
      </c>
    </row>
    <row r="1133" spans="1:9" x14ac:dyDescent="0.25">
      <c r="A1133" s="32">
        <v>46247</v>
      </c>
      <c r="B1133" s="33" t="s">
        <v>515</v>
      </c>
      <c r="C1133" s="33" t="s">
        <v>147</v>
      </c>
      <c r="D1133" s="33" t="s">
        <v>32</v>
      </c>
      <c r="E1133">
        <v>5</v>
      </c>
      <c r="F1133" s="34">
        <v>1.6192129629629629E-2</v>
      </c>
      <c r="G1133" s="34">
        <v>3.2384259259259258E-3</v>
      </c>
      <c r="H1133" s="33" t="s">
        <v>154</v>
      </c>
      <c r="I1133" s="33" t="s">
        <v>146</v>
      </c>
    </row>
    <row r="1134" spans="1:9" x14ac:dyDescent="0.25">
      <c r="A1134" s="32">
        <v>46247</v>
      </c>
      <c r="B1134" s="33" t="s">
        <v>570</v>
      </c>
      <c r="C1134" s="33" t="s">
        <v>105</v>
      </c>
      <c r="D1134" s="33" t="s">
        <v>105</v>
      </c>
      <c r="E1134">
        <v>4</v>
      </c>
      <c r="F1134" s="34">
        <v>0.13302083333333334</v>
      </c>
      <c r="G1134" s="34">
        <v>3.3255208333333335E-2</v>
      </c>
      <c r="H1134" s="33" t="s">
        <v>112</v>
      </c>
      <c r="I1134" s="33" t="s">
        <v>104</v>
      </c>
    </row>
    <row r="1135" spans="1:9" x14ac:dyDescent="0.25">
      <c r="A1135" s="32">
        <v>46247</v>
      </c>
      <c r="B1135" s="33" t="s">
        <v>537</v>
      </c>
      <c r="C1135" s="33" t="s">
        <v>105</v>
      </c>
      <c r="D1135" s="33" t="s">
        <v>105</v>
      </c>
      <c r="E1135">
        <v>8</v>
      </c>
      <c r="F1135" s="34">
        <v>0.10164351851851852</v>
      </c>
      <c r="G1135" s="34">
        <v>1.2705439814814815E-2</v>
      </c>
      <c r="H1135" s="33" t="s">
        <v>42</v>
      </c>
      <c r="I1135" s="33" t="s">
        <v>104</v>
      </c>
    </row>
    <row r="1136" spans="1:9" x14ac:dyDescent="0.25">
      <c r="A1136" s="32">
        <v>46247</v>
      </c>
      <c r="B1136" s="33" t="s">
        <v>516</v>
      </c>
      <c r="C1136" s="33" t="s">
        <v>147</v>
      </c>
      <c r="D1136" s="33" t="s">
        <v>147</v>
      </c>
      <c r="E1136">
        <v>7</v>
      </c>
      <c r="F1136" s="34">
        <v>4.8946759259259259E-2</v>
      </c>
      <c r="G1136" s="34">
        <v>6.9923941798941801E-3</v>
      </c>
      <c r="H1136" s="33" t="s">
        <v>156</v>
      </c>
      <c r="I1136" s="33" t="s">
        <v>146</v>
      </c>
    </row>
    <row r="1137" spans="1:9" x14ac:dyDescent="0.25">
      <c r="A1137" s="32">
        <v>46247</v>
      </c>
      <c r="B1137" s="33" t="s">
        <v>516</v>
      </c>
      <c r="C1137" s="33" t="s">
        <v>147</v>
      </c>
      <c r="D1137" s="33" t="s">
        <v>32</v>
      </c>
      <c r="E1137">
        <v>4</v>
      </c>
      <c r="F1137" s="34">
        <v>7.5694444444444446E-3</v>
      </c>
      <c r="G1137" s="34">
        <v>1.8923611111111112E-3</v>
      </c>
      <c r="H1137" s="33" t="s">
        <v>156</v>
      </c>
      <c r="I1137" s="33" t="s">
        <v>146</v>
      </c>
    </row>
    <row r="1138" spans="1:9" x14ac:dyDescent="0.25">
      <c r="A1138" s="32">
        <v>46247</v>
      </c>
      <c r="B1138" s="33" t="s">
        <v>541</v>
      </c>
      <c r="C1138" s="33" t="s">
        <v>105</v>
      </c>
      <c r="D1138" s="33" t="s">
        <v>105</v>
      </c>
      <c r="E1138">
        <v>8</v>
      </c>
      <c r="F1138" s="34">
        <v>9.7418981481481481E-2</v>
      </c>
      <c r="G1138" s="34">
        <v>1.2177372685185185E-2</v>
      </c>
      <c r="H1138" s="33" t="s">
        <v>114</v>
      </c>
      <c r="I1138" s="33" t="s">
        <v>104</v>
      </c>
    </row>
    <row r="1139" spans="1:9" x14ac:dyDescent="0.25">
      <c r="A1139" s="32">
        <v>46247</v>
      </c>
      <c r="B1139" s="33" t="s">
        <v>506</v>
      </c>
      <c r="C1139" s="33" t="s">
        <v>32</v>
      </c>
      <c r="D1139" s="33" t="s">
        <v>32</v>
      </c>
      <c r="E1139">
        <v>30</v>
      </c>
      <c r="F1139" s="34">
        <v>0.17027777777777778</v>
      </c>
      <c r="G1139" s="34">
        <v>5.6759259259259263E-3</v>
      </c>
      <c r="H1139" s="33" t="s">
        <v>44</v>
      </c>
      <c r="I1139" s="33" t="s">
        <v>100</v>
      </c>
    </row>
    <row r="1140" spans="1:9" x14ac:dyDescent="0.25">
      <c r="A1140" s="32">
        <v>46247</v>
      </c>
      <c r="B1140" s="33" t="s">
        <v>632</v>
      </c>
      <c r="C1140" s="33" t="s">
        <v>105</v>
      </c>
      <c r="D1140" s="33" t="s">
        <v>105</v>
      </c>
      <c r="E1140">
        <v>4</v>
      </c>
      <c r="F1140" s="34">
        <v>5.738425925925926E-2</v>
      </c>
      <c r="G1140" s="34">
        <v>1.4346064814814815E-2</v>
      </c>
      <c r="H1140" s="33" t="s">
        <v>609</v>
      </c>
      <c r="I1140" s="33" t="s">
        <v>601</v>
      </c>
    </row>
    <row r="1141" spans="1:9" x14ac:dyDescent="0.25">
      <c r="A1141" s="32">
        <v>46247</v>
      </c>
      <c r="B1141" s="33" t="s">
        <v>310</v>
      </c>
      <c r="C1141" s="33" t="s">
        <v>80</v>
      </c>
      <c r="D1141" s="33" t="s">
        <v>32</v>
      </c>
      <c r="E1141">
        <v>1</v>
      </c>
      <c r="F1141" s="34">
        <v>8.2986111111111108E-3</v>
      </c>
      <c r="G1141" s="34">
        <v>8.2986111111111108E-3</v>
      </c>
      <c r="H1141" s="33" t="s">
        <v>309</v>
      </c>
      <c r="I1141" s="33" t="s">
        <v>78</v>
      </c>
    </row>
    <row r="1142" spans="1:9" x14ac:dyDescent="0.25">
      <c r="A1142" s="32">
        <v>46247</v>
      </c>
      <c r="B1142" s="33" t="s">
        <v>646</v>
      </c>
      <c r="C1142" s="33" t="s">
        <v>32</v>
      </c>
      <c r="D1142" s="33" t="s">
        <v>32</v>
      </c>
      <c r="E1142">
        <v>28</v>
      </c>
      <c r="F1142" s="34">
        <v>0.16717592592592592</v>
      </c>
      <c r="G1142" s="34">
        <v>5.9705687830687833E-3</v>
      </c>
      <c r="H1142" s="33" t="s">
        <v>645</v>
      </c>
      <c r="I1142" s="33" t="s">
        <v>100</v>
      </c>
    </row>
    <row r="1143" spans="1:9" x14ac:dyDescent="0.25">
      <c r="A1143" s="32">
        <v>46247</v>
      </c>
      <c r="B1143" s="33" t="s">
        <v>544</v>
      </c>
      <c r="C1143" s="33" t="s">
        <v>147</v>
      </c>
      <c r="D1143" s="33" t="s">
        <v>147</v>
      </c>
      <c r="E1143">
        <v>12</v>
      </c>
      <c r="F1143" s="34">
        <v>3.591435185185185E-2</v>
      </c>
      <c r="G1143" s="34">
        <v>2.9928626543209874E-3</v>
      </c>
      <c r="H1143" s="33" t="s">
        <v>160</v>
      </c>
      <c r="I1143" s="33" t="s">
        <v>146</v>
      </c>
    </row>
    <row r="1144" spans="1:9" x14ac:dyDescent="0.25">
      <c r="A1144" s="32">
        <v>46247</v>
      </c>
      <c r="B1144" s="33" t="s">
        <v>558</v>
      </c>
      <c r="C1144" s="33" t="s">
        <v>32</v>
      </c>
      <c r="D1144" s="33" t="s">
        <v>32</v>
      </c>
      <c r="E1144">
        <v>33</v>
      </c>
      <c r="F1144" s="34">
        <v>9.8298611111111114E-2</v>
      </c>
      <c r="G1144" s="34">
        <v>2.9787457912457912E-3</v>
      </c>
      <c r="H1144" s="33" t="s">
        <v>120</v>
      </c>
      <c r="I1144" s="33" t="s">
        <v>233</v>
      </c>
    </row>
    <row r="1145" spans="1:9" x14ac:dyDescent="0.25">
      <c r="A1145" s="32">
        <v>46247</v>
      </c>
      <c r="B1145" s="33" t="s">
        <v>507</v>
      </c>
      <c r="C1145" s="33" t="s">
        <v>32</v>
      </c>
      <c r="D1145" s="33" t="s">
        <v>32</v>
      </c>
      <c r="E1145">
        <v>34</v>
      </c>
      <c r="F1145" s="34">
        <v>0.14476851851851852</v>
      </c>
      <c r="G1145" s="34">
        <v>4.2578976034858386E-3</v>
      </c>
      <c r="H1145" s="33" t="s">
        <v>46</v>
      </c>
      <c r="I1145" s="33" t="s">
        <v>100</v>
      </c>
    </row>
    <row r="1146" spans="1:9" x14ac:dyDescent="0.25">
      <c r="A1146" s="32">
        <v>46247</v>
      </c>
      <c r="B1146" s="33" t="s">
        <v>542</v>
      </c>
      <c r="C1146" s="33" t="s">
        <v>105</v>
      </c>
      <c r="D1146" s="33" t="s">
        <v>105</v>
      </c>
      <c r="E1146">
        <v>3</v>
      </c>
      <c r="F1146" s="34">
        <v>7.8275462962962963E-2</v>
      </c>
      <c r="G1146" s="34">
        <v>2.6091820987654321E-2</v>
      </c>
      <c r="H1146" s="33" t="s">
        <v>287</v>
      </c>
      <c r="I1146" s="33" t="s">
        <v>104</v>
      </c>
    </row>
    <row r="1147" spans="1:9" x14ac:dyDescent="0.25">
      <c r="A1147" s="32">
        <v>46247</v>
      </c>
      <c r="B1147" s="33" t="s">
        <v>517</v>
      </c>
      <c r="C1147" s="33" t="s">
        <v>147</v>
      </c>
      <c r="D1147" s="33" t="s">
        <v>147</v>
      </c>
      <c r="E1147">
        <v>6</v>
      </c>
      <c r="F1147" s="34">
        <v>2.2743055555555555E-2</v>
      </c>
      <c r="G1147" s="34">
        <v>3.7905092592592591E-3</v>
      </c>
      <c r="H1147" s="33" t="s">
        <v>499</v>
      </c>
      <c r="I1147" s="33" t="s">
        <v>146</v>
      </c>
    </row>
    <row r="1148" spans="1:9" x14ac:dyDescent="0.25">
      <c r="A1148" s="32">
        <v>46247</v>
      </c>
      <c r="B1148" s="33" t="s">
        <v>517</v>
      </c>
      <c r="C1148" s="33" t="s">
        <v>147</v>
      </c>
      <c r="D1148" s="33" t="s">
        <v>32</v>
      </c>
      <c r="E1148">
        <v>3</v>
      </c>
      <c r="F1148" s="34">
        <v>2.8009259259259258E-2</v>
      </c>
      <c r="G1148" s="34">
        <v>9.3364197530864199E-3</v>
      </c>
      <c r="H1148" s="33" t="s">
        <v>499</v>
      </c>
      <c r="I1148" s="33" t="s">
        <v>146</v>
      </c>
    </row>
    <row r="1149" spans="1:9" x14ac:dyDescent="0.25">
      <c r="A1149" s="32">
        <v>46247</v>
      </c>
      <c r="B1149" s="33" t="s">
        <v>648</v>
      </c>
      <c r="C1149" s="33" t="s">
        <v>32</v>
      </c>
      <c r="D1149" s="33" t="s">
        <v>32</v>
      </c>
      <c r="E1149">
        <v>24</v>
      </c>
      <c r="F1149" s="34">
        <v>0.10888888888888888</v>
      </c>
      <c r="G1149" s="34">
        <v>4.5370370370370365E-3</v>
      </c>
      <c r="H1149" s="33" t="s">
        <v>647</v>
      </c>
      <c r="I1149" s="33" t="s">
        <v>233</v>
      </c>
    </row>
    <row r="1150" spans="1:9" x14ac:dyDescent="0.25">
      <c r="A1150" s="32">
        <v>46247</v>
      </c>
      <c r="B1150" s="33" t="s">
        <v>650</v>
      </c>
      <c r="C1150" s="33" t="s">
        <v>105</v>
      </c>
      <c r="D1150" s="33" t="s">
        <v>105</v>
      </c>
      <c r="E1150">
        <v>10</v>
      </c>
      <c r="F1150" s="34">
        <v>0.16153935185185186</v>
      </c>
      <c r="G1150" s="34">
        <v>1.6153935185185188E-2</v>
      </c>
      <c r="H1150" s="33" t="s">
        <v>649</v>
      </c>
      <c r="I1150" s="33" t="s">
        <v>104</v>
      </c>
    </row>
    <row r="1151" spans="1:9" x14ac:dyDescent="0.25">
      <c r="A1151" s="32">
        <v>46247</v>
      </c>
      <c r="B1151" s="33" t="s">
        <v>652</v>
      </c>
      <c r="C1151" s="33" t="s">
        <v>32</v>
      </c>
      <c r="D1151" s="33" t="s">
        <v>32</v>
      </c>
      <c r="E1151">
        <v>28</v>
      </c>
      <c r="F1151" s="34">
        <v>0.16274305555555554</v>
      </c>
      <c r="G1151" s="34">
        <v>5.8122519841269839E-3</v>
      </c>
      <c r="H1151" s="33" t="s">
        <v>651</v>
      </c>
      <c r="I1151" s="33" t="s">
        <v>100</v>
      </c>
    </row>
    <row r="1152" spans="1:9" x14ac:dyDescent="0.25">
      <c r="A1152" s="32">
        <v>46247</v>
      </c>
      <c r="B1152" s="33" t="s">
        <v>568</v>
      </c>
      <c r="C1152" s="33" t="s">
        <v>32</v>
      </c>
      <c r="D1152" s="33" t="s">
        <v>32</v>
      </c>
      <c r="E1152">
        <v>44</v>
      </c>
      <c r="F1152" s="34">
        <v>0.15034722222222222</v>
      </c>
      <c r="G1152" s="34">
        <v>3.4169823232323231E-3</v>
      </c>
      <c r="H1152" s="33" t="s">
        <v>246</v>
      </c>
      <c r="I1152" s="33" t="s">
        <v>233</v>
      </c>
    </row>
    <row r="1153" spans="1:9" x14ac:dyDescent="0.25">
      <c r="A1153" s="32">
        <v>46247</v>
      </c>
      <c r="B1153" s="33" t="s">
        <v>508</v>
      </c>
      <c r="C1153" s="33" t="s">
        <v>32</v>
      </c>
      <c r="D1153" s="33" t="s">
        <v>32</v>
      </c>
      <c r="E1153">
        <v>37</v>
      </c>
      <c r="F1153" s="34">
        <v>0.15008101851851852</v>
      </c>
      <c r="G1153" s="34">
        <v>4.0562437437437439E-3</v>
      </c>
      <c r="H1153" s="33" t="s">
        <v>48</v>
      </c>
      <c r="I1153" s="33" t="s">
        <v>100</v>
      </c>
    </row>
    <row r="1154" spans="1:9" x14ac:dyDescent="0.25">
      <c r="A1154" s="32">
        <v>46247</v>
      </c>
      <c r="B1154" s="33" t="s">
        <v>559</v>
      </c>
      <c r="C1154" s="33" t="s">
        <v>105</v>
      </c>
      <c r="D1154" s="33" t="s">
        <v>105</v>
      </c>
      <c r="E1154">
        <v>5</v>
      </c>
      <c r="F1154" s="34">
        <v>7.9687499999999994E-2</v>
      </c>
      <c r="G1154" s="34">
        <v>1.59375E-2</v>
      </c>
      <c r="H1154" s="33" t="s">
        <v>289</v>
      </c>
      <c r="I1154" s="33" t="s">
        <v>104</v>
      </c>
    </row>
    <row r="1155" spans="1:9" x14ac:dyDescent="0.25">
      <c r="A1155" s="32">
        <v>46247</v>
      </c>
      <c r="B1155" s="33" t="s">
        <v>553</v>
      </c>
      <c r="C1155" s="33" t="s">
        <v>80</v>
      </c>
      <c r="D1155" s="33" t="s">
        <v>32</v>
      </c>
      <c r="E1155">
        <v>1</v>
      </c>
      <c r="F1155" s="34">
        <v>0.1897337962962963</v>
      </c>
      <c r="G1155" s="34">
        <v>0.1897337962962963</v>
      </c>
      <c r="H1155" s="33" t="s">
        <v>252</v>
      </c>
      <c r="I1155" s="33" t="s">
        <v>78</v>
      </c>
    </row>
    <row r="1156" spans="1:9" x14ac:dyDescent="0.25">
      <c r="A1156" s="32">
        <v>46247</v>
      </c>
      <c r="B1156" s="33" t="s">
        <v>518</v>
      </c>
      <c r="C1156" s="33" t="s">
        <v>147</v>
      </c>
      <c r="D1156" s="33" t="s">
        <v>147</v>
      </c>
      <c r="E1156">
        <v>9</v>
      </c>
      <c r="F1156" s="34">
        <v>4.0138888888888891E-2</v>
      </c>
      <c r="G1156" s="34">
        <v>4.459876543209877E-3</v>
      </c>
      <c r="H1156" s="33" t="s">
        <v>500</v>
      </c>
      <c r="I1156" s="33" t="s">
        <v>274</v>
      </c>
    </row>
    <row r="1157" spans="1:9" x14ac:dyDescent="0.25">
      <c r="A1157" s="32">
        <v>46247</v>
      </c>
      <c r="B1157" s="33" t="s">
        <v>518</v>
      </c>
      <c r="C1157" s="33" t="s">
        <v>147</v>
      </c>
      <c r="D1157" s="33" t="s">
        <v>32</v>
      </c>
      <c r="E1157">
        <v>7</v>
      </c>
      <c r="F1157" s="34">
        <v>2.2488425925925926E-2</v>
      </c>
      <c r="G1157" s="34">
        <v>3.212632275132275E-3</v>
      </c>
      <c r="H1157" s="33" t="s">
        <v>500</v>
      </c>
      <c r="I1157" s="33" t="s">
        <v>274</v>
      </c>
    </row>
    <row r="1158" spans="1:9" x14ac:dyDescent="0.25">
      <c r="A1158" s="32">
        <v>46247</v>
      </c>
      <c r="B1158" s="33" t="s">
        <v>684</v>
      </c>
      <c r="C1158" s="33" t="s">
        <v>32</v>
      </c>
      <c r="D1158" s="33" t="s">
        <v>32</v>
      </c>
      <c r="E1158">
        <v>12</v>
      </c>
      <c r="F1158" s="34">
        <v>7.3298611111111106E-2</v>
      </c>
      <c r="G1158" s="34">
        <v>6.1082175925925922E-3</v>
      </c>
      <c r="H1158" s="33" t="s">
        <v>683</v>
      </c>
      <c r="I1158" s="33" t="s">
        <v>233</v>
      </c>
    </row>
    <row r="1159" spans="1:9" x14ac:dyDescent="0.25">
      <c r="A1159" s="32">
        <v>46247</v>
      </c>
      <c r="B1159" s="33" t="s">
        <v>654</v>
      </c>
      <c r="C1159" s="33" t="s">
        <v>32</v>
      </c>
      <c r="D1159" s="33" t="s">
        <v>32</v>
      </c>
      <c r="E1159">
        <v>28</v>
      </c>
      <c r="F1159" s="34">
        <v>0.16</v>
      </c>
      <c r="G1159" s="34">
        <v>5.7142857142857143E-3</v>
      </c>
      <c r="H1159" s="33" t="s">
        <v>653</v>
      </c>
      <c r="I1159" s="33" t="s">
        <v>100</v>
      </c>
    </row>
    <row r="1160" spans="1:9" x14ac:dyDescent="0.25">
      <c r="A1160" s="32">
        <v>46247</v>
      </c>
      <c r="B1160" s="33" t="s">
        <v>519</v>
      </c>
      <c r="C1160" s="33" t="s">
        <v>147</v>
      </c>
      <c r="D1160" s="33" t="s">
        <v>147</v>
      </c>
      <c r="E1160">
        <v>14</v>
      </c>
      <c r="F1160" s="34">
        <v>3.7372685185185182E-2</v>
      </c>
      <c r="G1160" s="34">
        <v>2.669477513227513E-3</v>
      </c>
      <c r="H1160" s="33" t="s">
        <v>164</v>
      </c>
      <c r="I1160" s="33" t="s">
        <v>146</v>
      </c>
    </row>
    <row r="1161" spans="1:9" x14ac:dyDescent="0.25">
      <c r="A1161" s="32">
        <v>46247</v>
      </c>
      <c r="B1161" s="33" t="s">
        <v>519</v>
      </c>
      <c r="C1161" s="33" t="s">
        <v>147</v>
      </c>
      <c r="D1161" s="33" t="s">
        <v>32</v>
      </c>
      <c r="E1161">
        <v>3</v>
      </c>
      <c r="F1161" s="34">
        <v>1.6203703703703703E-3</v>
      </c>
      <c r="G1161" s="34">
        <v>5.4012345679012341E-4</v>
      </c>
      <c r="H1161" s="33" t="s">
        <v>164</v>
      </c>
      <c r="I1161" s="33" t="s">
        <v>146</v>
      </c>
    </row>
    <row r="1162" spans="1:9" x14ac:dyDescent="0.25">
      <c r="A1162" s="32">
        <v>46247</v>
      </c>
      <c r="B1162" s="33" t="s">
        <v>656</v>
      </c>
      <c r="C1162" s="33" t="s">
        <v>32</v>
      </c>
      <c r="D1162" s="33" t="s">
        <v>32</v>
      </c>
      <c r="E1162">
        <v>32</v>
      </c>
      <c r="F1162" s="34">
        <v>0.1370949074074074</v>
      </c>
      <c r="G1162" s="34">
        <v>4.2842158564814813E-3</v>
      </c>
      <c r="H1162" s="33" t="s">
        <v>655</v>
      </c>
      <c r="I1162" s="33" t="s">
        <v>100</v>
      </c>
    </row>
    <row r="1163" spans="1:9" x14ac:dyDescent="0.25">
      <c r="A1163" s="32">
        <v>46247</v>
      </c>
      <c r="B1163" s="33" t="s">
        <v>167</v>
      </c>
      <c r="C1163" s="33" t="s">
        <v>147</v>
      </c>
      <c r="D1163" s="33" t="s">
        <v>147</v>
      </c>
      <c r="E1163">
        <v>10</v>
      </c>
      <c r="F1163" s="34">
        <v>2.6817129629629628E-2</v>
      </c>
      <c r="G1163" s="34">
        <v>2.681712962962963E-3</v>
      </c>
      <c r="H1163" s="33" t="s">
        <v>166</v>
      </c>
      <c r="I1163" s="33" t="s">
        <v>146</v>
      </c>
    </row>
    <row r="1164" spans="1:9" x14ac:dyDescent="0.25">
      <c r="A1164" s="32">
        <v>46247</v>
      </c>
      <c r="B1164" s="33" t="s">
        <v>167</v>
      </c>
      <c r="C1164" s="33" t="s">
        <v>147</v>
      </c>
      <c r="D1164" s="33" t="s">
        <v>32</v>
      </c>
      <c r="E1164">
        <v>7</v>
      </c>
      <c r="F1164" s="34">
        <v>1.5416666666666667E-2</v>
      </c>
      <c r="G1164" s="34">
        <v>2.2023809523809526E-3</v>
      </c>
      <c r="H1164" s="33" t="s">
        <v>166</v>
      </c>
      <c r="I1164" s="33" t="s">
        <v>146</v>
      </c>
    </row>
    <row r="1165" spans="1:9" x14ac:dyDescent="0.25">
      <c r="A1165" s="32">
        <v>46247</v>
      </c>
      <c r="B1165" s="33" t="s">
        <v>658</v>
      </c>
      <c r="C1165" s="33" t="s">
        <v>147</v>
      </c>
      <c r="D1165" s="33" t="s">
        <v>147</v>
      </c>
      <c r="E1165">
        <v>7</v>
      </c>
      <c r="F1165" s="34">
        <v>2.269675925925926E-2</v>
      </c>
      <c r="G1165" s="34">
        <v>3.2423941798941799E-3</v>
      </c>
      <c r="H1165" s="33" t="s">
        <v>657</v>
      </c>
      <c r="I1165" s="33" t="s">
        <v>274</v>
      </c>
    </row>
    <row r="1166" spans="1:9" x14ac:dyDescent="0.25">
      <c r="A1166" s="32">
        <v>46247</v>
      </c>
      <c r="B1166" s="33" t="s">
        <v>658</v>
      </c>
      <c r="C1166" s="33" t="s">
        <v>147</v>
      </c>
      <c r="D1166" s="33" t="s">
        <v>32</v>
      </c>
      <c r="E1166">
        <v>6</v>
      </c>
      <c r="F1166" s="34">
        <v>1.8159722222222223E-2</v>
      </c>
      <c r="G1166" s="34">
        <v>3.0266203703703705E-3</v>
      </c>
      <c r="H1166" s="33" t="s">
        <v>657</v>
      </c>
      <c r="I1166" s="33" t="s">
        <v>274</v>
      </c>
    </row>
    <row r="1167" spans="1:9" x14ac:dyDescent="0.25">
      <c r="A1167" s="32">
        <v>46247</v>
      </c>
      <c r="B1167" s="33" t="s">
        <v>660</v>
      </c>
      <c r="C1167" s="33" t="s">
        <v>32</v>
      </c>
      <c r="D1167" s="33" t="s">
        <v>32</v>
      </c>
      <c r="E1167">
        <v>1</v>
      </c>
      <c r="F1167" s="34">
        <v>4.31712962962963E-3</v>
      </c>
      <c r="G1167" s="34">
        <v>4.31712962962963E-3</v>
      </c>
      <c r="H1167" s="33" t="s">
        <v>659</v>
      </c>
      <c r="I1167" s="33" t="s">
        <v>100</v>
      </c>
    </row>
    <row r="1168" spans="1:9" x14ac:dyDescent="0.25">
      <c r="A1168" s="32">
        <v>46247</v>
      </c>
      <c r="B1168" s="33" t="s">
        <v>528</v>
      </c>
      <c r="C1168" s="33" t="s">
        <v>32</v>
      </c>
      <c r="D1168" s="33" t="s">
        <v>32</v>
      </c>
      <c r="E1168">
        <v>16</v>
      </c>
      <c r="F1168" s="34">
        <v>7.8310185185185191E-2</v>
      </c>
      <c r="G1168" s="34">
        <v>4.8943865740740744E-3</v>
      </c>
      <c r="H1168" s="33" t="s">
        <v>254</v>
      </c>
      <c r="I1168" s="33" t="s">
        <v>233</v>
      </c>
    </row>
    <row r="1169" spans="1:9" x14ac:dyDescent="0.25">
      <c r="A1169" s="32">
        <v>46247</v>
      </c>
      <c r="B1169" s="33" t="s">
        <v>545</v>
      </c>
      <c r="C1169" s="33" t="s">
        <v>600</v>
      </c>
      <c r="D1169" s="33" t="s">
        <v>600</v>
      </c>
      <c r="E1169">
        <v>24</v>
      </c>
      <c r="F1169" s="34">
        <v>7.408564814814815E-2</v>
      </c>
      <c r="G1169" s="34">
        <v>3.0869020061728395E-3</v>
      </c>
      <c r="H1169" s="33" t="s">
        <v>201</v>
      </c>
      <c r="I1169" s="33" t="s">
        <v>601</v>
      </c>
    </row>
    <row r="1170" spans="1:9" x14ac:dyDescent="0.25">
      <c r="A1170" s="32">
        <v>46247</v>
      </c>
      <c r="B1170" s="33" t="s">
        <v>520</v>
      </c>
      <c r="C1170" s="33" t="s">
        <v>147</v>
      </c>
      <c r="D1170" s="33" t="s">
        <v>147</v>
      </c>
      <c r="E1170">
        <v>10</v>
      </c>
      <c r="F1170" s="34">
        <v>4.0335648148148148E-2</v>
      </c>
      <c r="G1170" s="34">
        <v>4.0335648148148145E-3</v>
      </c>
      <c r="H1170" s="33" t="s">
        <v>168</v>
      </c>
      <c r="I1170" s="33" t="s">
        <v>274</v>
      </c>
    </row>
    <row r="1171" spans="1:9" x14ac:dyDescent="0.25">
      <c r="A1171" s="32">
        <v>46247</v>
      </c>
      <c r="B1171" s="33" t="s">
        <v>520</v>
      </c>
      <c r="C1171" s="33" t="s">
        <v>147</v>
      </c>
      <c r="D1171" s="33" t="s">
        <v>32</v>
      </c>
      <c r="E1171">
        <v>2</v>
      </c>
      <c r="F1171" s="34">
        <v>7.1759259259259259E-4</v>
      </c>
      <c r="G1171" s="34">
        <v>3.5879629629629629E-4</v>
      </c>
      <c r="H1171" s="33" t="s">
        <v>168</v>
      </c>
      <c r="I1171" s="33" t="s">
        <v>274</v>
      </c>
    </row>
    <row r="1172" spans="1:9" x14ac:dyDescent="0.25">
      <c r="A1172" s="32">
        <v>46247</v>
      </c>
      <c r="B1172" s="33" t="s">
        <v>521</v>
      </c>
      <c r="C1172" s="33" t="s">
        <v>147</v>
      </c>
      <c r="D1172" s="33" t="s">
        <v>147</v>
      </c>
      <c r="E1172">
        <v>8</v>
      </c>
      <c r="F1172" s="34">
        <v>3.7511574074074072E-2</v>
      </c>
      <c r="G1172" s="34">
        <v>4.688946759259259E-3</v>
      </c>
      <c r="H1172" s="33" t="s">
        <v>170</v>
      </c>
      <c r="I1172" s="33" t="s">
        <v>146</v>
      </c>
    </row>
    <row r="1173" spans="1:9" x14ac:dyDescent="0.25">
      <c r="A1173" s="32">
        <v>46247</v>
      </c>
      <c r="B1173" s="33" t="s">
        <v>521</v>
      </c>
      <c r="C1173" s="33" t="s">
        <v>147</v>
      </c>
      <c r="D1173" s="33" t="s">
        <v>32</v>
      </c>
      <c r="E1173">
        <v>3</v>
      </c>
      <c r="F1173" s="34">
        <v>1.7002314814814814E-2</v>
      </c>
      <c r="G1173" s="34">
        <v>5.6674382716049377E-3</v>
      </c>
      <c r="H1173" s="33" t="s">
        <v>170</v>
      </c>
      <c r="I1173" s="33" t="s">
        <v>146</v>
      </c>
    </row>
    <row r="1174" spans="1:9" x14ac:dyDescent="0.25">
      <c r="A1174" s="32">
        <v>46247</v>
      </c>
      <c r="B1174" s="33" t="s">
        <v>543</v>
      </c>
      <c r="C1174" s="33" t="s">
        <v>600</v>
      </c>
      <c r="D1174" s="33" t="s">
        <v>600</v>
      </c>
      <c r="E1174">
        <v>39</v>
      </c>
      <c r="F1174" s="34">
        <v>7.4097222222222217E-2</v>
      </c>
      <c r="G1174" s="34">
        <v>1.8999287749287747E-3</v>
      </c>
      <c r="H1174" s="33" t="s">
        <v>293</v>
      </c>
      <c r="I1174" s="33" t="s">
        <v>104</v>
      </c>
    </row>
    <row r="1175" spans="1:9" x14ac:dyDescent="0.25">
      <c r="A1175" s="32">
        <v>46247</v>
      </c>
      <c r="B1175" s="33" t="s">
        <v>633</v>
      </c>
      <c r="C1175" s="33" t="s">
        <v>147</v>
      </c>
      <c r="D1175" s="33" t="s">
        <v>147</v>
      </c>
      <c r="E1175">
        <v>7</v>
      </c>
      <c r="F1175" s="34">
        <v>5.0613425925925923E-2</v>
      </c>
      <c r="G1175" s="34">
        <v>7.2304894179894179E-3</v>
      </c>
      <c r="H1175" s="33" t="s">
        <v>606</v>
      </c>
      <c r="I1175" s="33" t="s">
        <v>146</v>
      </c>
    </row>
    <row r="1176" spans="1:9" x14ac:dyDescent="0.25">
      <c r="A1176" s="32">
        <v>46247</v>
      </c>
      <c r="B1176" s="33" t="s">
        <v>633</v>
      </c>
      <c r="C1176" s="33" t="s">
        <v>147</v>
      </c>
      <c r="D1176" s="33" t="s">
        <v>32</v>
      </c>
      <c r="E1176">
        <v>3</v>
      </c>
      <c r="F1176" s="34">
        <v>1.6469907407407409E-2</v>
      </c>
      <c r="G1176" s="34">
        <v>5.4899691358024699E-3</v>
      </c>
      <c r="H1176" s="33" t="s">
        <v>606</v>
      </c>
      <c r="I1176" s="33" t="s">
        <v>146</v>
      </c>
    </row>
    <row r="1177" spans="1:9" x14ac:dyDescent="0.25">
      <c r="A1177" s="32">
        <v>46247</v>
      </c>
      <c r="B1177" s="33" t="s">
        <v>634</v>
      </c>
      <c r="C1177" s="33" t="s">
        <v>105</v>
      </c>
      <c r="D1177" s="33" t="s">
        <v>105</v>
      </c>
      <c r="E1177">
        <v>2</v>
      </c>
      <c r="F1177" s="34">
        <v>3.8379629629629632E-2</v>
      </c>
      <c r="G1177" s="34">
        <v>1.9189814814814816E-2</v>
      </c>
      <c r="H1177" s="33" t="s">
        <v>612</v>
      </c>
      <c r="I1177" s="33" t="s">
        <v>601</v>
      </c>
    </row>
    <row r="1178" spans="1:9" x14ac:dyDescent="0.25">
      <c r="A1178" s="32">
        <v>46247</v>
      </c>
      <c r="B1178" s="33" t="s">
        <v>529</v>
      </c>
      <c r="C1178" s="33" t="s">
        <v>32</v>
      </c>
      <c r="D1178" s="33" t="s">
        <v>32</v>
      </c>
      <c r="E1178">
        <v>14</v>
      </c>
      <c r="F1178" s="34">
        <v>9.616898148148148E-2</v>
      </c>
      <c r="G1178" s="34">
        <v>6.8692129629629632E-3</v>
      </c>
      <c r="H1178" s="33" t="s">
        <v>256</v>
      </c>
      <c r="I1178" s="33" t="s">
        <v>233</v>
      </c>
    </row>
    <row r="1179" spans="1:9" x14ac:dyDescent="0.25">
      <c r="A1179" s="32">
        <v>46247</v>
      </c>
      <c r="B1179" s="33" t="s">
        <v>662</v>
      </c>
      <c r="C1179" s="33" t="s">
        <v>32</v>
      </c>
      <c r="D1179" s="33" t="s">
        <v>32</v>
      </c>
      <c r="E1179">
        <v>28</v>
      </c>
      <c r="F1179" s="34">
        <v>0.12038194444444444</v>
      </c>
      <c r="G1179" s="34">
        <v>4.2993551587301587E-3</v>
      </c>
      <c r="H1179" s="33" t="s">
        <v>661</v>
      </c>
      <c r="I1179" s="33" t="s">
        <v>100</v>
      </c>
    </row>
    <row r="1180" spans="1:9" x14ac:dyDescent="0.25">
      <c r="A1180" s="32">
        <v>46247</v>
      </c>
      <c r="B1180" s="33" t="s">
        <v>664</v>
      </c>
      <c r="C1180" s="33" t="s">
        <v>32</v>
      </c>
      <c r="D1180" s="33" t="s">
        <v>32</v>
      </c>
      <c r="E1180">
        <v>12</v>
      </c>
      <c r="F1180" s="34">
        <v>0.12512731481481482</v>
      </c>
      <c r="G1180" s="34">
        <v>1.0427276234567901E-2</v>
      </c>
      <c r="H1180" s="33" t="s">
        <v>663</v>
      </c>
      <c r="I1180" s="33" t="s">
        <v>233</v>
      </c>
    </row>
    <row r="1181" spans="1:9" x14ac:dyDescent="0.25">
      <c r="A1181" s="32">
        <v>46247</v>
      </c>
      <c r="B1181" s="33" t="s">
        <v>666</v>
      </c>
      <c r="C1181" s="33" t="s">
        <v>32</v>
      </c>
      <c r="D1181" s="33" t="s">
        <v>32</v>
      </c>
      <c r="E1181">
        <v>53</v>
      </c>
      <c r="F1181" s="34">
        <v>0.19023148148148147</v>
      </c>
      <c r="G1181" s="34">
        <v>3.5892732354996506E-3</v>
      </c>
      <c r="H1181" s="33" t="s">
        <v>665</v>
      </c>
      <c r="I1181" s="33" t="s">
        <v>100</v>
      </c>
    </row>
    <row r="1182" spans="1:9" x14ac:dyDescent="0.25">
      <c r="A1182" s="32">
        <v>46247</v>
      </c>
      <c r="B1182" s="33" t="s">
        <v>530</v>
      </c>
      <c r="C1182" s="33" t="s">
        <v>80</v>
      </c>
      <c r="D1182" s="33" t="s">
        <v>32</v>
      </c>
      <c r="E1182">
        <v>1</v>
      </c>
      <c r="F1182" s="34">
        <v>2.9976851851851853E-3</v>
      </c>
      <c r="G1182" s="34">
        <v>2.9976851851851853E-3</v>
      </c>
      <c r="H1182" s="33" t="s">
        <v>264</v>
      </c>
      <c r="I1182" s="33" t="s">
        <v>78</v>
      </c>
    </row>
    <row r="1183" spans="1:9" x14ac:dyDescent="0.25">
      <c r="A1183" s="32">
        <v>46247</v>
      </c>
      <c r="B1183" s="33" t="s">
        <v>555</v>
      </c>
      <c r="C1183" s="33" t="s">
        <v>32</v>
      </c>
      <c r="D1183" s="33" t="s">
        <v>32</v>
      </c>
      <c r="E1183">
        <v>34</v>
      </c>
      <c r="F1183" s="34">
        <v>0.11008101851851852</v>
      </c>
      <c r="G1183" s="34">
        <v>3.2376770152505448E-3</v>
      </c>
      <c r="H1183" s="33" t="s">
        <v>128</v>
      </c>
      <c r="I1183" s="33" t="s">
        <v>233</v>
      </c>
    </row>
    <row r="1184" spans="1:9" x14ac:dyDescent="0.25">
      <c r="A1184" s="32">
        <v>46247</v>
      </c>
      <c r="B1184" s="33" t="s">
        <v>522</v>
      </c>
      <c r="C1184" s="33" t="s">
        <v>147</v>
      </c>
      <c r="D1184" s="33" t="s">
        <v>147</v>
      </c>
      <c r="E1184">
        <v>7</v>
      </c>
      <c r="F1184" s="34">
        <v>2.7557870370370371E-2</v>
      </c>
      <c r="G1184" s="34">
        <v>3.9368386243386249E-3</v>
      </c>
      <c r="H1184" s="33" t="s">
        <v>178</v>
      </c>
      <c r="I1184" s="33" t="s">
        <v>146</v>
      </c>
    </row>
    <row r="1185" spans="1:9" x14ac:dyDescent="0.25">
      <c r="A1185" s="32">
        <v>46247</v>
      </c>
      <c r="B1185" s="33" t="s">
        <v>522</v>
      </c>
      <c r="C1185" s="33" t="s">
        <v>147</v>
      </c>
      <c r="D1185" s="33" t="s">
        <v>32</v>
      </c>
      <c r="E1185">
        <v>5</v>
      </c>
      <c r="F1185" s="34">
        <v>1.9710648148148147E-2</v>
      </c>
      <c r="G1185" s="34">
        <v>3.9421296296296296E-3</v>
      </c>
      <c r="H1185" s="33" t="s">
        <v>178</v>
      </c>
      <c r="I1185" s="33" t="s">
        <v>146</v>
      </c>
    </row>
    <row r="1186" spans="1:9" x14ac:dyDescent="0.25">
      <c r="A1186" s="32">
        <v>46247</v>
      </c>
      <c r="B1186" s="33" t="s">
        <v>667</v>
      </c>
      <c r="C1186" s="33" t="s">
        <v>105</v>
      </c>
      <c r="D1186" s="33" t="s">
        <v>105</v>
      </c>
      <c r="E1186">
        <v>7</v>
      </c>
      <c r="F1186" s="34">
        <v>0.1155787037037037</v>
      </c>
      <c r="G1186" s="34">
        <v>1.6511243386243386E-2</v>
      </c>
      <c r="H1186" s="33" t="s">
        <v>297</v>
      </c>
      <c r="I1186" s="33" t="s">
        <v>104</v>
      </c>
    </row>
    <row r="1187" spans="1:9" x14ac:dyDescent="0.25">
      <c r="A1187" s="32">
        <v>46247</v>
      </c>
      <c r="B1187" s="33" t="s">
        <v>635</v>
      </c>
      <c r="C1187" s="33" t="s">
        <v>105</v>
      </c>
      <c r="D1187" s="33" t="s">
        <v>105</v>
      </c>
      <c r="E1187">
        <v>5</v>
      </c>
      <c r="F1187" s="34">
        <v>8.7372685185185192E-2</v>
      </c>
      <c r="G1187" s="34">
        <v>1.7474537037037038E-2</v>
      </c>
      <c r="H1187" s="33" t="s">
        <v>614</v>
      </c>
      <c r="I1187" s="33" t="s">
        <v>601</v>
      </c>
    </row>
    <row r="1188" spans="1:9" x14ac:dyDescent="0.25">
      <c r="A1188" s="32">
        <v>46247</v>
      </c>
      <c r="B1188" s="33" t="s">
        <v>523</v>
      </c>
      <c r="C1188" s="33" t="s">
        <v>147</v>
      </c>
      <c r="D1188" s="33" t="s">
        <v>147</v>
      </c>
      <c r="E1188">
        <v>3</v>
      </c>
      <c r="F1188" s="34">
        <v>2.7986111111111111E-2</v>
      </c>
      <c r="G1188" s="34">
        <v>9.3287037037037036E-3</v>
      </c>
      <c r="H1188" s="33" t="s">
        <v>180</v>
      </c>
      <c r="I1188" s="33" t="s">
        <v>146</v>
      </c>
    </row>
    <row r="1189" spans="1:9" x14ac:dyDescent="0.25">
      <c r="A1189" s="32">
        <v>46247</v>
      </c>
      <c r="B1189" s="33" t="s">
        <v>523</v>
      </c>
      <c r="C1189" s="33" t="s">
        <v>147</v>
      </c>
      <c r="D1189" s="33" t="s">
        <v>32</v>
      </c>
      <c r="E1189">
        <v>6</v>
      </c>
      <c r="F1189" s="34">
        <v>4.6122685185185183E-2</v>
      </c>
      <c r="G1189" s="34">
        <v>7.6871141975308642E-3</v>
      </c>
      <c r="H1189" s="33" t="s">
        <v>180</v>
      </c>
      <c r="I1189" s="33" t="s">
        <v>146</v>
      </c>
    </row>
    <row r="1190" spans="1:9" x14ac:dyDescent="0.25">
      <c r="A1190" s="32">
        <v>46247</v>
      </c>
      <c r="B1190" s="33" t="s">
        <v>566</v>
      </c>
      <c r="C1190" s="33" t="s">
        <v>147</v>
      </c>
      <c r="D1190" s="33" t="s">
        <v>147</v>
      </c>
      <c r="E1190">
        <v>11</v>
      </c>
      <c r="F1190" s="34">
        <v>2.9444444444444443E-2</v>
      </c>
      <c r="G1190" s="34">
        <v>2.6767676767676767E-3</v>
      </c>
      <c r="H1190" s="33" t="s">
        <v>207</v>
      </c>
      <c r="I1190" s="33" t="s">
        <v>274</v>
      </c>
    </row>
    <row r="1191" spans="1:9" x14ac:dyDescent="0.25">
      <c r="A1191" s="32">
        <v>46247</v>
      </c>
      <c r="B1191" s="33" t="s">
        <v>566</v>
      </c>
      <c r="C1191" s="33" t="s">
        <v>147</v>
      </c>
      <c r="D1191" s="33" t="s">
        <v>32</v>
      </c>
      <c r="E1191">
        <v>4</v>
      </c>
      <c r="F1191" s="34">
        <v>9.8379629629629633E-3</v>
      </c>
      <c r="G1191" s="34">
        <v>2.4594907407407408E-3</v>
      </c>
      <c r="H1191" s="33" t="s">
        <v>207</v>
      </c>
      <c r="I1191" s="33" t="s">
        <v>274</v>
      </c>
    </row>
    <row r="1192" spans="1:9" x14ac:dyDescent="0.25">
      <c r="A1192" s="32">
        <v>46247</v>
      </c>
      <c r="B1192" s="33" t="s">
        <v>637</v>
      </c>
      <c r="C1192" s="33" t="s">
        <v>105</v>
      </c>
      <c r="D1192" s="33" t="s">
        <v>105</v>
      </c>
      <c r="E1192">
        <v>2</v>
      </c>
      <c r="F1192" s="34">
        <v>3.622685185185185E-2</v>
      </c>
      <c r="G1192" s="34">
        <v>1.8113425925925925E-2</v>
      </c>
      <c r="H1192" s="33" t="s">
        <v>616</v>
      </c>
      <c r="I1192" s="33" t="s">
        <v>601</v>
      </c>
    </row>
    <row r="1193" spans="1:9" x14ac:dyDescent="0.25">
      <c r="A1193" s="32">
        <v>46247</v>
      </c>
      <c r="B1193" s="33" t="s">
        <v>567</v>
      </c>
      <c r="C1193" s="33" t="s">
        <v>105</v>
      </c>
      <c r="D1193" s="33" t="s">
        <v>105</v>
      </c>
      <c r="E1193">
        <v>2</v>
      </c>
      <c r="F1193" s="34">
        <v>6.9236111111111109E-2</v>
      </c>
      <c r="G1193" s="34">
        <v>3.4618055555555555E-2</v>
      </c>
      <c r="H1193" s="33" t="s">
        <v>209</v>
      </c>
      <c r="I1193" s="33" t="s">
        <v>601</v>
      </c>
    </row>
    <row r="1194" spans="1:9" x14ac:dyDescent="0.25">
      <c r="A1194" s="32">
        <v>46247</v>
      </c>
      <c r="B1194" s="33" t="s">
        <v>510</v>
      </c>
      <c r="C1194" s="33" t="s">
        <v>32</v>
      </c>
      <c r="D1194" s="33" t="s">
        <v>32</v>
      </c>
      <c r="E1194">
        <v>32</v>
      </c>
      <c r="F1194" s="34">
        <v>0.16442129629629629</v>
      </c>
      <c r="G1194" s="34">
        <v>5.138165509259259E-3</v>
      </c>
      <c r="H1194" s="33" t="s">
        <v>60</v>
      </c>
      <c r="I1194" s="33" t="s">
        <v>100</v>
      </c>
    </row>
    <row r="1195" spans="1:9" x14ac:dyDescent="0.25">
      <c r="A1195" s="32">
        <v>46247</v>
      </c>
      <c r="B1195" s="33" t="s">
        <v>512</v>
      </c>
      <c r="C1195" s="33" t="s">
        <v>105</v>
      </c>
      <c r="D1195" s="33" t="s">
        <v>105</v>
      </c>
      <c r="E1195">
        <v>4</v>
      </c>
      <c r="F1195" s="34">
        <v>8.2361111111111107E-2</v>
      </c>
      <c r="G1195" s="34">
        <v>2.0590277777777777E-2</v>
      </c>
      <c r="H1195" s="33" t="s">
        <v>132</v>
      </c>
      <c r="I1195" s="33" t="s">
        <v>104</v>
      </c>
    </row>
    <row r="1196" spans="1:9" x14ac:dyDescent="0.25">
      <c r="A1196" s="32">
        <v>46247</v>
      </c>
      <c r="B1196" s="33" t="s">
        <v>512</v>
      </c>
      <c r="C1196" s="33" t="s">
        <v>105</v>
      </c>
      <c r="D1196" s="33" t="s">
        <v>32</v>
      </c>
      <c r="E1196">
        <v>5</v>
      </c>
      <c r="F1196" s="34">
        <v>3.6701388888888888E-2</v>
      </c>
      <c r="G1196" s="34">
        <v>7.3402777777777772E-3</v>
      </c>
      <c r="H1196" s="33" t="s">
        <v>132</v>
      </c>
      <c r="I1196" s="33" t="s">
        <v>104</v>
      </c>
    </row>
    <row r="1197" spans="1:9" x14ac:dyDescent="0.25">
      <c r="A1197" s="32">
        <v>46247</v>
      </c>
      <c r="B1197" s="33" t="s">
        <v>560</v>
      </c>
      <c r="C1197" s="33" t="s">
        <v>105</v>
      </c>
      <c r="D1197" s="33" t="s">
        <v>105</v>
      </c>
      <c r="E1197">
        <v>6</v>
      </c>
      <c r="F1197" s="34">
        <v>9.9456018518518513E-2</v>
      </c>
      <c r="G1197" s="34">
        <v>1.6576003086419752E-2</v>
      </c>
      <c r="H1197" s="33" t="s">
        <v>134</v>
      </c>
      <c r="I1197" s="33" t="s">
        <v>104</v>
      </c>
    </row>
    <row r="1198" spans="1:9" x14ac:dyDescent="0.25">
      <c r="A1198" s="32">
        <v>46247</v>
      </c>
      <c r="B1198" s="33" t="s">
        <v>546</v>
      </c>
      <c r="C1198" s="33" t="s">
        <v>105</v>
      </c>
      <c r="D1198" s="33" t="s">
        <v>105</v>
      </c>
      <c r="E1198">
        <v>3</v>
      </c>
      <c r="F1198" s="34">
        <v>9.7175925925925929E-2</v>
      </c>
      <c r="G1198" s="34">
        <v>3.2391975308641976E-2</v>
      </c>
      <c r="H1198" s="33" t="s">
        <v>211</v>
      </c>
      <c r="I1198" s="33" t="s">
        <v>104</v>
      </c>
    </row>
    <row r="1199" spans="1:9" x14ac:dyDescent="0.25">
      <c r="A1199" s="32">
        <v>46247</v>
      </c>
      <c r="B1199" s="33" t="s">
        <v>638</v>
      </c>
      <c r="C1199" s="33" t="s">
        <v>105</v>
      </c>
      <c r="D1199" s="33" t="s">
        <v>105</v>
      </c>
      <c r="E1199">
        <v>3</v>
      </c>
      <c r="F1199" s="34">
        <v>7.5324074074074071E-2</v>
      </c>
      <c r="G1199" s="34">
        <v>2.5108024691358023E-2</v>
      </c>
      <c r="H1199" s="33" t="s">
        <v>617</v>
      </c>
      <c r="I1199" s="33" t="s">
        <v>601</v>
      </c>
    </row>
    <row r="1200" spans="1:9" x14ac:dyDescent="0.25">
      <c r="A1200" s="32">
        <v>46247</v>
      </c>
      <c r="B1200" s="33" t="s">
        <v>639</v>
      </c>
      <c r="C1200" s="33" t="s">
        <v>105</v>
      </c>
      <c r="D1200" s="33" t="s">
        <v>105</v>
      </c>
      <c r="E1200">
        <v>4</v>
      </c>
      <c r="F1200" s="34">
        <v>8.0324074074074076E-2</v>
      </c>
      <c r="G1200" s="34">
        <v>2.0081018518518519E-2</v>
      </c>
      <c r="H1200" s="33" t="s">
        <v>618</v>
      </c>
      <c r="I1200" s="33" t="s">
        <v>601</v>
      </c>
    </row>
    <row r="1201" spans="1:9" x14ac:dyDescent="0.25">
      <c r="A1201" s="32">
        <v>46247</v>
      </c>
      <c r="B1201" s="33" t="s">
        <v>524</v>
      </c>
      <c r="C1201" s="33" t="s">
        <v>147</v>
      </c>
      <c r="D1201" s="33" t="s">
        <v>147</v>
      </c>
      <c r="E1201">
        <v>10</v>
      </c>
      <c r="F1201" s="34">
        <v>2.7835648148148148E-2</v>
      </c>
      <c r="G1201" s="34">
        <v>2.7835648148148147E-3</v>
      </c>
      <c r="H1201" s="33" t="s">
        <v>501</v>
      </c>
      <c r="I1201" s="33" t="s">
        <v>274</v>
      </c>
    </row>
    <row r="1202" spans="1:9" x14ac:dyDescent="0.25">
      <c r="A1202" s="32">
        <v>46247</v>
      </c>
      <c r="B1202" s="33" t="s">
        <v>524</v>
      </c>
      <c r="C1202" s="33" t="s">
        <v>147</v>
      </c>
      <c r="D1202" s="33" t="s">
        <v>32</v>
      </c>
      <c r="E1202">
        <v>4</v>
      </c>
      <c r="F1202" s="34">
        <v>2.013888888888889E-2</v>
      </c>
      <c r="G1202" s="34">
        <v>5.0347222222222225E-3</v>
      </c>
      <c r="H1202" s="33" t="s">
        <v>501</v>
      </c>
      <c r="I1202" s="33" t="s">
        <v>274</v>
      </c>
    </row>
    <row r="1203" spans="1:9" x14ac:dyDescent="0.25">
      <c r="A1203" s="32">
        <v>46247</v>
      </c>
      <c r="B1203" s="33" t="s">
        <v>572</v>
      </c>
      <c r="C1203" s="33" t="s">
        <v>105</v>
      </c>
      <c r="D1203" s="33" t="s">
        <v>105</v>
      </c>
      <c r="E1203">
        <v>1</v>
      </c>
      <c r="F1203" s="34">
        <v>2.2731481481481481E-2</v>
      </c>
      <c r="G1203" s="34">
        <v>2.2731481481481481E-2</v>
      </c>
      <c r="H1203" s="33" t="s">
        <v>213</v>
      </c>
      <c r="I1203" s="33" t="s">
        <v>601</v>
      </c>
    </row>
    <row r="1204" spans="1:9" x14ac:dyDescent="0.25">
      <c r="A1204" s="32">
        <v>46247</v>
      </c>
      <c r="B1204" s="33" t="s">
        <v>640</v>
      </c>
      <c r="C1204" s="33" t="s">
        <v>105</v>
      </c>
      <c r="D1204" s="33" t="s">
        <v>105</v>
      </c>
      <c r="E1204">
        <v>2</v>
      </c>
      <c r="F1204" s="34">
        <v>4.3518518518518519E-2</v>
      </c>
      <c r="G1204" s="34">
        <v>2.1759259259259259E-2</v>
      </c>
      <c r="H1204" s="33" t="s">
        <v>619</v>
      </c>
      <c r="I1204" s="33" t="s">
        <v>601</v>
      </c>
    </row>
    <row r="1205" spans="1:9" x14ac:dyDescent="0.25">
      <c r="A1205" s="32">
        <v>46247</v>
      </c>
      <c r="B1205" s="33" t="s">
        <v>669</v>
      </c>
      <c r="C1205" s="33" t="s">
        <v>32</v>
      </c>
      <c r="D1205" s="33" t="s">
        <v>32</v>
      </c>
      <c r="E1205">
        <v>27</v>
      </c>
      <c r="F1205" s="34">
        <v>0.11280092592592593</v>
      </c>
      <c r="G1205" s="34">
        <v>4.1778120713305902E-3</v>
      </c>
      <c r="H1205" s="33" t="s">
        <v>668</v>
      </c>
      <c r="I1205" s="33" t="s">
        <v>233</v>
      </c>
    </row>
    <row r="1206" spans="1:9" x14ac:dyDescent="0.25">
      <c r="A1206" s="32">
        <v>46247</v>
      </c>
      <c r="B1206" s="33" t="s">
        <v>548</v>
      </c>
      <c r="C1206" s="33" t="s">
        <v>105</v>
      </c>
      <c r="D1206" s="33" t="s">
        <v>105</v>
      </c>
      <c r="E1206">
        <v>4</v>
      </c>
      <c r="F1206" s="34">
        <v>6.1655092592592595E-2</v>
      </c>
      <c r="G1206" s="34">
        <v>1.5413773148148149E-2</v>
      </c>
      <c r="H1206" s="33" t="s">
        <v>219</v>
      </c>
      <c r="I1206" s="33" t="s">
        <v>104</v>
      </c>
    </row>
    <row r="1207" spans="1:9" x14ac:dyDescent="0.25">
      <c r="A1207" s="32">
        <v>46247</v>
      </c>
      <c r="B1207" s="33" t="s">
        <v>306</v>
      </c>
      <c r="C1207" s="33" t="s">
        <v>32</v>
      </c>
      <c r="D1207" s="33" t="s">
        <v>32</v>
      </c>
      <c r="E1207">
        <v>35</v>
      </c>
      <c r="F1207" s="34">
        <v>0.14516203703703703</v>
      </c>
      <c r="G1207" s="34">
        <v>4.1474867724867722E-3</v>
      </c>
      <c r="H1207" s="33" t="s">
        <v>305</v>
      </c>
      <c r="I1207" s="33" t="s">
        <v>100</v>
      </c>
    </row>
    <row r="1208" spans="1:9" x14ac:dyDescent="0.25">
      <c r="A1208" s="32">
        <v>46247</v>
      </c>
      <c r="B1208" s="33" t="s">
        <v>641</v>
      </c>
      <c r="C1208" s="33" t="s">
        <v>105</v>
      </c>
      <c r="D1208" s="33" t="s">
        <v>105</v>
      </c>
      <c r="E1208">
        <v>2</v>
      </c>
      <c r="F1208" s="34">
        <v>5.966435185185185E-2</v>
      </c>
      <c r="G1208" s="34">
        <v>2.9832175925925925E-2</v>
      </c>
      <c r="H1208" s="33" t="s">
        <v>620</v>
      </c>
      <c r="I1208" s="33" t="s">
        <v>601</v>
      </c>
    </row>
    <row r="1209" spans="1:9" x14ac:dyDescent="0.25">
      <c r="A1209" s="32">
        <v>46247</v>
      </c>
      <c r="B1209" s="33" t="s">
        <v>556</v>
      </c>
      <c r="C1209" s="33" t="s">
        <v>105</v>
      </c>
      <c r="D1209" s="33" t="s">
        <v>105</v>
      </c>
      <c r="E1209">
        <v>5</v>
      </c>
      <c r="F1209" s="34">
        <v>9.0173611111111107E-2</v>
      </c>
      <c r="G1209" s="34">
        <v>1.8034722222222223E-2</v>
      </c>
      <c r="H1209" s="33" t="s">
        <v>138</v>
      </c>
      <c r="I1209" s="33" t="s">
        <v>104</v>
      </c>
    </row>
    <row r="1210" spans="1:9" x14ac:dyDescent="0.25">
      <c r="A1210" s="32">
        <v>46247</v>
      </c>
      <c r="B1210" s="33" t="s">
        <v>556</v>
      </c>
      <c r="C1210" s="33" t="s">
        <v>105</v>
      </c>
      <c r="D1210" s="33" t="s">
        <v>32</v>
      </c>
      <c r="E1210">
        <v>5</v>
      </c>
      <c r="F1210" s="34">
        <v>2.7905092592592592E-2</v>
      </c>
      <c r="G1210" s="34">
        <v>5.5810185185185181E-3</v>
      </c>
      <c r="H1210" s="33" t="s">
        <v>138</v>
      </c>
      <c r="I1210" s="33" t="s">
        <v>104</v>
      </c>
    </row>
    <row r="1211" spans="1:9" x14ac:dyDescent="0.25">
      <c r="A1211" s="32">
        <v>46247</v>
      </c>
      <c r="B1211" s="33" t="s">
        <v>532</v>
      </c>
      <c r="C1211" s="33" t="s">
        <v>32</v>
      </c>
      <c r="D1211" s="33" t="s">
        <v>32</v>
      </c>
      <c r="E1211">
        <v>39</v>
      </c>
      <c r="F1211" s="34">
        <v>0.12811342592592592</v>
      </c>
      <c r="G1211" s="34">
        <v>3.2849596391263058E-3</v>
      </c>
      <c r="H1211" s="33" t="s">
        <v>276</v>
      </c>
      <c r="I1211" s="33" t="s">
        <v>233</v>
      </c>
    </row>
    <row r="1212" spans="1:9" x14ac:dyDescent="0.25">
      <c r="A1212" s="32">
        <v>46247</v>
      </c>
      <c r="B1212" s="33" t="s">
        <v>533</v>
      </c>
      <c r="C1212" s="33" t="s">
        <v>32</v>
      </c>
      <c r="D1212" s="33" t="s">
        <v>32</v>
      </c>
      <c r="E1212">
        <v>19</v>
      </c>
      <c r="F1212" s="34">
        <v>0.10445601851851852</v>
      </c>
      <c r="G1212" s="34">
        <v>5.4976851851851853E-3</v>
      </c>
      <c r="H1212" s="33" t="s">
        <v>278</v>
      </c>
      <c r="I1212" s="33" t="s">
        <v>233</v>
      </c>
    </row>
    <row r="1213" spans="1:9" x14ac:dyDescent="0.25">
      <c r="A1213" s="32">
        <v>46247</v>
      </c>
      <c r="B1213" s="33" t="s">
        <v>674</v>
      </c>
      <c r="C1213" s="33" t="s">
        <v>105</v>
      </c>
      <c r="D1213" s="33" t="s">
        <v>105</v>
      </c>
      <c r="E1213">
        <v>5</v>
      </c>
      <c r="F1213" s="34">
        <v>9.8877314814814821E-2</v>
      </c>
      <c r="G1213" s="34">
        <v>1.9775462962962963E-2</v>
      </c>
      <c r="H1213" s="33" t="s">
        <v>673</v>
      </c>
      <c r="I1213" s="33" t="s">
        <v>104</v>
      </c>
    </row>
    <row r="1214" spans="1:9" x14ac:dyDescent="0.25">
      <c r="A1214" s="32">
        <v>46247</v>
      </c>
      <c r="B1214" s="33" t="s">
        <v>674</v>
      </c>
      <c r="C1214" s="33" t="s">
        <v>105</v>
      </c>
      <c r="D1214" s="33" t="s">
        <v>32</v>
      </c>
      <c r="E1214">
        <v>6</v>
      </c>
      <c r="F1214" s="34">
        <v>2.4525462962962964E-2</v>
      </c>
      <c r="G1214" s="34">
        <v>4.0875771604938277E-3</v>
      </c>
      <c r="H1214" s="33" t="s">
        <v>673</v>
      </c>
      <c r="I1214" s="33" t="s">
        <v>104</v>
      </c>
    </row>
    <row r="1215" spans="1:9" x14ac:dyDescent="0.25">
      <c r="A1215" s="32">
        <v>46247</v>
      </c>
      <c r="B1215" s="33" t="s">
        <v>549</v>
      </c>
      <c r="C1215" s="33" t="s">
        <v>105</v>
      </c>
      <c r="D1215" s="33" t="s">
        <v>105</v>
      </c>
      <c r="E1215">
        <v>2</v>
      </c>
      <c r="F1215" s="34">
        <v>5.4953703703703706E-2</v>
      </c>
      <c r="G1215" s="34">
        <v>2.7476851851851853E-2</v>
      </c>
      <c r="H1215" s="33" t="s">
        <v>225</v>
      </c>
      <c r="I1215" s="33" t="s">
        <v>601</v>
      </c>
    </row>
    <row r="1216" spans="1:9" x14ac:dyDescent="0.25">
      <c r="A1216" s="32">
        <v>46247</v>
      </c>
      <c r="B1216" s="33" t="s">
        <v>534</v>
      </c>
      <c r="C1216" s="33" t="s">
        <v>32</v>
      </c>
      <c r="D1216" s="33" t="s">
        <v>32</v>
      </c>
      <c r="E1216">
        <v>23</v>
      </c>
      <c r="F1216" s="34">
        <v>9.7951388888888893E-2</v>
      </c>
      <c r="G1216" s="34">
        <v>4.258756038647343E-3</v>
      </c>
      <c r="H1216" s="33" t="s">
        <v>280</v>
      </c>
      <c r="I1216" s="33" t="s">
        <v>233</v>
      </c>
    </row>
    <row r="1217" spans="1:9" x14ac:dyDescent="0.25">
      <c r="A1217" s="32">
        <v>46247</v>
      </c>
      <c r="B1217" s="33" t="s">
        <v>571</v>
      </c>
      <c r="C1217" s="33" t="s">
        <v>105</v>
      </c>
      <c r="D1217" s="33" t="s">
        <v>105</v>
      </c>
      <c r="E1217">
        <v>6</v>
      </c>
      <c r="F1217" s="34">
        <v>0.11944444444444445</v>
      </c>
      <c r="G1217" s="34">
        <v>1.9907407407407408E-2</v>
      </c>
      <c r="H1217" s="33" t="s">
        <v>299</v>
      </c>
      <c r="I1217" s="33" t="s">
        <v>104</v>
      </c>
    </row>
    <row r="1218" spans="1:9" x14ac:dyDescent="0.25">
      <c r="A1218" s="32">
        <v>46247</v>
      </c>
      <c r="B1218" s="33" t="s">
        <v>535</v>
      </c>
      <c r="C1218" s="33" t="s">
        <v>32</v>
      </c>
      <c r="D1218" s="33" t="s">
        <v>32</v>
      </c>
      <c r="E1218">
        <v>41</v>
      </c>
      <c r="F1218" s="34">
        <v>5.9768518518518519E-2</v>
      </c>
      <c r="G1218" s="34">
        <v>1.4577687443541102E-3</v>
      </c>
      <c r="H1218" s="33" t="s">
        <v>282</v>
      </c>
      <c r="I1218" s="33" t="s">
        <v>233</v>
      </c>
    </row>
    <row r="1219" spans="1:9" x14ac:dyDescent="0.25">
      <c r="A1219" s="32">
        <v>46247</v>
      </c>
      <c r="B1219" s="33" t="s">
        <v>557</v>
      </c>
      <c r="C1219" s="33" t="s">
        <v>147</v>
      </c>
      <c r="D1219" s="33" t="s">
        <v>147</v>
      </c>
      <c r="E1219">
        <v>7</v>
      </c>
      <c r="F1219" s="34">
        <v>1.90625E-2</v>
      </c>
      <c r="G1219" s="34">
        <v>2.7232142857142858E-3</v>
      </c>
      <c r="H1219" s="33" t="s">
        <v>227</v>
      </c>
      <c r="I1219" s="33" t="s">
        <v>146</v>
      </c>
    </row>
    <row r="1220" spans="1:9" x14ac:dyDescent="0.25">
      <c r="A1220" s="32">
        <v>46247</v>
      </c>
      <c r="B1220" s="33" t="s">
        <v>557</v>
      </c>
      <c r="C1220" s="33" t="s">
        <v>147</v>
      </c>
      <c r="D1220" s="33" t="s">
        <v>32</v>
      </c>
      <c r="E1220">
        <v>2</v>
      </c>
      <c r="F1220" s="34">
        <v>3.2233796296296295E-2</v>
      </c>
      <c r="G1220" s="34">
        <v>1.6116898148148148E-2</v>
      </c>
      <c r="H1220" s="33" t="s">
        <v>227</v>
      </c>
      <c r="I1220" s="33" t="s">
        <v>146</v>
      </c>
    </row>
    <row r="1221" spans="1:9" x14ac:dyDescent="0.25">
      <c r="A1221" s="32">
        <v>46247</v>
      </c>
      <c r="B1221" s="33" t="s">
        <v>676</v>
      </c>
      <c r="C1221" s="33" t="s">
        <v>105</v>
      </c>
      <c r="D1221" s="33" t="s">
        <v>105</v>
      </c>
      <c r="E1221">
        <v>3</v>
      </c>
      <c r="F1221" s="34">
        <v>9.8402777777777783E-2</v>
      </c>
      <c r="G1221" s="34">
        <v>3.2800925925925928E-2</v>
      </c>
      <c r="H1221" s="33" t="s">
        <v>675</v>
      </c>
      <c r="I1221" s="33" t="s">
        <v>104</v>
      </c>
    </row>
    <row r="1222" spans="1:9" x14ac:dyDescent="0.25">
      <c r="A1222" s="32">
        <v>46247</v>
      </c>
      <c r="B1222" s="33" t="s">
        <v>678</v>
      </c>
      <c r="C1222" s="33" t="s">
        <v>147</v>
      </c>
      <c r="D1222" s="33" t="s">
        <v>147</v>
      </c>
      <c r="E1222">
        <v>6</v>
      </c>
      <c r="F1222" s="34">
        <v>1.8240740740740741E-2</v>
      </c>
      <c r="G1222" s="34">
        <v>3.0401234567901236E-3</v>
      </c>
      <c r="H1222" s="33" t="s">
        <v>677</v>
      </c>
      <c r="I1222" s="33" t="s">
        <v>274</v>
      </c>
    </row>
    <row r="1223" spans="1:9" x14ac:dyDescent="0.25">
      <c r="A1223" s="32">
        <v>46247</v>
      </c>
      <c r="B1223" s="33" t="s">
        <v>678</v>
      </c>
      <c r="C1223" s="33" t="s">
        <v>147</v>
      </c>
      <c r="D1223" s="33" t="s">
        <v>32</v>
      </c>
      <c r="E1223">
        <v>9</v>
      </c>
      <c r="F1223" s="34">
        <v>2.8900462962962965E-2</v>
      </c>
      <c r="G1223" s="34">
        <v>3.2111625514403292E-3</v>
      </c>
      <c r="H1223" s="33" t="s">
        <v>677</v>
      </c>
      <c r="I1223" s="33" t="s">
        <v>274</v>
      </c>
    </row>
    <row r="1224" spans="1:9" x14ac:dyDescent="0.25">
      <c r="A1224" s="32">
        <v>46248</v>
      </c>
      <c r="B1224" s="33" t="s">
        <v>598</v>
      </c>
      <c r="C1224" s="33" t="s">
        <v>284</v>
      </c>
      <c r="D1224" s="33" t="s">
        <v>600</v>
      </c>
      <c r="E1224">
        <v>1</v>
      </c>
      <c r="F1224" s="34">
        <v>1.1574074074074073E-5</v>
      </c>
      <c r="G1224" s="34">
        <v>1.1574074074074073E-5</v>
      </c>
      <c r="H1224" s="33" t="s">
        <v>598</v>
      </c>
      <c r="I1224" s="33" t="s">
        <v>284</v>
      </c>
    </row>
    <row r="1225" spans="1:9" x14ac:dyDescent="0.25">
      <c r="A1225" s="32">
        <v>46248</v>
      </c>
      <c r="B1225" s="33" t="s">
        <v>562</v>
      </c>
      <c r="C1225" s="33" t="s">
        <v>80</v>
      </c>
      <c r="D1225" s="33" t="s">
        <v>32</v>
      </c>
      <c r="E1225">
        <v>4</v>
      </c>
      <c r="F1225" s="34">
        <v>1.9537037037037037E-2</v>
      </c>
      <c r="G1225" s="34">
        <v>4.8842592592592592E-3</v>
      </c>
      <c r="H1225" s="33" t="s">
        <v>186</v>
      </c>
      <c r="I1225" s="33" t="s">
        <v>78</v>
      </c>
    </row>
    <row r="1226" spans="1:9" x14ac:dyDescent="0.25">
      <c r="A1226" s="32">
        <v>46248</v>
      </c>
      <c r="B1226" s="33" t="s">
        <v>644</v>
      </c>
      <c r="C1226" s="33" t="s">
        <v>32</v>
      </c>
      <c r="D1226" s="33" t="s">
        <v>32</v>
      </c>
      <c r="E1226">
        <v>17</v>
      </c>
      <c r="F1226" s="34">
        <v>0.12645833333333334</v>
      </c>
      <c r="G1226" s="34">
        <v>7.4387254901960784E-3</v>
      </c>
      <c r="H1226" s="33" t="s">
        <v>643</v>
      </c>
      <c r="I1226" s="33" t="s">
        <v>233</v>
      </c>
    </row>
    <row r="1227" spans="1:9" x14ac:dyDescent="0.25">
      <c r="A1227" s="32">
        <v>46248</v>
      </c>
      <c r="B1227" s="33" t="s">
        <v>563</v>
      </c>
      <c r="C1227" s="33" t="s">
        <v>147</v>
      </c>
      <c r="D1227" s="33" t="s">
        <v>147</v>
      </c>
      <c r="E1227">
        <v>9</v>
      </c>
      <c r="F1227" s="34">
        <v>3.1458333333333331E-2</v>
      </c>
      <c r="G1227" s="34">
        <v>3.49537037037037E-3</v>
      </c>
      <c r="H1227" s="33" t="s">
        <v>193</v>
      </c>
      <c r="I1227" s="33" t="s">
        <v>274</v>
      </c>
    </row>
    <row r="1228" spans="1:9" x14ac:dyDescent="0.25">
      <c r="A1228" s="32">
        <v>46248</v>
      </c>
      <c r="B1228" s="33" t="s">
        <v>563</v>
      </c>
      <c r="C1228" s="33" t="s">
        <v>147</v>
      </c>
      <c r="D1228" s="33" t="s">
        <v>32</v>
      </c>
      <c r="E1228">
        <v>4</v>
      </c>
      <c r="F1228" s="34">
        <v>9.8726851851851857E-3</v>
      </c>
      <c r="G1228" s="34">
        <v>2.4681712962962964E-3</v>
      </c>
      <c r="H1228" s="33" t="s">
        <v>193</v>
      </c>
      <c r="I1228" s="33" t="s">
        <v>274</v>
      </c>
    </row>
    <row r="1229" spans="1:9" x14ac:dyDescent="0.25">
      <c r="A1229" s="32">
        <v>46248</v>
      </c>
      <c r="B1229" s="33" t="s">
        <v>525</v>
      </c>
      <c r="C1229" s="33" t="s">
        <v>32</v>
      </c>
      <c r="D1229" s="33" t="s">
        <v>32</v>
      </c>
      <c r="E1229">
        <v>37</v>
      </c>
      <c r="F1229" s="34">
        <v>9.1458333333333336E-2</v>
      </c>
      <c r="G1229" s="34">
        <v>2.4718468468468468E-3</v>
      </c>
      <c r="H1229" s="33" t="s">
        <v>231</v>
      </c>
      <c r="I1229" s="33" t="s">
        <v>233</v>
      </c>
    </row>
    <row r="1230" spans="1:9" x14ac:dyDescent="0.25">
      <c r="A1230" s="32">
        <v>46248</v>
      </c>
      <c r="B1230" s="33" t="s">
        <v>513</v>
      </c>
      <c r="C1230" s="33" t="s">
        <v>105</v>
      </c>
      <c r="D1230" s="33" t="s">
        <v>105</v>
      </c>
      <c r="E1230">
        <v>4</v>
      </c>
      <c r="F1230" s="34">
        <v>7.4618055555555562E-2</v>
      </c>
      <c r="G1230" s="34">
        <v>1.8654513888888891E-2</v>
      </c>
      <c r="H1230" s="33" t="s">
        <v>148</v>
      </c>
      <c r="I1230" s="33" t="s">
        <v>104</v>
      </c>
    </row>
    <row r="1231" spans="1:9" x14ac:dyDescent="0.25">
      <c r="A1231" s="32">
        <v>46248</v>
      </c>
      <c r="B1231" s="33" t="s">
        <v>505</v>
      </c>
      <c r="C1231" s="33" t="s">
        <v>32</v>
      </c>
      <c r="D1231" s="33" t="s">
        <v>32</v>
      </c>
      <c r="E1231">
        <v>26</v>
      </c>
      <c r="F1231" s="34">
        <v>9.6284722222222216E-2</v>
      </c>
      <c r="G1231" s="34">
        <v>3.7032585470085466E-3</v>
      </c>
      <c r="H1231" s="33" t="s">
        <v>34</v>
      </c>
      <c r="I1231" s="33" t="s">
        <v>233</v>
      </c>
    </row>
    <row r="1232" spans="1:9" x14ac:dyDescent="0.25">
      <c r="A1232" s="32">
        <v>46248</v>
      </c>
      <c r="B1232" s="33" t="s">
        <v>631</v>
      </c>
      <c r="C1232" s="33" t="s">
        <v>105</v>
      </c>
      <c r="D1232" s="33" t="s">
        <v>105</v>
      </c>
      <c r="E1232">
        <v>3</v>
      </c>
      <c r="F1232" s="34">
        <v>5.0902777777777776E-2</v>
      </c>
      <c r="G1232" s="34">
        <v>1.6967592592592593E-2</v>
      </c>
      <c r="H1232" s="33" t="s">
        <v>608</v>
      </c>
      <c r="I1232" s="33" t="s">
        <v>601</v>
      </c>
    </row>
    <row r="1233" spans="1:9" x14ac:dyDescent="0.25">
      <c r="A1233" s="32">
        <v>46248</v>
      </c>
      <c r="B1233" s="33" t="s">
        <v>631</v>
      </c>
      <c r="C1233" s="33" t="s">
        <v>105</v>
      </c>
      <c r="D1233" s="33" t="s">
        <v>32</v>
      </c>
      <c r="E1233">
        <v>2</v>
      </c>
      <c r="F1233" s="34">
        <v>1.4444444444444444E-2</v>
      </c>
      <c r="G1233" s="34">
        <v>7.2222222222222219E-3</v>
      </c>
      <c r="H1233" s="33" t="s">
        <v>608</v>
      </c>
      <c r="I1233" s="33" t="s">
        <v>601</v>
      </c>
    </row>
    <row r="1234" spans="1:9" x14ac:dyDescent="0.25">
      <c r="A1234" s="32">
        <v>46248</v>
      </c>
      <c r="B1234" s="33" t="s">
        <v>564</v>
      </c>
      <c r="C1234" s="33" t="s">
        <v>105</v>
      </c>
      <c r="D1234" s="33" t="s">
        <v>105</v>
      </c>
      <c r="E1234">
        <v>1</v>
      </c>
      <c r="F1234" s="34">
        <v>3.0474537037037036E-2</v>
      </c>
      <c r="G1234" s="34">
        <v>3.0474537037037036E-2</v>
      </c>
      <c r="H1234" s="33" t="s">
        <v>197</v>
      </c>
      <c r="I1234" s="33" t="s">
        <v>601</v>
      </c>
    </row>
    <row r="1235" spans="1:9" x14ac:dyDescent="0.25">
      <c r="A1235" s="32">
        <v>46248</v>
      </c>
      <c r="B1235" s="33" t="s">
        <v>564</v>
      </c>
      <c r="C1235" s="33" t="s">
        <v>105</v>
      </c>
      <c r="D1235" s="33" t="s">
        <v>32</v>
      </c>
      <c r="E1235">
        <v>4</v>
      </c>
      <c r="F1235" s="34">
        <v>2.8935185185185185E-2</v>
      </c>
      <c r="G1235" s="34">
        <v>7.2337962962962963E-3</v>
      </c>
      <c r="H1235" s="33" t="s">
        <v>197</v>
      </c>
      <c r="I1235" s="33" t="s">
        <v>601</v>
      </c>
    </row>
    <row r="1236" spans="1:9" x14ac:dyDescent="0.25">
      <c r="A1236" s="32">
        <v>46248</v>
      </c>
      <c r="B1236" s="33" t="s">
        <v>514</v>
      </c>
      <c r="C1236" s="33" t="s">
        <v>147</v>
      </c>
      <c r="D1236" s="33" t="s">
        <v>147</v>
      </c>
      <c r="E1236">
        <v>14</v>
      </c>
      <c r="F1236" s="34">
        <v>2.8333333333333332E-2</v>
      </c>
      <c r="G1236" s="34">
        <v>2.0238095238095236E-3</v>
      </c>
      <c r="H1236" s="33" t="s">
        <v>150</v>
      </c>
      <c r="I1236" s="33" t="s">
        <v>146</v>
      </c>
    </row>
    <row r="1237" spans="1:9" x14ac:dyDescent="0.25">
      <c r="A1237" s="32">
        <v>46248</v>
      </c>
      <c r="B1237" s="33" t="s">
        <v>514</v>
      </c>
      <c r="C1237" s="33" t="s">
        <v>147</v>
      </c>
      <c r="D1237" s="33" t="s">
        <v>32</v>
      </c>
      <c r="E1237">
        <v>2</v>
      </c>
      <c r="F1237" s="34">
        <v>3.9236111111111112E-3</v>
      </c>
      <c r="G1237" s="34">
        <v>1.9618055555555556E-3</v>
      </c>
      <c r="H1237" s="33" t="s">
        <v>150</v>
      </c>
      <c r="I1237" s="33" t="s">
        <v>146</v>
      </c>
    </row>
    <row r="1238" spans="1:9" x14ac:dyDescent="0.25">
      <c r="A1238" s="32">
        <v>46248</v>
      </c>
      <c r="B1238" s="33" t="s">
        <v>682</v>
      </c>
      <c r="C1238" s="33" t="s">
        <v>105</v>
      </c>
      <c r="D1238" s="33" t="s">
        <v>105</v>
      </c>
      <c r="E1238">
        <v>2</v>
      </c>
      <c r="F1238" s="34">
        <v>4.9513888888888892E-2</v>
      </c>
      <c r="G1238" s="34">
        <v>2.4756944444444446E-2</v>
      </c>
      <c r="H1238" s="33" t="s">
        <v>681</v>
      </c>
      <c r="I1238" s="33" t="s">
        <v>601</v>
      </c>
    </row>
    <row r="1239" spans="1:9" x14ac:dyDescent="0.25">
      <c r="A1239" s="32">
        <v>46248</v>
      </c>
      <c r="B1239" s="33" t="s">
        <v>515</v>
      </c>
      <c r="C1239" s="33" t="s">
        <v>147</v>
      </c>
      <c r="D1239" s="33" t="s">
        <v>147</v>
      </c>
      <c r="E1239">
        <v>6</v>
      </c>
      <c r="F1239" s="34">
        <v>1.7847222222222223E-2</v>
      </c>
      <c r="G1239" s="34">
        <v>2.9745370370370373E-3</v>
      </c>
      <c r="H1239" s="33" t="s">
        <v>154</v>
      </c>
      <c r="I1239" s="33" t="s">
        <v>146</v>
      </c>
    </row>
    <row r="1240" spans="1:9" x14ac:dyDescent="0.25">
      <c r="A1240" s="32">
        <v>46248</v>
      </c>
      <c r="B1240" s="33" t="s">
        <v>515</v>
      </c>
      <c r="C1240" s="33" t="s">
        <v>147</v>
      </c>
      <c r="D1240" s="33" t="s">
        <v>32</v>
      </c>
      <c r="E1240">
        <v>5</v>
      </c>
      <c r="F1240" s="34">
        <v>1.8888888888888889E-2</v>
      </c>
      <c r="G1240" s="34">
        <v>3.7777777777777779E-3</v>
      </c>
      <c r="H1240" s="33" t="s">
        <v>154</v>
      </c>
      <c r="I1240" s="33" t="s">
        <v>146</v>
      </c>
    </row>
    <row r="1241" spans="1:9" x14ac:dyDescent="0.25">
      <c r="A1241" s="32">
        <v>46248</v>
      </c>
      <c r="B1241" s="33" t="s">
        <v>570</v>
      </c>
      <c r="C1241" s="33" t="s">
        <v>105</v>
      </c>
      <c r="D1241" s="33" t="s">
        <v>105</v>
      </c>
      <c r="E1241">
        <v>3</v>
      </c>
      <c r="F1241" s="34">
        <v>3.8680555555555558E-2</v>
      </c>
      <c r="G1241" s="34">
        <v>1.2893518518518519E-2</v>
      </c>
      <c r="H1241" s="33" t="s">
        <v>112</v>
      </c>
      <c r="I1241" s="33" t="s">
        <v>104</v>
      </c>
    </row>
    <row r="1242" spans="1:9" x14ac:dyDescent="0.25">
      <c r="A1242" s="32">
        <v>46248</v>
      </c>
      <c r="B1242" s="33" t="s">
        <v>537</v>
      </c>
      <c r="C1242" s="33" t="s">
        <v>105</v>
      </c>
      <c r="D1242" s="33" t="s">
        <v>105</v>
      </c>
      <c r="E1242">
        <v>3</v>
      </c>
      <c r="F1242" s="34">
        <v>3.7337962962962962E-2</v>
      </c>
      <c r="G1242" s="34">
        <v>1.2445987654320987E-2</v>
      </c>
      <c r="H1242" s="33" t="s">
        <v>42</v>
      </c>
      <c r="I1242" s="33" t="s">
        <v>104</v>
      </c>
    </row>
    <row r="1243" spans="1:9" x14ac:dyDescent="0.25">
      <c r="A1243" s="32">
        <v>46248</v>
      </c>
      <c r="B1243" s="33" t="s">
        <v>516</v>
      </c>
      <c r="C1243" s="33" t="s">
        <v>147</v>
      </c>
      <c r="D1243" s="33" t="s">
        <v>147</v>
      </c>
      <c r="E1243">
        <v>10</v>
      </c>
      <c r="F1243" s="34">
        <v>1.6805555555555556E-2</v>
      </c>
      <c r="G1243" s="34">
        <v>1.6805555555555556E-3</v>
      </c>
      <c r="H1243" s="33" t="s">
        <v>156</v>
      </c>
      <c r="I1243" s="33" t="s">
        <v>146</v>
      </c>
    </row>
    <row r="1244" spans="1:9" x14ac:dyDescent="0.25">
      <c r="A1244" s="32">
        <v>46248</v>
      </c>
      <c r="B1244" s="33" t="s">
        <v>516</v>
      </c>
      <c r="C1244" s="33" t="s">
        <v>147</v>
      </c>
      <c r="D1244" s="33" t="s">
        <v>32</v>
      </c>
      <c r="E1244">
        <v>8</v>
      </c>
      <c r="F1244" s="34">
        <v>1.7719907407407406E-2</v>
      </c>
      <c r="G1244" s="34">
        <v>2.2149884259259258E-3</v>
      </c>
      <c r="H1244" s="33" t="s">
        <v>156</v>
      </c>
      <c r="I1244" s="33" t="s">
        <v>146</v>
      </c>
    </row>
    <row r="1245" spans="1:9" x14ac:dyDescent="0.25">
      <c r="A1245" s="32">
        <v>46248</v>
      </c>
      <c r="B1245" s="33" t="s">
        <v>541</v>
      </c>
      <c r="C1245" s="33" t="s">
        <v>105</v>
      </c>
      <c r="D1245" s="33" t="s">
        <v>105</v>
      </c>
      <c r="E1245">
        <v>4</v>
      </c>
      <c r="F1245" s="34">
        <v>4.3483796296296298E-2</v>
      </c>
      <c r="G1245" s="34">
        <v>1.0870949074074075E-2</v>
      </c>
      <c r="H1245" s="33" t="s">
        <v>114</v>
      </c>
      <c r="I1245" s="33" t="s">
        <v>104</v>
      </c>
    </row>
    <row r="1246" spans="1:9" x14ac:dyDescent="0.25">
      <c r="A1246" s="32">
        <v>46248</v>
      </c>
      <c r="B1246" s="33" t="s">
        <v>506</v>
      </c>
      <c r="C1246" s="33" t="s">
        <v>32</v>
      </c>
      <c r="D1246" s="33" t="s">
        <v>32</v>
      </c>
      <c r="E1246">
        <v>37</v>
      </c>
      <c r="F1246" s="34">
        <v>0.18479166666666666</v>
      </c>
      <c r="G1246" s="34">
        <v>4.9943693693693695E-3</v>
      </c>
      <c r="H1246" s="33" t="s">
        <v>44</v>
      </c>
      <c r="I1246" s="33" t="s">
        <v>100</v>
      </c>
    </row>
    <row r="1247" spans="1:9" x14ac:dyDescent="0.25">
      <c r="A1247" s="32">
        <v>46248</v>
      </c>
      <c r="B1247" s="33" t="s">
        <v>646</v>
      </c>
      <c r="C1247" s="33" t="s">
        <v>32</v>
      </c>
      <c r="D1247" s="33" t="s">
        <v>32</v>
      </c>
      <c r="E1247">
        <v>41</v>
      </c>
      <c r="F1247" s="34">
        <v>0.19718749999999999</v>
      </c>
      <c r="G1247" s="34">
        <v>4.8094512195121951E-3</v>
      </c>
      <c r="H1247" s="33" t="s">
        <v>645</v>
      </c>
      <c r="I1247" s="33" t="s">
        <v>100</v>
      </c>
    </row>
    <row r="1248" spans="1:9" x14ac:dyDescent="0.25">
      <c r="A1248" s="32">
        <v>46248</v>
      </c>
      <c r="B1248" s="33" t="s">
        <v>544</v>
      </c>
      <c r="C1248" s="33" t="s">
        <v>147</v>
      </c>
      <c r="D1248" s="33" t="s">
        <v>147</v>
      </c>
      <c r="E1248">
        <v>7</v>
      </c>
      <c r="F1248" s="34">
        <v>2.4120370370370372E-2</v>
      </c>
      <c r="G1248" s="34">
        <v>3.445767195767196E-3</v>
      </c>
      <c r="H1248" s="33" t="s">
        <v>160</v>
      </c>
      <c r="I1248" s="33" t="s">
        <v>146</v>
      </c>
    </row>
    <row r="1249" spans="1:9" x14ac:dyDescent="0.25">
      <c r="A1249" s="32">
        <v>46248</v>
      </c>
      <c r="B1249" s="33" t="s">
        <v>544</v>
      </c>
      <c r="C1249" s="33" t="s">
        <v>147</v>
      </c>
      <c r="D1249" s="33" t="s">
        <v>32</v>
      </c>
      <c r="E1249">
        <v>7</v>
      </c>
      <c r="F1249" s="34">
        <v>5.6365740740740742E-3</v>
      </c>
      <c r="G1249" s="34">
        <v>8.0522486772486776E-4</v>
      </c>
      <c r="H1249" s="33" t="s">
        <v>160</v>
      </c>
      <c r="I1249" s="33" t="s">
        <v>146</v>
      </c>
    </row>
    <row r="1250" spans="1:9" x14ac:dyDescent="0.25">
      <c r="A1250" s="32">
        <v>46248</v>
      </c>
      <c r="B1250" s="33" t="s">
        <v>558</v>
      </c>
      <c r="C1250" s="33" t="s">
        <v>32</v>
      </c>
      <c r="D1250" s="33" t="s">
        <v>32</v>
      </c>
      <c r="E1250">
        <v>37</v>
      </c>
      <c r="F1250" s="34">
        <v>8.3344907407407409E-2</v>
      </c>
      <c r="G1250" s="34">
        <v>2.2525650650650651E-3</v>
      </c>
      <c r="H1250" s="33" t="s">
        <v>120</v>
      </c>
      <c r="I1250" s="33" t="s">
        <v>233</v>
      </c>
    </row>
    <row r="1251" spans="1:9" x14ac:dyDescent="0.25">
      <c r="A1251" s="32">
        <v>46248</v>
      </c>
      <c r="B1251" s="33" t="s">
        <v>507</v>
      </c>
      <c r="C1251" s="33" t="s">
        <v>32</v>
      </c>
      <c r="D1251" s="33" t="s">
        <v>32</v>
      </c>
      <c r="E1251">
        <v>37</v>
      </c>
      <c r="F1251" s="34">
        <v>0.1872800925925926</v>
      </c>
      <c r="G1251" s="34">
        <v>5.061624124124124E-3</v>
      </c>
      <c r="H1251" s="33" t="s">
        <v>46</v>
      </c>
      <c r="I1251" s="33" t="s">
        <v>100</v>
      </c>
    </row>
    <row r="1252" spans="1:9" x14ac:dyDescent="0.25">
      <c r="A1252" s="32">
        <v>46248</v>
      </c>
      <c r="B1252" s="33" t="s">
        <v>542</v>
      </c>
      <c r="C1252" s="33" t="s">
        <v>105</v>
      </c>
      <c r="D1252" s="33" t="s">
        <v>105</v>
      </c>
      <c r="E1252">
        <v>2</v>
      </c>
      <c r="F1252" s="34">
        <v>3.0034722222222223E-2</v>
      </c>
      <c r="G1252" s="34">
        <v>1.5017361111111112E-2</v>
      </c>
      <c r="H1252" s="33" t="s">
        <v>287</v>
      </c>
      <c r="I1252" s="33" t="s">
        <v>104</v>
      </c>
    </row>
    <row r="1253" spans="1:9" x14ac:dyDescent="0.25">
      <c r="A1253" s="32">
        <v>46248</v>
      </c>
      <c r="B1253" s="33" t="s">
        <v>517</v>
      </c>
      <c r="C1253" s="33" t="s">
        <v>147</v>
      </c>
      <c r="D1253" s="33" t="s">
        <v>147</v>
      </c>
      <c r="E1253">
        <v>6</v>
      </c>
      <c r="F1253" s="34">
        <v>2.7152777777777779E-2</v>
      </c>
      <c r="G1253" s="34">
        <v>4.5254629629629629E-3</v>
      </c>
      <c r="H1253" s="33" t="s">
        <v>499</v>
      </c>
      <c r="I1253" s="33" t="s">
        <v>146</v>
      </c>
    </row>
    <row r="1254" spans="1:9" x14ac:dyDescent="0.25">
      <c r="A1254" s="32">
        <v>46248</v>
      </c>
      <c r="B1254" s="33" t="s">
        <v>517</v>
      </c>
      <c r="C1254" s="33" t="s">
        <v>147</v>
      </c>
      <c r="D1254" s="33" t="s">
        <v>32</v>
      </c>
      <c r="E1254">
        <v>6</v>
      </c>
      <c r="F1254" s="34">
        <v>3.7835648148148146E-2</v>
      </c>
      <c r="G1254" s="34">
        <v>6.3059413580246913E-3</v>
      </c>
      <c r="H1254" s="33" t="s">
        <v>499</v>
      </c>
      <c r="I1254" s="33" t="s">
        <v>146</v>
      </c>
    </row>
    <row r="1255" spans="1:9" x14ac:dyDescent="0.25">
      <c r="A1255" s="32">
        <v>46248</v>
      </c>
      <c r="B1255" s="33" t="s">
        <v>648</v>
      </c>
      <c r="C1255" s="33" t="s">
        <v>32</v>
      </c>
      <c r="D1255" s="33" t="s">
        <v>32</v>
      </c>
      <c r="E1255">
        <v>29</v>
      </c>
      <c r="F1255" s="34">
        <v>0.10212962962962963</v>
      </c>
      <c r="G1255" s="34">
        <v>3.5217113665389527E-3</v>
      </c>
      <c r="H1255" s="33" t="s">
        <v>647</v>
      </c>
      <c r="I1255" s="33" t="s">
        <v>233</v>
      </c>
    </row>
    <row r="1256" spans="1:9" x14ac:dyDescent="0.25">
      <c r="A1256" s="32">
        <v>46248</v>
      </c>
      <c r="B1256" s="33" t="s">
        <v>650</v>
      </c>
      <c r="C1256" s="33" t="s">
        <v>105</v>
      </c>
      <c r="D1256" s="33" t="s">
        <v>105</v>
      </c>
      <c r="E1256">
        <v>4</v>
      </c>
      <c r="F1256" s="34">
        <v>8.307870370370371E-2</v>
      </c>
      <c r="G1256" s="34">
        <v>2.0769675925925928E-2</v>
      </c>
      <c r="H1256" s="33" t="s">
        <v>649</v>
      </c>
      <c r="I1256" s="33" t="s">
        <v>104</v>
      </c>
    </row>
    <row r="1257" spans="1:9" x14ac:dyDescent="0.25">
      <c r="A1257" s="32">
        <v>46248</v>
      </c>
      <c r="B1257" s="33" t="s">
        <v>568</v>
      </c>
      <c r="C1257" s="33" t="s">
        <v>32</v>
      </c>
      <c r="D1257" s="33" t="s">
        <v>32</v>
      </c>
      <c r="E1257">
        <v>49</v>
      </c>
      <c r="F1257" s="34">
        <v>0.14246527777777779</v>
      </c>
      <c r="G1257" s="34">
        <v>2.9074546485260773E-3</v>
      </c>
      <c r="H1257" s="33" t="s">
        <v>246</v>
      </c>
      <c r="I1257" s="33" t="s">
        <v>233</v>
      </c>
    </row>
    <row r="1258" spans="1:9" x14ac:dyDescent="0.25">
      <c r="A1258" s="32">
        <v>46248</v>
      </c>
      <c r="B1258" s="33" t="s">
        <v>508</v>
      </c>
      <c r="C1258" s="33" t="s">
        <v>32</v>
      </c>
      <c r="D1258" s="33" t="s">
        <v>32</v>
      </c>
      <c r="E1258">
        <v>42</v>
      </c>
      <c r="F1258" s="34">
        <v>0.1307638888888889</v>
      </c>
      <c r="G1258" s="34">
        <v>3.1134259259259262E-3</v>
      </c>
      <c r="H1258" s="33" t="s">
        <v>48</v>
      </c>
      <c r="I1258" s="33" t="s">
        <v>100</v>
      </c>
    </row>
    <row r="1259" spans="1:9" x14ac:dyDescent="0.25">
      <c r="A1259" s="32">
        <v>46248</v>
      </c>
      <c r="B1259" s="33" t="s">
        <v>538</v>
      </c>
      <c r="C1259" s="33" t="s">
        <v>32</v>
      </c>
      <c r="D1259" s="33" t="s">
        <v>32</v>
      </c>
      <c r="E1259">
        <v>6</v>
      </c>
      <c r="F1259" s="34">
        <v>3.0173611111111109E-2</v>
      </c>
      <c r="G1259" s="34">
        <v>5.0289351851851849E-3</v>
      </c>
      <c r="H1259" s="33" t="s">
        <v>50</v>
      </c>
      <c r="I1259" s="33" t="s">
        <v>100</v>
      </c>
    </row>
    <row r="1260" spans="1:9" x14ac:dyDescent="0.25">
      <c r="A1260" s="32">
        <v>46248</v>
      </c>
      <c r="B1260" s="33" t="s">
        <v>603</v>
      </c>
      <c r="C1260" s="33" t="s">
        <v>32</v>
      </c>
      <c r="D1260" s="33" t="s">
        <v>32</v>
      </c>
      <c r="E1260">
        <v>35</v>
      </c>
      <c r="F1260" s="34">
        <v>0.12356481481481481</v>
      </c>
      <c r="G1260" s="34">
        <v>3.5304232804232801E-3</v>
      </c>
      <c r="H1260" s="33" t="s">
        <v>242</v>
      </c>
      <c r="I1260" s="33" t="s">
        <v>233</v>
      </c>
    </row>
    <row r="1261" spans="1:9" x14ac:dyDescent="0.25">
      <c r="A1261" s="32">
        <v>46248</v>
      </c>
      <c r="B1261" s="33" t="s">
        <v>559</v>
      </c>
      <c r="C1261" s="33" t="s">
        <v>105</v>
      </c>
      <c r="D1261" s="33" t="s">
        <v>105</v>
      </c>
      <c r="E1261">
        <v>3</v>
      </c>
      <c r="F1261" s="34">
        <v>3.878472222222222E-2</v>
      </c>
      <c r="G1261" s="34">
        <v>1.292824074074074E-2</v>
      </c>
      <c r="H1261" s="33" t="s">
        <v>289</v>
      </c>
      <c r="I1261" s="33" t="s">
        <v>104</v>
      </c>
    </row>
    <row r="1262" spans="1:9" x14ac:dyDescent="0.25">
      <c r="A1262" s="32">
        <v>46248</v>
      </c>
      <c r="B1262" s="33" t="s">
        <v>518</v>
      </c>
      <c r="C1262" s="33" t="s">
        <v>147</v>
      </c>
      <c r="D1262" s="33" t="s">
        <v>147</v>
      </c>
      <c r="E1262">
        <v>8</v>
      </c>
      <c r="F1262" s="34">
        <v>3.9155092592592596E-2</v>
      </c>
      <c r="G1262" s="34">
        <v>4.8943865740740744E-3</v>
      </c>
      <c r="H1262" s="33" t="s">
        <v>500</v>
      </c>
      <c r="I1262" s="33" t="s">
        <v>274</v>
      </c>
    </row>
    <row r="1263" spans="1:9" x14ac:dyDescent="0.25">
      <c r="A1263" s="32">
        <v>46248</v>
      </c>
      <c r="B1263" s="33" t="s">
        <v>518</v>
      </c>
      <c r="C1263" s="33" t="s">
        <v>147</v>
      </c>
      <c r="D1263" s="33" t="s">
        <v>32</v>
      </c>
      <c r="E1263">
        <v>2</v>
      </c>
      <c r="F1263" s="34">
        <v>1.6840277777777777E-2</v>
      </c>
      <c r="G1263" s="34">
        <v>8.4201388888888885E-3</v>
      </c>
      <c r="H1263" s="33" t="s">
        <v>500</v>
      </c>
      <c r="I1263" s="33" t="s">
        <v>274</v>
      </c>
    </row>
    <row r="1264" spans="1:9" x14ac:dyDescent="0.25">
      <c r="A1264" s="32">
        <v>46248</v>
      </c>
      <c r="B1264" s="33" t="s">
        <v>684</v>
      </c>
      <c r="C1264" s="33" t="s">
        <v>32</v>
      </c>
      <c r="D1264" s="33" t="s">
        <v>32</v>
      </c>
      <c r="E1264">
        <v>30</v>
      </c>
      <c r="F1264" s="34">
        <v>8.3344907407407409E-2</v>
      </c>
      <c r="G1264" s="34">
        <v>2.7781635802469136E-3</v>
      </c>
      <c r="H1264" s="33" t="s">
        <v>683</v>
      </c>
      <c r="I1264" s="33" t="s">
        <v>233</v>
      </c>
    </row>
    <row r="1265" spans="1:9" x14ac:dyDescent="0.25">
      <c r="A1265" s="32">
        <v>46248</v>
      </c>
      <c r="B1265" s="33" t="s">
        <v>654</v>
      </c>
      <c r="C1265" s="33" t="s">
        <v>32</v>
      </c>
      <c r="D1265" s="33" t="s">
        <v>32</v>
      </c>
      <c r="E1265">
        <v>33</v>
      </c>
      <c r="F1265" s="34">
        <v>0.16809027777777777</v>
      </c>
      <c r="G1265" s="34">
        <v>5.0936447811447813E-3</v>
      </c>
      <c r="H1265" s="33" t="s">
        <v>653</v>
      </c>
      <c r="I1265" s="33" t="s">
        <v>100</v>
      </c>
    </row>
    <row r="1266" spans="1:9" x14ac:dyDescent="0.25">
      <c r="A1266" s="32">
        <v>46248</v>
      </c>
      <c r="B1266" s="33" t="s">
        <v>509</v>
      </c>
      <c r="C1266" s="33" t="s">
        <v>32</v>
      </c>
      <c r="D1266" s="33" t="s">
        <v>32</v>
      </c>
      <c r="E1266">
        <v>3</v>
      </c>
      <c r="F1266" s="34">
        <v>1.2800925925925926E-2</v>
      </c>
      <c r="G1266" s="34">
        <v>4.2669753086419749E-3</v>
      </c>
      <c r="H1266" s="33" t="s">
        <v>52</v>
      </c>
      <c r="I1266" s="33" t="s">
        <v>100</v>
      </c>
    </row>
    <row r="1267" spans="1:9" x14ac:dyDescent="0.25">
      <c r="A1267" s="32">
        <v>46248</v>
      </c>
      <c r="B1267" s="33" t="s">
        <v>519</v>
      </c>
      <c r="C1267" s="33" t="s">
        <v>147</v>
      </c>
      <c r="D1267" s="33" t="s">
        <v>147</v>
      </c>
      <c r="E1267">
        <v>15</v>
      </c>
      <c r="F1267" s="34">
        <v>1.9467592592592592E-2</v>
      </c>
      <c r="G1267" s="34">
        <v>1.2978395061728394E-3</v>
      </c>
      <c r="H1267" s="33" t="s">
        <v>164</v>
      </c>
      <c r="I1267" s="33" t="s">
        <v>146</v>
      </c>
    </row>
    <row r="1268" spans="1:9" x14ac:dyDescent="0.25">
      <c r="A1268" s="32">
        <v>46248</v>
      </c>
      <c r="B1268" s="33" t="s">
        <v>519</v>
      </c>
      <c r="C1268" s="33" t="s">
        <v>147</v>
      </c>
      <c r="D1268" s="33" t="s">
        <v>32</v>
      </c>
      <c r="E1268">
        <v>11</v>
      </c>
      <c r="F1268" s="34">
        <v>1.0543981481481482E-2</v>
      </c>
      <c r="G1268" s="34">
        <v>9.5854377104377111E-4</v>
      </c>
      <c r="H1268" s="33" t="s">
        <v>164</v>
      </c>
      <c r="I1268" s="33" t="s">
        <v>146</v>
      </c>
    </row>
    <row r="1269" spans="1:9" x14ac:dyDescent="0.25">
      <c r="A1269" s="32">
        <v>46248</v>
      </c>
      <c r="B1269" s="33" t="s">
        <v>656</v>
      </c>
      <c r="C1269" s="33" t="s">
        <v>32</v>
      </c>
      <c r="D1269" s="33" t="s">
        <v>32</v>
      </c>
      <c r="E1269">
        <v>39</v>
      </c>
      <c r="F1269" s="34">
        <v>0.15468750000000001</v>
      </c>
      <c r="G1269" s="34">
        <v>3.9663461538461536E-3</v>
      </c>
      <c r="H1269" s="33" t="s">
        <v>655</v>
      </c>
      <c r="I1269" s="33" t="s">
        <v>100</v>
      </c>
    </row>
    <row r="1270" spans="1:9" x14ac:dyDescent="0.25">
      <c r="A1270" s="32">
        <v>46248</v>
      </c>
      <c r="B1270" s="33" t="s">
        <v>167</v>
      </c>
      <c r="C1270" s="33" t="s">
        <v>147</v>
      </c>
      <c r="D1270" s="33" t="s">
        <v>147</v>
      </c>
      <c r="E1270">
        <v>10</v>
      </c>
      <c r="F1270" s="34">
        <v>3.4178240740740738E-2</v>
      </c>
      <c r="G1270" s="34">
        <v>3.417824074074074E-3</v>
      </c>
      <c r="H1270" s="33" t="s">
        <v>166</v>
      </c>
      <c r="I1270" s="33" t="s">
        <v>146</v>
      </c>
    </row>
    <row r="1271" spans="1:9" x14ac:dyDescent="0.25">
      <c r="A1271" s="32">
        <v>46248</v>
      </c>
      <c r="B1271" s="33" t="s">
        <v>167</v>
      </c>
      <c r="C1271" s="33" t="s">
        <v>147</v>
      </c>
      <c r="D1271" s="33" t="s">
        <v>32</v>
      </c>
      <c r="E1271">
        <v>6</v>
      </c>
      <c r="F1271" s="34">
        <v>5.9490740740740745E-3</v>
      </c>
      <c r="G1271" s="34">
        <v>9.9151234567901249E-4</v>
      </c>
      <c r="H1271" s="33" t="s">
        <v>166</v>
      </c>
      <c r="I1271" s="33" t="s">
        <v>146</v>
      </c>
    </row>
    <row r="1272" spans="1:9" x14ac:dyDescent="0.25">
      <c r="A1272" s="32">
        <v>46248</v>
      </c>
      <c r="B1272" s="33" t="s">
        <v>658</v>
      </c>
      <c r="C1272" s="33" t="s">
        <v>147</v>
      </c>
      <c r="D1272" s="33" t="s">
        <v>147</v>
      </c>
      <c r="E1272">
        <v>5</v>
      </c>
      <c r="F1272" s="34">
        <v>1.193287037037037E-2</v>
      </c>
      <c r="G1272" s="34">
        <v>2.3865740740740739E-3</v>
      </c>
      <c r="H1272" s="33" t="s">
        <v>657</v>
      </c>
      <c r="I1272" s="33" t="s">
        <v>274</v>
      </c>
    </row>
    <row r="1273" spans="1:9" x14ac:dyDescent="0.25">
      <c r="A1273" s="32">
        <v>46248</v>
      </c>
      <c r="B1273" s="33" t="s">
        <v>658</v>
      </c>
      <c r="C1273" s="33" t="s">
        <v>147</v>
      </c>
      <c r="D1273" s="33" t="s">
        <v>32</v>
      </c>
      <c r="E1273">
        <v>7</v>
      </c>
      <c r="F1273" s="34">
        <v>2.4594907407407409E-2</v>
      </c>
      <c r="G1273" s="34">
        <v>3.5135582010582013E-3</v>
      </c>
      <c r="H1273" s="33" t="s">
        <v>657</v>
      </c>
      <c r="I1273" s="33" t="s">
        <v>274</v>
      </c>
    </row>
    <row r="1274" spans="1:9" x14ac:dyDescent="0.25">
      <c r="A1274" s="32">
        <v>46248</v>
      </c>
      <c r="B1274" s="33" t="s">
        <v>660</v>
      </c>
      <c r="C1274" s="33" t="s">
        <v>32</v>
      </c>
      <c r="D1274" s="33" t="s">
        <v>32</v>
      </c>
      <c r="E1274">
        <v>6</v>
      </c>
      <c r="F1274" s="34">
        <v>4.9375000000000002E-2</v>
      </c>
      <c r="G1274" s="34">
        <v>8.2291666666666676E-3</v>
      </c>
      <c r="H1274" s="33" t="s">
        <v>659</v>
      </c>
      <c r="I1274" s="33" t="s">
        <v>100</v>
      </c>
    </row>
    <row r="1275" spans="1:9" x14ac:dyDescent="0.25">
      <c r="A1275" s="32">
        <v>46248</v>
      </c>
      <c r="B1275" s="33" t="s">
        <v>528</v>
      </c>
      <c r="C1275" s="33" t="s">
        <v>32</v>
      </c>
      <c r="D1275" s="33" t="s">
        <v>32</v>
      </c>
      <c r="E1275">
        <v>18</v>
      </c>
      <c r="F1275" s="34">
        <v>8.3182870370370365E-2</v>
      </c>
      <c r="G1275" s="34">
        <v>4.6212705761316869E-3</v>
      </c>
      <c r="H1275" s="33" t="s">
        <v>254</v>
      </c>
      <c r="I1275" s="33" t="s">
        <v>233</v>
      </c>
    </row>
    <row r="1276" spans="1:9" x14ac:dyDescent="0.25">
      <c r="A1276" s="32">
        <v>46248</v>
      </c>
      <c r="B1276" s="33" t="s">
        <v>545</v>
      </c>
      <c r="C1276" s="33" t="s">
        <v>600</v>
      </c>
      <c r="D1276" s="33" t="s">
        <v>600</v>
      </c>
      <c r="E1276">
        <v>26</v>
      </c>
      <c r="F1276" s="34">
        <v>5.6574074074074075E-2</v>
      </c>
      <c r="G1276" s="34">
        <v>2.1759259259259258E-3</v>
      </c>
      <c r="H1276" s="33" t="s">
        <v>201</v>
      </c>
      <c r="I1276" s="33" t="s">
        <v>601</v>
      </c>
    </row>
    <row r="1277" spans="1:9" x14ac:dyDescent="0.25">
      <c r="A1277" s="32">
        <v>46248</v>
      </c>
      <c r="B1277" s="33" t="s">
        <v>520</v>
      </c>
      <c r="C1277" s="33" t="s">
        <v>147</v>
      </c>
      <c r="D1277" s="33" t="s">
        <v>147</v>
      </c>
      <c r="E1277">
        <v>13</v>
      </c>
      <c r="F1277" s="34">
        <v>2.6064814814814815E-2</v>
      </c>
      <c r="G1277" s="34">
        <v>2.0049857549857548E-3</v>
      </c>
      <c r="H1277" s="33" t="s">
        <v>168</v>
      </c>
      <c r="I1277" s="33" t="s">
        <v>274</v>
      </c>
    </row>
    <row r="1278" spans="1:9" x14ac:dyDescent="0.25">
      <c r="A1278" s="32">
        <v>46248</v>
      </c>
      <c r="B1278" s="33" t="s">
        <v>520</v>
      </c>
      <c r="C1278" s="33" t="s">
        <v>147</v>
      </c>
      <c r="D1278" s="33" t="s">
        <v>32</v>
      </c>
      <c r="E1278">
        <v>1</v>
      </c>
      <c r="F1278" s="34">
        <v>8.2175925925925927E-4</v>
      </c>
      <c r="G1278" s="34">
        <v>8.2175925925925927E-4</v>
      </c>
      <c r="H1278" s="33" t="s">
        <v>168</v>
      </c>
      <c r="I1278" s="33" t="s">
        <v>274</v>
      </c>
    </row>
    <row r="1279" spans="1:9" x14ac:dyDescent="0.25">
      <c r="A1279" s="32">
        <v>46248</v>
      </c>
      <c r="B1279" s="33" t="s">
        <v>521</v>
      </c>
      <c r="C1279" s="33" t="s">
        <v>147</v>
      </c>
      <c r="D1279" s="33" t="s">
        <v>147</v>
      </c>
      <c r="E1279">
        <v>12</v>
      </c>
      <c r="F1279" s="34">
        <v>4.2719907407407408E-2</v>
      </c>
      <c r="G1279" s="34">
        <v>3.5599922839506175E-3</v>
      </c>
      <c r="H1279" s="33" t="s">
        <v>170</v>
      </c>
      <c r="I1279" s="33" t="s">
        <v>146</v>
      </c>
    </row>
    <row r="1280" spans="1:9" x14ac:dyDescent="0.25">
      <c r="A1280" s="32">
        <v>46248</v>
      </c>
      <c r="B1280" s="33" t="s">
        <v>521</v>
      </c>
      <c r="C1280" s="33" t="s">
        <v>147</v>
      </c>
      <c r="D1280" s="33" t="s">
        <v>32</v>
      </c>
      <c r="E1280">
        <v>3</v>
      </c>
      <c r="F1280" s="34">
        <v>1.8576388888888889E-2</v>
      </c>
      <c r="G1280" s="34">
        <v>6.1921296296296299E-3</v>
      </c>
      <c r="H1280" s="33" t="s">
        <v>170</v>
      </c>
      <c r="I1280" s="33" t="s">
        <v>146</v>
      </c>
    </row>
    <row r="1281" spans="1:9" x14ac:dyDescent="0.25">
      <c r="A1281" s="32">
        <v>46248</v>
      </c>
      <c r="B1281" s="33" t="s">
        <v>543</v>
      </c>
      <c r="C1281" s="33" t="s">
        <v>600</v>
      </c>
      <c r="D1281" s="33" t="s">
        <v>600</v>
      </c>
      <c r="E1281">
        <v>27</v>
      </c>
      <c r="F1281" s="34">
        <v>0.10400462962962963</v>
      </c>
      <c r="G1281" s="34">
        <v>3.8520233196159123E-3</v>
      </c>
      <c r="H1281" s="33" t="s">
        <v>293</v>
      </c>
      <c r="I1281" s="33" t="s">
        <v>104</v>
      </c>
    </row>
    <row r="1282" spans="1:9" x14ac:dyDescent="0.25">
      <c r="A1282" s="32">
        <v>46248</v>
      </c>
      <c r="B1282" s="33" t="s">
        <v>633</v>
      </c>
      <c r="C1282" s="33" t="s">
        <v>147</v>
      </c>
      <c r="D1282" s="33" t="s">
        <v>147</v>
      </c>
      <c r="E1282">
        <v>3</v>
      </c>
      <c r="F1282" s="34">
        <v>1.2974537037037038E-2</v>
      </c>
      <c r="G1282" s="34">
        <v>4.3248456790123463E-3</v>
      </c>
      <c r="H1282" s="33" t="s">
        <v>606</v>
      </c>
      <c r="I1282" s="33" t="s">
        <v>146</v>
      </c>
    </row>
    <row r="1283" spans="1:9" x14ac:dyDescent="0.25">
      <c r="A1283" s="32">
        <v>46248</v>
      </c>
      <c r="B1283" s="33" t="s">
        <v>633</v>
      </c>
      <c r="C1283" s="33" t="s">
        <v>147</v>
      </c>
      <c r="D1283" s="33" t="s">
        <v>32</v>
      </c>
      <c r="E1283">
        <v>5</v>
      </c>
      <c r="F1283" s="34">
        <v>3.3761574074074076E-2</v>
      </c>
      <c r="G1283" s="34">
        <v>6.7523148148148152E-3</v>
      </c>
      <c r="H1283" s="33" t="s">
        <v>606</v>
      </c>
      <c r="I1283" s="33" t="s">
        <v>146</v>
      </c>
    </row>
    <row r="1284" spans="1:9" x14ac:dyDescent="0.25">
      <c r="A1284" s="32">
        <v>46248</v>
      </c>
      <c r="B1284" s="33" t="s">
        <v>634</v>
      </c>
      <c r="C1284" s="33" t="s">
        <v>105</v>
      </c>
      <c r="D1284" s="33" t="s">
        <v>32</v>
      </c>
      <c r="E1284">
        <v>1</v>
      </c>
      <c r="F1284" s="34">
        <v>1.2997685185185185E-2</v>
      </c>
      <c r="G1284" s="34">
        <v>1.2997685185185185E-2</v>
      </c>
      <c r="H1284" s="33" t="s">
        <v>612</v>
      </c>
      <c r="I1284" s="33" t="s">
        <v>601</v>
      </c>
    </row>
    <row r="1285" spans="1:9" x14ac:dyDescent="0.25">
      <c r="A1285" s="32">
        <v>46248</v>
      </c>
      <c r="B1285" s="33" t="s">
        <v>529</v>
      </c>
      <c r="C1285" s="33" t="s">
        <v>32</v>
      </c>
      <c r="D1285" s="33" t="s">
        <v>32</v>
      </c>
      <c r="E1285">
        <v>18</v>
      </c>
      <c r="F1285" s="34">
        <v>7.72337962962963E-2</v>
      </c>
      <c r="G1285" s="34">
        <v>4.29076646090535E-3</v>
      </c>
      <c r="H1285" s="33" t="s">
        <v>256</v>
      </c>
      <c r="I1285" s="33" t="s">
        <v>233</v>
      </c>
    </row>
    <row r="1286" spans="1:9" x14ac:dyDescent="0.25">
      <c r="A1286" s="32">
        <v>46248</v>
      </c>
      <c r="B1286" s="33" t="s">
        <v>554</v>
      </c>
      <c r="C1286" s="33" t="s">
        <v>32</v>
      </c>
      <c r="D1286" s="33" t="s">
        <v>32</v>
      </c>
      <c r="E1286">
        <v>1</v>
      </c>
      <c r="F1286" s="34">
        <v>1.1319444444444444E-2</v>
      </c>
      <c r="G1286" s="34">
        <v>1.1319444444444444E-2</v>
      </c>
      <c r="H1286" s="33" t="s">
        <v>258</v>
      </c>
      <c r="I1286" s="33" t="s">
        <v>233</v>
      </c>
    </row>
    <row r="1287" spans="1:9" x14ac:dyDescent="0.25">
      <c r="A1287" s="32">
        <v>46248</v>
      </c>
      <c r="B1287" s="33" t="s">
        <v>662</v>
      </c>
      <c r="C1287" s="33" t="s">
        <v>32</v>
      </c>
      <c r="D1287" s="33" t="s">
        <v>32</v>
      </c>
      <c r="E1287">
        <v>29</v>
      </c>
      <c r="F1287" s="34">
        <v>0.16571759259259258</v>
      </c>
      <c r="G1287" s="34">
        <v>5.7143997445721576E-3</v>
      </c>
      <c r="H1287" s="33" t="s">
        <v>661</v>
      </c>
      <c r="I1287" s="33" t="s">
        <v>100</v>
      </c>
    </row>
    <row r="1288" spans="1:9" x14ac:dyDescent="0.25">
      <c r="A1288" s="32">
        <v>46248</v>
      </c>
      <c r="B1288" s="33" t="s">
        <v>664</v>
      </c>
      <c r="C1288" s="33" t="s">
        <v>32</v>
      </c>
      <c r="D1288" s="33" t="s">
        <v>32</v>
      </c>
      <c r="E1288">
        <v>19</v>
      </c>
      <c r="F1288" s="34">
        <v>0.14467592592592593</v>
      </c>
      <c r="G1288" s="34">
        <v>7.6145224171539965E-3</v>
      </c>
      <c r="H1288" s="33" t="s">
        <v>663</v>
      </c>
      <c r="I1288" s="33" t="s">
        <v>233</v>
      </c>
    </row>
    <row r="1289" spans="1:9" x14ac:dyDescent="0.25">
      <c r="A1289" s="32">
        <v>46248</v>
      </c>
      <c r="B1289" s="33" t="s">
        <v>666</v>
      </c>
      <c r="C1289" s="33" t="s">
        <v>32</v>
      </c>
      <c r="D1289" s="33" t="s">
        <v>32</v>
      </c>
      <c r="E1289">
        <v>30</v>
      </c>
      <c r="F1289" s="34">
        <v>0.18457175925925925</v>
      </c>
      <c r="G1289" s="34">
        <v>6.1523919753086421E-3</v>
      </c>
      <c r="H1289" s="33" t="s">
        <v>665</v>
      </c>
      <c r="I1289" s="33" t="s">
        <v>100</v>
      </c>
    </row>
    <row r="1290" spans="1:9" x14ac:dyDescent="0.25">
      <c r="A1290" s="32">
        <v>46248</v>
      </c>
      <c r="B1290" s="33" t="s">
        <v>555</v>
      </c>
      <c r="C1290" s="33" t="s">
        <v>32</v>
      </c>
      <c r="D1290" s="33" t="s">
        <v>32</v>
      </c>
      <c r="E1290">
        <v>27</v>
      </c>
      <c r="F1290" s="34">
        <v>9.0057870370370371E-2</v>
      </c>
      <c r="G1290" s="34">
        <v>3.335476680384088E-3</v>
      </c>
      <c r="H1290" s="33" t="s">
        <v>128</v>
      </c>
      <c r="I1290" s="33" t="s">
        <v>233</v>
      </c>
    </row>
    <row r="1291" spans="1:9" x14ac:dyDescent="0.25">
      <c r="A1291" s="32">
        <v>46248</v>
      </c>
      <c r="B1291" s="33" t="s">
        <v>522</v>
      </c>
      <c r="C1291" s="33" t="s">
        <v>147</v>
      </c>
      <c r="D1291" s="33" t="s">
        <v>147</v>
      </c>
      <c r="E1291">
        <v>6</v>
      </c>
      <c r="F1291" s="34">
        <v>2.2650462962962963E-2</v>
      </c>
      <c r="G1291" s="34">
        <v>3.7750771604938269E-3</v>
      </c>
      <c r="H1291" s="33" t="s">
        <v>178</v>
      </c>
      <c r="I1291" s="33" t="s">
        <v>146</v>
      </c>
    </row>
    <row r="1292" spans="1:9" x14ac:dyDescent="0.25">
      <c r="A1292" s="32">
        <v>46248</v>
      </c>
      <c r="B1292" s="33" t="s">
        <v>522</v>
      </c>
      <c r="C1292" s="33" t="s">
        <v>147</v>
      </c>
      <c r="D1292" s="33" t="s">
        <v>32</v>
      </c>
      <c r="E1292">
        <v>7</v>
      </c>
      <c r="F1292" s="34">
        <v>1.2835648148148148E-2</v>
      </c>
      <c r="G1292" s="34">
        <v>1.8336640211640211E-3</v>
      </c>
      <c r="H1292" s="33" t="s">
        <v>178</v>
      </c>
      <c r="I1292" s="33" t="s">
        <v>146</v>
      </c>
    </row>
    <row r="1293" spans="1:9" x14ac:dyDescent="0.25">
      <c r="A1293" s="32">
        <v>46248</v>
      </c>
      <c r="B1293" s="33" t="s">
        <v>667</v>
      </c>
      <c r="C1293" s="33" t="s">
        <v>105</v>
      </c>
      <c r="D1293" s="33" t="s">
        <v>105</v>
      </c>
      <c r="E1293">
        <v>3</v>
      </c>
      <c r="F1293" s="34">
        <v>3.6284722222222225E-2</v>
      </c>
      <c r="G1293" s="34">
        <v>1.2094907407407408E-2</v>
      </c>
      <c r="H1293" s="33" t="s">
        <v>297</v>
      </c>
      <c r="I1293" s="33" t="s">
        <v>104</v>
      </c>
    </row>
    <row r="1294" spans="1:9" x14ac:dyDescent="0.25">
      <c r="A1294" s="32">
        <v>46248</v>
      </c>
      <c r="B1294" s="33" t="s">
        <v>635</v>
      </c>
      <c r="C1294" s="33" t="s">
        <v>105</v>
      </c>
      <c r="D1294" s="33" t="s">
        <v>32</v>
      </c>
      <c r="E1294">
        <v>1</v>
      </c>
      <c r="F1294" s="34">
        <v>4.4907407407407405E-3</v>
      </c>
      <c r="G1294" s="34">
        <v>4.4907407407407405E-3</v>
      </c>
      <c r="H1294" s="33" t="s">
        <v>614</v>
      </c>
      <c r="I1294" s="33" t="s">
        <v>601</v>
      </c>
    </row>
    <row r="1295" spans="1:9" x14ac:dyDescent="0.25">
      <c r="A1295" s="32">
        <v>46248</v>
      </c>
      <c r="B1295" s="33" t="s">
        <v>523</v>
      </c>
      <c r="C1295" s="33" t="s">
        <v>147</v>
      </c>
      <c r="D1295" s="33" t="s">
        <v>147</v>
      </c>
      <c r="E1295">
        <v>8</v>
      </c>
      <c r="F1295" s="34">
        <v>4.2928240740740739E-2</v>
      </c>
      <c r="G1295" s="34">
        <v>5.3660300925925924E-3</v>
      </c>
      <c r="H1295" s="33" t="s">
        <v>180</v>
      </c>
      <c r="I1295" s="33" t="s">
        <v>146</v>
      </c>
    </row>
    <row r="1296" spans="1:9" x14ac:dyDescent="0.25">
      <c r="A1296" s="32">
        <v>46248</v>
      </c>
      <c r="B1296" s="33" t="s">
        <v>523</v>
      </c>
      <c r="C1296" s="33" t="s">
        <v>147</v>
      </c>
      <c r="D1296" s="33" t="s">
        <v>32</v>
      </c>
      <c r="E1296">
        <v>4</v>
      </c>
      <c r="F1296" s="34">
        <v>1.0601851851851852E-2</v>
      </c>
      <c r="G1296" s="34">
        <v>2.650462962962963E-3</v>
      </c>
      <c r="H1296" s="33" t="s">
        <v>180</v>
      </c>
      <c r="I1296" s="33" t="s">
        <v>146</v>
      </c>
    </row>
    <row r="1297" spans="1:9" x14ac:dyDescent="0.25">
      <c r="A1297" s="32">
        <v>46248</v>
      </c>
      <c r="B1297" s="33" t="s">
        <v>636</v>
      </c>
      <c r="C1297" s="33" t="s">
        <v>105</v>
      </c>
      <c r="D1297" s="33" t="s">
        <v>105</v>
      </c>
      <c r="E1297">
        <v>2</v>
      </c>
      <c r="F1297" s="34">
        <v>6.5034722222222216E-2</v>
      </c>
      <c r="G1297" s="34">
        <v>3.2517361111111108E-2</v>
      </c>
      <c r="H1297" s="33" t="s">
        <v>615</v>
      </c>
      <c r="I1297" s="33" t="s">
        <v>601</v>
      </c>
    </row>
    <row r="1298" spans="1:9" x14ac:dyDescent="0.25">
      <c r="A1298" s="32">
        <v>46248</v>
      </c>
      <c r="B1298" s="33" t="s">
        <v>636</v>
      </c>
      <c r="C1298" s="33" t="s">
        <v>105</v>
      </c>
      <c r="D1298" s="33" t="s">
        <v>32</v>
      </c>
      <c r="E1298">
        <v>2</v>
      </c>
      <c r="F1298" s="34">
        <v>4.9652777777777777E-3</v>
      </c>
      <c r="G1298" s="34">
        <v>2.4826388888888888E-3</v>
      </c>
      <c r="H1298" s="33" t="s">
        <v>615</v>
      </c>
      <c r="I1298" s="33" t="s">
        <v>601</v>
      </c>
    </row>
    <row r="1299" spans="1:9" x14ac:dyDescent="0.25">
      <c r="A1299" s="32">
        <v>46248</v>
      </c>
      <c r="B1299" s="33" t="s">
        <v>566</v>
      </c>
      <c r="C1299" s="33" t="s">
        <v>147</v>
      </c>
      <c r="D1299" s="33" t="s">
        <v>147</v>
      </c>
      <c r="E1299">
        <v>7</v>
      </c>
      <c r="F1299" s="34">
        <v>2.7175925925925926E-2</v>
      </c>
      <c r="G1299" s="34">
        <v>3.8822751322751324E-3</v>
      </c>
      <c r="H1299" s="33" t="s">
        <v>207</v>
      </c>
      <c r="I1299" s="33" t="s">
        <v>274</v>
      </c>
    </row>
    <row r="1300" spans="1:9" x14ac:dyDescent="0.25">
      <c r="A1300" s="32">
        <v>46248</v>
      </c>
      <c r="B1300" s="33" t="s">
        <v>566</v>
      </c>
      <c r="C1300" s="33" t="s">
        <v>147</v>
      </c>
      <c r="D1300" s="33" t="s">
        <v>32</v>
      </c>
      <c r="E1300">
        <v>6</v>
      </c>
      <c r="F1300" s="34">
        <v>1.9618055555555555E-2</v>
      </c>
      <c r="G1300" s="34">
        <v>3.2696759259259259E-3</v>
      </c>
      <c r="H1300" s="33" t="s">
        <v>207</v>
      </c>
      <c r="I1300" s="33" t="s">
        <v>274</v>
      </c>
    </row>
    <row r="1301" spans="1:9" x14ac:dyDescent="0.25">
      <c r="A1301" s="32">
        <v>46248</v>
      </c>
      <c r="B1301" s="33" t="s">
        <v>637</v>
      </c>
      <c r="C1301" s="33" t="s">
        <v>105</v>
      </c>
      <c r="D1301" s="33" t="s">
        <v>105</v>
      </c>
      <c r="E1301">
        <v>1</v>
      </c>
      <c r="F1301" s="34">
        <v>2.5127314814814814E-2</v>
      </c>
      <c r="G1301" s="34">
        <v>2.5127314814814814E-2</v>
      </c>
      <c r="H1301" s="33" t="s">
        <v>616</v>
      </c>
      <c r="I1301" s="33" t="s">
        <v>601</v>
      </c>
    </row>
    <row r="1302" spans="1:9" x14ac:dyDescent="0.25">
      <c r="A1302" s="32">
        <v>46248</v>
      </c>
      <c r="B1302" s="33" t="s">
        <v>637</v>
      </c>
      <c r="C1302" s="33" t="s">
        <v>105</v>
      </c>
      <c r="D1302" s="33" t="s">
        <v>32</v>
      </c>
      <c r="E1302">
        <v>1</v>
      </c>
      <c r="F1302" s="34">
        <v>2.4074074074074076E-3</v>
      </c>
      <c r="G1302" s="34">
        <v>2.4074074074074076E-3</v>
      </c>
      <c r="H1302" s="33" t="s">
        <v>616</v>
      </c>
      <c r="I1302" s="33" t="s">
        <v>601</v>
      </c>
    </row>
    <row r="1303" spans="1:9" x14ac:dyDescent="0.25">
      <c r="A1303" s="32">
        <v>46248</v>
      </c>
      <c r="B1303" s="33" t="s">
        <v>567</v>
      </c>
      <c r="C1303" s="33" t="s">
        <v>105</v>
      </c>
      <c r="D1303" s="33" t="s">
        <v>32</v>
      </c>
      <c r="E1303">
        <v>1</v>
      </c>
      <c r="F1303" s="34">
        <v>3.3611111111111112E-2</v>
      </c>
      <c r="G1303" s="34">
        <v>3.3611111111111112E-2</v>
      </c>
      <c r="H1303" s="33" t="s">
        <v>209</v>
      </c>
      <c r="I1303" s="33" t="s">
        <v>601</v>
      </c>
    </row>
    <row r="1304" spans="1:9" x14ac:dyDescent="0.25">
      <c r="A1304" s="32">
        <v>46248</v>
      </c>
      <c r="B1304" s="33" t="s">
        <v>510</v>
      </c>
      <c r="C1304" s="33" t="s">
        <v>32</v>
      </c>
      <c r="D1304" s="33" t="s">
        <v>32</v>
      </c>
      <c r="E1304">
        <v>33</v>
      </c>
      <c r="F1304" s="34">
        <v>0.20256944444444444</v>
      </c>
      <c r="G1304" s="34">
        <v>6.1384680134680134E-3</v>
      </c>
      <c r="H1304" s="33" t="s">
        <v>60</v>
      </c>
      <c r="I1304" s="33" t="s">
        <v>100</v>
      </c>
    </row>
    <row r="1305" spans="1:9" x14ac:dyDescent="0.25">
      <c r="A1305" s="32">
        <v>46248</v>
      </c>
      <c r="B1305" s="33" t="s">
        <v>512</v>
      </c>
      <c r="C1305" s="33" t="s">
        <v>105</v>
      </c>
      <c r="D1305" s="33" t="s">
        <v>105</v>
      </c>
      <c r="E1305">
        <v>3</v>
      </c>
      <c r="F1305" s="34">
        <v>3.923611111111111E-2</v>
      </c>
      <c r="G1305" s="34">
        <v>1.3078703703703703E-2</v>
      </c>
      <c r="H1305" s="33" t="s">
        <v>132</v>
      </c>
      <c r="I1305" s="33" t="s">
        <v>104</v>
      </c>
    </row>
    <row r="1306" spans="1:9" x14ac:dyDescent="0.25">
      <c r="A1306" s="32">
        <v>46248</v>
      </c>
      <c r="B1306" s="33" t="s">
        <v>546</v>
      </c>
      <c r="C1306" s="33" t="s">
        <v>105</v>
      </c>
      <c r="D1306" s="33" t="s">
        <v>105</v>
      </c>
      <c r="E1306">
        <v>3</v>
      </c>
      <c r="F1306" s="34">
        <v>8.8888888888888892E-2</v>
      </c>
      <c r="G1306" s="34">
        <v>2.9629629629629631E-2</v>
      </c>
      <c r="H1306" s="33" t="s">
        <v>211</v>
      </c>
      <c r="I1306" s="33" t="s">
        <v>104</v>
      </c>
    </row>
    <row r="1307" spans="1:9" x14ac:dyDescent="0.25">
      <c r="A1307" s="32">
        <v>46248</v>
      </c>
      <c r="B1307" s="33" t="s">
        <v>638</v>
      </c>
      <c r="C1307" s="33" t="s">
        <v>105</v>
      </c>
      <c r="D1307" s="33" t="s">
        <v>32</v>
      </c>
      <c r="E1307">
        <v>4</v>
      </c>
      <c r="F1307" s="34">
        <v>2.9652777777777778E-2</v>
      </c>
      <c r="G1307" s="34">
        <v>7.4131944444444445E-3</v>
      </c>
      <c r="H1307" s="33" t="s">
        <v>617</v>
      </c>
      <c r="I1307" s="33" t="s">
        <v>601</v>
      </c>
    </row>
    <row r="1308" spans="1:9" x14ac:dyDescent="0.25">
      <c r="A1308" s="32">
        <v>46248</v>
      </c>
      <c r="B1308" s="33" t="s">
        <v>639</v>
      </c>
      <c r="C1308" s="33" t="s">
        <v>105</v>
      </c>
      <c r="D1308" s="33" t="s">
        <v>105</v>
      </c>
      <c r="E1308">
        <v>2</v>
      </c>
      <c r="F1308" s="34">
        <v>3.6157407407407409E-2</v>
      </c>
      <c r="G1308" s="34">
        <v>1.8078703703703704E-2</v>
      </c>
      <c r="H1308" s="33" t="s">
        <v>618</v>
      </c>
      <c r="I1308" s="33" t="s">
        <v>601</v>
      </c>
    </row>
    <row r="1309" spans="1:9" x14ac:dyDescent="0.25">
      <c r="A1309" s="32">
        <v>46248</v>
      </c>
      <c r="B1309" s="33" t="s">
        <v>639</v>
      </c>
      <c r="C1309" s="33" t="s">
        <v>105</v>
      </c>
      <c r="D1309" s="33" t="s">
        <v>32</v>
      </c>
      <c r="E1309">
        <v>1</v>
      </c>
      <c r="F1309" s="34">
        <v>9.6064814814814819E-4</v>
      </c>
      <c r="G1309" s="34">
        <v>9.6064814814814819E-4</v>
      </c>
      <c r="H1309" s="33" t="s">
        <v>618</v>
      </c>
      <c r="I1309" s="33" t="s">
        <v>601</v>
      </c>
    </row>
    <row r="1310" spans="1:9" x14ac:dyDescent="0.25">
      <c r="A1310" s="32">
        <v>46248</v>
      </c>
      <c r="B1310" s="33" t="s">
        <v>524</v>
      </c>
      <c r="C1310" s="33" t="s">
        <v>147</v>
      </c>
      <c r="D1310" s="33" t="s">
        <v>147</v>
      </c>
      <c r="E1310">
        <v>3</v>
      </c>
      <c r="F1310" s="34">
        <v>1.7662037037037039E-2</v>
      </c>
      <c r="G1310" s="34">
        <v>5.8873456790123459E-3</v>
      </c>
      <c r="H1310" s="33" t="s">
        <v>501</v>
      </c>
      <c r="I1310" s="33" t="s">
        <v>274</v>
      </c>
    </row>
    <row r="1311" spans="1:9" x14ac:dyDescent="0.25">
      <c r="A1311" s="32">
        <v>46248</v>
      </c>
      <c r="B1311" s="33" t="s">
        <v>524</v>
      </c>
      <c r="C1311" s="33" t="s">
        <v>147</v>
      </c>
      <c r="D1311" s="33" t="s">
        <v>32</v>
      </c>
      <c r="E1311">
        <v>6</v>
      </c>
      <c r="F1311" s="34">
        <v>2.9907407407407407E-2</v>
      </c>
      <c r="G1311" s="34">
        <v>4.9845679012345675E-3</v>
      </c>
      <c r="H1311" s="33" t="s">
        <v>501</v>
      </c>
      <c r="I1311" s="33" t="s">
        <v>274</v>
      </c>
    </row>
    <row r="1312" spans="1:9" x14ac:dyDescent="0.25">
      <c r="A1312" s="32">
        <v>46248</v>
      </c>
      <c r="B1312" s="33" t="s">
        <v>572</v>
      </c>
      <c r="C1312" s="33" t="s">
        <v>105</v>
      </c>
      <c r="D1312" s="33" t="s">
        <v>105</v>
      </c>
      <c r="E1312">
        <v>5</v>
      </c>
      <c r="F1312" s="34">
        <v>0.11155092592592593</v>
      </c>
      <c r="G1312" s="34">
        <v>2.2310185185185186E-2</v>
      </c>
      <c r="H1312" s="33" t="s">
        <v>213</v>
      </c>
      <c r="I1312" s="33" t="s">
        <v>601</v>
      </c>
    </row>
    <row r="1313" spans="1:9" x14ac:dyDescent="0.25">
      <c r="A1313" s="32">
        <v>46248</v>
      </c>
      <c r="B1313" s="33" t="s">
        <v>640</v>
      </c>
      <c r="C1313" s="33" t="s">
        <v>105</v>
      </c>
      <c r="D1313" s="33" t="s">
        <v>105</v>
      </c>
      <c r="E1313">
        <v>1</v>
      </c>
      <c r="F1313" s="34">
        <v>1.7893518518518517E-2</v>
      </c>
      <c r="G1313" s="34">
        <v>1.7893518518518517E-2</v>
      </c>
      <c r="H1313" s="33" t="s">
        <v>619</v>
      </c>
      <c r="I1313" s="33" t="s">
        <v>601</v>
      </c>
    </row>
    <row r="1314" spans="1:9" x14ac:dyDescent="0.25">
      <c r="A1314" s="32">
        <v>46248</v>
      </c>
      <c r="B1314" s="33" t="s">
        <v>640</v>
      </c>
      <c r="C1314" s="33" t="s">
        <v>105</v>
      </c>
      <c r="D1314" s="33" t="s">
        <v>32</v>
      </c>
      <c r="E1314">
        <v>3</v>
      </c>
      <c r="F1314" s="34">
        <v>3.2199074074074074E-2</v>
      </c>
      <c r="G1314" s="34">
        <v>1.0733024691358025E-2</v>
      </c>
      <c r="H1314" s="33" t="s">
        <v>619</v>
      </c>
      <c r="I1314" s="33" t="s">
        <v>601</v>
      </c>
    </row>
    <row r="1315" spans="1:9" x14ac:dyDescent="0.25">
      <c r="A1315" s="32">
        <v>46248</v>
      </c>
      <c r="B1315" s="33" t="s">
        <v>669</v>
      </c>
      <c r="C1315" s="33" t="s">
        <v>32</v>
      </c>
      <c r="D1315" s="33" t="s">
        <v>32</v>
      </c>
      <c r="E1315">
        <v>32</v>
      </c>
      <c r="F1315" s="34">
        <v>9.6469907407407407E-2</v>
      </c>
      <c r="G1315" s="34">
        <v>3.0146846064814815E-3</v>
      </c>
      <c r="H1315" s="33" t="s">
        <v>668</v>
      </c>
      <c r="I1315" s="33" t="s">
        <v>233</v>
      </c>
    </row>
    <row r="1316" spans="1:9" x14ac:dyDescent="0.25">
      <c r="A1316" s="32">
        <v>46248</v>
      </c>
      <c r="B1316" s="33" t="s">
        <v>548</v>
      </c>
      <c r="C1316" s="33" t="s">
        <v>105</v>
      </c>
      <c r="D1316" s="33" t="s">
        <v>105</v>
      </c>
      <c r="E1316">
        <v>3</v>
      </c>
      <c r="F1316" s="34">
        <v>4.880787037037037E-2</v>
      </c>
      <c r="G1316" s="34">
        <v>1.6269290123456789E-2</v>
      </c>
      <c r="H1316" s="33" t="s">
        <v>219</v>
      </c>
      <c r="I1316" s="33" t="s">
        <v>104</v>
      </c>
    </row>
    <row r="1317" spans="1:9" x14ac:dyDescent="0.25">
      <c r="A1317" s="32">
        <v>46248</v>
      </c>
      <c r="B1317" s="33" t="s">
        <v>306</v>
      </c>
      <c r="C1317" s="33" t="s">
        <v>32</v>
      </c>
      <c r="D1317" s="33" t="s">
        <v>32</v>
      </c>
      <c r="E1317">
        <v>39</v>
      </c>
      <c r="F1317" s="34">
        <v>0.18174768518518519</v>
      </c>
      <c r="G1317" s="34">
        <v>4.6601970560303891E-3</v>
      </c>
      <c r="H1317" s="33" t="s">
        <v>305</v>
      </c>
      <c r="I1317" s="33" t="s">
        <v>100</v>
      </c>
    </row>
    <row r="1318" spans="1:9" x14ac:dyDescent="0.25">
      <c r="A1318" s="32">
        <v>46248</v>
      </c>
      <c r="B1318" s="33" t="s">
        <v>641</v>
      </c>
      <c r="C1318" s="33" t="s">
        <v>105</v>
      </c>
      <c r="D1318" s="33" t="s">
        <v>105</v>
      </c>
      <c r="E1318">
        <v>1</v>
      </c>
      <c r="F1318" s="34">
        <v>2.6435185185185187E-2</v>
      </c>
      <c r="G1318" s="34">
        <v>2.6435185185185187E-2</v>
      </c>
      <c r="H1318" s="33" t="s">
        <v>620</v>
      </c>
      <c r="I1318" s="33" t="s">
        <v>601</v>
      </c>
    </row>
    <row r="1319" spans="1:9" x14ac:dyDescent="0.25">
      <c r="A1319" s="32">
        <v>46248</v>
      </c>
      <c r="B1319" s="33" t="s">
        <v>641</v>
      </c>
      <c r="C1319" s="33" t="s">
        <v>105</v>
      </c>
      <c r="D1319" s="33" t="s">
        <v>32</v>
      </c>
      <c r="E1319">
        <v>1</v>
      </c>
      <c r="F1319" s="34">
        <v>3.3564814814814816E-3</v>
      </c>
      <c r="G1319" s="34">
        <v>3.3564814814814816E-3</v>
      </c>
      <c r="H1319" s="33" t="s">
        <v>620</v>
      </c>
      <c r="I1319" s="33" t="s">
        <v>601</v>
      </c>
    </row>
    <row r="1320" spans="1:9" x14ac:dyDescent="0.25">
      <c r="A1320" s="32">
        <v>46248</v>
      </c>
      <c r="B1320" s="33" t="s">
        <v>556</v>
      </c>
      <c r="C1320" s="33" t="s">
        <v>105</v>
      </c>
      <c r="D1320" s="33" t="s">
        <v>105</v>
      </c>
      <c r="E1320">
        <v>6</v>
      </c>
      <c r="F1320" s="34">
        <v>0.12680555555555556</v>
      </c>
      <c r="G1320" s="34">
        <v>2.1134259259259259E-2</v>
      </c>
      <c r="H1320" s="33" t="s">
        <v>138</v>
      </c>
      <c r="I1320" s="33" t="s">
        <v>104</v>
      </c>
    </row>
    <row r="1321" spans="1:9" x14ac:dyDescent="0.25">
      <c r="A1321" s="32">
        <v>46248</v>
      </c>
      <c r="B1321" s="33" t="s">
        <v>532</v>
      </c>
      <c r="C1321" s="33" t="s">
        <v>32</v>
      </c>
      <c r="D1321" s="33" t="s">
        <v>32</v>
      </c>
      <c r="E1321">
        <v>31</v>
      </c>
      <c r="F1321" s="34">
        <v>6.2962962962962957E-2</v>
      </c>
      <c r="G1321" s="34">
        <v>2.0310633213859019E-3</v>
      </c>
      <c r="H1321" s="33" t="s">
        <v>276</v>
      </c>
      <c r="I1321" s="33" t="s">
        <v>233</v>
      </c>
    </row>
    <row r="1322" spans="1:9" x14ac:dyDescent="0.25">
      <c r="A1322" s="32">
        <v>46248</v>
      </c>
      <c r="B1322" s="33" t="s">
        <v>533</v>
      </c>
      <c r="C1322" s="33" t="s">
        <v>32</v>
      </c>
      <c r="D1322" s="33" t="s">
        <v>32</v>
      </c>
      <c r="E1322">
        <v>21</v>
      </c>
      <c r="F1322" s="34">
        <v>0.12325231481481481</v>
      </c>
      <c r="G1322" s="34">
        <v>5.8691578483245146E-3</v>
      </c>
      <c r="H1322" s="33" t="s">
        <v>278</v>
      </c>
      <c r="I1322" s="33" t="s">
        <v>233</v>
      </c>
    </row>
    <row r="1323" spans="1:9" x14ac:dyDescent="0.25">
      <c r="A1323" s="32">
        <v>46248</v>
      </c>
      <c r="B1323" s="33" t="s">
        <v>511</v>
      </c>
      <c r="C1323" s="33" t="s">
        <v>80</v>
      </c>
      <c r="D1323" s="33" t="s">
        <v>32</v>
      </c>
      <c r="E1323">
        <v>2</v>
      </c>
      <c r="F1323" s="34">
        <v>1.4143518518518519E-2</v>
      </c>
      <c r="G1323" s="34">
        <v>7.0717592592592594E-3</v>
      </c>
      <c r="H1323" s="33" t="s">
        <v>313</v>
      </c>
      <c r="I1323" s="33" t="s">
        <v>78</v>
      </c>
    </row>
    <row r="1324" spans="1:9" x14ac:dyDescent="0.25">
      <c r="A1324" s="32">
        <v>46248</v>
      </c>
      <c r="B1324" s="33" t="s">
        <v>674</v>
      </c>
      <c r="C1324" s="33" t="s">
        <v>105</v>
      </c>
      <c r="D1324" s="33" t="s">
        <v>105</v>
      </c>
      <c r="E1324">
        <v>3</v>
      </c>
      <c r="F1324" s="34">
        <v>8.0694444444444444E-2</v>
      </c>
      <c r="G1324" s="34">
        <v>2.6898148148148147E-2</v>
      </c>
      <c r="H1324" s="33" t="s">
        <v>673</v>
      </c>
      <c r="I1324" s="33" t="s">
        <v>104</v>
      </c>
    </row>
    <row r="1325" spans="1:9" x14ac:dyDescent="0.25">
      <c r="A1325" s="32">
        <v>46248</v>
      </c>
      <c r="B1325" s="33" t="s">
        <v>549</v>
      </c>
      <c r="C1325" s="33" t="s">
        <v>105</v>
      </c>
      <c r="D1325" s="33" t="s">
        <v>105</v>
      </c>
      <c r="E1325">
        <v>1</v>
      </c>
      <c r="F1325" s="34">
        <v>2.9722222222222223E-2</v>
      </c>
      <c r="G1325" s="34">
        <v>2.9722222222222223E-2</v>
      </c>
      <c r="H1325" s="33" t="s">
        <v>225</v>
      </c>
      <c r="I1325" s="33" t="s">
        <v>601</v>
      </c>
    </row>
    <row r="1326" spans="1:9" x14ac:dyDescent="0.25">
      <c r="A1326" s="32">
        <v>46248</v>
      </c>
      <c r="B1326" s="33" t="s">
        <v>549</v>
      </c>
      <c r="C1326" s="33" t="s">
        <v>105</v>
      </c>
      <c r="D1326" s="33" t="s">
        <v>32</v>
      </c>
      <c r="E1326">
        <v>2</v>
      </c>
      <c r="F1326" s="34">
        <v>1.9004629629629628E-2</v>
      </c>
      <c r="G1326" s="34">
        <v>9.5023148148148141E-3</v>
      </c>
      <c r="H1326" s="33" t="s">
        <v>225</v>
      </c>
      <c r="I1326" s="33" t="s">
        <v>601</v>
      </c>
    </row>
    <row r="1327" spans="1:9" x14ac:dyDescent="0.25">
      <c r="A1327" s="32">
        <v>46248</v>
      </c>
      <c r="B1327" s="33" t="s">
        <v>534</v>
      </c>
      <c r="C1327" s="33" t="s">
        <v>32</v>
      </c>
      <c r="D1327" s="33" t="s">
        <v>32</v>
      </c>
      <c r="E1327">
        <v>23</v>
      </c>
      <c r="F1327" s="34">
        <v>9.0300925925925923E-2</v>
      </c>
      <c r="G1327" s="34">
        <v>3.9261272141706922E-3</v>
      </c>
      <c r="H1327" s="33" t="s">
        <v>280</v>
      </c>
      <c r="I1327" s="33" t="s">
        <v>233</v>
      </c>
    </row>
    <row r="1328" spans="1:9" x14ac:dyDescent="0.25">
      <c r="A1328" s="32">
        <v>46248</v>
      </c>
      <c r="B1328" s="33" t="s">
        <v>571</v>
      </c>
      <c r="C1328" s="33" t="s">
        <v>105</v>
      </c>
      <c r="D1328" s="33" t="s">
        <v>105</v>
      </c>
      <c r="E1328">
        <v>4</v>
      </c>
      <c r="F1328" s="34">
        <v>0.12086805555555556</v>
      </c>
      <c r="G1328" s="34">
        <v>3.021701388888889E-2</v>
      </c>
      <c r="H1328" s="33" t="s">
        <v>299</v>
      </c>
      <c r="I1328" s="33" t="s">
        <v>104</v>
      </c>
    </row>
    <row r="1329" spans="1:9" x14ac:dyDescent="0.25">
      <c r="A1329" s="32">
        <v>46248</v>
      </c>
      <c r="B1329" s="33" t="s">
        <v>535</v>
      </c>
      <c r="C1329" s="33" t="s">
        <v>32</v>
      </c>
      <c r="D1329" s="33" t="s">
        <v>32</v>
      </c>
      <c r="E1329">
        <v>30</v>
      </c>
      <c r="F1329" s="34">
        <v>9.1597222222222219E-2</v>
      </c>
      <c r="G1329" s="34">
        <v>3.0532407407407405E-3</v>
      </c>
      <c r="H1329" s="33" t="s">
        <v>282</v>
      </c>
      <c r="I1329" s="33" t="s">
        <v>233</v>
      </c>
    </row>
    <row r="1330" spans="1:9" x14ac:dyDescent="0.25">
      <c r="A1330" s="32">
        <v>46248</v>
      </c>
      <c r="B1330" s="33" t="s">
        <v>557</v>
      </c>
      <c r="C1330" s="33" t="s">
        <v>147</v>
      </c>
      <c r="D1330" s="33" t="s">
        <v>147</v>
      </c>
      <c r="E1330">
        <v>5</v>
      </c>
      <c r="F1330" s="34">
        <v>2.7534722222222221E-2</v>
      </c>
      <c r="G1330" s="34">
        <v>5.5069444444444445E-3</v>
      </c>
      <c r="H1330" s="33" t="s">
        <v>227</v>
      </c>
      <c r="I1330" s="33" t="s">
        <v>146</v>
      </c>
    </row>
    <row r="1331" spans="1:9" x14ac:dyDescent="0.25">
      <c r="A1331" s="32">
        <v>46248</v>
      </c>
      <c r="B1331" s="33" t="s">
        <v>557</v>
      </c>
      <c r="C1331" s="33" t="s">
        <v>147</v>
      </c>
      <c r="D1331" s="33" t="s">
        <v>32</v>
      </c>
      <c r="E1331">
        <v>5</v>
      </c>
      <c r="F1331" s="34">
        <v>2.9502314814814815E-2</v>
      </c>
      <c r="G1331" s="34">
        <v>5.9004629629629633E-3</v>
      </c>
      <c r="H1331" s="33" t="s">
        <v>227</v>
      </c>
      <c r="I1331" s="33" t="s">
        <v>146</v>
      </c>
    </row>
    <row r="1332" spans="1:9" x14ac:dyDescent="0.25">
      <c r="A1332" s="32">
        <v>46248</v>
      </c>
      <c r="B1332" s="33" t="s">
        <v>676</v>
      </c>
      <c r="C1332" s="33" t="s">
        <v>105</v>
      </c>
      <c r="D1332" s="33" t="s">
        <v>105</v>
      </c>
      <c r="E1332">
        <v>4</v>
      </c>
      <c r="F1332" s="34">
        <v>0.14101851851851852</v>
      </c>
      <c r="G1332" s="34">
        <v>3.5254629629629629E-2</v>
      </c>
      <c r="H1332" s="33" t="s">
        <v>675</v>
      </c>
      <c r="I1332" s="33" t="s">
        <v>104</v>
      </c>
    </row>
    <row r="1333" spans="1:9" x14ac:dyDescent="0.25">
      <c r="A1333" s="32">
        <v>46248</v>
      </c>
      <c r="B1333" s="33" t="s">
        <v>678</v>
      </c>
      <c r="C1333" s="33" t="s">
        <v>147</v>
      </c>
      <c r="D1333" s="33" t="s">
        <v>147</v>
      </c>
      <c r="E1333">
        <v>10</v>
      </c>
      <c r="F1333" s="34">
        <v>4.0219907407407406E-2</v>
      </c>
      <c r="G1333" s="34">
        <v>4.0219907407407409E-3</v>
      </c>
      <c r="H1333" s="33" t="s">
        <v>677</v>
      </c>
      <c r="I1333" s="33" t="s">
        <v>274</v>
      </c>
    </row>
    <row r="1334" spans="1:9" x14ac:dyDescent="0.25">
      <c r="A1334" s="32">
        <v>46248</v>
      </c>
      <c r="B1334" s="33" t="s">
        <v>678</v>
      </c>
      <c r="C1334" s="33" t="s">
        <v>147</v>
      </c>
      <c r="D1334" s="33" t="s">
        <v>32</v>
      </c>
      <c r="E1334">
        <v>2</v>
      </c>
      <c r="F1334" s="34">
        <v>3.8078703703703703E-3</v>
      </c>
      <c r="G1334" s="34">
        <v>1.9039351851851852E-3</v>
      </c>
      <c r="H1334" s="33" t="s">
        <v>677</v>
      </c>
      <c r="I1334" s="33" t="s">
        <v>274</v>
      </c>
    </row>
    <row r="1335" spans="1:9" x14ac:dyDescent="0.25">
      <c r="A1335" s="32">
        <v>46249</v>
      </c>
      <c r="B1335" s="33" t="s">
        <v>598</v>
      </c>
      <c r="C1335" s="33" t="s">
        <v>284</v>
      </c>
      <c r="D1335" s="33" t="s">
        <v>600</v>
      </c>
      <c r="E1335">
        <v>48</v>
      </c>
      <c r="F1335" s="34">
        <v>5.5555555555555556E-4</v>
      </c>
      <c r="G1335" s="34">
        <v>1.1574074074074073E-5</v>
      </c>
      <c r="H1335" s="33" t="s">
        <v>598</v>
      </c>
      <c r="I1335" s="33" t="s">
        <v>284</v>
      </c>
    </row>
    <row r="1336" spans="1:9" x14ac:dyDescent="0.25">
      <c r="A1336" s="32">
        <v>46249</v>
      </c>
      <c r="B1336" s="33" t="s">
        <v>562</v>
      </c>
      <c r="C1336" s="33" t="s">
        <v>80</v>
      </c>
      <c r="D1336" s="33" t="s">
        <v>32</v>
      </c>
      <c r="E1336">
        <v>3</v>
      </c>
      <c r="F1336" s="34">
        <v>2.7164351851851853E-2</v>
      </c>
      <c r="G1336" s="34">
        <v>9.0547839506172848E-3</v>
      </c>
      <c r="H1336" s="33" t="s">
        <v>186</v>
      </c>
      <c r="I1336" s="33" t="s">
        <v>78</v>
      </c>
    </row>
    <row r="1337" spans="1:9" x14ac:dyDescent="0.25">
      <c r="A1337" s="32">
        <v>46249</v>
      </c>
      <c r="B1337" s="33" t="s">
        <v>644</v>
      </c>
      <c r="C1337" s="33" t="s">
        <v>32</v>
      </c>
      <c r="D1337" s="33" t="s">
        <v>32</v>
      </c>
      <c r="E1337">
        <v>16</v>
      </c>
      <c r="F1337" s="34">
        <v>8.7928240740740737E-2</v>
      </c>
      <c r="G1337" s="34">
        <v>5.4955150462962961E-3</v>
      </c>
      <c r="H1337" s="33" t="s">
        <v>643</v>
      </c>
      <c r="I1337" s="33" t="s">
        <v>233</v>
      </c>
    </row>
    <row r="1338" spans="1:9" x14ac:dyDescent="0.25">
      <c r="A1338" s="32">
        <v>46249</v>
      </c>
      <c r="B1338" s="33" t="s">
        <v>563</v>
      </c>
      <c r="C1338" s="33" t="s">
        <v>147</v>
      </c>
      <c r="D1338" s="33" t="s">
        <v>147</v>
      </c>
      <c r="E1338">
        <v>9</v>
      </c>
      <c r="F1338" s="34">
        <v>2.4826388888888887E-2</v>
      </c>
      <c r="G1338" s="34">
        <v>2.7584876543209876E-3</v>
      </c>
      <c r="H1338" s="33" t="s">
        <v>193</v>
      </c>
      <c r="I1338" s="33" t="s">
        <v>274</v>
      </c>
    </row>
    <row r="1339" spans="1:9" x14ac:dyDescent="0.25">
      <c r="A1339" s="32">
        <v>46249</v>
      </c>
      <c r="B1339" s="33" t="s">
        <v>563</v>
      </c>
      <c r="C1339" s="33" t="s">
        <v>147</v>
      </c>
      <c r="D1339" s="33" t="s">
        <v>32</v>
      </c>
      <c r="E1339">
        <v>5</v>
      </c>
      <c r="F1339" s="34">
        <v>9.1782407407407403E-3</v>
      </c>
      <c r="G1339" s="34">
        <v>1.8356481481481481E-3</v>
      </c>
      <c r="H1339" s="33" t="s">
        <v>193</v>
      </c>
      <c r="I1339" s="33" t="s">
        <v>274</v>
      </c>
    </row>
    <row r="1340" spans="1:9" x14ac:dyDescent="0.25">
      <c r="A1340" s="32">
        <v>46249</v>
      </c>
      <c r="B1340" s="33" t="s">
        <v>525</v>
      </c>
      <c r="C1340" s="33" t="s">
        <v>32</v>
      </c>
      <c r="D1340" s="33" t="s">
        <v>32</v>
      </c>
      <c r="E1340">
        <v>21</v>
      </c>
      <c r="F1340" s="34">
        <v>6.0034722222222225E-2</v>
      </c>
      <c r="G1340" s="34">
        <v>2.8587962962962963E-3</v>
      </c>
      <c r="H1340" s="33" t="s">
        <v>231</v>
      </c>
      <c r="I1340" s="33" t="s">
        <v>233</v>
      </c>
    </row>
    <row r="1341" spans="1:9" x14ac:dyDescent="0.25">
      <c r="A1341" s="32">
        <v>46249</v>
      </c>
      <c r="B1341" s="33" t="s">
        <v>513</v>
      </c>
      <c r="C1341" s="33" t="s">
        <v>105</v>
      </c>
      <c r="D1341" s="33" t="s">
        <v>105</v>
      </c>
      <c r="E1341">
        <v>2</v>
      </c>
      <c r="F1341" s="34">
        <v>5.2499999999999998E-2</v>
      </c>
      <c r="G1341" s="34">
        <v>2.6249999999999999E-2</v>
      </c>
      <c r="H1341" s="33" t="s">
        <v>148</v>
      </c>
      <c r="I1341" s="33" t="s">
        <v>104</v>
      </c>
    </row>
    <row r="1342" spans="1:9" x14ac:dyDescent="0.25">
      <c r="A1342" s="32">
        <v>46249</v>
      </c>
      <c r="B1342" s="33" t="s">
        <v>550</v>
      </c>
      <c r="C1342" s="33" t="s">
        <v>32</v>
      </c>
      <c r="D1342" s="33" t="s">
        <v>32</v>
      </c>
      <c r="E1342">
        <v>18</v>
      </c>
      <c r="F1342" s="34">
        <v>2.78125E-2</v>
      </c>
      <c r="G1342" s="34">
        <v>1.5451388888888889E-3</v>
      </c>
      <c r="H1342" s="33" t="s">
        <v>234</v>
      </c>
      <c r="I1342" s="33" t="s">
        <v>233</v>
      </c>
    </row>
    <row r="1343" spans="1:9" x14ac:dyDescent="0.25">
      <c r="A1343" s="32">
        <v>46249</v>
      </c>
      <c r="B1343" s="33" t="s">
        <v>505</v>
      </c>
      <c r="C1343" s="33" t="s">
        <v>32</v>
      </c>
      <c r="D1343" s="33" t="s">
        <v>32</v>
      </c>
      <c r="E1343">
        <v>17</v>
      </c>
      <c r="F1343" s="34">
        <v>3.9155092592592596E-2</v>
      </c>
      <c r="G1343" s="34">
        <v>2.3032407407407411E-3</v>
      </c>
      <c r="H1343" s="33" t="s">
        <v>34</v>
      </c>
      <c r="I1343" s="33" t="s">
        <v>233</v>
      </c>
    </row>
    <row r="1344" spans="1:9" x14ac:dyDescent="0.25">
      <c r="A1344" s="32">
        <v>46249</v>
      </c>
      <c r="B1344" s="33" t="s">
        <v>551</v>
      </c>
      <c r="C1344" s="33" t="s">
        <v>32</v>
      </c>
      <c r="D1344" s="33" t="s">
        <v>32</v>
      </c>
      <c r="E1344">
        <v>1</v>
      </c>
      <c r="F1344" s="34">
        <v>1.3194444444444445E-3</v>
      </c>
      <c r="G1344" s="34">
        <v>1.3194444444444445E-3</v>
      </c>
      <c r="H1344" s="33" t="s">
        <v>236</v>
      </c>
      <c r="I1344" s="33" t="s">
        <v>233</v>
      </c>
    </row>
    <row r="1345" spans="1:9" x14ac:dyDescent="0.25">
      <c r="A1345" s="32">
        <v>46249</v>
      </c>
      <c r="B1345" s="33" t="s">
        <v>631</v>
      </c>
      <c r="C1345" s="33" t="s">
        <v>105</v>
      </c>
      <c r="D1345" s="33" t="s">
        <v>105</v>
      </c>
      <c r="E1345">
        <v>1</v>
      </c>
      <c r="F1345" s="34">
        <v>2.7777777777777776E-2</v>
      </c>
      <c r="G1345" s="34">
        <v>2.7777777777777776E-2</v>
      </c>
      <c r="H1345" s="33" t="s">
        <v>608</v>
      </c>
      <c r="I1345" s="33" t="s">
        <v>601</v>
      </c>
    </row>
    <row r="1346" spans="1:9" x14ac:dyDescent="0.25">
      <c r="A1346" s="32">
        <v>46249</v>
      </c>
      <c r="B1346" s="33" t="s">
        <v>564</v>
      </c>
      <c r="C1346" s="33" t="s">
        <v>105</v>
      </c>
      <c r="D1346" s="33" t="s">
        <v>105</v>
      </c>
      <c r="E1346">
        <v>3</v>
      </c>
      <c r="F1346" s="34">
        <v>5.7337962962962966E-2</v>
      </c>
      <c r="G1346" s="34">
        <v>1.9112654320987656E-2</v>
      </c>
      <c r="H1346" s="33" t="s">
        <v>197</v>
      </c>
      <c r="I1346" s="33" t="s">
        <v>601</v>
      </c>
    </row>
    <row r="1347" spans="1:9" x14ac:dyDescent="0.25">
      <c r="A1347" s="32">
        <v>46249</v>
      </c>
      <c r="B1347" s="33" t="s">
        <v>514</v>
      </c>
      <c r="C1347" s="33" t="s">
        <v>147</v>
      </c>
      <c r="D1347" s="33" t="s">
        <v>147</v>
      </c>
      <c r="E1347">
        <v>10</v>
      </c>
      <c r="F1347" s="34">
        <v>2.7847222222222221E-2</v>
      </c>
      <c r="G1347" s="34">
        <v>2.7847222222222223E-3</v>
      </c>
      <c r="H1347" s="33" t="s">
        <v>150</v>
      </c>
      <c r="I1347" s="33" t="s">
        <v>146</v>
      </c>
    </row>
    <row r="1348" spans="1:9" x14ac:dyDescent="0.25">
      <c r="A1348" s="32">
        <v>46249</v>
      </c>
      <c r="B1348" s="33" t="s">
        <v>514</v>
      </c>
      <c r="C1348" s="33" t="s">
        <v>147</v>
      </c>
      <c r="D1348" s="33" t="s">
        <v>32</v>
      </c>
      <c r="E1348">
        <v>7</v>
      </c>
      <c r="F1348" s="34">
        <v>1.1655092592592592E-2</v>
      </c>
      <c r="G1348" s="34">
        <v>1.6650132275132274E-3</v>
      </c>
      <c r="H1348" s="33" t="s">
        <v>150</v>
      </c>
      <c r="I1348" s="33" t="s">
        <v>146</v>
      </c>
    </row>
    <row r="1349" spans="1:9" x14ac:dyDescent="0.25">
      <c r="A1349" s="32">
        <v>46249</v>
      </c>
      <c r="B1349" s="33" t="s">
        <v>682</v>
      </c>
      <c r="C1349" s="33" t="s">
        <v>105</v>
      </c>
      <c r="D1349" s="33" t="s">
        <v>105</v>
      </c>
      <c r="E1349">
        <v>3</v>
      </c>
      <c r="F1349" s="34">
        <v>6.5740740740740738E-2</v>
      </c>
      <c r="G1349" s="34">
        <v>2.1913580246913578E-2</v>
      </c>
      <c r="H1349" s="33" t="s">
        <v>681</v>
      </c>
      <c r="I1349" s="33" t="s">
        <v>601</v>
      </c>
    </row>
    <row r="1350" spans="1:9" x14ac:dyDescent="0.25">
      <c r="A1350" s="32">
        <v>46249</v>
      </c>
      <c r="B1350" s="33" t="s">
        <v>515</v>
      </c>
      <c r="C1350" s="33" t="s">
        <v>147</v>
      </c>
      <c r="D1350" s="33" t="s">
        <v>147</v>
      </c>
      <c r="E1350">
        <v>9</v>
      </c>
      <c r="F1350" s="34">
        <v>1.4363425925925925E-2</v>
      </c>
      <c r="G1350" s="34">
        <v>1.5959362139917695E-3</v>
      </c>
      <c r="H1350" s="33" t="s">
        <v>154</v>
      </c>
      <c r="I1350" s="33" t="s">
        <v>146</v>
      </c>
    </row>
    <row r="1351" spans="1:9" x14ac:dyDescent="0.25">
      <c r="A1351" s="32">
        <v>46249</v>
      </c>
      <c r="B1351" s="33" t="s">
        <v>515</v>
      </c>
      <c r="C1351" s="33" t="s">
        <v>147</v>
      </c>
      <c r="D1351" s="33" t="s">
        <v>32</v>
      </c>
      <c r="E1351">
        <v>9</v>
      </c>
      <c r="F1351" s="34">
        <v>1.3263888888888889E-2</v>
      </c>
      <c r="G1351" s="34">
        <v>1.4737654320987655E-3</v>
      </c>
      <c r="H1351" s="33" t="s">
        <v>154</v>
      </c>
      <c r="I1351" s="33" t="s">
        <v>146</v>
      </c>
    </row>
    <row r="1352" spans="1:9" x14ac:dyDescent="0.25">
      <c r="A1352" s="32">
        <v>46249</v>
      </c>
      <c r="B1352" s="33" t="s">
        <v>570</v>
      </c>
      <c r="C1352" s="33" t="s">
        <v>105</v>
      </c>
      <c r="D1352" s="33" t="s">
        <v>105</v>
      </c>
      <c r="E1352">
        <v>2</v>
      </c>
      <c r="F1352" s="34">
        <v>3.6550925925925924E-2</v>
      </c>
      <c r="G1352" s="34">
        <v>1.8275462962962962E-2</v>
      </c>
      <c r="H1352" s="33" t="s">
        <v>112</v>
      </c>
      <c r="I1352" s="33" t="s">
        <v>104</v>
      </c>
    </row>
    <row r="1353" spans="1:9" x14ac:dyDescent="0.25">
      <c r="A1353" s="32">
        <v>46249</v>
      </c>
      <c r="B1353" s="33" t="s">
        <v>537</v>
      </c>
      <c r="C1353" s="33" t="s">
        <v>105</v>
      </c>
      <c r="D1353" s="33" t="s">
        <v>105</v>
      </c>
      <c r="E1353">
        <v>2</v>
      </c>
      <c r="F1353" s="34">
        <v>3.4768518518518518E-2</v>
      </c>
      <c r="G1353" s="34">
        <v>1.7384259259259259E-2</v>
      </c>
      <c r="H1353" s="33" t="s">
        <v>42</v>
      </c>
      <c r="I1353" s="33" t="s">
        <v>104</v>
      </c>
    </row>
    <row r="1354" spans="1:9" x14ac:dyDescent="0.25">
      <c r="A1354" s="32">
        <v>46249</v>
      </c>
      <c r="B1354" s="33" t="s">
        <v>541</v>
      </c>
      <c r="C1354" s="33" t="s">
        <v>105</v>
      </c>
      <c r="D1354" s="33" t="s">
        <v>105</v>
      </c>
      <c r="E1354">
        <v>3</v>
      </c>
      <c r="F1354" s="34">
        <v>6.128472222222222E-2</v>
      </c>
      <c r="G1354" s="34">
        <v>2.042824074074074E-2</v>
      </c>
      <c r="H1354" s="33" t="s">
        <v>114</v>
      </c>
      <c r="I1354" s="33" t="s">
        <v>104</v>
      </c>
    </row>
    <row r="1355" spans="1:9" x14ac:dyDescent="0.25">
      <c r="A1355" s="32">
        <v>46249</v>
      </c>
      <c r="B1355" s="33" t="s">
        <v>506</v>
      </c>
      <c r="C1355" s="33" t="s">
        <v>32</v>
      </c>
      <c r="D1355" s="33" t="s">
        <v>32</v>
      </c>
      <c r="E1355">
        <v>20</v>
      </c>
      <c r="F1355" s="34">
        <v>0.12880787037037036</v>
      </c>
      <c r="G1355" s="34">
        <v>6.440393518518518E-3</v>
      </c>
      <c r="H1355" s="33" t="s">
        <v>44</v>
      </c>
      <c r="I1355" s="33" t="s">
        <v>100</v>
      </c>
    </row>
    <row r="1356" spans="1:9" x14ac:dyDescent="0.25">
      <c r="A1356" s="32">
        <v>46249</v>
      </c>
      <c r="B1356" s="33" t="s">
        <v>527</v>
      </c>
      <c r="C1356" s="33" t="s">
        <v>32</v>
      </c>
      <c r="D1356" s="33" t="s">
        <v>32</v>
      </c>
      <c r="E1356">
        <v>1</v>
      </c>
      <c r="F1356" s="34">
        <v>2.6620370370370372E-4</v>
      </c>
      <c r="G1356" s="34">
        <v>2.6620370370370372E-4</v>
      </c>
      <c r="H1356" s="33" t="s">
        <v>240</v>
      </c>
      <c r="I1356" s="33" t="s">
        <v>233</v>
      </c>
    </row>
    <row r="1357" spans="1:9" x14ac:dyDescent="0.25">
      <c r="A1357" s="32">
        <v>46249</v>
      </c>
      <c r="B1357" s="33" t="s">
        <v>646</v>
      </c>
      <c r="C1357" s="33" t="s">
        <v>32</v>
      </c>
      <c r="D1357" s="33" t="s">
        <v>32</v>
      </c>
      <c r="E1357">
        <v>28</v>
      </c>
      <c r="F1357" s="34">
        <v>0.11856481481481482</v>
      </c>
      <c r="G1357" s="34">
        <v>4.2344576719576723E-3</v>
      </c>
      <c r="H1357" s="33" t="s">
        <v>645</v>
      </c>
      <c r="I1357" s="33" t="s">
        <v>100</v>
      </c>
    </row>
    <row r="1358" spans="1:9" x14ac:dyDescent="0.25">
      <c r="A1358" s="32">
        <v>46249</v>
      </c>
      <c r="B1358" s="33" t="s">
        <v>544</v>
      </c>
      <c r="C1358" s="33" t="s">
        <v>147</v>
      </c>
      <c r="D1358" s="33" t="s">
        <v>147</v>
      </c>
      <c r="E1358">
        <v>11</v>
      </c>
      <c r="F1358" s="34">
        <v>1.5810185185185184E-2</v>
      </c>
      <c r="G1358" s="34">
        <v>1.4372895622895621E-3</v>
      </c>
      <c r="H1358" s="33" t="s">
        <v>160</v>
      </c>
      <c r="I1358" s="33" t="s">
        <v>146</v>
      </c>
    </row>
    <row r="1359" spans="1:9" x14ac:dyDescent="0.25">
      <c r="A1359" s="32">
        <v>46249</v>
      </c>
      <c r="B1359" s="33" t="s">
        <v>544</v>
      </c>
      <c r="C1359" s="33" t="s">
        <v>147</v>
      </c>
      <c r="D1359" s="33" t="s">
        <v>32</v>
      </c>
      <c r="E1359">
        <v>7</v>
      </c>
      <c r="F1359" s="34">
        <v>1.2291666666666666E-2</v>
      </c>
      <c r="G1359" s="34">
        <v>1.7559523809523808E-3</v>
      </c>
      <c r="H1359" s="33" t="s">
        <v>160</v>
      </c>
      <c r="I1359" s="33" t="s">
        <v>146</v>
      </c>
    </row>
    <row r="1360" spans="1:9" x14ac:dyDescent="0.25">
      <c r="A1360" s="32">
        <v>46249</v>
      </c>
      <c r="B1360" s="33" t="s">
        <v>558</v>
      </c>
      <c r="C1360" s="33" t="s">
        <v>32</v>
      </c>
      <c r="D1360" s="33" t="s">
        <v>32</v>
      </c>
      <c r="E1360">
        <v>16</v>
      </c>
      <c r="F1360" s="34">
        <v>2.9502314814814815E-2</v>
      </c>
      <c r="G1360" s="34">
        <v>1.8438946759259259E-3</v>
      </c>
      <c r="H1360" s="33" t="s">
        <v>120</v>
      </c>
      <c r="I1360" s="33" t="s">
        <v>233</v>
      </c>
    </row>
    <row r="1361" spans="1:9" x14ac:dyDescent="0.25">
      <c r="A1361" s="32">
        <v>46249</v>
      </c>
      <c r="B1361" s="33" t="s">
        <v>507</v>
      </c>
      <c r="C1361" s="33" t="s">
        <v>32</v>
      </c>
      <c r="D1361" s="33" t="s">
        <v>32</v>
      </c>
      <c r="E1361">
        <v>16</v>
      </c>
      <c r="F1361" s="34">
        <v>9.6030092592592597E-2</v>
      </c>
      <c r="G1361" s="34">
        <v>6.0018807870370373E-3</v>
      </c>
      <c r="H1361" s="33" t="s">
        <v>46</v>
      </c>
      <c r="I1361" s="33" t="s">
        <v>100</v>
      </c>
    </row>
    <row r="1362" spans="1:9" x14ac:dyDescent="0.25">
      <c r="A1362" s="32">
        <v>46249</v>
      </c>
      <c r="B1362" s="33" t="s">
        <v>542</v>
      </c>
      <c r="C1362" s="33" t="s">
        <v>105</v>
      </c>
      <c r="D1362" s="33" t="s">
        <v>105</v>
      </c>
      <c r="E1362">
        <v>2</v>
      </c>
      <c r="F1362" s="34">
        <v>3.5046296296296298E-2</v>
      </c>
      <c r="G1362" s="34">
        <v>1.7523148148148149E-2</v>
      </c>
      <c r="H1362" s="33" t="s">
        <v>287</v>
      </c>
      <c r="I1362" s="33" t="s">
        <v>104</v>
      </c>
    </row>
    <row r="1363" spans="1:9" x14ac:dyDescent="0.25">
      <c r="A1363" s="32">
        <v>46249</v>
      </c>
      <c r="B1363" s="33" t="s">
        <v>517</v>
      </c>
      <c r="C1363" s="33" t="s">
        <v>147</v>
      </c>
      <c r="D1363" s="33" t="s">
        <v>147</v>
      </c>
      <c r="E1363">
        <v>10</v>
      </c>
      <c r="F1363" s="34">
        <v>5.4803240740740743E-2</v>
      </c>
      <c r="G1363" s="34">
        <v>5.4803240740740741E-3</v>
      </c>
      <c r="H1363" s="33" t="s">
        <v>499</v>
      </c>
      <c r="I1363" s="33" t="s">
        <v>146</v>
      </c>
    </row>
    <row r="1364" spans="1:9" x14ac:dyDescent="0.25">
      <c r="A1364" s="32">
        <v>46249</v>
      </c>
      <c r="B1364" s="33" t="s">
        <v>648</v>
      </c>
      <c r="C1364" s="33" t="s">
        <v>32</v>
      </c>
      <c r="D1364" s="33" t="s">
        <v>32</v>
      </c>
      <c r="E1364">
        <v>15</v>
      </c>
      <c r="F1364" s="34">
        <v>5.3101851851851851E-2</v>
      </c>
      <c r="G1364" s="34">
        <v>3.5401234567901236E-3</v>
      </c>
      <c r="H1364" s="33" t="s">
        <v>647</v>
      </c>
      <c r="I1364" s="33" t="s">
        <v>233</v>
      </c>
    </row>
    <row r="1365" spans="1:9" x14ac:dyDescent="0.25">
      <c r="A1365" s="32">
        <v>46249</v>
      </c>
      <c r="B1365" s="33" t="s">
        <v>650</v>
      </c>
      <c r="C1365" s="33" t="s">
        <v>105</v>
      </c>
      <c r="D1365" s="33" t="s">
        <v>105</v>
      </c>
      <c r="E1365">
        <v>1</v>
      </c>
      <c r="F1365" s="34">
        <v>4.0011574074074074E-2</v>
      </c>
      <c r="G1365" s="34">
        <v>4.0011574074074074E-2</v>
      </c>
      <c r="H1365" s="33" t="s">
        <v>649</v>
      </c>
      <c r="I1365" s="33" t="s">
        <v>104</v>
      </c>
    </row>
    <row r="1366" spans="1:9" x14ac:dyDescent="0.25">
      <c r="A1366" s="32">
        <v>46249</v>
      </c>
      <c r="B1366" s="33" t="s">
        <v>568</v>
      </c>
      <c r="C1366" s="33" t="s">
        <v>32</v>
      </c>
      <c r="D1366" s="33" t="s">
        <v>32</v>
      </c>
      <c r="E1366">
        <v>19</v>
      </c>
      <c r="F1366" s="34">
        <v>5.5636574074074074E-2</v>
      </c>
      <c r="G1366" s="34">
        <v>2.9282407407407408E-3</v>
      </c>
      <c r="H1366" s="33" t="s">
        <v>246</v>
      </c>
      <c r="I1366" s="33" t="s">
        <v>233</v>
      </c>
    </row>
    <row r="1367" spans="1:9" x14ac:dyDescent="0.25">
      <c r="A1367" s="32">
        <v>46249</v>
      </c>
      <c r="B1367" s="33" t="s">
        <v>508</v>
      </c>
      <c r="C1367" s="33" t="s">
        <v>32</v>
      </c>
      <c r="D1367" s="33" t="s">
        <v>32</v>
      </c>
      <c r="E1367">
        <v>18</v>
      </c>
      <c r="F1367" s="34">
        <v>0.10054398148148148</v>
      </c>
      <c r="G1367" s="34">
        <v>5.5857767489711939E-3</v>
      </c>
      <c r="H1367" s="33" t="s">
        <v>48</v>
      </c>
      <c r="I1367" s="33" t="s">
        <v>100</v>
      </c>
    </row>
    <row r="1368" spans="1:9" x14ac:dyDescent="0.25">
      <c r="A1368" s="32">
        <v>46249</v>
      </c>
      <c r="B1368" s="33" t="s">
        <v>603</v>
      </c>
      <c r="C1368" s="33" t="s">
        <v>32</v>
      </c>
      <c r="D1368" s="33" t="s">
        <v>32</v>
      </c>
      <c r="E1368">
        <v>21</v>
      </c>
      <c r="F1368" s="34">
        <v>0.10782407407407407</v>
      </c>
      <c r="G1368" s="34">
        <v>5.1344797178130511E-3</v>
      </c>
      <c r="H1368" s="33" t="s">
        <v>242</v>
      </c>
      <c r="I1368" s="33" t="s">
        <v>233</v>
      </c>
    </row>
    <row r="1369" spans="1:9" x14ac:dyDescent="0.25">
      <c r="A1369" s="32">
        <v>46249</v>
      </c>
      <c r="B1369" s="33" t="s">
        <v>559</v>
      </c>
      <c r="C1369" s="33" t="s">
        <v>105</v>
      </c>
      <c r="D1369" s="33" t="s">
        <v>105</v>
      </c>
      <c r="E1369">
        <v>2</v>
      </c>
      <c r="F1369" s="34">
        <v>5.0069444444444444E-2</v>
      </c>
      <c r="G1369" s="34">
        <v>2.5034722222222222E-2</v>
      </c>
      <c r="H1369" s="33" t="s">
        <v>289</v>
      </c>
      <c r="I1369" s="33" t="s">
        <v>104</v>
      </c>
    </row>
    <row r="1370" spans="1:9" x14ac:dyDescent="0.25">
      <c r="A1370" s="32">
        <v>46249</v>
      </c>
      <c r="B1370" s="33" t="s">
        <v>518</v>
      </c>
      <c r="C1370" s="33" t="s">
        <v>147</v>
      </c>
      <c r="D1370" s="33" t="s">
        <v>147</v>
      </c>
      <c r="E1370">
        <v>11</v>
      </c>
      <c r="F1370" s="34">
        <v>4.4363425925925924E-2</v>
      </c>
      <c r="G1370" s="34">
        <v>4.0330387205387208E-3</v>
      </c>
      <c r="H1370" s="33" t="s">
        <v>500</v>
      </c>
      <c r="I1370" s="33" t="s">
        <v>274</v>
      </c>
    </row>
    <row r="1371" spans="1:9" x14ac:dyDescent="0.25">
      <c r="A1371" s="32">
        <v>46249</v>
      </c>
      <c r="B1371" s="33" t="s">
        <v>518</v>
      </c>
      <c r="C1371" s="33" t="s">
        <v>147</v>
      </c>
      <c r="D1371" s="33" t="s">
        <v>32</v>
      </c>
      <c r="E1371">
        <v>3</v>
      </c>
      <c r="F1371" s="34">
        <v>1.7708333333333333E-2</v>
      </c>
      <c r="G1371" s="34">
        <v>5.9027777777777776E-3</v>
      </c>
      <c r="H1371" s="33" t="s">
        <v>500</v>
      </c>
      <c r="I1371" s="33" t="s">
        <v>274</v>
      </c>
    </row>
    <row r="1372" spans="1:9" x14ac:dyDescent="0.25">
      <c r="A1372" s="32">
        <v>46249</v>
      </c>
      <c r="B1372" s="33" t="s">
        <v>684</v>
      </c>
      <c r="C1372" s="33" t="s">
        <v>32</v>
      </c>
      <c r="D1372" s="33" t="s">
        <v>32</v>
      </c>
      <c r="E1372">
        <v>18</v>
      </c>
      <c r="F1372" s="34">
        <v>6.1111111111111109E-2</v>
      </c>
      <c r="G1372" s="34">
        <v>3.3950617283950617E-3</v>
      </c>
      <c r="H1372" s="33" t="s">
        <v>683</v>
      </c>
      <c r="I1372" s="33" t="s">
        <v>233</v>
      </c>
    </row>
    <row r="1373" spans="1:9" x14ac:dyDescent="0.25">
      <c r="A1373" s="32">
        <v>46249</v>
      </c>
      <c r="B1373" s="33" t="s">
        <v>654</v>
      </c>
      <c r="C1373" s="33" t="s">
        <v>32</v>
      </c>
      <c r="D1373" s="33" t="s">
        <v>32</v>
      </c>
      <c r="E1373">
        <v>20</v>
      </c>
      <c r="F1373" s="34">
        <v>0.13130787037037037</v>
      </c>
      <c r="G1373" s="34">
        <v>6.5653935185185181E-3</v>
      </c>
      <c r="H1373" s="33" t="s">
        <v>653</v>
      </c>
      <c r="I1373" s="33" t="s">
        <v>100</v>
      </c>
    </row>
    <row r="1374" spans="1:9" x14ac:dyDescent="0.25">
      <c r="A1374" s="32">
        <v>46249</v>
      </c>
      <c r="B1374" s="33" t="s">
        <v>519</v>
      </c>
      <c r="C1374" s="33" t="s">
        <v>147</v>
      </c>
      <c r="D1374" s="33" t="s">
        <v>147</v>
      </c>
      <c r="E1374">
        <v>14</v>
      </c>
      <c r="F1374" s="34">
        <v>3.9456018518518515E-2</v>
      </c>
      <c r="G1374" s="34">
        <v>2.8182870370370367E-3</v>
      </c>
      <c r="H1374" s="33" t="s">
        <v>164</v>
      </c>
      <c r="I1374" s="33" t="s">
        <v>146</v>
      </c>
    </row>
    <row r="1375" spans="1:9" x14ac:dyDescent="0.25">
      <c r="A1375" s="32">
        <v>46249</v>
      </c>
      <c r="B1375" s="33" t="s">
        <v>519</v>
      </c>
      <c r="C1375" s="33" t="s">
        <v>147</v>
      </c>
      <c r="D1375" s="33" t="s">
        <v>32</v>
      </c>
      <c r="E1375">
        <v>6</v>
      </c>
      <c r="F1375" s="34">
        <v>5.8333333333333336E-3</v>
      </c>
      <c r="G1375" s="34">
        <v>9.722222222222223E-4</v>
      </c>
      <c r="H1375" s="33" t="s">
        <v>164</v>
      </c>
      <c r="I1375" s="33" t="s">
        <v>146</v>
      </c>
    </row>
    <row r="1376" spans="1:9" x14ac:dyDescent="0.25">
      <c r="A1376" s="32">
        <v>46249</v>
      </c>
      <c r="B1376" s="33" t="s">
        <v>656</v>
      </c>
      <c r="C1376" s="33" t="s">
        <v>32</v>
      </c>
      <c r="D1376" s="33" t="s">
        <v>32</v>
      </c>
      <c r="E1376">
        <v>19</v>
      </c>
      <c r="F1376" s="34">
        <v>8.8391203703703708E-2</v>
      </c>
      <c r="G1376" s="34">
        <v>4.6521686159844058E-3</v>
      </c>
      <c r="H1376" s="33" t="s">
        <v>655</v>
      </c>
      <c r="I1376" s="33" t="s">
        <v>100</v>
      </c>
    </row>
    <row r="1377" spans="1:9" x14ac:dyDescent="0.25">
      <c r="A1377" s="32">
        <v>46249</v>
      </c>
      <c r="B1377" s="33" t="s">
        <v>167</v>
      </c>
      <c r="C1377" s="33" t="s">
        <v>147</v>
      </c>
      <c r="D1377" s="33" t="s">
        <v>147</v>
      </c>
      <c r="E1377">
        <v>9</v>
      </c>
      <c r="F1377" s="34">
        <v>3.3171296296296296E-2</v>
      </c>
      <c r="G1377" s="34">
        <v>3.6856995884773664E-3</v>
      </c>
      <c r="H1377" s="33" t="s">
        <v>166</v>
      </c>
      <c r="I1377" s="33" t="s">
        <v>146</v>
      </c>
    </row>
    <row r="1378" spans="1:9" x14ac:dyDescent="0.25">
      <c r="A1378" s="32">
        <v>46249</v>
      </c>
      <c r="B1378" s="33" t="s">
        <v>167</v>
      </c>
      <c r="C1378" s="33" t="s">
        <v>147</v>
      </c>
      <c r="D1378" s="33" t="s">
        <v>32</v>
      </c>
      <c r="E1378">
        <v>7</v>
      </c>
      <c r="F1378" s="34">
        <v>1.3842592592592592E-2</v>
      </c>
      <c r="G1378" s="34">
        <v>1.9775132275132276E-3</v>
      </c>
      <c r="H1378" s="33" t="s">
        <v>166</v>
      </c>
      <c r="I1378" s="33" t="s">
        <v>146</v>
      </c>
    </row>
    <row r="1379" spans="1:9" x14ac:dyDescent="0.25">
      <c r="A1379" s="32">
        <v>46249</v>
      </c>
      <c r="B1379" s="33" t="s">
        <v>658</v>
      </c>
      <c r="C1379" s="33" t="s">
        <v>147</v>
      </c>
      <c r="D1379" s="33" t="s">
        <v>147</v>
      </c>
      <c r="E1379">
        <v>7</v>
      </c>
      <c r="F1379" s="34">
        <v>3.0729166666666665E-2</v>
      </c>
      <c r="G1379" s="34">
        <v>4.3898809523809524E-3</v>
      </c>
      <c r="H1379" s="33" t="s">
        <v>657</v>
      </c>
      <c r="I1379" s="33" t="s">
        <v>274</v>
      </c>
    </row>
    <row r="1380" spans="1:9" x14ac:dyDescent="0.25">
      <c r="A1380" s="32">
        <v>46249</v>
      </c>
      <c r="B1380" s="33" t="s">
        <v>658</v>
      </c>
      <c r="C1380" s="33" t="s">
        <v>147</v>
      </c>
      <c r="D1380" s="33" t="s">
        <v>32</v>
      </c>
      <c r="E1380">
        <v>4</v>
      </c>
      <c r="F1380" s="34">
        <v>6.851851851851852E-3</v>
      </c>
      <c r="G1380" s="34">
        <v>1.712962962962963E-3</v>
      </c>
      <c r="H1380" s="33" t="s">
        <v>657</v>
      </c>
      <c r="I1380" s="33" t="s">
        <v>274</v>
      </c>
    </row>
    <row r="1381" spans="1:9" x14ac:dyDescent="0.25">
      <c r="A1381" s="32">
        <v>46249</v>
      </c>
      <c r="B1381" s="33" t="s">
        <v>528</v>
      </c>
      <c r="C1381" s="33" t="s">
        <v>32</v>
      </c>
      <c r="D1381" s="33" t="s">
        <v>32</v>
      </c>
      <c r="E1381">
        <v>13</v>
      </c>
      <c r="F1381" s="34">
        <v>5.1249999999999997E-2</v>
      </c>
      <c r="G1381" s="34">
        <v>3.942307692307692E-3</v>
      </c>
      <c r="H1381" s="33" t="s">
        <v>254</v>
      </c>
      <c r="I1381" s="33" t="s">
        <v>233</v>
      </c>
    </row>
    <row r="1382" spans="1:9" x14ac:dyDescent="0.25">
      <c r="A1382" s="32">
        <v>46249</v>
      </c>
      <c r="B1382" s="33" t="s">
        <v>545</v>
      </c>
      <c r="C1382" s="33" t="s">
        <v>600</v>
      </c>
      <c r="D1382" s="33" t="s">
        <v>600</v>
      </c>
      <c r="E1382">
        <v>11</v>
      </c>
      <c r="F1382" s="34">
        <v>3.636574074074074E-2</v>
      </c>
      <c r="G1382" s="34">
        <v>3.3059764309764307E-3</v>
      </c>
      <c r="H1382" s="33" t="s">
        <v>201</v>
      </c>
      <c r="I1382" s="33" t="s">
        <v>601</v>
      </c>
    </row>
    <row r="1383" spans="1:9" x14ac:dyDescent="0.25">
      <c r="A1383" s="32">
        <v>46249</v>
      </c>
      <c r="B1383" s="33" t="s">
        <v>520</v>
      </c>
      <c r="C1383" s="33" t="s">
        <v>147</v>
      </c>
      <c r="D1383" s="33" t="s">
        <v>147</v>
      </c>
      <c r="E1383">
        <v>6</v>
      </c>
      <c r="F1383" s="34">
        <v>1.3113425925925926E-2</v>
      </c>
      <c r="G1383" s="34">
        <v>2.1855709876543211E-3</v>
      </c>
      <c r="H1383" s="33" t="s">
        <v>168</v>
      </c>
      <c r="I1383" s="33" t="s">
        <v>274</v>
      </c>
    </row>
    <row r="1384" spans="1:9" x14ac:dyDescent="0.25">
      <c r="A1384" s="32">
        <v>46249</v>
      </c>
      <c r="B1384" s="33" t="s">
        <v>520</v>
      </c>
      <c r="C1384" s="33" t="s">
        <v>147</v>
      </c>
      <c r="D1384" s="33" t="s">
        <v>32</v>
      </c>
      <c r="E1384">
        <v>4</v>
      </c>
      <c r="F1384" s="34">
        <v>5.9259259259259256E-3</v>
      </c>
      <c r="G1384" s="34">
        <v>1.4814814814814814E-3</v>
      </c>
      <c r="H1384" s="33" t="s">
        <v>168</v>
      </c>
      <c r="I1384" s="33" t="s">
        <v>274</v>
      </c>
    </row>
    <row r="1385" spans="1:9" x14ac:dyDescent="0.25">
      <c r="A1385" s="32">
        <v>46249</v>
      </c>
      <c r="B1385" s="33" t="s">
        <v>521</v>
      </c>
      <c r="C1385" s="33" t="s">
        <v>147</v>
      </c>
      <c r="D1385" s="33" t="s">
        <v>147</v>
      </c>
      <c r="E1385">
        <v>10</v>
      </c>
      <c r="F1385" s="34">
        <v>5.2291666666666667E-2</v>
      </c>
      <c r="G1385" s="34">
        <v>5.2291666666666667E-3</v>
      </c>
      <c r="H1385" s="33" t="s">
        <v>170</v>
      </c>
      <c r="I1385" s="33" t="s">
        <v>146</v>
      </c>
    </row>
    <row r="1386" spans="1:9" x14ac:dyDescent="0.25">
      <c r="A1386" s="32">
        <v>46249</v>
      </c>
      <c r="B1386" s="33" t="s">
        <v>521</v>
      </c>
      <c r="C1386" s="33" t="s">
        <v>147</v>
      </c>
      <c r="D1386" s="33" t="s">
        <v>32</v>
      </c>
      <c r="E1386">
        <v>9</v>
      </c>
      <c r="F1386" s="34">
        <v>2.9305555555555557E-2</v>
      </c>
      <c r="G1386" s="34">
        <v>3.2561728395061728E-3</v>
      </c>
      <c r="H1386" s="33" t="s">
        <v>170</v>
      </c>
      <c r="I1386" s="33" t="s">
        <v>146</v>
      </c>
    </row>
    <row r="1387" spans="1:9" x14ac:dyDescent="0.25">
      <c r="A1387" s="32">
        <v>46249</v>
      </c>
      <c r="B1387" s="33" t="s">
        <v>633</v>
      </c>
      <c r="C1387" s="33" t="s">
        <v>147</v>
      </c>
      <c r="D1387" s="33" t="s">
        <v>147</v>
      </c>
      <c r="E1387">
        <v>6</v>
      </c>
      <c r="F1387" s="34">
        <v>3.6041666666666666E-2</v>
      </c>
      <c r="G1387" s="34">
        <v>6.0069444444444441E-3</v>
      </c>
      <c r="H1387" s="33" t="s">
        <v>606</v>
      </c>
      <c r="I1387" s="33" t="s">
        <v>146</v>
      </c>
    </row>
    <row r="1388" spans="1:9" x14ac:dyDescent="0.25">
      <c r="A1388" s="32">
        <v>46249</v>
      </c>
      <c r="B1388" s="33" t="s">
        <v>633</v>
      </c>
      <c r="C1388" s="33" t="s">
        <v>147</v>
      </c>
      <c r="D1388" s="33" t="s">
        <v>32</v>
      </c>
      <c r="E1388">
        <v>4</v>
      </c>
      <c r="F1388" s="34">
        <v>2.6909722222222224E-2</v>
      </c>
      <c r="G1388" s="34">
        <v>6.7274305555555559E-3</v>
      </c>
      <c r="H1388" s="33" t="s">
        <v>606</v>
      </c>
      <c r="I1388" s="33" t="s">
        <v>146</v>
      </c>
    </row>
    <row r="1389" spans="1:9" x14ac:dyDescent="0.25">
      <c r="A1389" s="32">
        <v>46249</v>
      </c>
      <c r="B1389" s="33" t="s">
        <v>529</v>
      </c>
      <c r="C1389" s="33" t="s">
        <v>32</v>
      </c>
      <c r="D1389" s="33" t="s">
        <v>32</v>
      </c>
      <c r="E1389">
        <v>14</v>
      </c>
      <c r="F1389" s="34">
        <v>6.5798611111111113E-2</v>
      </c>
      <c r="G1389" s="34">
        <v>4.6999007936507934E-3</v>
      </c>
      <c r="H1389" s="33" t="s">
        <v>256</v>
      </c>
      <c r="I1389" s="33" t="s">
        <v>233</v>
      </c>
    </row>
    <row r="1390" spans="1:9" x14ac:dyDescent="0.25">
      <c r="A1390" s="32">
        <v>46249</v>
      </c>
      <c r="B1390" s="33" t="s">
        <v>662</v>
      </c>
      <c r="C1390" s="33" t="s">
        <v>32</v>
      </c>
      <c r="D1390" s="33" t="s">
        <v>32</v>
      </c>
      <c r="E1390">
        <v>28</v>
      </c>
      <c r="F1390" s="34">
        <v>9.8900462962962968E-2</v>
      </c>
      <c r="G1390" s="34">
        <v>3.5321593915343917E-3</v>
      </c>
      <c r="H1390" s="33" t="s">
        <v>661</v>
      </c>
      <c r="I1390" s="33" t="s">
        <v>100</v>
      </c>
    </row>
    <row r="1391" spans="1:9" x14ac:dyDescent="0.25">
      <c r="A1391" s="32">
        <v>46249</v>
      </c>
      <c r="B1391" s="33" t="s">
        <v>664</v>
      </c>
      <c r="C1391" s="33" t="s">
        <v>32</v>
      </c>
      <c r="D1391" s="33" t="s">
        <v>32</v>
      </c>
      <c r="E1391">
        <v>15</v>
      </c>
      <c r="F1391" s="34">
        <v>9.7557870370370364E-2</v>
      </c>
      <c r="G1391" s="34">
        <v>6.5038580246913578E-3</v>
      </c>
      <c r="H1391" s="33" t="s">
        <v>663</v>
      </c>
      <c r="I1391" s="33" t="s">
        <v>233</v>
      </c>
    </row>
    <row r="1392" spans="1:9" x14ac:dyDescent="0.25">
      <c r="A1392" s="32">
        <v>46249</v>
      </c>
      <c r="B1392" s="33" t="s">
        <v>666</v>
      </c>
      <c r="C1392" s="33" t="s">
        <v>32</v>
      </c>
      <c r="D1392" s="33" t="s">
        <v>32</v>
      </c>
      <c r="E1392">
        <v>41</v>
      </c>
      <c r="F1392" s="34">
        <v>0.15317129629629631</v>
      </c>
      <c r="G1392" s="34">
        <v>3.7358852755194219E-3</v>
      </c>
      <c r="H1392" s="33" t="s">
        <v>665</v>
      </c>
      <c r="I1392" s="33" t="s">
        <v>100</v>
      </c>
    </row>
    <row r="1393" spans="1:9" x14ac:dyDescent="0.25">
      <c r="A1393" s="32">
        <v>46249</v>
      </c>
      <c r="B1393" s="33" t="s">
        <v>555</v>
      </c>
      <c r="C1393" s="33" t="s">
        <v>32</v>
      </c>
      <c r="D1393" s="33" t="s">
        <v>32</v>
      </c>
      <c r="E1393">
        <v>17</v>
      </c>
      <c r="F1393" s="34">
        <v>6.385416666666667E-2</v>
      </c>
      <c r="G1393" s="34">
        <v>3.7561274509803925E-3</v>
      </c>
      <c r="H1393" s="33" t="s">
        <v>128</v>
      </c>
      <c r="I1393" s="33" t="s">
        <v>233</v>
      </c>
    </row>
    <row r="1394" spans="1:9" x14ac:dyDescent="0.25">
      <c r="A1394" s="32">
        <v>46249</v>
      </c>
      <c r="B1394" s="33" t="s">
        <v>522</v>
      </c>
      <c r="C1394" s="33" t="s">
        <v>147</v>
      </c>
      <c r="D1394" s="33" t="s">
        <v>147</v>
      </c>
      <c r="E1394">
        <v>10</v>
      </c>
      <c r="F1394" s="34">
        <v>3.0162037037037036E-2</v>
      </c>
      <c r="G1394" s="34">
        <v>3.0162037037037037E-3</v>
      </c>
      <c r="H1394" s="33" t="s">
        <v>178</v>
      </c>
      <c r="I1394" s="33" t="s">
        <v>146</v>
      </c>
    </row>
    <row r="1395" spans="1:9" x14ac:dyDescent="0.25">
      <c r="A1395" s="32">
        <v>46249</v>
      </c>
      <c r="B1395" s="33" t="s">
        <v>522</v>
      </c>
      <c r="C1395" s="33" t="s">
        <v>147</v>
      </c>
      <c r="D1395" s="33" t="s">
        <v>32</v>
      </c>
      <c r="E1395">
        <v>3</v>
      </c>
      <c r="F1395" s="34">
        <v>2.1469907407407406E-2</v>
      </c>
      <c r="G1395" s="34">
        <v>7.1566358024691351E-3</v>
      </c>
      <c r="H1395" s="33" t="s">
        <v>178</v>
      </c>
      <c r="I1395" s="33" t="s">
        <v>146</v>
      </c>
    </row>
    <row r="1396" spans="1:9" x14ac:dyDescent="0.25">
      <c r="A1396" s="32">
        <v>46249</v>
      </c>
      <c r="B1396" s="33" t="s">
        <v>667</v>
      </c>
      <c r="C1396" s="33" t="s">
        <v>105</v>
      </c>
      <c r="D1396" s="33" t="s">
        <v>105</v>
      </c>
      <c r="E1396">
        <v>2</v>
      </c>
      <c r="F1396" s="34">
        <v>2.914351851851852E-2</v>
      </c>
      <c r="G1396" s="34">
        <v>1.457175925925926E-2</v>
      </c>
      <c r="H1396" s="33" t="s">
        <v>297</v>
      </c>
      <c r="I1396" s="33" t="s">
        <v>104</v>
      </c>
    </row>
    <row r="1397" spans="1:9" x14ac:dyDescent="0.25">
      <c r="A1397" s="32">
        <v>46249</v>
      </c>
      <c r="B1397" s="33" t="s">
        <v>635</v>
      </c>
      <c r="C1397" s="33" t="s">
        <v>105</v>
      </c>
      <c r="D1397" s="33" t="s">
        <v>32</v>
      </c>
      <c r="E1397">
        <v>6</v>
      </c>
      <c r="F1397" s="34">
        <v>4.3969907407407409E-2</v>
      </c>
      <c r="G1397" s="34">
        <v>7.3283179012345679E-3</v>
      </c>
      <c r="H1397" s="33" t="s">
        <v>614</v>
      </c>
      <c r="I1397" s="33" t="s">
        <v>601</v>
      </c>
    </row>
    <row r="1398" spans="1:9" x14ac:dyDescent="0.25">
      <c r="A1398" s="32">
        <v>46249</v>
      </c>
      <c r="B1398" s="33" t="s">
        <v>523</v>
      </c>
      <c r="C1398" s="33" t="s">
        <v>147</v>
      </c>
      <c r="D1398" s="33" t="s">
        <v>147</v>
      </c>
      <c r="E1398">
        <v>5</v>
      </c>
      <c r="F1398" s="34">
        <v>2.5289351851851851E-2</v>
      </c>
      <c r="G1398" s="34">
        <v>5.0578703703703706E-3</v>
      </c>
      <c r="H1398" s="33" t="s">
        <v>180</v>
      </c>
      <c r="I1398" s="33" t="s">
        <v>146</v>
      </c>
    </row>
    <row r="1399" spans="1:9" x14ac:dyDescent="0.25">
      <c r="A1399" s="32">
        <v>46249</v>
      </c>
      <c r="B1399" s="33" t="s">
        <v>523</v>
      </c>
      <c r="C1399" s="33" t="s">
        <v>147</v>
      </c>
      <c r="D1399" s="33" t="s">
        <v>32</v>
      </c>
      <c r="E1399">
        <v>6</v>
      </c>
      <c r="F1399" s="34">
        <v>3.1550925925925927E-2</v>
      </c>
      <c r="G1399" s="34">
        <v>5.2584876543209881E-3</v>
      </c>
      <c r="H1399" s="33" t="s">
        <v>180</v>
      </c>
      <c r="I1399" s="33" t="s">
        <v>146</v>
      </c>
    </row>
    <row r="1400" spans="1:9" x14ac:dyDescent="0.25">
      <c r="A1400" s="32">
        <v>46249</v>
      </c>
      <c r="B1400" s="33" t="s">
        <v>636</v>
      </c>
      <c r="C1400" s="33" t="s">
        <v>105</v>
      </c>
      <c r="D1400" s="33" t="s">
        <v>105</v>
      </c>
      <c r="E1400">
        <v>3</v>
      </c>
      <c r="F1400" s="34">
        <v>4.071759259259259E-2</v>
      </c>
      <c r="G1400" s="34">
        <v>1.3572530864197531E-2</v>
      </c>
      <c r="H1400" s="33" t="s">
        <v>615</v>
      </c>
      <c r="I1400" s="33" t="s">
        <v>601</v>
      </c>
    </row>
    <row r="1401" spans="1:9" x14ac:dyDescent="0.25">
      <c r="A1401" s="32">
        <v>46249</v>
      </c>
      <c r="B1401" s="33" t="s">
        <v>566</v>
      </c>
      <c r="C1401" s="33" t="s">
        <v>147</v>
      </c>
      <c r="D1401" s="33" t="s">
        <v>147</v>
      </c>
      <c r="E1401">
        <v>5</v>
      </c>
      <c r="F1401" s="34">
        <v>5.4976851851851853E-3</v>
      </c>
      <c r="G1401" s="34">
        <v>1.0995370370370371E-3</v>
      </c>
      <c r="H1401" s="33" t="s">
        <v>207</v>
      </c>
      <c r="I1401" s="33" t="s">
        <v>274</v>
      </c>
    </row>
    <row r="1402" spans="1:9" x14ac:dyDescent="0.25">
      <c r="A1402" s="32">
        <v>46249</v>
      </c>
      <c r="B1402" s="33" t="s">
        <v>566</v>
      </c>
      <c r="C1402" s="33" t="s">
        <v>147</v>
      </c>
      <c r="D1402" s="33" t="s">
        <v>32</v>
      </c>
      <c r="E1402">
        <v>8</v>
      </c>
      <c r="F1402" s="34">
        <v>3.5092592592592592E-2</v>
      </c>
      <c r="G1402" s="34">
        <v>4.386574074074074E-3</v>
      </c>
      <c r="H1402" s="33" t="s">
        <v>207</v>
      </c>
      <c r="I1402" s="33" t="s">
        <v>274</v>
      </c>
    </row>
    <row r="1403" spans="1:9" x14ac:dyDescent="0.25">
      <c r="A1403" s="32">
        <v>46249</v>
      </c>
      <c r="B1403" s="33" t="s">
        <v>637</v>
      </c>
      <c r="C1403" s="33" t="s">
        <v>105</v>
      </c>
      <c r="D1403" s="33" t="s">
        <v>105</v>
      </c>
      <c r="E1403">
        <v>2</v>
      </c>
      <c r="F1403" s="34">
        <v>4.2824074074074077E-2</v>
      </c>
      <c r="G1403" s="34">
        <v>2.1412037037037038E-2</v>
      </c>
      <c r="H1403" s="33" t="s">
        <v>616</v>
      </c>
      <c r="I1403" s="33" t="s">
        <v>601</v>
      </c>
    </row>
    <row r="1404" spans="1:9" x14ac:dyDescent="0.25">
      <c r="A1404" s="32">
        <v>46249</v>
      </c>
      <c r="B1404" s="33" t="s">
        <v>567</v>
      </c>
      <c r="C1404" s="33" t="s">
        <v>105</v>
      </c>
      <c r="D1404" s="33" t="s">
        <v>32</v>
      </c>
      <c r="E1404">
        <v>1</v>
      </c>
      <c r="F1404" s="34">
        <v>1.2962962962962963E-2</v>
      </c>
      <c r="G1404" s="34">
        <v>1.2962962962962963E-2</v>
      </c>
      <c r="H1404" s="33" t="s">
        <v>209</v>
      </c>
      <c r="I1404" s="33" t="s">
        <v>601</v>
      </c>
    </row>
    <row r="1405" spans="1:9" x14ac:dyDescent="0.25">
      <c r="A1405" s="32">
        <v>46249</v>
      </c>
      <c r="B1405" s="33" t="s">
        <v>510</v>
      </c>
      <c r="C1405" s="33" t="s">
        <v>32</v>
      </c>
      <c r="D1405" s="33" t="s">
        <v>32</v>
      </c>
      <c r="E1405">
        <v>25</v>
      </c>
      <c r="F1405" s="34">
        <v>0.12579861111111112</v>
      </c>
      <c r="G1405" s="34">
        <v>5.0319444444444448E-3</v>
      </c>
      <c r="H1405" s="33" t="s">
        <v>60</v>
      </c>
      <c r="I1405" s="33" t="s">
        <v>100</v>
      </c>
    </row>
    <row r="1406" spans="1:9" x14ac:dyDescent="0.25">
      <c r="A1406" s="32">
        <v>46249</v>
      </c>
      <c r="B1406" s="33" t="s">
        <v>512</v>
      </c>
      <c r="C1406" s="33" t="s">
        <v>105</v>
      </c>
      <c r="D1406" s="33" t="s">
        <v>105</v>
      </c>
      <c r="E1406">
        <v>2</v>
      </c>
      <c r="F1406" s="34">
        <v>7.8912037037037031E-2</v>
      </c>
      <c r="G1406" s="34">
        <v>3.9456018518518515E-2</v>
      </c>
      <c r="H1406" s="33" t="s">
        <v>132</v>
      </c>
      <c r="I1406" s="33" t="s">
        <v>104</v>
      </c>
    </row>
    <row r="1407" spans="1:9" x14ac:dyDescent="0.25">
      <c r="A1407" s="32">
        <v>46249</v>
      </c>
      <c r="B1407" s="33" t="s">
        <v>560</v>
      </c>
      <c r="C1407" s="33" t="s">
        <v>105</v>
      </c>
      <c r="D1407" s="33" t="s">
        <v>105</v>
      </c>
      <c r="E1407">
        <v>1</v>
      </c>
      <c r="F1407" s="34">
        <v>2.642361111111111E-2</v>
      </c>
      <c r="G1407" s="34">
        <v>2.642361111111111E-2</v>
      </c>
      <c r="H1407" s="33" t="s">
        <v>134</v>
      </c>
      <c r="I1407" s="33" t="s">
        <v>104</v>
      </c>
    </row>
    <row r="1408" spans="1:9" x14ac:dyDescent="0.25">
      <c r="A1408" s="32">
        <v>46249</v>
      </c>
      <c r="B1408" s="33" t="s">
        <v>546</v>
      </c>
      <c r="C1408" s="33" t="s">
        <v>105</v>
      </c>
      <c r="D1408" s="33" t="s">
        <v>105</v>
      </c>
      <c r="E1408">
        <v>2</v>
      </c>
      <c r="F1408" s="34">
        <v>3.0532407407407407E-2</v>
      </c>
      <c r="G1408" s="34">
        <v>1.5266203703703704E-2</v>
      </c>
      <c r="H1408" s="33" t="s">
        <v>211</v>
      </c>
      <c r="I1408" s="33" t="s">
        <v>104</v>
      </c>
    </row>
    <row r="1409" spans="1:9" x14ac:dyDescent="0.25">
      <c r="A1409" s="32">
        <v>46249</v>
      </c>
      <c r="B1409" s="33" t="s">
        <v>639</v>
      </c>
      <c r="C1409" s="33" t="s">
        <v>105</v>
      </c>
      <c r="D1409" s="33" t="s">
        <v>105</v>
      </c>
      <c r="E1409">
        <v>2</v>
      </c>
      <c r="F1409" s="34">
        <v>5.2418981481481483E-2</v>
      </c>
      <c r="G1409" s="34">
        <v>2.6209490740740742E-2</v>
      </c>
      <c r="H1409" s="33" t="s">
        <v>618</v>
      </c>
      <c r="I1409" s="33" t="s">
        <v>601</v>
      </c>
    </row>
    <row r="1410" spans="1:9" x14ac:dyDescent="0.25">
      <c r="A1410" s="32">
        <v>46249</v>
      </c>
      <c r="B1410" s="33" t="s">
        <v>524</v>
      </c>
      <c r="C1410" s="33" t="s">
        <v>147</v>
      </c>
      <c r="D1410" s="33" t="s">
        <v>147</v>
      </c>
      <c r="E1410">
        <v>9</v>
      </c>
      <c r="F1410" s="34">
        <v>2.4479166666666666E-2</v>
      </c>
      <c r="G1410" s="34">
        <v>2.7199074074074074E-3</v>
      </c>
      <c r="H1410" s="33" t="s">
        <v>501</v>
      </c>
      <c r="I1410" s="33" t="s">
        <v>274</v>
      </c>
    </row>
    <row r="1411" spans="1:9" x14ac:dyDescent="0.25">
      <c r="A1411" s="32">
        <v>46249</v>
      </c>
      <c r="B1411" s="33" t="s">
        <v>524</v>
      </c>
      <c r="C1411" s="33" t="s">
        <v>147</v>
      </c>
      <c r="D1411" s="33" t="s">
        <v>32</v>
      </c>
      <c r="E1411">
        <v>5</v>
      </c>
      <c r="F1411" s="34">
        <v>2.2453703703703705E-2</v>
      </c>
      <c r="G1411" s="34">
        <v>4.4907407407407413E-3</v>
      </c>
      <c r="H1411" s="33" t="s">
        <v>501</v>
      </c>
      <c r="I1411" s="33" t="s">
        <v>274</v>
      </c>
    </row>
    <row r="1412" spans="1:9" x14ac:dyDescent="0.25">
      <c r="A1412" s="32">
        <v>46249</v>
      </c>
      <c r="B1412" s="33" t="s">
        <v>572</v>
      </c>
      <c r="C1412" s="33" t="s">
        <v>105</v>
      </c>
      <c r="D1412" s="33" t="s">
        <v>105</v>
      </c>
      <c r="E1412">
        <v>5</v>
      </c>
      <c r="F1412" s="34">
        <v>0.1303125</v>
      </c>
      <c r="G1412" s="34">
        <v>2.6062499999999999E-2</v>
      </c>
      <c r="H1412" s="33" t="s">
        <v>213</v>
      </c>
      <c r="I1412" s="33" t="s">
        <v>601</v>
      </c>
    </row>
    <row r="1413" spans="1:9" x14ac:dyDescent="0.25">
      <c r="A1413" s="32">
        <v>46249</v>
      </c>
      <c r="B1413" s="33" t="s">
        <v>640</v>
      </c>
      <c r="C1413" s="33" t="s">
        <v>105</v>
      </c>
      <c r="D1413" s="33" t="s">
        <v>32</v>
      </c>
      <c r="E1413">
        <v>5</v>
      </c>
      <c r="F1413" s="34">
        <v>4.5613425925925925E-2</v>
      </c>
      <c r="G1413" s="34">
        <v>9.1226851851851851E-3</v>
      </c>
      <c r="H1413" s="33" t="s">
        <v>619</v>
      </c>
      <c r="I1413" s="33" t="s">
        <v>601</v>
      </c>
    </row>
    <row r="1414" spans="1:9" x14ac:dyDescent="0.25">
      <c r="A1414" s="32">
        <v>46249</v>
      </c>
      <c r="B1414" s="33" t="s">
        <v>669</v>
      </c>
      <c r="C1414" s="33" t="s">
        <v>32</v>
      </c>
      <c r="D1414" s="33" t="s">
        <v>32</v>
      </c>
      <c r="E1414">
        <v>18</v>
      </c>
      <c r="F1414" s="34">
        <v>7.5219907407407402E-2</v>
      </c>
      <c r="G1414" s="34">
        <v>4.1788837448559664E-3</v>
      </c>
      <c r="H1414" s="33" t="s">
        <v>668</v>
      </c>
      <c r="I1414" s="33" t="s">
        <v>233</v>
      </c>
    </row>
    <row r="1415" spans="1:9" x14ac:dyDescent="0.25">
      <c r="A1415" s="32">
        <v>46249</v>
      </c>
      <c r="B1415" s="33" t="s">
        <v>548</v>
      </c>
      <c r="C1415" s="33" t="s">
        <v>105</v>
      </c>
      <c r="D1415" s="33" t="s">
        <v>105</v>
      </c>
      <c r="E1415">
        <v>2</v>
      </c>
      <c r="F1415" s="34">
        <v>2.7719907407407408E-2</v>
      </c>
      <c r="G1415" s="34">
        <v>1.3859953703703704E-2</v>
      </c>
      <c r="H1415" s="33" t="s">
        <v>219</v>
      </c>
      <c r="I1415" s="33" t="s">
        <v>104</v>
      </c>
    </row>
    <row r="1416" spans="1:9" x14ac:dyDescent="0.25">
      <c r="A1416" s="32">
        <v>46249</v>
      </c>
      <c r="B1416" s="33" t="s">
        <v>306</v>
      </c>
      <c r="C1416" s="33" t="s">
        <v>32</v>
      </c>
      <c r="D1416" s="33" t="s">
        <v>32</v>
      </c>
      <c r="E1416">
        <v>27</v>
      </c>
      <c r="F1416" s="34">
        <v>7.1192129629629633E-2</v>
      </c>
      <c r="G1416" s="34">
        <v>2.6367455418381345E-3</v>
      </c>
      <c r="H1416" s="33" t="s">
        <v>305</v>
      </c>
      <c r="I1416" s="33" t="s">
        <v>100</v>
      </c>
    </row>
    <row r="1417" spans="1:9" x14ac:dyDescent="0.25">
      <c r="A1417" s="32">
        <v>46249</v>
      </c>
      <c r="B1417" s="33" t="s">
        <v>641</v>
      </c>
      <c r="C1417" s="33" t="s">
        <v>105</v>
      </c>
      <c r="D1417" s="33" t="s">
        <v>105</v>
      </c>
      <c r="E1417">
        <v>6</v>
      </c>
      <c r="F1417" s="34">
        <v>0.13603009259259261</v>
      </c>
      <c r="G1417" s="34">
        <v>2.2671682098765435E-2</v>
      </c>
      <c r="H1417" s="33" t="s">
        <v>620</v>
      </c>
      <c r="I1417" s="33" t="s">
        <v>601</v>
      </c>
    </row>
    <row r="1418" spans="1:9" x14ac:dyDescent="0.25">
      <c r="A1418" s="32">
        <v>46249</v>
      </c>
      <c r="B1418" s="33" t="s">
        <v>556</v>
      </c>
      <c r="C1418" s="33" t="s">
        <v>105</v>
      </c>
      <c r="D1418" s="33" t="s">
        <v>105</v>
      </c>
      <c r="E1418">
        <v>3</v>
      </c>
      <c r="F1418" s="34">
        <v>5.7604166666666665E-2</v>
      </c>
      <c r="G1418" s="34">
        <v>1.9201388888888889E-2</v>
      </c>
      <c r="H1418" s="33" t="s">
        <v>138</v>
      </c>
      <c r="I1418" s="33" t="s">
        <v>104</v>
      </c>
    </row>
    <row r="1419" spans="1:9" x14ac:dyDescent="0.25">
      <c r="A1419" s="32">
        <v>46249</v>
      </c>
      <c r="B1419" s="33" t="s">
        <v>532</v>
      </c>
      <c r="C1419" s="33" t="s">
        <v>32</v>
      </c>
      <c r="D1419" s="33" t="s">
        <v>32</v>
      </c>
      <c r="E1419">
        <v>21</v>
      </c>
      <c r="F1419" s="34">
        <v>4.6666666666666669E-2</v>
      </c>
      <c r="G1419" s="34">
        <v>2.2222222222222222E-3</v>
      </c>
      <c r="H1419" s="33" t="s">
        <v>276</v>
      </c>
      <c r="I1419" s="33" t="s">
        <v>233</v>
      </c>
    </row>
    <row r="1420" spans="1:9" x14ac:dyDescent="0.25">
      <c r="A1420" s="32">
        <v>46249</v>
      </c>
      <c r="B1420" s="33" t="s">
        <v>533</v>
      </c>
      <c r="C1420" s="33" t="s">
        <v>32</v>
      </c>
      <c r="D1420" s="33" t="s">
        <v>32</v>
      </c>
      <c r="E1420">
        <v>15</v>
      </c>
      <c r="F1420" s="34">
        <v>6.9722222222222227E-2</v>
      </c>
      <c r="G1420" s="34">
        <v>4.6481481481481486E-3</v>
      </c>
      <c r="H1420" s="33" t="s">
        <v>278</v>
      </c>
      <c r="I1420" s="33" t="s">
        <v>233</v>
      </c>
    </row>
    <row r="1421" spans="1:9" x14ac:dyDescent="0.25">
      <c r="A1421" s="32">
        <v>46249</v>
      </c>
      <c r="B1421" s="33" t="s">
        <v>674</v>
      </c>
      <c r="C1421" s="33" t="s">
        <v>105</v>
      </c>
      <c r="D1421" s="33" t="s">
        <v>105</v>
      </c>
      <c r="E1421">
        <v>2</v>
      </c>
      <c r="F1421" s="34">
        <v>4.7361111111111111E-2</v>
      </c>
      <c r="G1421" s="34">
        <v>2.3680555555555555E-2</v>
      </c>
      <c r="H1421" s="33" t="s">
        <v>673</v>
      </c>
      <c r="I1421" s="33" t="s">
        <v>104</v>
      </c>
    </row>
    <row r="1422" spans="1:9" x14ac:dyDescent="0.25">
      <c r="A1422" s="32">
        <v>46249</v>
      </c>
      <c r="B1422" s="33" t="s">
        <v>549</v>
      </c>
      <c r="C1422" s="33" t="s">
        <v>105</v>
      </c>
      <c r="D1422" s="33" t="s">
        <v>105</v>
      </c>
      <c r="E1422">
        <v>1</v>
      </c>
      <c r="F1422" s="34">
        <v>3.3148148148148149E-2</v>
      </c>
      <c r="G1422" s="34">
        <v>3.3148148148148149E-2</v>
      </c>
      <c r="H1422" s="33" t="s">
        <v>225</v>
      </c>
      <c r="I1422" s="33" t="s">
        <v>601</v>
      </c>
    </row>
    <row r="1423" spans="1:9" x14ac:dyDescent="0.25">
      <c r="A1423" s="32">
        <v>46249</v>
      </c>
      <c r="B1423" s="33" t="s">
        <v>549</v>
      </c>
      <c r="C1423" s="33" t="s">
        <v>105</v>
      </c>
      <c r="D1423" s="33" t="s">
        <v>32</v>
      </c>
      <c r="E1423">
        <v>5</v>
      </c>
      <c r="F1423" s="34">
        <v>2.3935185185185184E-2</v>
      </c>
      <c r="G1423" s="34">
        <v>4.7870370370370367E-3</v>
      </c>
      <c r="H1423" s="33" t="s">
        <v>225</v>
      </c>
      <c r="I1423" s="33" t="s">
        <v>601</v>
      </c>
    </row>
    <row r="1424" spans="1:9" x14ac:dyDescent="0.25">
      <c r="A1424" s="32">
        <v>46249</v>
      </c>
      <c r="B1424" s="33" t="s">
        <v>534</v>
      </c>
      <c r="C1424" s="33" t="s">
        <v>32</v>
      </c>
      <c r="D1424" s="33" t="s">
        <v>32</v>
      </c>
      <c r="E1424">
        <v>18</v>
      </c>
      <c r="F1424" s="34">
        <v>5.5983796296296295E-2</v>
      </c>
      <c r="G1424" s="34">
        <v>3.1102109053497942E-3</v>
      </c>
      <c r="H1424" s="33" t="s">
        <v>280</v>
      </c>
      <c r="I1424" s="33" t="s">
        <v>233</v>
      </c>
    </row>
    <row r="1425" spans="1:9" x14ac:dyDescent="0.25">
      <c r="A1425" s="32">
        <v>46249</v>
      </c>
      <c r="B1425" s="33" t="s">
        <v>571</v>
      </c>
      <c r="C1425" s="33" t="s">
        <v>105</v>
      </c>
      <c r="D1425" s="33" t="s">
        <v>105</v>
      </c>
      <c r="E1425">
        <v>3</v>
      </c>
      <c r="F1425" s="34">
        <v>8.0659722222222216E-2</v>
      </c>
      <c r="G1425" s="34">
        <v>2.6886574074074073E-2</v>
      </c>
      <c r="H1425" s="33" t="s">
        <v>299</v>
      </c>
      <c r="I1425" s="33" t="s">
        <v>104</v>
      </c>
    </row>
    <row r="1426" spans="1:9" x14ac:dyDescent="0.25">
      <c r="A1426" s="32">
        <v>46249</v>
      </c>
      <c r="B1426" s="33" t="s">
        <v>535</v>
      </c>
      <c r="C1426" s="33" t="s">
        <v>32</v>
      </c>
      <c r="D1426" s="33" t="s">
        <v>32</v>
      </c>
      <c r="E1426">
        <v>20</v>
      </c>
      <c r="F1426" s="34">
        <v>4.9108796296296296E-2</v>
      </c>
      <c r="G1426" s="34">
        <v>2.4554398148148148E-3</v>
      </c>
      <c r="H1426" s="33" t="s">
        <v>282</v>
      </c>
      <c r="I1426" s="33" t="s">
        <v>233</v>
      </c>
    </row>
    <row r="1427" spans="1:9" x14ac:dyDescent="0.25">
      <c r="A1427" s="32">
        <v>46249</v>
      </c>
      <c r="B1427" s="33" t="s">
        <v>557</v>
      </c>
      <c r="C1427" s="33" t="s">
        <v>147</v>
      </c>
      <c r="D1427" s="33" t="s">
        <v>147</v>
      </c>
      <c r="E1427">
        <v>8</v>
      </c>
      <c r="F1427" s="34">
        <v>5.9814814814814814E-2</v>
      </c>
      <c r="G1427" s="34">
        <v>7.4768518518518517E-3</v>
      </c>
      <c r="H1427" s="33" t="s">
        <v>227</v>
      </c>
      <c r="I1427" s="33" t="s">
        <v>146</v>
      </c>
    </row>
    <row r="1428" spans="1:9" x14ac:dyDescent="0.25">
      <c r="A1428" s="32">
        <v>46249</v>
      </c>
      <c r="B1428" s="33" t="s">
        <v>557</v>
      </c>
      <c r="C1428" s="33" t="s">
        <v>147</v>
      </c>
      <c r="D1428" s="33" t="s">
        <v>32</v>
      </c>
      <c r="E1428">
        <v>3</v>
      </c>
      <c r="F1428" s="34">
        <v>1.4861111111111111E-2</v>
      </c>
      <c r="G1428" s="34">
        <v>4.9537037037037041E-3</v>
      </c>
      <c r="H1428" s="33" t="s">
        <v>227</v>
      </c>
      <c r="I1428" s="33" t="s">
        <v>146</v>
      </c>
    </row>
    <row r="1429" spans="1:9" x14ac:dyDescent="0.25">
      <c r="A1429" s="32">
        <v>46249</v>
      </c>
      <c r="B1429" s="33" t="s">
        <v>676</v>
      </c>
      <c r="C1429" s="33" t="s">
        <v>105</v>
      </c>
      <c r="D1429" s="33" t="s">
        <v>105</v>
      </c>
      <c r="E1429">
        <v>3</v>
      </c>
      <c r="F1429" s="34">
        <v>7.9097222222222222E-2</v>
      </c>
      <c r="G1429" s="34">
        <v>2.6365740740740742E-2</v>
      </c>
      <c r="H1429" s="33" t="s">
        <v>675</v>
      </c>
      <c r="I1429" s="33" t="s">
        <v>104</v>
      </c>
    </row>
    <row r="1430" spans="1:9" x14ac:dyDescent="0.25">
      <c r="A1430" s="32">
        <v>46251</v>
      </c>
      <c r="B1430" s="33" t="s">
        <v>598</v>
      </c>
      <c r="C1430" s="33" t="s">
        <v>284</v>
      </c>
      <c r="D1430" s="33" t="s">
        <v>600</v>
      </c>
      <c r="E1430">
        <v>22</v>
      </c>
      <c r="F1430" s="34">
        <v>2.5462962962962961E-4</v>
      </c>
      <c r="G1430" s="34">
        <v>1.1574074074074073E-5</v>
      </c>
      <c r="H1430" s="33" t="s">
        <v>598</v>
      </c>
      <c r="I1430" s="33" t="s">
        <v>284</v>
      </c>
    </row>
    <row r="1431" spans="1:9" x14ac:dyDescent="0.25">
      <c r="A1431" s="32">
        <v>46251</v>
      </c>
      <c r="B1431" s="33" t="s">
        <v>562</v>
      </c>
      <c r="C1431" s="33" t="s">
        <v>80</v>
      </c>
      <c r="D1431" s="33" t="s">
        <v>32</v>
      </c>
      <c r="E1431">
        <v>1</v>
      </c>
      <c r="F1431" s="34">
        <v>6.5972222222222224E-4</v>
      </c>
      <c r="G1431" s="34">
        <v>6.5972222222222224E-4</v>
      </c>
      <c r="H1431" s="33" t="s">
        <v>186</v>
      </c>
      <c r="I1431" s="33" t="s">
        <v>78</v>
      </c>
    </row>
    <row r="1432" spans="1:9" x14ac:dyDescent="0.25">
      <c r="A1432" s="32">
        <v>46251</v>
      </c>
      <c r="B1432" s="33" t="s">
        <v>644</v>
      </c>
      <c r="C1432" s="33" t="s">
        <v>32</v>
      </c>
      <c r="D1432" s="33" t="s">
        <v>32</v>
      </c>
      <c r="E1432">
        <v>23</v>
      </c>
      <c r="F1432" s="34">
        <v>0.13105324074074073</v>
      </c>
      <c r="G1432" s="34">
        <v>5.6979669887278579E-3</v>
      </c>
      <c r="H1432" s="33" t="s">
        <v>643</v>
      </c>
      <c r="I1432" s="33" t="s">
        <v>233</v>
      </c>
    </row>
    <row r="1433" spans="1:9" x14ac:dyDescent="0.25">
      <c r="A1433" s="32">
        <v>46251</v>
      </c>
      <c r="B1433" s="33" t="s">
        <v>563</v>
      </c>
      <c r="C1433" s="33" t="s">
        <v>147</v>
      </c>
      <c r="D1433" s="33" t="s">
        <v>147</v>
      </c>
      <c r="E1433">
        <v>13</v>
      </c>
      <c r="F1433" s="34">
        <v>3.6944444444444446E-2</v>
      </c>
      <c r="G1433" s="34">
        <v>2.8418803418803419E-3</v>
      </c>
      <c r="H1433" s="33" t="s">
        <v>193</v>
      </c>
      <c r="I1433" s="33" t="s">
        <v>274</v>
      </c>
    </row>
    <row r="1434" spans="1:9" x14ac:dyDescent="0.25">
      <c r="A1434" s="32">
        <v>46251</v>
      </c>
      <c r="B1434" s="33" t="s">
        <v>563</v>
      </c>
      <c r="C1434" s="33" t="s">
        <v>147</v>
      </c>
      <c r="D1434" s="33" t="s">
        <v>32</v>
      </c>
      <c r="E1434">
        <v>7</v>
      </c>
      <c r="F1434" s="34">
        <v>3.4594907407407408E-2</v>
      </c>
      <c r="G1434" s="34">
        <v>4.9421296296296297E-3</v>
      </c>
      <c r="H1434" s="33" t="s">
        <v>193</v>
      </c>
      <c r="I1434" s="33" t="s">
        <v>274</v>
      </c>
    </row>
    <row r="1435" spans="1:9" x14ac:dyDescent="0.25">
      <c r="A1435" s="32">
        <v>46251</v>
      </c>
      <c r="B1435" s="33" t="s">
        <v>525</v>
      </c>
      <c r="C1435" s="33" t="s">
        <v>32</v>
      </c>
      <c r="D1435" s="33" t="s">
        <v>32</v>
      </c>
      <c r="E1435">
        <v>32</v>
      </c>
      <c r="F1435" s="34">
        <v>0.15268518518518517</v>
      </c>
      <c r="G1435" s="34">
        <v>4.7714120370370367E-3</v>
      </c>
      <c r="H1435" s="33" t="s">
        <v>231</v>
      </c>
      <c r="I1435" s="33" t="s">
        <v>233</v>
      </c>
    </row>
    <row r="1436" spans="1:9" x14ac:dyDescent="0.25">
      <c r="A1436" s="32">
        <v>46251</v>
      </c>
      <c r="B1436" s="33" t="s">
        <v>513</v>
      </c>
      <c r="C1436" s="33" t="s">
        <v>105</v>
      </c>
      <c r="D1436" s="33" t="s">
        <v>105</v>
      </c>
      <c r="E1436">
        <v>5</v>
      </c>
      <c r="F1436" s="34">
        <v>0.12752314814814814</v>
      </c>
      <c r="G1436" s="34">
        <v>2.5504629629629627E-2</v>
      </c>
      <c r="H1436" s="33" t="s">
        <v>148</v>
      </c>
      <c r="I1436" s="33" t="s">
        <v>104</v>
      </c>
    </row>
    <row r="1437" spans="1:9" x14ac:dyDescent="0.25">
      <c r="A1437" s="32">
        <v>46251</v>
      </c>
      <c r="B1437" s="33" t="s">
        <v>550</v>
      </c>
      <c r="C1437" s="33" t="s">
        <v>32</v>
      </c>
      <c r="D1437" s="33" t="s">
        <v>32</v>
      </c>
      <c r="E1437">
        <v>51</v>
      </c>
      <c r="F1437" s="34">
        <v>0.17695601851851853</v>
      </c>
      <c r="G1437" s="34">
        <v>3.4697258533042848E-3</v>
      </c>
      <c r="H1437" s="33" t="s">
        <v>234</v>
      </c>
      <c r="I1437" s="33" t="s">
        <v>233</v>
      </c>
    </row>
    <row r="1438" spans="1:9" x14ac:dyDescent="0.25">
      <c r="A1438" s="32">
        <v>46251</v>
      </c>
      <c r="B1438" s="33" t="s">
        <v>505</v>
      </c>
      <c r="C1438" s="33" t="s">
        <v>32</v>
      </c>
      <c r="D1438" s="33" t="s">
        <v>32</v>
      </c>
      <c r="E1438">
        <v>41</v>
      </c>
      <c r="F1438" s="34">
        <v>0.12640046296296295</v>
      </c>
      <c r="G1438" s="34">
        <v>3.0829381210478769E-3</v>
      </c>
      <c r="H1438" s="33" t="s">
        <v>34</v>
      </c>
      <c r="I1438" s="33" t="s">
        <v>233</v>
      </c>
    </row>
    <row r="1439" spans="1:9" x14ac:dyDescent="0.25">
      <c r="A1439" s="32">
        <v>46251</v>
      </c>
      <c r="B1439" s="33" t="s">
        <v>551</v>
      </c>
      <c r="C1439" s="33" t="s">
        <v>32</v>
      </c>
      <c r="D1439" s="33" t="s">
        <v>32</v>
      </c>
      <c r="E1439">
        <v>1</v>
      </c>
      <c r="F1439" s="34">
        <v>2.8124999999999999E-3</v>
      </c>
      <c r="G1439" s="34">
        <v>2.8124999999999999E-3</v>
      </c>
      <c r="H1439" s="33" t="s">
        <v>236</v>
      </c>
      <c r="I1439" s="33" t="s">
        <v>233</v>
      </c>
    </row>
    <row r="1440" spans="1:9" x14ac:dyDescent="0.25">
      <c r="A1440" s="32">
        <v>46251</v>
      </c>
      <c r="B1440" s="33" t="s">
        <v>526</v>
      </c>
      <c r="C1440" s="33" t="s">
        <v>32</v>
      </c>
      <c r="D1440" s="33" t="s">
        <v>32</v>
      </c>
      <c r="E1440">
        <v>5</v>
      </c>
      <c r="F1440" s="34">
        <v>1.4340277777777778E-2</v>
      </c>
      <c r="G1440" s="34">
        <v>2.8680555555555555E-3</v>
      </c>
      <c r="H1440" s="33" t="s">
        <v>238</v>
      </c>
      <c r="I1440" s="33" t="s">
        <v>233</v>
      </c>
    </row>
    <row r="1441" spans="1:9" x14ac:dyDescent="0.25">
      <c r="A1441" s="32">
        <v>46251</v>
      </c>
      <c r="B1441" s="33" t="s">
        <v>631</v>
      </c>
      <c r="C1441" s="33" t="s">
        <v>105</v>
      </c>
      <c r="D1441" s="33" t="s">
        <v>105</v>
      </c>
      <c r="E1441">
        <v>4</v>
      </c>
      <c r="F1441" s="34">
        <v>0.1011574074074074</v>
      </c>
      <c r="G1441" s="34">
        <v>2.5289351851851851E-2</v>
      </c>
      <c r="H1441" s="33" t="s">
        <v>608</v>
      </c>
      <c r="I1441" s="33" t="s">
        <v>601</v>
      </c>
    </row>
    <row r="1442" spans="1:9" x14ac:dyDescent="0.25">
      <c r="A1442" s="32">
        <v>46251</v>
      </c>
      <c r="B1442" s="33" t="s">
        <v>631</v>
      </c>
      <c r="C1442" s="33" t="s">
        <v>105</v>
      </c>
      <c r="D1442" s="33" t="s">
        <v>32</v>
      </c>
      <c r="E1442">
        <v>7</v>
      </c>
      <c r="F1442" s="34">
        <v>4.3391203703703703E-2</v>
      </c>
      <c r="G1442" s="34">
        <v>6.1987433862433858E-3</v>
      </c>
      <c r="H1442" s="33" t="s">
        <v>608</v>
      </c>
      <c r="I1442" s="33" t="s">
        <v>601</v>
      </c>
    </row>
    <row r="1443" spans="1:9" x14ac:dyDescent="0.25">
      <c r="A1443" s="32">
        <v>46251</v>
      </c>
      <c r="B1443" s="33" t="s">
        <v>564</v>
      </c>
      <c r="C1443" s="33" t="s">
        <v>105</v>
      </c>
      <c r="D1443" s="33" t="s">
        <v>105</v>
      </c>
      <c r="E1443">
        <v>5</v>
      </c>
      <c r="F1443" s="34">
        <v>9.9456018518518513E-2</v>
      </c>
      <c r="G1443" s="34">
        <v>1.9891203703703703E-2</v>
      </c>
      <c r="H1443" s="33" t="s">
        <v>197</v>
      </c>
      <c r="I1443" s="33" t="s">
        <v>601</v>
      </c>
    </row>
    <row r="1444" spans="1:9" x14ac:dyDescent="0.25">
      <c r="A1444" s="32">
        <v>46251</v>
      </c>
      <c r="B1444" s="33" t="s">
        <v>564</v>
      </c>
      <c r="C1444" s="33" t="s">
        <v>105</v>
      </c>
      <c r="D1444" s="33" t="s">
        <v>32</v>
      </c>
      <c r="E1444">
        <v>6</v>
      </c>
      <c r="F1444" s="34">
        <v>2.6087962962962962E-2</v>
      </c>
      <c r="G1444" s="34">
        <v>4.3479938271604934E-3</v>
      </c>
      <c r="H1444" s="33" t="s">
        <v>197</v>
      </c>
      <c r="I1444" s="33" t="s">
        <v>601</v>
      </c>
    </row>
    <row r="1445" spans="1:9" x14ac:dyDescent="0.25">
      <c r="A1445" s="32">
        <v>46251</v>
      </c>
      <c r="B1445" s="33" t="s">
        <v>514</v>
      </c>
      <c r="C1445" s="33" t="s">
        <v>147</v>
      </c>
      <c r="D1445" s="33" t="s">
        <v>147</v>
      </c>
      <c r="E1445">
        <v>21</v>
      </c>
      <c r="F1445" s="34">
        <v>5.7361111111111113E-2</v>
      </c>
      <c r="G1445" s="34">
        <v>2.7314814814814814E-3</v>
      </c>
      <c r="H1445" s="33" t="s">
        <v>150</v>
      </c>
      <c r="I1445" s="33" t="s">
        <v>146</v>
      </c>
    </row>
    <row r="1446" spans="1:9" x14ac:dyDescent="0.25">
      <c r="A1446" s="32">
        <v>46251</v>
      </c>
      <c r="B1446" s="33" t="s">
        <v>514</v>
      </c>
      <c r="C1446" s="33" t="s">
        <v>147</v>
      </c>
      <c r="D1446" s="33" t="s">
        <v>32</v>
      </c>
      <c r="E1446">
        <v>26</v>
      </c>
      <c r="F1446" s="34">
        <v>8.458333333333333E-2</v>
      </c>
      <c r="G1446" s="34">
        <v>3.2532051282051283E-3</v>
      </c>
      <c r="H1446" s="33" t="s">
        <v>150</v>
      </c>
      <c r="I1446" s="33" t="s">
        <v>146</v>
      </c>
    </row>
    <row r="1447" spans="1:9" x14ac:dyDescent="0.25">
      <c r="A1447" s="32">
        <v>46251</v>
      </c>
      <c r="B1447" s="33" t="s">
        <v>682</v>
      </c>
      <c r="C1447" s="33" t="s">
        <v>105</v>
      </c>
      <c r="D1447" s="33" t="s">
        <v>105</v>
      </c>
      <c r="E1447">
        <v>4</v>
      </c>
      <c r="F1447" s="34">
        <v>0.10657407407407407</v>
      </c>
      <c r="G1447" s="34">
        <v>2.6643518518518518E-2</v>
      </c>
      <c r="H1447" s="33" t="s">
        <v>681</v>
      </c>
      <c r="I1447" s="33" t="s">
        <v>601</v>
      </c>
    </row>
    <row r="1448" spans="1:9" x14ac:dyDescent="0.25">
      <c r="A1448" s="32">
        <v>46251</v>
      </c>
      <c r="B1448" s="33" t="s">
        <v>682</v>
      </c>
      <c r="C1448" s="33" t="s">
        <v>105</v>
      </c>
      <c r="D1448" s="33" t="s">
        <v>32</v>
      </c>
      <c r="E1448">
        <v>1</v>
      </c>
      <c r="F1448" s="34">
        <v>2.1550925925925925E-2</v>
      </c>
      <c r="G1448" s="34">
        <v>2.1550925925925925E-2</v>
      </c>
      <c r="H1448" s="33" t="s">
        <v>681</v>
      </c>
      <c r="I1448" s="33" t="s">
        <v>601</v>
      </c>
    </row>
    <row r="1449" spans="1:9" x14ac:dyDescent="0.25">
      <c r="A1449" s="32">
        <v>46251</v>
      </c>
      <c r="B1449" s="33" t="s">
        <v>570</v>
      </c>
      <c r="C1449" s="33" t="s">
        <v>105</v>
      </c>
      <c r="D1449" s="33" t="s">
        <v>105</v>
      </c>
      <c r="E1449">
        <v>6</v>
      </c>
      <c r="F1449" s="34">
        <v>0.17465277777777777</v>
      </c>
      <c r="G1449" s="34">
        <v>2.9108796296296296E-2</v>
      </c>
      <c r="H1449" s="33" t="s">
        <v>112</v>
      </c>
      <c r="I1449" s="33" t="s">
        <v>104</v>
      </c>
    </row>
    <row r="1450" spans="1:9" x14ac:dyDescent="0.25">
      <c r="A1450" s="32">
        <v>46251</v>
      </c>
      <c r="B1450" s="33" t="s">
        <v>537</v>
      </c>
      <c r="C1450" s="33" t="s">
        <v>105</v>
      </c>
      <c r="D1450" s="33" t="s">
        <v>105</v>
      </c>
      <c r="E1450">
        <v>8</v>
      </c>
      <c r="F1450" s="34">
        <v>0.20041666666666666</v>
      </c>
      <c r="G1450" s="34">
        <v>2.5052083333333332E-2</v>
      </c>
      <c r="H1450" s="33" t="s">
        <v>42</v>
      </c>
      <c r="I1450" s="33" t="s">
        <v>104</v>
      </c>
    </row>
    <row r="1451" spans="1:9" x14ac:dyDescent="0.25">
      <c r="A1451" s="32">
        <v>46251</v>
      </c>
      <c r="B1451" s="33" t="s">
        <v>537</v>
      </c>
      <c r="C1451" s="33" t="s">
        <v>105</v>
      </c>
      <c r="D1451" s="33" t="s">
        <v>32</v>
      </c>
      <c r="E1451">
        <v>1</v>
      </c>
      <c r="F1451" s="34">
        <v>1.0069444444444445E-2</v>
      </c>
      <c r="G1451" s="34">
        <v>1.0069444444444445E-2</v>
      </c>
      <c r="H1451" s="33" t="s">
        <v>42</v>
      </c>
      <c r="I1451" s="33" t="s">
        <v>104</v>
      </c>
    </row>
    <row r="1452" spans="1:9" x14ac:dyDescent="0.25">
      <c r="A1452" s="32">
        <v>46251</v>
      </c>
      <c r="B1452" s="33" t="s">
        <v>516</v>
      </c>
      <c r="C1452" s="33" t="s">
        <v>147</v>
      </c>
      <c r="D1452" s="33" t="s">
        <v>147</v>
      </c>
      <c r="E1452">
        <v>20</v>
      </c>
      <c r="F1452" s="34">
        <v>3.8275462962962963E-2</v>
      </c>
      <c r="G1452" s="34">
        <v>1.9137731481481482E-3</v>
      </c>
      <c r="H1452" s="33" t="s">
        <v>156</v>
      </c>
      <c r="I1452" s="33" t="s">
        <v>146</v>
      </c>
    </row>
    <row r="1453" spans="1:9" x14ac:dyDescent="0.25">
      <c r="A1453" s="32">
        <v>46251</v>
      </c>
      <c r="B1453" s="33" t="s">
        <v>516</v>
      </c>
      <c r="C1453" s="33" t="s">
        <v>147</v>
      </c>
      <c r="D1453" s="33" t="s">
        <v>32</v>
      </c>
      <c r="E1453">
        <v>13</v>
      </c>
      <c r="F1453" s="34">
        <v>5.7673611111111113E-2</v>
      </c>
      <c r="G1453" s="34">
        <v>4.4364316239316245E-3</v>
      </c>
      <c r="H1453" s="33" t="s">
        <v>156</v>
      </c>
      <c r="I1453" s="33" t="s">
        <v>146</v>
      </c>
    </row>
    <row r="1454" spans="1:9" x14ac:dyDescent="0.25">
      <c r="A1454" s="32">
        <v>46251</v>
      </c>
      <c r="B1454" s="33" t="s">
        <v>541</v>
      </c>
      <c r="C1454" s="33" t="s">
        <v>105</v>
      </c>
      <c r="D1454" s="33" t="s">
        <v>105</v>
      </c>
      <c r="E1454">
        <v>6</v>
      </c>
      <c r="F1454" s="34">
        <v>0.12372685185185185</v>
      </c>
      <c r="G1454" s="34">
        <v>2.0621141975308642E-2</v>
      </c>
      <c r="H1454" s="33" t="s">
        <v>114</v>
      </c>
      <c r="I1454" s="33" t="s">
        <v>104</v>
      </c>
    </row>
    <row r="1455" spans="1:9" x14ac:dyDescent="0.25">
      <c r="A1455" s="32">
        <v>46251</v>
      </c>
      <c r="B1455" s="33" t="s">
        <v>506</v>
      </c>
      <c r="C1455" s="33" t="s">
        <v>32</v>
      </c>
      <c r="D1455" s="33" t="s">
        <v>32</v>
      </c>
      <c r="E1455">
        <v>41</v>
      </c>
      <c r="F1455" s="34">
        <v>0.20730324074074075</v>
      </c>
      <c r="G1455" s="34">
        <v>5.0561766034327013E-3</v>
      </c>
      <c r="H1455" s="33" t="s">
        <v>44</v>
      </c>
      <c r="I1455" s="33" t="s">
        <v>100</v>
      </c>
    </row>
    <row r="1456" spans="1:9" x14ac:dyDescent="0.25">
      <c r="A1456" s="32">
        <v>46251</v>
      </c>
      <c r="B1456" s="33" t="s">
        <v>527</v>
      </c>
      <c r="C1456" s="33" t="s">
        <v>32</v>
      </c>
      <c r="D1456" s="33" t="s">
        <v>32</v>
      </c>
      <c r="E1456">
        <v>1</v>
      </c>
      <c r="F1456" s="34">
        <v>1.050925925925926E-2</v>
      </c>
      <c r="G1456" s="34">
        <v>1.050925925925926E-2</v>
      </c>
      <c r="H1456" s="33" t="s">
        <v>240</v>
      </c>
      <c r="I1456" s="33" t="s">
        <v>233</v>
      </c>
    </row>
    <row r="1457" spans="1:9" x14ac:dyDescent="0.25">
      <c r="A1457" s="32">
        <v>46251</v>
      </c>
      <c r="B1457" s="33" t="s">
        <v>646</v>
      </c>
      <c r="C1457" s="33" t="s">
        <v>32</v>
      </c>
      <c r="D1457" s="33" t="s">
        <v>32</v>
      </c>
      <c r="E1457">
        <v>34</v>
      </c>
      <c r="F1457" s="34">
        <v>0.22961805555555556</v>
      </c>
      <c r="G1457" s="34">
        <v>6.7534722222222223E-3</v>
      </c>
      <c r="H1457" s="33" t="s">
        <v>645</v>
      </c>
      <c r="I1457" s="33" t="s">
        <v>100</v>
      </c>
    </row>
    <row r="1458" spans="1:9" x14ac:dyDescent="0.25">
      <c r="A1458" s="32">
        <v>46251</v>
      </c>
      <c r="B1458" s="33" t="s">
        <v>558</v>
      </c>
      <c r="C1458" s="33" t="s">
        <v>32</v>
      </c>
      <c r="D1458" s="33" t="s">
        <v>32</v>
      </c>
      <c r="E1458">
        <v>46</v>
      </c>
      <c r="F1458" s="34">
        <v>0.12819444444444444</v>
      </c>
      <c r="G1458" s="34">
        <v>2.7868357487922705E-3</v>
      </c>
      <c r="H1458" s="33" t="s">
        <v>120</v>
      </c>
      <c r="I1458" s="33" t="s">
        <v>233</v>
      </c>
    </row>
    <row r="1459" spans="1:9" x14ac:dyDescent="0.25">
      <c r="A1459" s="32">
        <v>46251</v>
      </c>
      <c r="B1459" s="33" t="s">
        <v>507</v>
      </c>
      <c r="C1459" s="33" t="s">
        <v>32</v>
      </c>
      <c r="D1459" s="33" t="s">
        <v>32</v>
      </c>
      <c r="E1459">
        <v>36</v>
      </c>
      <c r="F1459" s="34">
        <v>0.18385416666666668</v>
      </c>
      <c r="G1459" s="34">
        <v>5.1070601851851858E-3</v>
      </c>
      <c r="H1459" s="33" t="s">
        <v>46</v>
      </c>
      <c r="I1459" s="33" t="s">
        <v>100</v>
      </c>
    </row>
    <row r="1460" spans="1:9" x14ac:dyDescent="0.25">
      <c r="A1460" s="32">
        <v>46251</v>
      </c>
      <c r="B1460" s="33" t="s">
        <v>542</v>
      </c>
      <c r="C1460" s="33" t="s">
        <v>105</v>
      </c>
      <c r="D1460" s="33" t="s">
        <v>105</v>
      </c>
      <c r="E1460">
        <v>5</v>
      </c>
      <c r="F1460" s="34">
        <v>0.11726851851851852</v>
      </c>
      <c r="G1460" s="34">
        <v>2.3453703703703706E-2</v>
      </c>
      <c r="H1460" s="33" t="s">
        <v>287</v>
      </c>
      <c r="I1460" s="33" t="s">
        <v>104</v>
      </c>
    </row>
    <row r="1461" spans="1:9" x14ac:dyDescent="0.25">
      <c r="A1461" s="32">
        <v>46251</v>
      </c>
      <c r="B1461" s="33" t="s">
        <v>517</v>
      </c>
      <c r="C1461" s="33" t="s">
        <v>147</v>
      </c>
      <c r="D1461" s="33" t="s">
        <v>147</v>
      </c>
      <c r="E1461">
        <v>12</v>
      </c>
      <c r="F1461" s="34">
        <v>4.7835648148148148E-2</v>
      </c>
      <c r="G1461" s="34">
        <v>3.9863040123456787E-3</v>
      </c>
      <c r="H1461" s="33" t="s">
        <v>499</v>
      </c>
      <c r="I1461" s="33" t="s">
        <v>146</v>
      </c>
    </row>
    <row r="1462" spans="1:9" x14ac:dyDescent="0.25">
      <c r="A1462" s="32">
        <v>46251</v>
      </c>
      <c r="B1462" s="33" t="s">
        <v>517</v>
      </c>
      <c r="C1462" s="33" t="s">
        <v>147</v>
      </c>
      <c r="D1462" s="33" t="s">
        <v>32</v>
      </c>
      <c r="E1462">
        <v>4</v>
      </c>
      <c r="F1462" s="34">
        <v>2.1840277777777778E-2</v>
      </c>
      <c r="G1462" s="34">
        <v>5.4600694444444445E-3</v>
      </c>
      <c r="H1462" s="33" t="s">
        <v>499</v>
      </c>
      <c r="I1462" s="33" t="s">
        <v>146</v>
      </c>
    </row>
    <row r="1463" spans="1:9" x14ac:dyDescent="0.25">
      <c r="A1463" s="32">
        <v>46251</v>
      </c>
      <c r="B1463" s="33" t="s">
        <v>648</v>
      </c>
      <c r="C1463" s="33" t="s">
        <v>32</v>
      </c>
      <c r="D1463" s="33" t="s">
        <v>32</v>
      </c>
      <c r="E1463">
        <v>47</v>
      </c>
      <c r="F1463" s="34">
        <v>0.15559027777777779</v>
      </c>
      <c r="G1463" s="34">
        <v>3.3104314420803783E-3</v>
      </c>
      <c r="H1463" s="33" t="s">
        <v>647</v>
      </c>
      <c r="I1463" s="33" t="s">
        <v>233</v>
      </c>
    </row>
    <row r="1464" spans="1:9" x14ac:dyDescent="0.25">
      <c r="A1464" s="32">
        <v>46251</v>
      </c>
      <c r="B1464" s="33" t="s">
        <v>650</v>
      </c>
      <c r="C1464" s="33" t="s">
        <v>105</v>
      </c>
      <c r="D1464" s="33" t="s">
        <v>105</v>
      </c>
      <c r="E1464">
        <v>8</v>
      </c>
      <c r="F1464" s="34">
        <v>0.19702546296296297</v>
      </c>
      <c r="G1464" s="34">
        <v>2.4628182870370371E-2</v>
      </c>
      <c r="H1464" s="33" t="s">
        <v>649</v>
      </c>
      <c r="I1464" s="33" t="s">
        <v>104</v>
      </c>
    </row>
    <row r="1465" spans="1:9" x14ac:dyDescent="0.25">
      <c r="A1465" s="32">
        <v>46251</v>
      </c>
      <c r="B1465" s="33" t="s">
        <v>652</v>
      </c>
      <c r="C1465" s="33" t="s">
        <v>32</v>
      </c>
      <c r="D1465" s="33" t="s">
        <v>32</v>
      </c>
      <c r="E1465">
        <v>39</v>
      </c>
      <c r="F1465" s="34">
        <v>0.18327546296296296</v>
      </c>
      <c r="G1465" s="34">
        <v>4.6993708452041788E-3</v>
      </c>
      <c r="H1465" s="33" t="s">
        <v>651</v>
      </c>
      <c r="I1465" s="33" t="s">
        <v>100</v>
      </c>
    </row>
    <row r="1466" spans="1:9" x14ac:dyDescent="0.25">
      <c r="A1466" s="32">
        <v>46251</v>
      </c>
      <c r="B1466" s="33" t="s">
        <v>568</v>
      </c>
      <c r="C1466" s="33" t="s">
        <v>32</v>
      </c>
      <c r="D1466" s="33" t="s">
        <v>32</v>
      </c>
      <c r="E1466">
        <v>58</v>
      </c>
      <c r="F1466" s="34">
        <v>0.19655092592592593</v>
      </c>
      <c r="G1466" s="34">
        <v>3.3888090676883783E-3</v>
      </c>
      <c r="H1466" s="33" t="s">
        <v>246</v>
      </c>
      <c r="I1466" s="33" t="s">
        <v>233</v>
      </c>
    </row>
    <row r="1467" spans="1:9" x14ac:dyDescent="0.25">
      <c r="A1467" s="32">
        <v>46251</v>
      </c>
      <c r="B1467" s="33" t="s">
        <v>508</v>
      </c>
      <c r="C1467" s="33" t="s">
        <v>32</v>
      </c>
      <c r="D1467" s="33" t="s">
        <v>32</v>
      </c>
      <c r="E1467">
        <v>40</v>
      </c>
      <c r="F1467" s="34">
        <v>0.16140046296296295</v>
      </c>
      <c r="G1467" s="34">
        <v>4.0350115740740737E-3</v>
      </c>
      <c r="H1467" s="33" t="s">
        <v>48</v>
      </c>
      <c r="I1467" s="33" t="s">
        <v>100</v>
      </c>
    </row>
    <row r="1468" spans="1:9" x14ac:dyDescent="0.25">
      <c r="A1468" s="32">
        <v>46251</v>
      </c>
      <c r="B1468" s="33" t="s">
        <v>538</v>
      </c>
      <c r="C1468" s="33" t="s">
        <v>32</v>
      </c>
      <c r="D1468" s="33" t="s">
        <v>32</v>
      </c>
      <c r="E1468">
        <v>5</v>
      </c>
      <c r="F1468" s="34">
        <v>3.1053240740740742E-2</v>
      </c>
      <c r="G1468" s="34">
        <v>6.2106481481481483E-3</v>
      </c>
      <c r="H1468" s="33" t="s">
        <v>50</v>
      </c>
      <c r="I1468" s="33" t="s">
        <v>100</v>
      </c>
    </row>
    <row r="1469" spans="1:9" x14ac:dyDescent="0.25">
      <c r="A1469" s="32">
        <v>46251</v>
      </c>
      <c r="B1469" s="33" t="s">
        <v>603</v>
      </c>
      <c r="C1469" s="33" t="s">
        <v>32</v>
      </c>
      <c r="D1469" s="33" t="s">
        <v>32</v>
      </c>
      <c r="E1469">
        <v>24</v>
      </c>
      <c r="F1469" s="34">
        <v>0.19856481481481481</v>
      </c>
      <c r="G1469" s="34">
        <v>8.2735339506172841E-3</v>
      </c>
      <c r="H1469" s="33" t="s">
        <v>242</v>
      </c>
      <c r="I1469" s="33" t="s">
        <v>233</v>
      </c>
    </row>
    <row r="1470" spans="1:9" x14ac:dyDescent="0.25">
      <c r="A1470" s="32">
        <v>46251</v>
      </c>
      <c r="B1470" s="33" t="s">
        <v>559</v>
      </c>
      <c r="C1470" s="33" t="s">
        <v>105</v>
      </c>
      <c r="D1470" s="33" t="s">
        <v>105</v>
      </c>
      <c r="E1470">
        <v>6</v>
      </c>
      <c r="F1470" s="34">
        <v>0.12430555555555556</v>
      </c>
      <c r="G1470" s="34">
        <v>2.0717592592592593E-2</v>
      </c>
      <c r="H1470" s="33" t="s">
        <v>289</v>
      </c>
      <c r="I1470" s="33" t="s">
        <v>104</v>
      </c>
    </row>
    <row r="1471" spans="1:9" x14ac:dyDescent="0.25">
      <c r="A1471" s="32">
        <v>46251</v>
      </c>
      <c r="B1471" s="33" t="s">
        <v>518</v>
      </c>
      <c r="C1471" s="33" t="s">
        <v>147</v>
      </c>
      <c r="D1471" s="33" t="s">
        <v>147</v>
      </c>
      <c r="E1471">
        <v>12</v>
      </c>
      <c r="F1471" s="34">
        <v>3.5185185185185187E-2</v>
      </c>
      <c r="G1471" s="34">
        <v>2.9320987654320989E-3</v>
      </c>
      <c r="H1471" s="33" t="s">
        <v>500</v>
      </c>
      <c r="I1471" s="33" t="s">
        <v>274</v>
      </c>
    </row>
    <row r="1472" spans="1:9" x14ac:dyDescent="0.25">
      <c r="A1472" s="32">
        <v>46251</v>
      </c>
      <c r="B1472" s="33" t="s">
        <v>518</v>
      </c>
      <c r="C1472" s="33" t="s">
        <v>147</v>
      </c>
      <c r="D1472" s="33" t="s">
        <v>32</v>
      </c>
      <c r="E1472">
        <v>13</v>
      </c>
      <c r="F1472" s="34">
        <v>3.9247685185185184E-2</v>
      </c>
      <c r="G1472" s="34">
        <v>3.0190527065527065E-3</v>
      </c>
      <c r="H1472" s="33" t="s">
        <v>500</v>
      </c>
      <c r="I1472" s="33" t="s">
        <v>274</v>
      </c>
    </row>
    <row r="1473" spans="1:9" x14ac:dyDescent="0.25">
      <c r="A1473" s="32">
        <v>46251</v>
      </c>
      <c r="B1473" s="33" t="s">
        <v>684</v>
      </c>
      <c r="C1473" s="33" t="s">
        <v>32</v>
      </c>
      <c r="D1473" s="33" t="s">
        <v>32</v>
      </c>
      <c r="E1473">
        <v>38</v>
      </c>
      <c r="F1473" s="34">
        <v>0.1439236111111111</v>
      </c>
      <c r="G1473" s="34">
        <v>3.7874634502923971E-3</v>
      </c>
      <c r="H1473" s="33" t="s">
        <v>683</v>
      </c>
      <c r="I1473" s="33" t="s">
        <v>233</v>
      </c>
    </row>
    <row r="1474" spans="1:9" x14ac:dyDescent="0.25">
      <c r="A1474" s="32">
        <v>46251</v>
      </c>
      <c r="B1474" s="33" t="s">
        <v>654</v>
      </c>
      <c r="C1474" s="33" t="s">
        <v>32</v>
      </c>
      <c r="D1474" s="33" t="s">
        <v>32</v>
      </c>
      <c r="E1474">
        <v>30</v>
      </c>
      <c r="F1474" s="34">
        <v>0.19188657407407408</v>
      </c>
      <c r="G1474" s="34">
        <v>6.3962191358024698E-3</v>
      </c>
      <c r="H1474" s="33" t="s">
        <v>653</v>
      </c>
      <c r="I1474" s="33" t="s">
        <v>100</v>
      </c>
    </row>
    <row r="1475" spans="1:9" x14ac:dyDescent="0.25">
      <c r="A1475" s="32">
        <v>46251</v>
      </c>
      <c r="B1475" s="33" t="s">
        <v>509</v>
      </c>
      <c r="C1475" s="33" t="s">
        <v>32</v>
      </c>
      <c r="D1475" s="33" t="s">
        <v>32</v>
      </c>
      <c r="E1475">
        <v>8</v>
      </c>
      <c r="F1475" s="34">
        <v>4.1365740740740738E-2</v>
      </c>
      <c r="G1475" s="34">
        <v>5.1707175925925922E-3</v>
      </c>
      <c r="H1475" s="33" t="s">
        <v>52</v>
      </c>
      <c r="I1475" s="33" t="s">
        <v>100</v>
      </c>
    </row>
    <row r="1476" spans="1:9" x14ac:dyDescent="0.25">
      <c r="A1476" s="32">
        <v>46251</v>
      </c>
      <c r="B1476" s="33" t="s">
        <v>519</v>
      </c>
      <c r="C1476" s="33" t="s">
        <v>147</v>
      </c>
      <c r="D1476" s="33" t="s">
        <v>147</v>
      </c>
      <c r="E1476">
        <v>37</v>
      </c>
      <c r="F1476" s="34">
        <v>9.8449074074074078E-2</v>
      </c>
      <c r="G1476" s="34">
        <v>2.660785785785786E-3</v>
      </c>
      <c r="H1476" s="33" t="s">
        <v>164</v>
      </c>
      <c r="I1476" s="33" t="s">
        <v>146</v>
      </c>
    </row>
    <row r="1477" spans="1:9" x14ac:dyDescent="0.25">
      <c r="A1477" s="32">
        <v>46251</v>
      </c>
      <c r="B1477" s="33" t="s">
        <v>519</v>
      </c>
      <c r="C1477" s="33" t="s">
        <v>147</v>
      </c>
      <c r="D1477" s="33" t="s">
        <v>32</v>
      </c>
      <c r="E1477">
        <v>20</v>
      </c>
      <c r="F1477" s="34">
        <v>3.7199074074074072E-2</v>
      </c>
      <c r="G1477" s="34">
        <v>1.8599537037037035E-3</v>
      </c>
      <c r="H1477" s="33" t="s">
        <v>164</v>
      </c>
      <c r="I1477" s="33" t="s">
        <v>146</v>
      </c>
    </row>
    <row r="1478" spans="1:9" x14ac:dyDescent="0.25">
      <c r="A1478" s="32">
        <v>46251</v>
      </c>
      <c r="B1478" s="33" t="s">
        <v>656</v>
      </c>
      <c r="C1478" s="33" t="s">
        <v>32</v>
      </c>
      <c r="D1478" s="33" t="s">
        <v>32</v>
      </c>
      <c r="E1478">
        <v>36</v>
      </c>
      <c r="F1478" s="34">
        <v>0.166875</v>
      </c>
      <c r="G1478" s="34">
        <v>4.6354166666666662E-3</v>
      </c>
      <c r="H1478" s="33" t="s">
        <v>655</v>
      </c>
      <c r="I1478" s="33" t="s">
        <v>100</v>
      </c>
    </row>
    <row r="1479" spans="1:9" x14ac:dyDescent="0.25">
      <c r="A1479" s="32">
        <v>46251</v>
      </c>
      <c r="B1479" s="33" t="s">
        <v>167</v>
      </c>
      <c r="C1479" s="33" t="s">
        <v>147</v>
      </c>
      <c r="D1479" s="33" t="s">
        <v>147</v>
      </c>
      <c r="E1479">
        <v>18</v>
      </c>
      <c r="F1479" s="34">
        <v>5.1921296296296299E-2</v>
      </c>
      <c r="G1479" s="34">
        <v>2.8845164609053501E-3</v>
      </c>
      <c r="H1479" s="33" t="s">
        <v>166</v>
      </c>
      <c r="I1479" s="33" t="s">
        <v>146</v>
      </c>
    </row>
    <row r="1480" spans="1:9" x14ac:dyDescent="0.25">
      <c r="A1480" s="32">
        <v>46251</v>
      </c>
      <c r="B1480" s="33" t="s">
        <v>167</v>
      </c>
      <c r="C1480" s="33" t="s">
        <v>147</v>
      </c>
      <c r="D1480" s="33" t="s">
        <v>32</v>
      </c>
      <c r="E1480">
        <v>12</v>
      </c>
      <c r="F1480" s="34">
        <v>3.8703703703703705E-2</v>
      </c>
      <c r="G1480" s="34">
        <v>3.2253086419753089E-3</v>
      </c>
      <c r="H1480" s="33" t="s">
        <v>166</v>
      </c>
      <c r="I1480" s="33" t="s">
        <v>146</v>
      </c>
    </row>
    <row r="1481" spans="1:9" x14ac:dyDescent="0.25">
      <c r="A1481" s="32">
        <v>46251</v>
      </c>
      <c r="B1481" s="33" t="s">
        <v>658</v>
      </c>
      <c r="C1481" s="33" t="s">
        <v>147</v>
      </c>
      <c r="D1481" s="33" t="s">
        <v>147</v>
      </c>
      <c r="E1481">
        <v>14</v>
      </c>
      <c r="F1481" s="34">
        <v>5.4189814814814816E-2</v>
      </c>
      <c r="G1481" s="34">
        <v>3.8707010582010584E-3</v>
      </c>
      <c r="H1481" s="33" t="s">
        <v>657</v>
      </c>
      <c r="I1481" s="33" t="s">
        <v>274</v>
      </c>
    </row>
    <row r="1482" spans="1:9" x14ac:dyDescent="0.25">
      <c r="A1482" s="32">
        <v>46251</v>
      </c>
      <c r="B1482" s="33" t="s">
        <v>658</v>
      </c>
      <c r="C1482" s="33" t="s">
        <v>147</v>
      </c>
      <c r="D1482" s="33" t="s">
        <v>32</v>
      </c>
      <c r="E1482">
        <v>7</v>
      </c>
      <c r="F1482" s="34">
        <v>2.4525462962962964E-2</v>
      </c>
      <c r="G1482" s="34">
        <v>3.5036375661375665E-3</v>
      </c>
      <c r="H1482" s="33" t="s">
        <v>657</v>
      </c>
      <c r="I1482" s="33" t="s">
        <v>274</v>
      </c>
    </row>
    <row r="1483" spans="1:9" x14ac:dyDescent="0.25">
      <c r="A1483" s="32">
        <v>46251</v>
      </c>
      <c r="B1483" s="33" t="s">
        <v>660</v>
      </c>
      <c r="C1483" s="33" t="s">
        <v>32</v>
      </c>
      <c r="D1483" s="33" t="s">
        <v>32</v>
      </c>
      <c r="E1483">
        <v>4</v>
      </c>
      <c r="F1483" s="34">
        <v>2.6365740740740742E-2</v>
      </c>
      <c r="G1483" s="34">
        <v>6.5914351851851854E-3</v>
      </c>
      <c r="H1483" s="33" t="s">
        <v>659</v>
      </c>
      <c r="I1483" s="33" t="s">
        <v>100</v>
      </c>
    </row>
    <row r="1484" spans="1:9" x14ac:dyDescent="0.25">
      <c r="A1484" s="32">
        <v>46251</v>
      </c>
      <c r="B1484" s="33" t="s">
        <v>528</v>
      </c>
      <c r="C1484" s="33" t="s">
        <v>32</v>
      </c>
      <c r="D1484" s="33" t="s">
        <v>32</v>
      </c>
      <c r="E1484">
        <v>30</v>
      </c>
      <c r="F1484" s="34">
        <v>0.10811342592592593</v>
      </c>
      <c r="G1484" s="34">
        <v>3.6037808641975312E-3</v>
      </c>
      <c r="H1484" s="33" t="s">
        <v>254</v>
      </c>
      <c r="I1484" s="33" t="s">
        <v>233</v>
      </c>
    </row>
    <row r="1485" spans="1:9" x14ac:dyDescent="0.25">
      <c r="A1485" s="32">
        <v>46251</v>
      </c>
      <c r="B1485" s="33" t="s">
        <v>545</v>
      </c>
      <c r="C1485" s="33" t="s">
        <v>600</v>
      </c>
      <c r="D1485" s="33" t="s">
        <v>600</v>
      </c>
      <c r="E1485">
        <v>28</v>
      </c>
      <c r="F1485" s="34">
        <v>6.0266203703703704E-2</v>
      </c>
      <c r="G1485" s="34">
        <v>2.1523644179894182E-3</v>
      </c>
      <c r="H1485" s="33" t="s">
        <v>201</v>
      </c>
      <c r="I1485" s="33" t="s">
        <v>601</v>
      </c>
    </row>
    <row r="1486" spans="1:9" x14ac:dyDescent="0.25">
      <c r="A1486" s="32">
        <v>46251</v>
      </c>
      <c r="B1486" s="33" t="s">
        <v>520</v>
      </c>
      <c r="C1486" s="33" t="s">
        <v>147</v>
      </c>
      <c r="D1486" s="33" t="s">
        <v>147</v>
      </c>
      <c r="E1486">
        <v>12</v>
      </c>
      <c r="F1486" s="34">
        <v>3.1435185185185184E-2</v>
      </c>
      <c r="G1486" s="34">
        <v>2.6195987654320987E-3</v>
      </c>
      <c r="H1486" s="33" t="s">
        <v>168</v>
      </c>
      <c r="I1486" s="33" t="s">
        <v>274</v>
      </c>
    </row>
    <row r="1487" spans="1:9" x14ac:dyDescent="0.25">
      <c r="A1487" s="32">
        <v>46251</v>
      </c>
      <c r="B1487" s="33" t="s">
        <v>520</v>
      </c>
      <c r="C1487" s="33" t="s">
        <v>147</v>
      </c>
      <c r="D1487" s="33" t="s">
        <v>32</v>
      </c>
      <c r="E1487">
        <v>9</v>
      </c>
      <c r="F1487" s="34">
        <v>3.2581018518518516E-2</v>
      </c>
      <c r="G1487" s="34">
        <v>3.6201131687242797E-3</v>
      </c>
      <c r="H1487" s="33" t="s">
        <v>168</v>
      </c>
      <c r="I1487" s="33" t="s">
        <v>274</v>
      </c>
    </row>
    <row r="1488" spans="1:9" x14ac:dyDescent="0.25">
      <c r="A1488" s="32">
        <v>46251</v>
      </c>
      <c r="B1488" s="33" t="s">
        <v>521</v>
      </c>
      <c r="C1488" s="33" t="s">
        <v>147</v>
      </c>
      <c r="D1488" s="33" t="s">
        <v>147</v>
      </c>
      <c r="E1488">
        <v>16</v>
      </c>
      <c r="F1488" s="34">
        <v>7.4143518518518525E-2</v>
      </c>
      <c r="G1488" s="34">
        <v>4.6339699074074078E-3</v>
      </c>
      <c r="H1488" s="33" t="s">
        <v>170</v>
      </c>
      <c r="I1488" s="33" t="s">
        <v>146</v>
      </c>
    </row>
    <row r="1489" spans="1:9" x14ac:dyDescent="0.25">
      <c r="A1489" s="32">
        <v>46251</v>
      </c>
      <c r="B1489" s="33" t="s">
        <v>521</v>
      </c>
      <c r="C1489" s="33" t="s">
        <v>147</v>
      </c>
      <c r="D1489" s="33" t="s">
        <v>32</v>
      </c>
      <c r="E1489">
        <v>9</v>
      </c>
      <c r="F1489" s="34">
        <v>4.4444444444444446E-2</v>
      </c>
      <c r="G1489" s="34">
        <v>4.9382716049382715E-3</v>
      </c>
      <c r="H1489" s="33" t="s">
        <v>170</v>
      </c>
      <c r="I1489" s="33" t="s">
        <v>146</v>
      </c>
    </row>
    <row r="1490" spans="1:9" x14ac:dyDescent="0.25">
      <c r="A1490" s="32">
        <v>46251</v>
      </c>
      <c r="B1490" s="33" t="s">
        <v>543</v>
      </c>
      <c r="C1490" s="33" t="s">
        <v>600</v>
      </c>
      <c r="D1490" s="33" t="s">
        <v>600</v>
      </c>
      <c r="E1490">
        <v>21</v>
      </c>
      <c r="F1490" s="34">
        <v>4.3229166666666666E-2</v>
      </c>
      <c r="G1490" s="34">
        <v>2.0585317460317461E-3</v>
      </c>
      <c r="H1490" s="33" t="s">
        <v>293</v>
      </c>
      <c r="I1490" s="33" t="s">
        <v>104</v>
      </c>
    </row>
    <row r="1491" spans="1:9" x14ac:dyDescent="0.25">
      <c r="A1491" s="32">
        <v>46251</v>
      </c>
      <c r="B1491" s="33" t="s">
        <v>633</v>
      </c>
      <c r="C1491" s="33" t="s">
        <v>147</v>
      </c>
      <c r="D1491" s="33" t="s">
        <v>147</v>
      </c>
      <c r="E1491">
        <v>10</v>
      </c>
      <c r="F1491" s="34">
        <v>4.1516203703703701E-2</v>
      </c>
      <c r="G1491" s="34">
        <v>4.1516203703703698E-3</v>
      </c>
      <c r="H1491" s="33" t="s">
        <v>606</v>
      </c>
      <c r="I1491" s="33" t="s">
        <v>146</v>
      </c>
    </row>
    <row r="1492" spans="1:9" x14ac:dyDescent="0.25">
      <c r="A1492" s="32">
        <v>46251</v>
      </c>
      <c r="B1492" s="33" t="s">
        <v>633</v>
      </c>
      <c r="C1492" s="33" t="s">
        <v>147</v>
      </c>
      <c r="D1492" s="33" t="s">
        <v>32</v>
      </c>
      <c r="E1492">
        <v>6</v>
      </c>
      <c r="F1492" s="34">
        <v>3.9143518518518522E-2</v>
      </c>
      <c r="G1492" s="34">
        <v>6.52391975308642E-3</v>
      </c>
      <c r="H1492" s="33" t="s">
        <v>606</v>
      </c>
      <c r="I1492" s="33" t="s">
        <v>146</v>
      </c>
    </row>
    <row r="1493" spans="1:9" x14ac:dyDescent="0.25">
      <c r="A1493" s="32">
        <v>46251</v>
      </c>
      <c r="B1493" s="33" t="s">
        <v>634</v>
      </c>
      <c r="C1493" s="33" t="s">
        <v>105</v>
      </c>
      <c r="D1493" s="33" t="s">
        <v>105</v>
      </c>
      <c r="E1493">
        <v>6</v>
      </c>
      <c r="F1493" s="34">
        <v>0.12346064814814815</v>
      </c>
      <c r="G1493" s="34">
        <v>2.0576774691358025E-2</v>
      </c>
      <c r="H1493" s="33" t="s">
        <v>612</v>
      </c>
      <c r="I1493" s="33" t="s">
        <v>601</v>
      </c>
    </row>
    <row r="1494" spans="1:9" x14ac:dyDescent="0.25">
      <c r="A1494" s="32">
        <v>46251</v>
      </c>
      <c r="B1494" s="33" t="s">
        <v>529</v>
      </c>
      <c r="C1494" s="33" t="s">
        <v>32</v>
      </c>
      <c r="D1494" s="33" t="s">
        <v>32</v>
      </c>
      <c r="E1494">
        <v>23</v>
      </c>
      <c r="F1494" s="34">
        <v>0.14925925925925926</v>
      </c>
      <c r="G1494" s="34">
        <v>6.4895330112721417E-3</v>
      </c>
      <c r="H1494" s="33" t="s">
        <v>256</v>
      </c>
      <c r="I1494" s="33" t="s">
        <v>233</v>
      </c>
    </row>
    <row r="1495" spans="1:9" x14ac:dyDescent="0.25">
      <c r="A1495" s="32">
        <v>46251</v>
      </c>
      <c r="B1495" s="33" t="s">
        <v>662</v>
      </c>
      <c r="C1495" s="33" t="s">
        <v>32</v>
      </c>
      <c r="D1495" s="33" t="s">
        <v>32</v>
      </c>
      <c r="E1495">
        <v>35</v>
      </c>
      <c r="F1495" s="34">
        <v>0.17398148148148149</v>
      </c>
      <c r="G1495" s="34">
        <v>4.9708994708994713E-3</v>
      </c>
      <c r="H1495" s="33" t="s">
        <v>661</v>
      </c>
      <c r="I1495" s="33" t="s">
        <v>100</v>
      </c>
    </row>
    <row r="1496" spans="1:9" x14ac:dyDescent="0.25">
      <c r="A1496" s="32">
        <v>46251</v>
      </c>
      <c r="B1496" s="33" t="s">
        <v>664</v>
      </c>
      <c r="C1496" s="33" t="s">
        <v>32</v>
      </c>
      <c r="D1496" s="33" t="s">
        <v>32</v>
      </c>
      <c r="E1496">
        <v>23</v>
      </c>
      <c r="F1496" s="34">
        <v>0.15177083333333333</v>
      </c>
      <c r="G1496" s="34">
        <v>6.598731884057971E-3</v>
      </c>
      <c r="H1496" s="33" t="s">
        <v>663</v>
      </c>
      <c r="I1496" s="33" t="s">
        <v>233</v>
      </c>
    </row>
    <row r="1497" spans="1:9" x14ac:dyDescent="0.25">
      <c r="A1497" s="32">
        <v>46251</v>
      </c>
      <c r="B1497" s="33" t="s">
        <v>666</v>
      </c>
      <c r="C1497" s="33" t="s">
        <v>32</v>
      </c>
      <c r="D1497" s="33" t="s">
        <v>32</v>
      </c>
      <c r="E1497">
        <v>39</v>
      </c>
      <c r="F1497" s="34">
        <v>0.21702546296296296</v>
      </c>
      <c r="G1497" s="34">
        <v>5.5647554605887939E-3</v>
      </c>
      <c r="H1497" s="33" t="s">
        <v>665</v>
      </c>
      <c r="I1497" s="33" t="s">
        <v>100</v>
      </c>
    </row>
    <row r="1498" spans="1:9" x14ac:dyDescent="0.25">
      <c r="A1498" s="32">
        <v>46251</v>
      </c>
      <c r="B1498" s="33" t="s">
        <v>530</v>
      </c>
      <c r="C1498" s="33" t="s">
        <v>80</v>
      </c>
      <c r="D1498" s="33" t="s">
        <v>32</v>
      </c>
      <c r="E1498">
        <v>1</v>
      </c>
      <c r="F1498" s="34">
        <v>5.4386574074074073E-2</v>
      </c>
      <c r="G1498" s="34">
        <v>5.4386574074074073E-2</v>
      </c>
      <c r="H1498" s="33" t="s">
        <v>264</v>
      </c>
      <c r="I1498" s="33" t="s">
        <v>78</v>
      </c>
    </row>
    <row r="1499" spans="1:9" x14ac:dyDescent="0.25">
      <c r="A1499" s="32">
        <v>46251</v>
      </c>
      <c r="B1499" s="33" t="s">
        <v>555</v>
      </c>
      <c r="C1499" s="33" t="s">
        <v>32</v>
      </c>
      <c r="D1499" s="33" t="s">
        <v>32</v>
      </c>
      <c r="E1499">
        <v>33</v>
      </c>
      <c r="F1499" s="34">
        <v>0.13149305555555554</v>
      </c>
      <c r="G1499" s="34">
        <v>3.9846380471380465E-3</v>
      </c>
      <c r="H1499" s="33" t="s">
        <v>128</v>
      </c>
      <c r="I1499" s="33" t="s">
        <v>233</v>
      </c>
    </row>
    <row r="1500" spans="1:9" x14ac:dyDescent="0.25">
      <c r="A1500" s="32">
        <v>46251</v>
      </c>
      <c r="B1500" s="33" t="s">
        <v>667</v>
      </c>
      <c r="C1500" s="33" t="s">
        <v>105</v>
      </c>
      <c r="D1500" s="33" t="s">
        <v>105</v>
      </c>
      <c r="E1500">
        <v>5</v>
      </c>
      <c r="F1500" s="34">
        <v>0.10866898148148148</v>
      </c>
      <c r="G1500" s="34">
        <v>2.1733796296296296E-2</v>
      </c>
      <c r="H1500" s="33" t="s">
        <v>297</v>
      </c>
      <c r="I1500" s="33" t="s">
        <v>104</v>
      </c>
    </row>
    <row r="1501" spans="1:9" x14ac:dyDescent="0.25">
      <c r="A1501" s="32">
        <v>46251</v>
      </c>
      <c r="B1501" s="33" t="s">
        <v>635</v>
      </c>
      <c r="C1501" s="33" t="s">
        <v>105</v>
      </c>
      <c r="D1501" s="33" t="s">
        <v>105</v>
      </c>
      <c r="E1501">
        <v>7</v>
      </c>
      <c r="F1501" s="34">
        <v>0.15011574074074074</v>
      </c>
      <c r="G1501" s="34">
        <v>2.1445105820105819E-2</v>
      </c>
      <c r="H1501" s="33" t="s">
        <v>614</v>
      </c>
      <c r="I1501" s="33" t="s">
        <v>601</v>
      </c>
    </row>
    <row r="1502" spans="1:9" x14ac:dyDescent="0.25">
      <c r="A1502" s="32">
        <v>46251</v>
      </c>
      <c r="B1502" s="33" t="s">
        <v>635</v>
      </c>
      <c r="C1502" s="33" t="s">
        <v>105</v>
      </c>
      <c r="D1502" s="33" t="s">
        <v>32</v>
      </c>
      <c r="E1502">
        <v>7</v>
      </c>
      <c r="F1502" s="34">
        <v>1.6458333333333332E-2</v>
      </c>
      <c r="G1502" s="34">
        <v>2.3511904761904759E-3</v>
      </c>
      <c r="H1502" s="33" t="s">
        <v>614</v>
      </c>
      <c r="I1502" s="33" t="s">
        <v>601</v>
      </c>
    </row>
    <row r="1503" spans="1:9" x14ac:dyDescent="0.25">
      <c r="A1503" s="32">
        <v>46251</v>
      </c>
      <c r="B1503" s="33" t="s">
        <v>523</v>
      </c>
      <c r="C1503" s="33" t="s">
        <v>147</v>
      </c>
      <c r="D1503" s="33" t="s">
        <v>147</v>
      </c>
      <c r="E1503">
        <v>11</v>
      </c>
      <c r="F1503" s="34">
        <v>4.9016203703703701E-2</v>
      </c>
      <c r="G1503" s="34">
        <v>4.456018518518518E-3</v>
      </c>
      <c r="H1503" s="33" t="s">
        <v>180</v>
      </c>
      <c r="I1503" s="33" t="s">
        <v>146</v>
      </c>
    </row>
    <row r="1504" spans="1:9" x14ac:dyDescent="0.25">
      <c r="A1504" s="32">
        <v>46251</v>
      </c>
      <c r="B1504" s="33" t="s">
        <v>523</v>
      </c>
      <c r="C1504" s="33" t="s">
        <v>147</v>
      </c>
      <c r="D1504" s="33" t="s">
        <v>32</v>
      </c>
      <c r="E1504">
        <v>8</v>
      </c>
      <c r="F1504" s="34">
        <v>5.0821759259259261E-2</v>
      </c>
      <c r="G1504" s="34">
        <v>6.3527199074074076E-3</v>
      </c>
      <c r="H1504" s="33" t="s">
        <v>180</v>
      </c>
      <c r="I1504" s="33" t="s">
        <v>146</v>
      </c>
    </row>
    <row r="1505" spans="1:9" x14ac:dyDescent="0.25">
      <c r="A1505" s="32">
        <v>46251</v>
      </c>
      <c r="B1505" s="33" t="s">
        <v>636</v>
      </c>
      <c r="C1505" s="33" t="s">
        <v>105</v>
      </c>
      <c r="D1505" s="33" t="s">
        <v>105</v>
      </c>
      <c r="E1505">
        <v>7</v>
      </c>
      <c r="F1505" s="34">
        <v>0.12212962962962963</v>
      </c>
      <c r="G1505" s="34">
        <v>1.7447089947089947E-2</v>
      </c>
      <c r="H1505" s="33" t="s">
        <v>615</v>
      </c>
      <c r="I1505" s="33" t="s">
        <v>601</v>
      </c>
    </row>
    <row r="1506" spans="1:9" x14ac:dyDescent="0.25">
      <c r="A1506" s="32">
        <v>46251</v>
      </c>
      <c r="B1506" s="33" t="s">
        <v>636</v>
      </c>
      <c r="C1506" s="33" t="s">
        <v>105</v>
      </c>
      <c r="D1506" s="33" t="s">
        <v>32</v>
      </c>
      <c r="E1506">
        <v>4</v>
      </c>
      <c r="F1506" s="34">
        <v>2.9814814814814815E-2</v>
      </c>
      <c r="G1506" s="34">
        <v>7.4537037037037037E-3</v>
      </c>
      <c r="H1506" s="33" t="s">
        <v>615</v>
      </c>
      <c r="I1506" s="33" t="s">
        <v>601</v>
      </c>
    </row>
    <row r="1507" spans="1:9" x14ac:dyDescent="0.25">
      <c r="A1507" s="32">
        <v>46251</v>
      </c>
      <c r="B1507" s="33" t="s">
        <v>97</v>
      </c>
      <c r="C1507" s="33" t="s">
        <v>80</v>
      </c>
      <c r="D1507" s="33" t="s">
        <v>32</v>
      </c>
      <c r="E1507">
        <v>1</v>
      </c>
      <c r="F1507" s="34">
        <v>1.1574074074074073E-3</v>
      </c>
      <c r="G1507" s="34">
        <v>1.1574074074074073E-3</v>
      </c>
      <c r="H1507" s="33" t="s">
        <v>96</v>
      </c>
      <c r="I1507" s="33" t="s">
        <v>78</v>
      </c>
    </row>
    <row r="1508" spans="1:9" x14ac:dyDescent="0.25">
      <c r="A1508" s="32">
        <v>46251</v>
      </c>
      <c r="B1508" s="33" t="s">
        <v>566</v>
      </c>
      <c r="C1508" s="33" t="s">
        <v>147</v>
      </c>
      <c r="D1508" s="33" t="s">
        <v>147</v>
      </c>
      <c r="E1508">
        <v>11</v>
      </c>
      <c r="F1508" s="34">
        <v>6.4189814814814811E-2</v>
      </c>
      <c r="G1508" s="34">
        <v>5.8354377104377101E-3</v>
      </c>
      <c r="H1508" s="33" t="s">
        <v>207</v>
      </c>
      <c r="I1508" s="33" t="s">
        <v>274</v>
      </c>
    </row>
    <row r="1509" spans="1:9" x14ac:dyDescent="0.25">
      <c r="A1509" s="32">
        <v>46251</v>
      </c>
      <c r="B1509" s="33" t="s">
        <v>566</v>
      </c>
      <c r="C1509" s="33" t="s">
        <v>147</v>
      </c>
      <c r="D1509" s="33" t="s">
        <v>32</v>
      </c>
      <c r="E1509">
        <v>8</v>
      </c>
      <c r="F1509" s="34">
        <v>2.6886574074074073E-2</v>
      </c>
      <c r="G1509" s="34">
        <v>3.3608217592592591E-3</v>
      </c>
      <c r="H1509" s="33" t="s">
        <v>207</v>
      </c>
      <c r="I1509" s="33" t="s">
        <v>274</v>
      </c>
    </row>
    <row r="1510" spans="1:9" x14ac:dyDescent="0.25">
      <c r="A1510" s="32">
        <v>46251</v>
      </c>
      <c r="B1510" s="33" t="s">
        <v>637</v>
      </c>
      <c r="C1510" s="33" t="s">
        <v>105</v>
      </c>
      <c r="D1510" s="33" t="s">
        <v>105</v>
      </c>
      <c r="E1510">
        <v>3</v>
      </c>
      <c r="F1510" s="34">
        <v>6.9664351851851852E-2</v>
      </c>
      <c r="G1510" s="34">
        <v>2.3221450617283951E-2</v>
      </c>
      <c r="H1510" s="33" t="s">
        <v>616</v>
      </c>
      <c r="I1510" s="33" t="s">
        <v>601</v>
      </c>
    </row>
    <row r="1511" spans="1:9" x14ac:dyDescent="0.25">
      <c r="A1511" s="32">
        <v>46251</v>
      </c>
      <c r="B1511" s="33" t="s">
        <v>637</v>
      </c>
      <c r="C1511" s="33" t="s">
        <v>105</v>
      </c>
      <c r="D1511" s="33" t="s">
        <v>32</v>
      </c>
      <c r="E1511">
        <v>4</v>
      </c>
      <c r="F1511" s="34">
        <v>1.4560185185185185E-2</v>
      </c>
      <c r="G1511" s="34">
        <v>3.6400462962962962E-3</v>
      </c>
      <c r="H1511" s="33" t="s">
        <v>616</v>
      </c>
      <c r="I1511" s="33" t="s">
        <v>601</v>
      </c>
    </row>
    <row r="1512" spans="1:9" x14ac:dyDescent="0.25">
      <c r="A1512" s="32">
        <v>46251</v>
      </c>
      <c r="B1512" s="33" t="s">
        <v>567</v>
      </c>
      <c r="C1512" s="33" t="s">
        <v>105</v>
      </c>
      <c r="D1512" s="33" t="s">
        <v>105</v>
      </c>
      <c r="E1512">
        <v>2</v>
      </c>
      <c r="F1512" s="34">
        <v>4.1041666666666664E-2</v>
      </c>
      <c r="G1512" s="34">
        <v>2.0520833333333332E-2</v>
      </c>
      <c r="H1512" s="33" t="s">
        <v>209</v>
      </c>
      <c r="I1512" s="33" t="s">
        <v>601</v>
      </c>
    </row>
    <row r="1513" spans="1:9" x14ac:dyDescent="0.25">
      <c r="A1513" s="32">
        <v>46251</v>
      </c>
      <c r="B1513" s="33" t="s">
        <v>567</v>
      </c>
      <c r="C1513" s="33" t="s">
        <v>105</v>
      </c>
      <c r="D1513" s="33" t="s">
        <v>32</v>
      </c>
      <c r="E1513">
        <v>4</v>
      </c>
      <c r="F1513" s="34">
        <v>4.5254629629629631E-2</v>
      </c>
      <c r="G1513" s="34">
        <v>1.1313657407407408E-2</v>
      </c>
      <c r="H1513" s="33" t="s">
        <v>209</v>
      </c>
      <c r="I1513" s="33" t="s">
        <v>601</v>
      </c>
    </row>
    <row r="1514" spans="1:9" x14ac:dyDescent="0.25">
      <c r="A1514" s="32">
        <v>46251</v>
      </c>
      <c r="B1514" s="33" t="s">
        <v>510</v>
      </c>
      <c r="C1514" s="33" t="s">
        <v>32</v>
      </c>
      <c r="D1514" s="33" t="s">
        <v>32</v>
      </c>
      <c r="E1514">
        <v>44</v>
      </c>
      <c r="F1514" s="34">
        <v>0.18652777777777776</v>
      </c>
      <c r="G1514" s="34">
        <v>4.2392676767676763E-3</v>
      </c>
      <c r="H1514" s="33" t="s">
        <v>60</v>
      </c>
      <c r="I1514" s="33" t="s">
        <v>100</v>
      </c>
    </row>
    <row r="1515" spans="1:9" x14ac:dyDescent="0.25">
      <c r="A1515" s="32">
        <v>46251</v>
      </c>
      <c r="B1515" s="33" t="s">
        <v>512</v>
      </c>
      <c r="C1515" s="33" t="s">
        <v>105</v>
      </c>
      <c r="D1515" s="33" t="s">
        <v>105</v>
      </c>
      <c r="E1515">
        <v>6</v>
      </c>
      <c r="F1515" s="34">
        <v>0.17300925925925925</v>
      </c>
      <c r="G1515" s="34">
        <v>2.8834876543209875E-2</v>
      </c>
      <c r="H1515" s="33" t="s">
        <v>132</v>
      </c>
      <c r="I1515" s="33" t="s">
        <v>104</v>
      </c>
    </row>
    <row r="1516" spans="1:9" x14ac:dyDescent="0.25">
      <c r="A1516" s="32">
        <v>46251</v>
      </c>
      <c r="B1516" s="33" t="s">
        <v>512</v>
      </c>
      <c r="C1516" s="33" t="s">
        <v>105</v>
      </c>
      <c r="D1516" s="33" t="s">
        <v>32</v>
      </c>
      <c r="E1516">
        <v>7</v>
      </c>
      <c r="F1516" s="34">
        <v>4.3402777777777776E-2</v>
      </c>
      <c r="G1516" s="34">
        <v>6.2003968253968251E-3</v>
      </c>
      <c r="H1516" s="33" t="s">
        <v>132</v>
      </c>
      <c r="I1516" s="33" t="s">
        <v>104</v>
      </c>
    </row>
    <row r="1517" spans="1:9" x14ac:dyDescent="0.25">
      <c r="A1517" s="32">
        <v>46251</v>
      </c>
      <c r="B1517" s="33" t="s">
        <v>560</v>
      </c>
      <c r="C1517" s="33" t="s">
        <v>105</v>
      </c>
      <c r="D1517" s="33" t="s">
        <v>105</v>
      </c>
      <c r="E1517">
        <v>5</v>
      </c>
      <c r="F1517" s="34">
        <v>0.10200231481481481</v>
      </c>
      <c r="G1517" s="34">
        <v>2.0400462962962961E-2</v>
      </c>
      <c r="H1517" s="33" t="s">
        <v>134</v>
      </c>
      <c r="I1517" s="33" t="s">
        <v>104</v>
      </c>
    </row>
    <row r="1518" spans="1:9" x14ac:dyDescent="0.25">
      <c r="A1518" s="32">
        <v>46251</v>
      </c>
      <c r="B1518" s="33" t="s">
        <v>560</v>
      </c>
      <c r="C1518" s="33" t="s">
        <v>105</v>
      </c>
      <c r="D1518" s="33" t="s">
        <v>32</v>
      </c>
      <c r="E1518">
        <v>17</v>
      </c>
      <c r="F1518" s="34">
        <v>5.5370370370370368E-2</v>
      </c>
      <c r="G1518" s="34">
        <v>3.2570806100217864E-3</v>
      </c>
      <c r="H1518" s="33" t="s">
        <v>134</v>
      </c>
      <c r="I1518" s="33" t="s">
        <v>104</v>
      </c>
    </row>
    <row r="1519" spans="1:9" x14ac:dyDescent="0.25">
      <c r="A1519" s="32">
        <v>46251</v>
      </c>
      <c r="B1519" s="33" t="s">
        <v>546</v>
      </c>
      <c r="C1519" s="33" t="s">
        <v>105</v>
      </c>
      <c r="D1519" s="33" t="s">
        <v>105</v>
      </c>
      <c r="E1519">
        <v>3</v>
      </c>
      <c r="F1519" s="34">
        <v>9.5821759259259259E-2</v>
      </c>
      <c r="G1519" s="34">
        <v>3.1940586419753086E-2</v>
      </c>
      <c r="H1519" s="33" t="s">
        <v>211</v>
      </c>
      <c r="I1519" s="33" t="s">
        <v>104</v>
      </c>
    </row>
    <row r="1520" spans="1:9" x14ac:dyDescent="0.25">
      <c r="A1520" s="32">
        <v>46251</v>
      </c>
      <c r="B1520" s="33" t="s">
        <v>546</v>
      </c>
      <c r="C1520" s="33" t="s">
        <v>105</v>
      </c>
      <c r="D1520" s="33" t="s">
        <v>32</v>
      </c>
      <c r="E1520">
        <v>2</v>
      </c>
      <c r="F1520" s="34">
        <v>3.1631944444444442E-2</v>
      </c>
      <c r="G1520" s="34">
        <v>1.5815972222222221E-2</v>
      </c>
      <c r="H1520" s="33" t="s">
        <v>211</v>
      </c>
      <c r="I1520" s="33" t="s">
        <v>104</v>
      </c>
    </row>
    <row r="1521" spans="1:9" x14ac:dyDescent="0.25">
      <c r="A1521" s="32">
        <v>46251</v>
      </c>
      <c r="B1521" s="33" t="s">
        <v>638</v>
      </c>
      <c r="C1521" s="33" t="s">
        <v>105</v>
      </c>
      <c r="D1521" s="33" t="s">
        <v>105</v>
      </c>
      <c r="E1521">
        <v>4</v>
      </c>
      <c r="F1521" s="34">
        <v>8.729166666666667E-2</v>
      </c>
      <c r="G1521" s="34">
        <v>2.1822916666666668E-2</v>
      </c>
      <c r="H1521" s="33" t="s">
        <v>617</v>
      </c>
      <c r="I1521" s="33" t="s">
        <v>601</v>
      </c>
    </row>
    <row r="1522" spans="1:9" x14ac:dyDescent="0.25">
      <c r="A1522" s="32">
        <v>46251</v>
      </c>
      <c r="B1522" s="33" t="s">
        <v>638</v>
      </c>
      <c r="C1522" s="33" t="s">
        <v>105</v>
      </c>
      <c r="D1522" s="33" t="s">
        <v>32</v>
      </c>
      <c r="E1522">
        <v>2</v>
      </c>
      <c r="F1522" s="34">
        <v>1.3101851851851852E-2</v>
      </c>
      <c r="G1522" s="34">
        <v>6.5509259259259262E-3</v>
      </c>
      <c r="H1522" s="33" t="s">
        <v>617</v>
      </c>
      <c r="I1522" s="33" t="s">
        <v>601</v>
      </c>
    </row>
    <row r="1523" spans="1:9" x14ac:dyDescent="0.25">
      <c r="A1523" s="32">
        <v>46251</v>
      </c>
      <c r="B1523" s="33" t="s">
        <v>561</v>
      </c>
      <c r="C1523" s="33" t="s">
        <v>105</v>
      </c>
      <c r="D1523" s="33" t="s">
        <v>105</v>
      </c>
      <c r="E1523">
        <v>9</v>
      </c>
      <c r="F1523" s="34">
        <v>0.21032407407407408</v>
      </c>
      <c r="G1523" s="34">
        <v>2.3369341563786009E-2</v>
      </c>
      <c r="H1523" s="33" t="s">
        <v>136</v>
      </c>
      <c r="I1523" s="33" t="s">
        <v>104</v>
      </c>
    </row>
    <row r="1524" spans="1:9" x14ac:dyDescent="0.25">
      <c r="A1524" s="32">
        <v>46251</v>
      </c>
      <c r="B1524" s="33" t="s">
        <v>561</v>
      </c>
      <c r="C1524" s="33" t="s">
        <v>105</v>
      </c>
      <c r="D1524" s="33" t="s">
        <v>32</v>
      </c>
      <c r="E1524">
        <v>2</v>
      </c>
      <c r="F1524" s="34">
        <v>3.1631944444444442E-2</v>
      </c>
      <c r="G1524" s="34">
        <v>1.5815972222222221E-2</v>
      </c>
      <c r="H1524" s="33" t="s">
        <v>136</v>
      </c>
      <c r="I1524" s="33" t="s">
        <v>104</v>
      </c>
    </row>
    <row r="1525" spans="1:9" x14ac:dyDescent="0.25">
      <c r="A1525" s="32">
        <v>46251</v>
      </c>
      <c r="B1525" s="33" t="s">
        <v>639</v>
      </c>
      <c r="C1525" s="33" t="s">
        <v>105</v>
      </c>
      <c r="D1525" s="33" t="s">
        <v>105</v>
      </c>
      <c r="E1525">
        <v>2</v>
      </c>
      <c r="F1525" s="34">
        <v>4.2534722222222224E-2</v>
      </c>
      <c r="G1525" s="34">
        <v>2.1267361111111112E-2</v>
      </c>
      <c r="H1525" s="33" t="s">
        <v>618</v>
      </c>
      <c r="I1525" s="33" t="s">
        <v>601</v>
      </c>
    </row>
    <row r="1526" spans="1:9" x14ac:dyDescent="0.25">
      <c r="A1526" s="32">
        <v>46251</v>
      </c>
      <c r="B1526" s="33" t="s">
        <v>639</v>
      </c>
      <c r="C1526" s="33" t="s">
        <v>105</v>
      </c>
      <c r="D1526" s="33" t="s">
        <v>32</v>
      </c>
      <c r="E1526">
        <v>5</v>
      </c>
      <c r="F1526" s="34">
        <v>4.3090277777777776E-2</v>
      </c>
      <c r="G1526" s="34">
        <v>8.6180555555555559E-3</v>
      </c>
      <c r="H1526" s="33" t="s">
        <v>618</v>
      </c>
      <c r="I1526" s="33" t="s">
        <v>601</v>
      </c>
    </row>
    <row r="1527" spans="1:9" x14ac:dyDescent="0.25">
      <c r="A1527" s="32">
        <v>46251</v>
      </c>
      <c r="B1527" s="33" t="s">
        <v>524</v>
      </c>
      <c r="C1527" s="33" t="s">
        <v>147</v>
      </c>
      <c r="D1527" s="33" t="s">
        <v>147</v>
      </c>
      <c r="E1527">
        <v>17</v>
      </c>
      <c r="F1527" s="34">
        <v>6.9074074074074079E-2</v>
      </c>
      <c r="G1527" s="34">
        <v>4.0631808278867101E-3</v>
      </c>
      <c r="H1527" s="33" t="s">
        <v>501</v>
      </c>
      <c r="I1527" s="33" t="s">
        <v>274</v>
      </c>
    </row>
    <row r="1528" spans="1:9" x14ac:dyDescent="0.25">
      <c r="A1528" s="32">
        <v>46251</v>
      </c>
      <c r="B1528" s="33" t="s">
        <v>524</v>
      </c>
      <c r="C1528" s="33" t="s">
        <v>147</v>
      </c>
      <c r="D1528" s="33" t="s">
        <v>32</v>
      </c>
      <c r="E1528">
        <v>5</v>
      </c>
      <c r="F1528" s="34">
        <v>1.2175925925925925E-2</v>
      </c>
      <c r="G1528" s="34">
        <v>2.4351851851851852E-3</v>
      </c>
      <c r="H1528" s="33" t="s">
        <v>501</v>
      </c>
      <c r="I1528" s="33" t="s">
        <v>274</v>
      </c>
    </row>
    <row r="1529" spans="1:9" x14ac:dyDescent="0.25">
      <c r="A1529" s="32">
        <v>46251</v>
      </c>
      <c r="B1529" s="33" t="s">
        <v>572</v>
      </c>
      <c r="C1529" s="33" t="s">
        <v>105</v>
      </c>
      <c r="D1529" s="33" t="s">
        <v>105</v>
      </c>
      <c r="E1529">
        <v>5</v>
      </c>
      <c r="F1529" s="34">
        <v>0.10659722222222222</v>
      </c>
      <c r="G1529" s="34">
        <v>2.1319444444444443E-2</v>
      </c>
      <c r="H1529" s="33" t="s">
        <v>213</v>
      </c>
      <c r="I1529" s="33" t="s">
        <v>601</v>
      </c>
    </row>
    <row r="1530" spans="1:9" x14ac:dyDescent="0.25">
      <c r="A1530" s="32">
        <v>46251</v>
      </c>
      <c r="B1530" s="33" t="s">
        <v>572</v>
      </c>
      <c r="C1530" s="33" t="s">
        <v>105</v>
      </c>
      <c r="D1530" s="33" t="s">
        <v>32</v>
      </c>
      <c r="E1530">
        <v>1</v>
      </c>
      <c r="F1530" s="34">
        <v>1.5405092592592592E-2</v>
      </c>
      <c r="G1530" s="34">
        <v>1.5405092592592592E-2</v>
      </c>
      <c r="H1530" s="33" t="s">
        <v>213</v>
      </c>
      <c r="I1530" s="33" t="s">
        <v>601</v>
      </c>
    </row>
    <row r="1531" spans="1:9" x14ac:dyDescent="0.25">
      <c r="A1531" s="32">
        <v>46251</v>
      </c>
      <c r="B1531" s="33" t="s">
        <v>669</v>
      </c>
      <c r="C1531" s="33" t="s">
        <v>32</v>
      </c>
      <c r="D1531" s="33" t="s">
        <v>32</v>
      </c>
      <c r="E1531">
        <v>46</v>
      </c>
      <c r="F1531" s="34">
        <v>0.14076388888888888</v>
      </c>
      <c r="G1531" s="34">
        <v>3.060084541062802E-3</v>
      </c>
      <c r="H1531" s="33" t="s">
        <v>668</v>
      </c>
      <c r="I1531" s="33" t="s">
        <v>233</v>
      </c>
    </row>
    <row r="1532" spans="1:9" x14ac:dyDescent="0.25">
      <c r="A1532" s="32">
        <v>46251</v>
      </c>
      <c r="B1532" s="33" t="s">
        <v>306</v>
      </c>
      <c r="C1532" s="33" t="s">
        <v>32</v>
      </c>
      <c r="D1532" s="33" t="s">
        <v>32</v>
      </c>
      <c r="E1532">
        <v>36</v>
      </c>
      <c r="F1532" s="34">
        <v>0.20211805555555556</v>
      </c>
      <c r="G1532" s="34">
        <v>5.614390432098766E-3</v>
      </c>
      <c r="H1532" s="33" t="s">
        <v>305</v>
      </c>
      <c r="I1532" s="33" t="s">
        <v>100</v>
      </c>
    </row>
    <row r="1533" spans="1:9" x14ac:dyDescent="0.25">
      <c r="A1533" s="32">
        <v>46251</v>
      </c>
      <c r="B1533" s="33" t="s">
        <v>641</v>
      </c>
      <c r="C1533" s="33" t="s">
        <v>105</v>
      </c>
      <c r="D1533" s="33" t="s">
        <v>105</v>
      </c>
      <c r="E1533">
        <v>3</v>
      </c>
      <c r="F1533" s="34">
        <v>7.7881944444444448E-2</v>
      </c>
      <c r="G1533" s="34">
        <v>2.5960648148148149E-2</v>
      </c>
      <c r="H1533" s="33" t="s">
        <v>620</v>
      </c>
      <c r="I1533" s="33" t="s">
        <v>601</v>
      </c>
    </row>
    <row r="1534" spans="1:9" x14ac:dyDescent="0.25">
      <c r="A1534" s="32">
        <v>46251</v>
      </c>
      <c r="B1534" s="33" t="s">
        <v>641</v>
      </c>
      <c r="C1534" s="33" t="s">
        <v>105</v>
      </c>
      <c r="D1534" s="33" t="s">
        <v>32</v>
      </c>
      <c r="E1534">
        <v>6</v>
      </c>
      <c r="F1534" s="34">
        <v>4.6574074074074073E-2</v>
      </c>
      <c r="G1534" s="34">
        <v>7.7623456790123458E-3</v>
      </c>
      <c r="H1534" s="33" t="s">
        <v>620</v>
      </c>
      <c r="I1534" s="33" t="s">
        <v>601</v>
      </c>
    </row>
    <row r="1535" spans="1:9" x14ac:dyDescent="0.25">
      <c r="A1535" s="32">
        <v>46251</v>
      </c>
      <c r="B1535" s="33" t="s">
        <v>556</v>
      </c>
      <c r="C1535" s="33" t="s">
        <v>105</v>
      </c>
      <c r="D1535" s="33" t="s">
        <v>105</v>
      </c>
      <c r="E1535">
        <v>7</v>
      </c>
      <c r="F1535" s="34">
        <v>0.13377314814814814</v>
      </c>
      <c r="G1535" s="34">
        <v>1.9110449735449734E-2</v>
      </c>
      <c r="H1535" s="33" t="s">
        <v>138</v>
      </c>
      <c r="I1535" s="33" t="s">
        <v>104</v>
      </c>
    </row>
    <row r="1536" spans="1:9" x14ac:dyDescent="0.25">
      <c r="A1536" s="32">
        <v>46251</v>
      </c>
      <c r="B1536" s="33" t="s">
        <v>556</v>
      </c>
      <c r="C1536" s="33" t="s">
        <v>105</v>
      </c>
      <c r="D1536" s="33" t="s">
        <v>32</v>
      </c>
      <c r="E1536">
        <v>15</v>
      </c>
      <c r="F1536" s="34">
        <v>7.0520833333333338E-2</v>
      </c>
      <c r="G1536" s="34">
        <v>4.7013888888888895E-3</v>
      </c>
      <c r="H1536" s="33" t="s">
        <v>138</v>
      </c>
      <c r="I1536" s="33" t="s">
        <v>104</v>
      </c>
    </row>
    <row r="1537" spans="1:9" x14ac:dyDescent="0.25">
      <c r="A1537" s="32">
        <v>46251</v>
      </c>
      <c r="B1537" s="33" t="s">
        <v>532</v>
      </c>
      <c r="C1537" s="33" t="s">
        <v>32</v>
      </c>
      <c r="D1537" s="33" t="s">
        <v>32</v>
      </c>
      <c r="E1537">
        <v>44</v>
      </c>
      <c r="F1537" s="34">
        <v>0.1295138888888889</v>
      </c>
      <c r="G1537" s="34">
        <v>2.9434974747474751E-3</v>
      </c>
      <c r="H1537" s="33" t="s">
        <v>276</v>
      </c>
      <c r="I1537" s="33" t="s">
        <v>233</v>
      </c>
    </row>
    <row r="1538" spans="1:9" x14ac:dyDescent="0.25">
      <c r="A1538" s="32">
        <v>46251</v>
      </c>
      <c r="B1538" s="33" t="s">
        <v>533</v>
      </c>
      <c r="C1538" s="33" t="s">
        <v>32</v>
      </c>
      <c r="D1538" s="33" t="s">
        <v>32</v>
      </c>
      <c r="E1538">
        <v>29</v>
      </c>
      <c r="F1538" s="34">
        <v>0.15189814814814814</v>
      </c>
      <c r="G1538" s="34">
        <v>5.2378671775223495E-3</v>
      </c>
      <c r="H1538" s="33" t="s">
        <v>278</v>
      </c>
      <c r="I1538" s="33" t="s">
        <v>233</v>
      </c>
    </row>
    <row r="1539" spans="1:9" x14ac:dyDescent="0.25">
      <c r="A1539" s="32">
        <v>46251</v>
      </c>
      <c r="B1539" s="33" t="s">
        <v>674</v>
      </c>
      <c r="C1539" s="33" t="s">
        <v>105</v>
      </c>
      <c r="D1539" s="33" t="s">
        <v>105</v>
      </c>
      <c r="E1539">
        <v>11</v>
      </c>
      <c r="F1539" s="34">
        <v>0.26430555555555557</v>
      </c>
      <c r="G1539" s="34">
        <v>2.402777777777778E-2</v>
      </c>
      <c r="H1539" s="33" t="s">
        <v>673</v>
      </c>
      <c r="I1539" s="33" t="s">
        <v>104</v>
      </c>
    </row>
    <row r="1540" spans="1:9" x14ac:dyDescent="0.25">
      <c r="A1540" s="32">
        <v>46251</v>
      </c>
      <c r="B1540" s="33" t="s">
        <v>674</v>
      </c>
      <c r="C1540" s="33" t="s">
        <v>105</v>
      </c>
      <c r="D1540" s="33" t="s">
        <v>32</v>
      </c>
      <c r="E1540">
        <v>4</v>
      </c>
      <c r="F1540" s="34">
        <v>1.6689814814814814E-2</v>
      </c>
      <c r="G1540" s="34">
        <v>4.1724537037037034E-3</v>
      </c>
      <c r="H1540" s="33" t="s">
        <v>673</v>
      </c>
      <c r="I1540" s="33" t="s">
        <v>104</v>
      </c>
    </row>
    <row r="1541" spans="1:9" x14ac:dyDescent="0.25">
      <c r="A1541" s="32">
        <v>46251</v>
      </c>
      <c r="B1541" s="33" t="s">
        <v>549</v>
      </c>
      <c r="C1541" s="33" t="s">
        <v>105</v>
      </c>
      <c r="D1541" s="33" t="s">
        <v>105</v>
      </c>
      <c r="E1541">
        <v>2</v>
      </c>
      <c r="F1541" s="34">
        <v>1.6435185185185185E-2</v>
      </c>
      <c r="G1541" s="34">
        <v>8.2175925925925923E-3</v>
      </c>
      <c r="H1541" s="33" t="s">
        <v>225</v>
      </c>
      <c r="I1541" s="33" t="s">
        <v>601</v>
      </c>
    </row>
    <row r="1542" spans="1:9" x14ac:dyDescent="0.25">
      <c r="A1542" s="32">
        <v>46251</v>
      </c>
      <c r="B1542" s="33" t="s">
        <v>549</v>
      </c>
      <c r="C1542" s="33" t="s">
        <v>105</v>
      </c>
      <c r="D1542" s="33" t="s">
        <v>32</v>
      </c>
      <c r="E1542">
        <v>8</v>
      </c>
      <c r="F1542" s="34">
        <v>4.7453703703703706E-2</v>
      </c>
      <c r="G1542" s="34">
        <v>5.9317129629629633E-3</v>
      </c>
      <c r="H1542" s="33" t="s">
        <v>225</v>
      </c>
      <c r="I1542" s="33" t="s">
        <v>601</v>
      </c>
    </row>
    <row r="1543" spans="1:9" x14ac:dyDescent="0.25">
      <c r="A1543" s="32">
        <v>46251</v>
      </c>
      <c r="B1543" s="33" t="s">
        <v>71</v>
      </c>
      <c r="C1543" s="33" t="s">
        <v>80</v>
      </c>
      <c r="D1543" s="33" t="s">
        <v>32</v>
      </c>
      <c r="E1543">
        <v>1</v>
      </c>
      <c r="F1543" s="34">
        <v>6.0069444444444441E-3</v>
      </c>
      <c r="G1543" s="34">
        <v>6.0069444444444441E-3</v>
      </c>
      <c r="H1543" s="33" t="s">
        <v>70</v>
      </c>
      <c r="I1543" s="33" t="s">
        <v>78</v>
      </c>
    </row>
    <row r="1544" spans="1:9" x14ac:dyDescent="0.25">
      <c r="A1544" s="32">
        <v>46251</v>
      </c>
      <c r="B1544" s="33" t="s">
        <v>534</v>
      </c>
      <c r="C1544" s="33" t="s">
        <v>32</v>
      </c>
      <c r="D1544" s="33" t="s">
        <v>32</v>
      </c>
      <c r="E1544">
        <v>50</v>
      </c>
      <c r="F1544" s="34">
        <v>0.13556712962962963</v>
      </c>
      <c r="G1544" s="34">
        <v>2.7113425925925929E-3</v>
      </c>
      <c r="H1544" s="33" t="s">
        <v>280</v>
      </c>
      <c r="I1544" s="33" t="s">
        <v>233</v>
      </c>
    </row>
    <row r="1545" spans="1:9" x14ac:dyDescent="0.25">
      <c r="A1545" s="32">
        <v>46251</v>
      </c>
      <c r="B1545" s="33" t="s">
        <v>571</v>
      </c>
      <c r="C1545" s="33" t="s">
        <v>105</v>
      </c>
      <c r="D1545" s="33" t="s">
        <v>105</v>
      </c>
      <c r="E1545">
        <v>7</v>
      </c>
      <c r="F1545" s="34">
        <v>0.17284722222222224</v>
      </c>
      <c r="G1545" s="34">
        <v>2.4692460317460318E-2</v>
      </c>
      <c r="H1545" s="33" t="s">
        <v>299</v>
      </c>
      <c r="I1545" s="33" t="s">
        <v>104</v>
      </c>
    </row>
    <row r="1546" spans="1:9" x14ac:dyDescent="0.25">
      <c r="A1546" s="32">
        <v>46251</v>
      </c>
      <c r="B1546" s="33" t="s">
        <v>535</v>
      </c>
      <c r="C1546" s="33" t="s">
        <v>32</v>
      </c>
      <c r="D1546" s="33" t="s">
        <v>32</v>
      </c>
      <c r="E1546">
        <v>50</v>
      </c>
      <c r="F1546" s="34">
        <v>0.12358796296296297</v>
      </c>
      <c r="G1546" s="34">
        <v>2.4717592592592595E-3</v>
      </c>
      <c r="H1546" s="33" t="s">
        <v>282</v>
      </c>
      <c r="I1546" s="33" t="s">
        <v>233</v>
      </c>
    </row>
    <row r="1547" spans="1:9" x14ac:dyDescent="0.25">
      <c r="A1547" s="32">
        <v>46251</v>
      </c>
      <c r="B1547" s="33" t="s">
        <v>557</v>
      </c>
      <c r="C1547" s="33" t="s">
        <v>147</v>
      </c>
      <c r="D1547" s="33" t="s">
        <v>147</v>
      </c>
      <c r="E1547">
        <v>7</v>
      </c>
      <c r="F1547" s="34">
        <v>3.2245370370370369E-2</v>
      </c>
      <c r="G1547" s="34">
        <v>4.6064814814814814E-3</v>
      </c>
      <c r="H1547" s="33" t="s">
        <v>227</v>
      </c>
      <c r="I1547" s="33" t="s">
        <v>146</v>
      </c>
    </row>
    <row r="1548" spans="1:9" x14ac:dyDescent="0.25">
      <c r="A1548" s="32">
        <v>46251</v>
      </c>
      <c r="B1548" s="33" t="s">
        <v>557</v>
      </c>
      <c r="C1548" s="33" t="s">
        <v>147</v>
      </c>
      <c r="D1548" s="33" t="s">
        <v>32</v>
      </c>
      <c r="E1548">
        <v>10</v>
      </c>
      <c r="F1548" s="34">
        <v>3.4432870370370371E-2</v>
      </c>
      <c r="G1548" s="34">
        <v>3.4432870370370372E-3</v>
      </c>
      <c r="H1548" s="33" t="s">
        <v>227</v>
      </c>
      <c r="I1548" s="33" t="s">
        <v>146</v>
      </c>
    </row>
    <row r="1549" spans="1:9" x14ac:dyDescent="0.25">
      <c r="A1549" s="32">
        <v>46251</v>
      </c>
      <c r="B1549" s="33" t="s">
        <v>676</v>
      </c>
      <c r="C1549" s="33" t="s">
        <v>105</v>
      </c>
      <c r="D1549" s="33" t="s">
        <v>105</v>
      </c>
      <c r="E1549">
        <v>7</v>
      </c>
      <c r="F1549" s="34">
        <v>0.19547453703703704</v>
      </c>
      <c r="G1549" s="34">
        <v>2.7924933862433863E-2</v>
      </c>
      <c r="H1549" s="33" t="s">
        <v>675</v>
      </c>
      <c r="I1549" s="33" t="s">
        <v>104</v>
      </c>
    </row>
    <row r="1550" spans="1:9" x14ac:dyDescent="0.25">
      <c r="A1550" s="32">
        <v>46251</v>
      </c>
      <c r="B1550" s="33" t="s">
        <v>676</v>
      </c>
      <c r="C1550" s="33" t="s">
        <v>105</v>
      </c>
      <c r="D1550" s="33" t="s">
        <v>32</v>
      </c>
      <c r="E1550">
        <v>2</v>
      </c>
      <c r="F1550" s="34">
        <v>4.9305555555555552E-3</v>
      </c>
      <c r="G1550" s="34">
        <v>2.4652777777777776E-3</v>
      </c>
      <c r="H1550" s="33" t="s">
        <v>675</v>
      </c>
      <c r="I1550" s="33" t="s">
        <v>104</v>
      </c>
    </row>
    <row r="1551" spans="1:9" x14ac:dyDescent="0.25">
      <c r="A1551" s="32">
        <v>46251</v>
      </c>
      <c r="B1551" s="33" t="s">
        <v>678</v>
      </c>
      <c r="C1551" s="33" t="s">
        <v>147</v>
      </c>
      <c r="D1551" s="33" t="s">
        <v>147</v>
      </c>
      <c r="E1551">
        <v>8</v>
      </c>
      <c r="F1551" s="34">
        <v>3.5520833333333335E-2</v>
      </c>
      <c r="G1551" s="34">
        <v>4.4401041666666669E-3</v>
      </c>
      <c r="H1551" s="33" t="s">
        <v>677</v>
      </c>
      <c r="I1551" s="33" t="s">
        <v>274</v>
      </c>
    </row>
    <row r="1552" spans="1:9" x14ac:dyDescent="0.25">
      <c r="A1552" s="32">
        <v>46251</v>
      </c>
      <c r="B1552" s="33" t="s">
        <v>678</v>
      </c>
      <c r="C1552" s="33" t="s">
        <v>147</v>
      </c>
      <c r="D1552" s="33" t="s">
        <v>32</v>
      </c>
      <c r="E1552">
        <v>9</v>
      </c>
      <c r="F1552" s="34">
        <v>2.2118055555555554E-2</v>
      </c>
      <c r="G1552" s="34">
        <v>2.4575617283950617E-3</v>
      </c>
      <c r="H1552" s="33" t="s">
        <v>677</v>
      </c>
      <c r="I1552" s="33" t="s">
        <v>274</v>
      </c>
    </row>
    <row r="1553" spans="1:9" x14ac:dyDescent="0.25">
      <c r="A1553" s="32">
        <v>46252</v>
      </c>
      <c r="B1553" s="33" t="s">
        <v>644</v>
      </c>
      <c r="C1553" s="33" t="s">
        <v>32</v>
      </c>
      <c r="D1553" s="33" t="s">
        <v>32</v>
      </c>
      <c r="E1553">
        <v>13</v>
      </c>
      <c r="F1553" s="34">
        <v>0.13306712962962963</v>
      </c>
      <c r="G1553" s="34">
        <v>1.0235933048433048E-2</v>
      </c>
      <c r="H1553" s="33" t="s">
        <v>643</v>
      </c>
      <c r="I1553" s="33" t="s">
        <v>233</v>
      </c>
    </row>
    <row r="1554" spans="1:9" x14ac:dyDescent="0.25">
      <c r="A1554" s="32">
        <v>46252</v>
      </c>
      <c r="B1554" s="33" t="s">
        <v>563</v>
      </c>
      <c r="C1554" s="33" t="s">
        <v>147</v>
      </c>
      <c r="D1554" s="33" t="s">
        <v>147</v>
      </c>
      <c r="E1554">
        <v>13</v>
      </c>
      <c r="F1554" s="34">
        <v>5.0763888888888886E-2</v>
      </c>
      <c r="G1554" s="34">
        <v>3.9049145299145296E-3</v>
      </c>
      <c r="H1554" s="33" t="s">
        <v>193</v>
      </c>
      <c r="I1554" s="33" t="s">
        <v>274</v>
      </c>
    </row>
    <row r="1555" spans="1:9" x14ac:dyDescent="0.25">
      <c r="A1555" s="32">
        <v>46252</v>
      </c>
      <c r="B1555" s="33" t="s">
        <v>563</v>
      </c>
      <c r="C1555" s="33" t="s">
        <v>147</v>
      </c>
      <c r="D1555" s="33" t="s">
        <v>32</v>
      </c>
      <c r="E1555">
        <v>11</v>
      </c>
      <c r="F1555" s="34">
        <v>2.3078703703703702E-2</v>
      </c>
      <c r="G1555" s="34">
        <v>2.098063973063973E-3</v>
      </c>
      <c r="H1555" s="33" t="s">
        <v>193</v>
      </c>
      <c r="I1555" s="33" t="s">
        <v>274</v>
      </c>
    </row>
    <row r="1556" spans="1:9" x14ac:dyDescent="0.25">
      <c r="A1556" s="32">
        <v>46252</v>
      </c>
      <c r="B1556" s="33" t="s">
        <v>525</v>
      </c>
      <c r="C1556" s="33" t="s">
        <v>32</v>
      </c>
      <c r="D1556" s="33" t="s">
        <v>32</v>
      </c>
      <c r="E1556">
        <v>42</v>
      </c>
      <c r="F1556" s="34">
        <v>0.1270486111111111</v>
      </c>
      <c r="G1556" s="34">
        <v>3.0249669312169308E-3</v>
      </c>
      <c r="H1556" s="33" t="s">
        <v>231</v>
      </c>
      <c r="I1556" s="33" t="s">
        <v>233</v>
      </c>
    </row>
    <row r="1557" spans="1:9" x14ac:dyDescent="0.25">
      <c r="A1557" s="32">
        <v>46252</v>
      </c>
      <c r="B1557" s="33" t="s">
        <v>513</v>
      </c>
      <c r="C1557" s="33" t="s">
        <v>105</v>
      </c>
      <c r="D1557" s="33" t="s">
        <v>105</v>
      </c>
      <c r="E1557">
        <v>7</v>
      </c>
      <c r="F1557" s="34">
        <v>0.18591435185185184</v>
      </c>
      <c r="G1557" s="34">
        <v>2.6559193121693119E-2</v>
      </c>
      <c r="H1557" s="33" t="s">
        <v>148</v>
      </c>
      <c r="I1557" s="33" t="s">
        <v>104</v>
      </c>
    </row>
    <row r="1558" spans="1:9" x14ac:dyDescent="0.25">
      <c r="A1558" s="32">
        <v>46252</v>
      </c>
      <c r="B1558" s="33" t="s">
        <v>550</v>
      </c>
      <c r="C1558" s="33" t="s">
        <v>32</v>
      </c>
      <c r="D1558" s="33" t="s">
        <v>32</v>
      </c>
      <c r="E1558">
        <v>49</v>
      </c>
      <c r="F1558" s="34">
        <v>0.1761574074074074</v>
      </c>
      <c r="G1558" s="34">
        <v>3.5950491307634165E-3</v>
      </c>
      <c r="H1558" s="33" t="s">
        <v>234</v>
      </c>
      <c r="I1558" s="33" t="s">
        <v>233</v>
      </c>
    </row>
    <row r="1559" spans="1:9" x14ac:dyDescent="0.25">
      <c r="A1559" s="32">
        <v>46252</v>
      </c>
      <c r="B1559" s="33" t="s">
        <v>505</v>
      </c>
      <c r="C1559" s="33" t="s">
        <v>32</v>
      </c>
      <c r="D1559" s="33" t="s">
        <v>32</v>
      </c>
      <c r="E1559">
        <v>33</v>
      </c>
      <c r="F1559" s="34">
        <v>0.11782407407407407</v>
      </c>
      <c r="G1559" s="34">
        <v>3.5704264870931534E-3</v>
      </c>
      <c r="H1559" s="33" t="s">
        <v>34</v>
      </c>
      <c r="I1559" s="33" t="s">
        <v>233</v>
      </c>
    </row>
    <row r="1560" spans="1:9" x14ac:dyDescent="0.25">
      <c r="A1560" s="32">
        <v>46252</v>
      </c>
      <c r="B1560" s="33" t="s">
        <v>569</v>
      </c>
      <c r="C1560" s="33" t="s">
        <v>105</v>
      </c>
      <c r="D1560" s="33" t="s">
        <v>105</v>
      </c>
      <c r="E1560">
        <v>3</v>
      </c>
      <c r="F1560" s="34">
        <v>5.7939814814814812E-2</v>
      </c>
      <c r="G1560" s="34">
        <v>1.931327160493827E-2</v>
      </c>
      <c r="H1560" s="33" t="s">
        <v>493</v>
      </c>
      <c r="I1560" s="33" t="s">
        <v>104</v>
      </c>
    </row>
    <row r="1561" spans="1:9" x14ac:dyDescent="0.25">
      <c r="A1561" s="32">
        <v>46252</v>
      </c>
      <c r="B1561" s="33" t="s">
        <v>569</v>
      </c>
      <c r="C1561" s="33" t="s">
        <v>105</v>
      </c>
      <c r="D1561" s="33" t="s">
        <v>32</v>
      </c>
      <c r="E1561">
        <v>13</v>
      </c>
      <c r="F1561" s="34">
        <v>5.0462962962962966E-2</v>
      </c>
      <c r="G1561" s="34">
        <v>3.881766381766382E-3</v>
      </c>
      <c r="H1561" s="33" t="s">
        <v>493</v>
      </c>
      <c r="I1561" s="33" t="s">
        <v>104</v>
      </c>
    </row>
    <row r="1562" spans="1:9" x14ac:dyDescent="0.25">
      <c r="A1562" s="32">
        <v>46252</v>
      </c>
      <c r="B1562" s="33" t="s">
        <v>631</v>
      </c>
      <c r="C1562" s="33" t="s">
        <v>105</v>
      </c>
      <c r="D1562" s="33" t="s">
        <v>105</v>
      </c>
      <c r="E1562">
        <v>1</v>
      </c>
      <c r="F1562" s="34">
        <v>2.9756944444444444E-2</v>
      </c>
      <c r="G1562" s="34">
        <v>2.9756944444444444E-2</v>
      </c>
      <c r="H1562" s="33" t="s">
        <v>608</v>
      </c>
      <c r="I1562" s="33" t="s">
        <v>601</v>
      </c>
    </row>
    <row r="1563" spans="1:9" x14ac:dyDescent="0.25">
      <c r="A1563" s="32">
        <v>46252</v>
      </c>
      <c r="B1563" s="33" t="s">
        <v>631</v>
      </c>
      <c r="C1563" s="33" t="s">
        <v>105</v>
      </c>
      <c r="D1563" s="33" t="s">
        <v>32</v>
      </c>
      <c r="E1563">
        <v>13</v>
      </c>
      <c r="F1563" s="34">
        <v>8.8379629629629627E-2</v>
      </c>
      <c r="G1563" s="34">
        <v>6.7984330484330479E-3</v>
      </c>
      <c r="H1563" s="33" t="s">
        <v>608</v>
      </c>
      <c r="I1563" s="33" t="s">
        <v>601</v>
      </c>
    </row>
    <row r="1564" spans="1:9" x14ac:dyDescent="0.25">
      <c r="A1564" s="32">
        <v>46252</v>
      </c>
      <c r="B1564" s="33" t="s">
        <v>564</v>
      </c>
      <c r="C1564" s="33" t="s">
        <v>105</v>
      </c>
      <c r="D1564" s="33" t="s">
        <v>105</v>
      </c>
      <c r="E1564">
        <v>2</v>
      </c>
      <c r="F1564" s="34">
        <v>5.9004629629629629E-2</v>
      </c>
      <c r="G1564" s="34">
        <v>2.9502314814814815E-2</v>
      </c>
      <c r="H1564" s="33" t="s">
        <v>197</v>
      </c>
      <c r="I1564" s="33" t="s">
        <v>601</v>
      </c>
    </row>
    <row r="1565" spans="1:9" x14ac:dyDescent="0.25">
      <c r="A1565" s="32">
        <v>46252</v>
      </c>
      <c r="B1565" s="33" t="s">
        <v>564</v>
      </c>
      <c r="C1565" s="33" t="s">
        <v>105</v>
      </c>
      <c r="D1565" s="33" t="s">
        <v>32</v>
      </c>
      <c r="E1565">
        <v>8</v>
      </c>
      <c r="F1565" s="34">
        <v>5.8680555555555555E-2</v>
      </c>
      <c r="G1565" s="34">
        <v>7.3350694444444444E-3</v>
      </c>
      <c r="H1565" s="33" t="s">
        <v>197</v>
      </c>
      <c r="I1565" s="33" t="s">
        <v>601</v>
      </c>
    </row>
    <row r="1566" spans="1:9" x14ac:dyDescent="0.25">
      <c r="A1566" s="32">
        <v>46252</v>
      </c>
      <c r="B1566" s="33" t="s">
        <v>514</v>
      </c>
      <c r="C1566" s="33" t="s">
        <v>147</v>
      </c>
      <c r="D1566" s="33" t="s">
        <v>147</v>
      </c>
      <c r="E1566">
        <v>17</v>
      </c>
      <c r="F1566" s="34">
        <v>2.0289351851851854E-2</v>
      </c>
      <c r="G1566" s="34">
        <v>1.1934912854030502E-3</v>
      </c>
      <c r="H1566" s="33" t="s">
        <v>150</v>
      </c>
      <c r="I1566" s="33" t="s">
        <v>146</v>
      </c>
    </row>
    <row r="1567" spans="1:9" x14ac:dyDescent="0.25">
      <c r="A1567" s="32">
        <v>46252</v>
      </c>
      <c r="B1567" s="33" t="s">
        <v>514</v>
      </c>
      <c r="C1567" s="33" t="s">
        <v>147</v>
      </c>
      <c r="D1567" s="33" t="s">
        <v>32</v>
      </c>
      <c r="E1567">
        <v>18</v>
      </c>
      <c r="F1567" s="34">
        <v>2.5497685185185186E-2</v>
      </c>
      <c r="G1567" s="34">
        <v>1.4165380658436215E-3</v>
      </c>
      <c r="H1567" s="33" t="s">
        <v>150</v>
      </c>
      <c r="I1567" s="33" t="s">
        <v>146</v>
      </c>
    </row>
    <row r="1568" spans="1:9" x14ac:dyDescent="0.25">
      <c r="A1568" s="32">
        <v>46252</v>
      </c>
      <c r="B1568" s="33" t="s">
        <v>515</v>
      </c>
      <c r="C1568" s="33" t="s">
        <v>147</v>
      </c>
      <c r="D1568" s="33" t="s">
        <v>147</v>
      </c>
      <c r="E1568">
        <v>13</v>
      </c>
      <c r="F1568" s="34">
        <v>3.0787037037037036E-2</v>
      </c>
      <c r="G1568" s="34">
        <v>2.3682336182336183E-3</v>
      </c>
      <c r="H1568" s="33" t="s">
        <v>154</v>
      </c>
      <c r="I1568" s="33" t="s">
        <v>146</v>
      </c>
    </row>
    <row r="1569" spans="1:9" x14ac:dyDescent="0.25">
      <c r="A1569" s="32">
        <v>46252</v>
      </c>
      <c r="B1569" s="33" t="s">
        <v>515</v>
      </c>
      <c r="C1569" s="33" t="s">
        <v>147</v>
      </c>
      <c r="D1569" s="33" t="s">
        <v>32</v>
      </c>
      <c r="E1569">
        <v>14</v>
      </c>
      <c r="F1569" s="34">
        <v>3.9155092592592596E-2</v>
      </c>
      <c r="G1569" s="34">
        <v>2.7967923280423283E-3</v>
      </c>
      <c r="H1569" s="33" t="s">
        <v>154</v>
      </c>
      <c r="I1569" s="33" t="s">
        <v>146</v>
      </c>
    </row>
    <row r="1570" spans="1:9" x14ac:dyDescent="0.25">
      <c r="A1570" s="32">
        <v>46252</v>
      </c>
      <c r="B1570" s="33" t="s">
        <v>570</v>
      </c>
      <c r="C1570" s="33" t="s">
        <v>105</v>
      </c>
      <c r="D1570" s="33" t="s">
        <v>105</v>
      </c>
      <c r="E1570">
        <v>6</v>
      </c>
      <c r="F1570" s="34">
        <v>0.1491550925925926</v>
      </c>
      <c r="G1570" s="34">
        <v>2.4859182098765434E-2</v>
      </c>
      <c r="H1570" s="33" t="s">
        <v>112</v>
      </c>
      <c r="I1570" s="33" t="s">
        <v>104</v>
      </c>
    </row>
    <row r="1571" spans="1:9" x14ac:dyDescent="0.25">
      <c r="A1571" s="32">
        <v>46252</v>
      </c>
      <c r="B1571" s="33" t="s">
        <v>537</v>
      </c>
      <c r="C1571" s="33" t="s">
        <v>105</v>
      </c>
      <c r="D1571" s="33" t="s">
        <v>105</v>
      </c>
      <c r="E1571">
        <v>4</v>
      </c>
      <c r="F1571" s="34">
        <v>5.1053240740740739E-2</v>
      </c>
      <c r="G1571" s="34">
        <v>1.2763310185185185E-2</v>
      </c>
      <c r="H1571" s="33" t="s">
        <v>42</v>
      </c>
      <c r="I1571" s="33" t="s">
        <v>104</v>
      </c>
    </row>
    <row r="1572" spans="1:9" x14ac:dyDescent="0.25">
      <c r="A1572" s="32">
        <v>46252</v>
      </c>
      <c r="B1572" s="33" t="s">
        <v>537</v>
      </c>
      <c r="C1572" s="33" t="s">
        <v>105</v>
      </c>
      <c r="D1572" s="33" t="s">
        <v>32</v>
      </c>
      <c r="E1572">
        <v>11</v>
      </c>
      <c r="F1572" s="34">
        <v>4.9942129629629628E-2</v>
      </c>
      <c r="G1572" s="34">
        <v>4.5401936026936021E-3</v>
      </c>
      <c r="H1572" s="33" t="s">
        <v>42</v>
      </c>
      <c r="I1572" s="33" t="s">
        <v>104</v>
      </c>
    </row>
    <row r="1573" spans="1:9" x14ac:dyDescent="0.25">
      <c r="A1573" s="32">
        <v>46252</v>
      </c>
      <c r="B1573" s="33" t="s">
        <v>516</v>
      </c>
      <c r="C1573" s="33" t="s">
        <v>147</v>
      </c>
      <c r="D1573" s="33" t="s">
        <v>147</v>
      </c>
      <c r="E1573">
        <v>16</v>
      </c>
      <c r="F1573" s="34">
        <v>5.6875000000000002E-2</v>
      </c>
      <c r="G1573" s="34">
        <v>3.5546875000000001E-3</v>
      </c>
      <c r="H1573" s="33" t="s">
        <v>156</v>
      </c>
      <c r="I1573" s="33" t="s">
        <v>146</v>
      </c>
    </row>
    <row r="1574" spans="1:9" x14ac:dyDescent="0.25">
      <c r="A1574" s="32">
        <v>46252</v>
      </c>
      <c r="B1574" s="33" t="s">
        <v>516</v>
      </c>
      <c r="C1574" s="33" t="s">
        <v>147</v>
      </c>
      <c r="D1574" s="33" t="s">
        <v>32</v>
      </c>
      <c r="E1574">
        <v>10</v>
      </c>
      <c r="F1574" s="34">
        <v>1.7152777777777777E-2</v>
      </c>
      <c r="G1574" s="34">
        <v>1.7152777777777778E-3</v>
      </c>
      <c r="H1574" s="33" t="s">
        <v>156</v>
      </c>
      <c r="I1574" s="33" t="s">
        <v>146</v>
      </c>
    </row>
    <row r="1575" spans="1:9" x14ac:dyDescent="0.25">
      <c r="A1575" s="32">
        <v>46252</v>
      </c>
      <c r="B1575" s="33" t="s">
        <v>541</v>
      </c>
      <c r="C1575" s="33" t="s">
        <v>105</v>
      </c>
      <c r="D1575" s="33" t="s">
        <v>105</v>
      </c>
      <c r="E1575">
        <v>5</v>
      </c>
      <c r="F1575" s="34">
        <v>0.13328703703703704</v>
      </c>
      <c r="G1575" s="34">
        <v>2.6657407407407407E-2</v>
      </c>
      <c r="H1575" s="33" t="s">
        <v>114</v>
      </c>
      <c r="I1575" s="33" t="s">
        <v>104</v>
      </c>
    </row>
    <row r="1576" spans="1:9" x14ac:dyDescent="0.25">
      <c r="A1576" s="32">
        <v>46252</v>
      </c>
      <c r="B1576" s="33" t="s">
        <v>541</v>
      </c>
      <c r="C1576" s="33" t="s">
        <v>105</v>
      </c>
      <c r="D1576" s="33" t="s">
        <v>32</v>
      </c>
      <c r="E1576">
        <v>4</v>
      </c>
      <c r="F1576" s="34">
        <v>2.613425925925926E-2</v>
      </c>
      <c r="G1576" s="34">
        <v>6.533564814814815E-3</v>
      </c>
      <c r="H1576" s="33" t="s">
        <v>114</v>
      </c>
      <c r="I1576" s="33" t="s">
        <v>104</v>
      </c>
    </row>
    <row r="1577" spans="1:9" x14ac:dyDescent="0.25">
      <c r="A1577" s="32">
        <v>46252</v>
      </c>
      <c r="B1577" s="33" t="s">
        <v>506</v>
      </c>
      <c r="C1577" s="33" t="s">
        <v>32</v>
      </c>
      <c r="D1577" s="33" t="s">
        <v>32</v>
      </c>
      <c r="E1577">
        <v>34</v>
      </c>
      <c r="F1577" s="34">
        <v>0.16697916666666668</v>
      </c>
      <c r="G1577" s="34">
        <v>4.911151960784314E-3</v>
      </c>
      <c r="H1577" s="33" t="s">
        <v>44</v>
      </c>
      <c r="I1577" s="33" t="s">
        <v>100</v>
      </c>
    </row>
    <row r="1578" spans="1:9" x14ac:dyDescent="0.25">
      <c r="A1578" s="32">
        <v>46252</v>
      </c>
      <c r="B1578" s="33" t="s">
        <v>632</v>
      </c>
      <c r="C1578" s="33" t="s">
        <v>105</v>
      </c>
      <c r="D1578" s="33" t="s">
        <v>105</v>
      </c>
      <c r="E1578">
        <v>6</v>
      </c>
      <c r="F1578" s="34">
        <v>0.13267361111111112</v>
      </c>
      <c r="G1578" s="34">
        <v>2.2112268518518521E-2</v>
      </c>
      <c r="H1578" s="33" t="s">
        <v>609</v>
      </c>
      <c r="I1578" s="33" t="s">
        <v>601</v>
      </c>
    </row>
    <row r="1579" spans="1:9" x14ac:dyDescent="0.25">
      <c r="A1579" s="32">
        <v>46252</v>
      </c>
      <c r="B1579" s="33" t="s">
        <v>310</v>
      </c>
      <c r="C1579" s="33" t="s">
        <v>80</v>
      </c>
      <c r="D1579" s="33" t="s">
        <v>32</v>
      </c>
      <c r="E1579">
        <v>1</v>
      </c>
      <c r="F1579" s="34">
        <v>8.8888888888888889E-3</v>
      </c>
      <c r="G1579" s="34">
        <v>8.8888888888888889E-3</v>
      </c>
      <c r="H1579" s="33" t="s">
        <v>309</v>
      </c>
      <c r="I1579" s="33" t="s">
        <v>78</v>
      </c>
    </row>
    <row r="1580" spans="1:9" x14ac:dyDescent="0.25">
      <c r="A1580" s="32">
        <v>46252</v>
      </c>
      <c r="B1580" s="33" t="s">
        <v>646</v>
      </c>
      <c r="C1580" s="33" t="s">
        <v>32</v>
      </c>
      <c r="D1580" s="33" t="s">
        <v>32</v>
      </c>
      <c r="E1580">
        <v>37</v>
      </c>
      <c r="F1580" s="34">
        <v>0.20971064814814816</v>
      </c>
      <c r="G1580" s="34">
        <v>5.6678553553553557E-3</v>
      </c>
      <c r="H1580" s="33" t="s">
        <v>645</v>
      </c>
      <c r="I1580" s="33" t="s">
        <v>100</v>
      </c>
    </row>
    <row r="1581" spans="1:9" x14ac:dyDescent="0.25">
      <c r="A1581" s="32">
        <v>46252</v>
      </c>
      <c r="B1581" s="33" t="s">
        <v>544</v>
      </c>
      <c r="C1581" s="33" t="s">
        <v>147</v>
      </c>
      <c r="D1581" s="33" t="s">
        <v>147</v>
      </c>
      <c r="E1581">
        <v>13</v>
      </c>
      <c r="F1581" s="34">
        <v>6.4780092592592597E-2</v>
      </c>
      <c r="G1581" s="34">
        <v>4.9830840455840457E-3</v>
      </c>
      <c r="H1581" s="33" t="s">
        <v>160</v>
      </c>
      <c r="I1581" s="33" t="s">
        <v>146</v>
      </c>
    </row>
    <row r="1582" spans="1:9" x14ac:dyDescent="0.25">
      <c r="A1582" s="32">
        <v>46252</v>
      </c>
      <c r="B1582" s="33" t="s">
        <v>544</v>
      </c>
      <c r="C1582" s="33" t="s">
        <v>147</v>
      </c>
      <c r="D1582" s="33" t="s">
        <v>32</v>
      </c>
      <c r="E1582">
        <v>13</v>
      </c>
      <c r="F1582" s="34">
        <v>3.4965277777777776E-2</v>
      </c>
      <c r="G1582" s="34">
        <v>2.6896367521367518E-3</v>
      </c>
      <c r="H1582" s="33" t="s">
        <v>160</v>
      </c>
      <c r="I1582" s="33" t="s">
        <v>146</v>
      </c>
    </row>
    <row r="1583" spans="1:9" x14ac:dyDescent="0.25">
      <c r="A1583" s="32">
        <v>46252</v>
      </c>
      <c r="B1583" s="33" t="s">
        <v>558</v>
      </c>
      <c r="C1583" s="33" t="s">
        <v>32</v>
      </c>
      <c r="D1583" s="33" t="s">
        <v>32</v>
      </c>
      <c r="E1583">
        <v>35</v>
      </c>
      <c r="F1583" s="34">
        <v>9.5439814814814811E-2</v>
      </c>
      <c r="G1583" s="34">
        <v>2.7268518518518518E-3</v>
      </c>
      <c r="H1583" s="33" t="s">
        <v>120</v>
      </c>
      <c r="I1583" s="33" t="s">
        <v>233</v>
      </c>
    </row>
    <row r="1584" spans="1:9" x14ac:dyDescent="0.25">
      <c r="A1584" s="32">
        <v>46252</v>
      </c>
      <c r="B1584" s="33" t="s">
        <v>507</v>
      </c>
      <c r="C1584" s="33" t="s">
        <v>32</v>
      </c>
      <c r="D1584" s="33" t="s">
        <v>32</v>
      </c>
      <c r="E1584">
        <v>40</v>
      </c>
      <c r="F1584" s="34">
        <v>0.16945601851851852</v>
      </c>
      <c r="G1584" s="34">
        <v>4.2364004629629626E-3</v>
      </c>
      <c r="H1584" s="33" t="s">
        <v>46</v>
      </c>
      <c r="I1584" s="33" t="s">
        <v>100</v>
      </c>
    </row>
    <row r="1585" spans="1:9" x14ac:dyDescent="0.25">
      <c r="A1585" s="32">
        <v>46252</v>
      </c>
      <c r="B1585" s="33" t="s">
        <v>542</v>
      </c>
      <c r="C1585" s="33" t="s">
        <v>105</v>
      </c>
      <c r="D1585" s="33" t="s">
        <v>105</v>
      </c>
      <c r="E1585">
        <v>6</v>
      </c>
      <c r="F1585" s="34">
        <v>0.12590277777777778</v>
      </c>
      <c r="G1585" s="34">
        <v>2.0983796296296296E-2</v>
      </c>
      <c r="H1585" s="33" t="s">
        <v>287</v>
      </c>
      <c r="I1585" s="33" t="s">
        <v>104</v>
      </c>
    </row>
    <row r="1586" spans="1:9" x14ac:dyDescent="0.25">
      <c r="A1586" s="32">
        <v>46252</v>
      </c>
      <c r="B1586" s="33" t="s">
        <v>517</v>
      </c>
      <c r="C1586" s="33" t="s">
        <v>147</v>
      </c>
      <c r="D1586" s="33" t="s">
        <v>147</v>
      </c>
      <c r="E1586">
        <v>6</v>
      </c>
      <c r="F1586" s="34">
        <v>5.016203703703704E-2</v>
      </c>
      <c r="G1586" s="34">
        <v>8.3603395061728394E-3</v>
      </c>
      <c r="H1586" s="33" t="s">
        <v>499</v>
      </c>
      <c r="I1586" s="33" t="s">
        <v>146</v>
      </c>
    </row>
    <row r="1587" spans="1:9" x14ac:dyDescent="0.25">
      <c r="A1587" s="32">
        <v>46252</v>
      </c>
      <c r="B1587" s="33" t="s">
        <v>517</v>
      </c>
      <c r="C1587" s="33" t="s">
        <v>147</v>
      </c>
      <c r="D1587" s="33" t="s">
        <v>32</v>
      </c>
      <c r="E1587">
        <v>5</v>
      </c>
      <c r="F1587" s="34">
        <v>2.4745370370370369E-2</v>
      </c>
      <c r="G1587" s="34">
        <v>4.9490740740740736E-3</v>
      </c>
      <c r="H1587" s="33" t="s">
        <v>499</v>
      </c>
      <c r="I1587" s="33" t="s">
        <v>146</v>
      </c>
    </row>
    <row r="1588" spans="1:9" x14ac:dyDescent="0.25">
      <c r="A1588" s="32">
        <v>46252</v>
      </c>
      <c r="B1588" s="33" t="s">
        <v>648</v>
      </c>
      <c r="C1588" s="33" t="s">
        <v>32</v>
      </c>
      <c r="D1588" s="33" t="s">
        <v>32</v>
      </c>
      <c r="E1588">
        <v>36</v>
      </c>
      <c r="F1588" s="34">
        <v>0.10160879629629629</v>
      </c>
      <c r="G1588" s="34">
        <v>2.8224665637860084E-3</v>
      </c>
      <c r="H1588" s="33" t="s">
        <v>647</v>
      </c>
      <c r="I1588" s="33" t="s">
        <v>233</v>
      </c>
    </row>
    <row r="1589" spans="1:9" x14ac:dyDescent="0.25">
      <c r="A1589" s="32">
        <v>46252</v>
      </c>
      <c r="B1589" s="33" t="s">
        <v>650</v>
      </c>
      <c r="C1589" s="33" t="s">
        <v>105</v>
      </c>
      <c r="D1589" s="33" t="s">
        <v>105</v>
      </c>
      <c r="E1589">
        <v>6</v>
      </c>
      <c r="F1589" s="34">
        <v>0.11421296296296296</v>
      </c>
      <c r="G1589" s="34">
        <v>1.9035493827160493E-2</v>
      </c>
      <c r="H1589" s="33" t="s">
        <v>649</v>
      </c>
      <c r="I1589" s="33" t="s">
        <v>104</v>
      </c>
    </row>
    <row r="1590" spans="1:9" x14ac:dyDescent="0.25">
      <c r="A1590" s="32">
        <v>46252</v>
      </c>
      <c r="B1590" s="33" t="s">
        <v>650</v>
      </c>
      <c r="C1590" s="33" t="s">
        <v>105</v>
      </c>
      <c r="D1590" s="33" t="s">
        <v>32</v>
      </c>
      <c r="E1590">
        <v>2</v>
      </c>
      <c r="F1590" s="34">
        <v>4.1423611111111112E-2</v>
      </c>
      <c r="G1590" s="34">
        <v>2.0711805555555556E-2</v>
      </c>
      <c r="H1590" s="33" t="s">
        <v>649</v>
      </c>
      <c r="I1590" s="33" t="s">
        <v>104</v>
      </c>
    </row>
    <row r="1591" spans="1:9" x14ac:dyDescent="0.25">
      <c r="A1591" s="32">
        <v>46252</v>
      </c>
      <c r="B1591" s="33" t="s">
        <v>568</v>
      </c>
      <c r="C1591" s="33" t="s">
        <v>32</v>
      </c>
      <c r="D1591" s="33" t="s">
        <v>32</v>
      </c>
      <c r="E1591">
        <v>36</v>
      </c>
      <c r="F1591" s="34">
        <v>0.1220949074074074</v>
      </c>
      <c r="G1591" s="34">
        <v>3.3915252057613167E-3</v>
      </c>
      <c r="H1591" s="33" t="s">
        <v>246</v>
      </c>
      <c r="I1591" s="33" t="s">
        <v>233</v>
      </c>
    </row>
    <row r="1592" spans="1:9" x14ac:dyDescent="0.25">
      <c r="A1592" s="32">
        <v>46252</v>
      </c>
      <c r="B1592" s="33" t="s">
        <v>508</v>
      </c>
      <c r="C1592" s="33" t="s">
        <v>32</v>
      </c>
      <c r="D1592" s="33" t="s">
        <v>32</v>
      </c>
      <c r="E1592">
        <v>38</v>
      </c>
      <c r="F1592" s="34">
        <v>0.14937500000000001</v>
      </c>
      <c r="G1592" s="34">
        <v>3.9309210526315792E-3</v>
      </c>
      <c r="H1592" s="33" t="s">
        <v>48</v>
      </c>
      <c r="I1592" s="33" t="s">
        <v>100</v>
      </c>
    </row>
    <row r="1593" spans="1:9" x14ac:dyDescent="0.25">
      <c r="A1593" s="32">
        <v>46252</v>
      </c>
      <c r="B1593" s="33" t="s">
        <v>538</v>
      </c>
      <c r="C1593" s="33" t="s">
        <v>32</v>
      </c>
      <c r="D1593" s="33" t="s">
        <v>32</v>
      </c>
      <c r="E1593">
        <v>2</v>
      </c>
      <c r="F1593" s="34">
        <v>5.2199074074074075E-3</v>
      </c>
      <c r="G1593" s="34">
        <v>2.6099537037037037E-3</v>
      </c>
      <c r="H1593" s="33" t="s">
        <v>50</v>
      </c>
      <c r="I1593" s="33" t="s">
        <v>100</v>
      </c>
    </row>
    <row r="1594" spans="1:9" x14ac:dyDescent="0.25">
      <c r="A1594" s="32">
        <v>46252</v>
      </c>
      <c r="B1594" s="33" t="s">
        <v>603</v>
      </c>
      <c r="C1594" s="33" t="s">
        <v>32</v>
      </c>
      <c r="D1594" s="33" t="s">
        <v>32</v>
      </c>
      <c r="E1594">
        <v>17</v>
      </c>
      <c r="F1594" s="34">
        <v>0.14156250000000001</v>
      </c>
      <c r="G1594" s="34">
        <v>8.3272058823529414E-3</v>
      </c>
      <c r="H1594" s="33" t="s">
        <v>242</v>
      </c>
      <c r="I1594" s="33" t="s">
        <v>233</v>
      </c>
    </row>
    <row r="1595" spans="1:9" x14ac:dyDescent="0.25">
      <c r="A1595" s="32">
        <v>46252</v>
      </c>
      <c r="B1595" s="33" t="s">
        <v>559</v>
      </c>
      <c r="C1595" s="33" t="s">
        <v>105</v>
      </c>
      <c r="D1595" s="33" t="s">
        <v>105</v>
      </c>
      <c r="E1595">
        <v>5</v>
      </c>
      <c r="F1595" s="34">
        <v>8.082175925925926E-2</v>
      </c>
      <c r="G1595" s="34">
        <v>1.6164351851851853E-2</v>
      </c>
      <c r="H1595" s="33" t="s">
        <v>289</v>
      </c>
      <c r="I1595" s="33" t="s">
        <v>104</v>
      </c>
    </row>
    <row r="1596" spans="1:9" x14ac:dyDescent="0.25">
      <c r="A1596" s="32">
        <v>46252</v>
      </c>
      <c r="B1596" s="33" t="s">
        <v>559</v>
      </c>
      <c r="C1596" s="33" t="s">
        <v>105</v>
      </c>
      <c r="D1596" s="33" t="s">
        <v>32</v>
      </c>
      <c r="E1596">
        <v>14</v>
      </c>
      <c r="F1596" s="34">
        <v>6.7430555555555549E-2</v>
      </c>
      <c r="G1596" s="34">
        <v>4.8164682539682535E-3</v>
      </c>
      <c r="H1596" s="33" t="s">
        <v>289</v>
      </c>
      <c r="I1596" s="33" t="s">
        <v>104</v>
      </c>
    </row>
    <row r="1597" spans="1:9" x14ac:dyDescent="0.25">
      <c r="A1597" s="32">
        <v>46252</v>
      </c>
      <c r="B1597" s="33" t="s">
        <v>553</v>
      </c>
      <c r="C1597" s="33" t="s">
        <v>80</v>
      </c>
      <c r="D1597" s="33" t="s">
        <v>32</v>
      </c>
      <c r="E1597">
        <v>1</v>
      </c>
      <c r="F1597" s="34">
        <v>6.627314814814815E-2</v>
      </c>
      <c r="G1597" s="34">
        <v>6.627314814814815E-2</v>
      </c>
      <c r="H1597" s="33" t="s">
        <v>252</v>
      </c>
      <c r="I1597" s="33" t="s">
        <v>78</v>
      </c>
    </row>
    <row r="1598" spans="1:9" x14ac:dyDescent="0.25">
      <c r="A1598" s="32">
        <v>46252</v>
      </c>
      <c r="B1598" s="33" t="s">
        <v>518</v>
      </c>
      <c r="C1598" s="33" t="s">
        <v>147</v>
      </c>
      <c r="D1598" s="33" t="s">
        <v>147</v>
      </c>
      <c r="E1598">
        <v>13</v>
      </c>
      <c r="F1598" s="34">
        <v>5.7916666666666665E-2</v>
      </c>
      <c r="G1598" s="34">
        <v>4.4551282051282053E-3</v>
      </c>
      <c r="H1598" s="33" t="s">
        <v>500</v>
      </c>
      <c r="I1598" s="33" t="s">
        <v>274</v>
      </c>
    </row>
    <row r="1599" spans="1:9" x14ac:dyDescent="0.25">
      <c r="A1599" s="32">
        <v>46252</v>
      </c>
      <c r="B1599" s="33" t="s">
        <v>518</v>
      </c>
      <c r="C1599" s="33" t="s">
        <v>147</v>
      </c>
      <c r="D1599" s="33" t="s">
        <v>32</v>
      </c>
      <c r="E1599">
        <v>10</v>
      </c>
      <c r="F1599" s="34">
        <v>3.9212962962962963E-2</v>
      </c>
      <c r="G1599" s="34">
        <v>3.921296296296296E-3</v>
      </c>
      <c r="H1599" s="33" t="s">
        <v>500</v>
      </c>
      <c r="I1599" s="33" t="s">
        <v>274</v>
      </c>
    </row>
    <row r="1600" spans="1:9" x14ac:dyDescent="0.25">
      <c r="A1600" s="32">
        <v>46252</v>
      </c>
      <c r="B1600" s="33" t="s">
        <v>654</v>
      </c>
      <c r="C1600" s="33" t="s">
        <v>32</v>
      </c>
      <c r="D1600" s="33" t="s">
        <v>32</v>
      </c>
      <c r="E1600">
        <v>31</v>
      </c>
      <c r="F1600" s="34">
        <v>0.19832175925925927</v>
      </c>
      <c r="G1600" s="34">
        <v>6.3974761051373953E-3</v>
      </c>
      <c r="H1600" s="33" t="s">
        <v>653</v>
      </c>
      <c r="I1600" s="33" t="s">
        <v>100</v>
      </c>
    </row>
    <row r="1601" spans="1:9" x14ac:dyDescent="0.25">
      <c r="A1601" s="32">
        <v>46252</v>
      </c>
      <c r="B1601" s="33" t="s">
        <v>509</v>
      </c>
      <c r="C1601" s="33" t="s">
        <v>32</v>
      </c>
      <c r="D1601" s="33" t="s">
        <v>32</v>
      </c>
      <c r="E1601">
        <v>2</v>
      </c>
      <c r="F1601" s="34">
        <v>8.2754629629629636E-3</v>
      </c>
      <c r="G1601" s="34">
        <v>4.1377314814814818E-3</v>
      </c>
      <c r="H1601" s="33" t="s">
        <v>52</v>
      </c>
      <c r="I1601" s="33" t="s">
        <v>100</v>
      </c>
    </row>
    <row r="1602" spans="1:9" x14ac:dyDescent="0.25">
      <c r="A1602" s="32">
        <v>46252</v>
      </c>
      <c r="B1602" s="33" t="s">
        <v>519</v>
      </c>
      <c r="C1602" s="33" t="s">
        <v>147</v>
      </c>
      <c r="D1602" s="33" t="s">
        <v>147</v>
      </c>
      <c r="E1602">
        <v>18</v>
      </c>
      <c r="F1602" s="34">
        <v>7.4004629629629629E-2</v>
      </c>
      <c r="G1602" s="34">
        <v>4.1113683127572019E-3</v>
      </c>
      <c r="H1602" s="33" t="s">
        <v>164</v>
      </c>
      <c r="I1602" s="33" t="s">
        <v>146</v>
      </c>
    </row>
    <row r="1603" spans="1:9" x14ac:dyDescent="0.25">
      <c r="A1603" s="32">
        <v>46252</v>
      </c>
      <c r="B1603" s="33" t="s">
        <v>519</v>
      </c>
      <c r="C1603" s="33" t="s">
        <v>147</v>
      </c>
      <c r="D1603" s="33" t="s">
        <v>32</v>
      </c>
      <c r="E1603">
        <v>13</v>
      </c>
      <c r="F1603" s="34">
        <v>2.9548611111111112E-2</v>
      </c>
      <c r="G1603" s="34">
        <v>2.2729700854700855E-3</v>
      </c>
      <c r="H1603" s="33" t="s">
        <v>164</v>
      </c>
      <c r="I1603" s="33" t="s">
        <v>146</v>
      </c>
    </row>
    <row r="1604" spans="1:9" x14ac:dyDescent="0.25">
      <c r="A1604" s="32">
        <v>46252</v>
      </c>
      <c r="B1604" s="33" t="s">
        <v>656</v>
      </c>
      <c r="C1604" s="33" t="s">
        <v>32</v>
      </c>
      <c r="D1604" s="33" t="s">
        <v>32</v>
      </c>
      <c r="E1604">
        <v>21</v>
      </c>
      <c r="F1604" s="34">
        <v>0.15135416666666668</v>
      </c>
      <c r="G1604" s="34">
        <v>7.2073412698412708E-3</v>
      </c>
      <c r="H1604" s="33" t="s">
        <v>655</v>
      </c>
      <c r="I1604" s="33" t="s">
        <v>100</v>
      </c>
    </row>
    <row r="1605" spans="1:9" x14ac:dyDescent="0.25">
      <c r="A1605" s="32">
        <v>46252</v>
      </c>
      <c r="B1605" s="33" t="s">
        <v>167</v>
      </c>
      <c r="C1605" s="33" t="s">
        <v>147</v>
      </c>
      <c r="D1605" s="33" t="s">
        <v>147</v>
      </c>
      <c r="E1605">
        <v>18</v>
      </c>
      <c r="F1605" s="34">
        <v>5.5312500000000001E-2</v>
      </c>
      <c r="G1605" s="34">
        <v>3.0729166666666665E-3</v>
      </c>
      <c r="H1605" s="33" t="s">
        <v>166</v>
      </c>
      <c r="I1605" s="33" t="s">
        <v>146</v>
      </c>
    </row>
    <row r="1606" spans="1:9" x14ac:dyDescent="0.25">
      <c r="A1606" s="32">
        <v>46252</v>
      </c>
      <c r="B1606" s="33" t="s">
        <v>167</v>
      </c>
      <c r="C1606" s="33" t="s">
        <v>147</v>
      </c>
      <c r="D1606" s="33" t="s">
        <v>32</v>
      </c>
      <c r="E1606">
        <v>10</v>
      </c>
      <c r="F1606" s="34">
        <v>1.7349537037037038E-2</v>
      </c>
      <c r="G1606" s="34">
        <v>1.7349537037037038E-3</v>
      </c>
      <c r="H1606" s="33" t="s">
        <v>166</v>
      </c>
      <c r="I1606" s="33" t="s">
        <v>146</v>
      </c>
    </row>
    <row r="1607" spans="1:9" x14ac:dyDescent="0.25">
      <c r="A1607" s="32">
        <v>46252</v>
      </c>
      <c r="B1607" s="33" t="s">
        <v>658</v>
      </c>
      <c r="C1607" s="33" t="s">
        <v>147</v>
      </c>
      <c r="D1607" s="33" t="s">
        <v>147</v>
      </c>
      <c r="E1607">
        <v>20</v>
      </c>
      <c r="F1607" s="34">
        <v>5.5520833333333332E-2</v>
      </c>
      <c r="G1607" s="34">
        <v>2.7760416666666667E-3</v>
      </c>
      <c r="H1607" s="33" t="s">
        <v>657</v>
      </c>
      <c r="I1607" s="33" t="s">
        <v>274</v>
      </c>
    </row>
    <row r="1608" spans="1:9" x14ac:dyDescent="0.25">
      <c r="A1608" s="32">
        <v>46252</v>
      </c>
      <c r="B1608" s="33" t="s">
        <v>658</v>
      </c>
      <c r="C1608" s="33" t="s">
        <v>147</v>
      </c>
      <c r="D1608" s="33" t="s">
        <v>32</v>
      </c>
      <c r="E1608">
        <v>4</v>
      </c>
      <c r="F1608" s="34">
        <v>1.3564814814814814E-2</v>
      </c>
      <c r="G1608" s="34">
        <v>3.3912037037037036E-3</v>
      </c>
      <c r="H1608" s="33" t="s">
        <v>657</v>
      </c>
      <c r="I1608" s="33" t="s">
        <v>274</v>
      </c>
    </row>
    <row r="1609" spans="1:9" x14ac:dyDescent="0.25">
      <c r="A1609" s="32">
        <v>46252</v>
      </c>
      <c r="B1609" s="33" t="s">
        <v>660</v>
      </c>
      <c r="C1609" s="33" t="s">
        <v>32</v>
      </c>
      <c r="D1609" s="33" t="s">
        <v>32</v>
      </c>
      <c r="E1609">
        <v>11</v>
      </c>
      <c r="F1609" s="34">
        <v>4.4560185185185182E-2</v>
      </c>
      <c r="G1609" s="34">
        <v>4.0509259259259257E-3</v>
      </c>
      <c r="H1609" s="33" t="s">
        <v>659</v>
      </c>
      <c r="I1609" s="33" t="s">
        <v>100</v>
      </c>
    </row>
    <row r="1610" spans="1:9" x14ac:dyDescent="0.25">
      <c r="A1610" s="32">
        <v>46252</v>
      </c>
      <c r="B1610" s="33" t="s">
        <v>528</v>
      </c>
      <c r="C1610" s="33" t="s">
        <v>32</v>
      </c>
      <c r="D1610" s="33" t="s">
        <v>32</v>
      </c>
      <c r="E1610">
        <v>22</v>
      </c>
      <c r="F1610" s="34">
        <v>0.10141203703703704</v>
      </c>
      <c r="G1610" s="34">
        <v>4.609638047138047E-3</v>
      </c>
      <c r="H1610" s="33" t="s">
        <v>254</v>
      </c>
      <c r="I1610" s="33" t="s">
        <v>233</v>
      </c>
    </row>
    <row r="1611" spans="1:9" x14ac:dyDescent="0.25">
      <c r="A1611" s="32">
        <v>46252</v>
      </c>
      <c r="B1611" s="33" t="s">
        <v>545</v>
      </c>
      <c r="C1611" s="33" t="s">
        <v>600</v>
      </c>
      <c r="D1611" s="33" t="s">
        <v>600</v>
      </c>
      <c r="E1611">
        <v>25</v>
      </c>
      <c r="F1611" s="34">
        <v>9.4664351851851847E-2</v>
      </c>
      <c r="G1611" s="34">
        <v>3.7865740740740737E-3</v>
      </c>
      <c r="H1611" s="33" t="s">
        <v>201</v>
      </c>
      <c r="I1611" s="33" t="s">
        <v>601</v>
      </c>
    </row>
    <row r="1612" spans="1:9" x14ac:dyDescent="0.25">
      <c r="A1612" s="32">
        <v>46252</v>
      </c>
      <c r="B1612" s="33" t="s">
        <v>520</v>
      </c>
      <c r="C1612" s="33" t="s">
        <v>147</v>
      </c>
      <c r="D1612" s="33" t="s">
        <v>147</v>
      </c>
      <c r="E1612">
        <v>15</v>
      </c>
      <c r="F1612" s="34">
        <v>5.5775462962962964E-2</v>
      </c>
      <c r="G1612" s="34">
        <v>3.7183641975308641E-3</v>
      </c>
      <c r="H1612" s="33" t="s">
        <v>168</v>
      </c>
      <c r="I1612" s="33" t="s">
        <v>274</v>
      </c>
    </row>
    <row r="1613" spans="1:9" x14ac:dyDescent="0.25">
      <c r="A1613" s="32">
        <v>46252</v>
      </c>
      <c r="B1613" s="33" t="s">
        <v>520</v>
      </c>
      <c r="C1613" s="33" t="s">
        <v>147</v>
      </c>
      <c r="D1613" s="33" t="s">
        <v>32</v>
      </c>
      <c r="E1613">
        <v>5</v>
      </c>
      <c r="F1613" s="34">
        <v>1.7106481481481483E-2</v>
      </c>
      <c r="G1613" s="34">
        <v>3.4212962962962964E-3</v>
      </c>
      <c r="H1613" s="33" t="s">
        <v>168</v>
      </c>
      <c r="I1613" s="33" t="s">
        <v>274</v>
      </c>
    </row>
    <row r="1614" spans="1:9" x14ac:dyDescent="0.25">
      <c r="A1614" s="32">
        <v>46252</v>
      </c>
      <c r="B1614" s="33" t="s">
        <v>521</v>
      </c>
      <c r="C1614" s="33" t="s">
        <v>147</v>
      </c>
      <c r="D1614" s="33" t="s">
        <v>147</v>
      </c>
      <c r="E1614">
        <v>8</v>
      </c>
      <c r="F1614" s="34">
        <v>7.2418981481481487E-2</v>
      </c>
      <c r="G1614" s="34">
        <v>9.0523726851851859E-3</v>
      </c>
      <c r="H1614" s="33" t="s">
        <v>170</v>
      </c>
      <c r="I1614" s="33" t="s">
        <v>146</v>
      </c>
    </row>
    <row r="1615" spans="1:9" x14ac:dyDescent="0.25">
      <c r="A1615" s="32">
        <v>46252</v>
      </c>
      <c r="B1615" s="33" t="s">
        <v>521</v>
      </c>
      <c r="C1615" s="33" t="s">
        <v>147</v>
      </c>
      <c r="D1615" s="33" t="s">
        <v>32</v>
      </c>
      <c r="E1615">
        <v>12</v>
      </c>
      <c r="F1615" s="34">
        <v>3.7534722222222219E-2</v>
      </c>
      <c r="G1615" s="34">
        <v>3.1278935185185181E-3</v>
      </c>
      <c r="H1615" s="33" t="s">
        <v>170</v>
      </c>
      <c r="I1615" s="33" t="s">
        <v>146</v>
      </c>
    </row>
    <row r="1616" spans="1:9" x14ac:dyDescent="0.25">
      <c r="A1616" s="32">
        <v>46252</v>
      </c>
      <c r="B1616" s="33" t="s">
        <v>543</v>
      </c>
      <c r="C1616" s="33" t="s">
        <v>600</v>
      </c>
      <c r="D1616" s="33" t="s">
        <v>600</v>
      </c>
      <c r="E1616">
        <v>33</v>
      </c>
      <c r="F1616" s="34">
        <v>0.10811342592592593</v>
      </c>
      <c r="G1616" s="34">
        <v>3.2761644219977556E-3</v>
      </c>
      <c r="H1616" s="33" t="s">
        <v>293</v>
      </c>
      <c r="I1616" s="33" t="s">
        <v>104</v>
      </c>
    </row>
    <row r="1617" spans="1:9" x14ac:dyDescent="0.25">
      <c r="A1617" s="32">
        <v>46252</v>
      </c>
      <c r="B1617" s="33" t="s">
        <v>633</v>
      </c>
      <c r="C1617" s="33" t="s">
        <v>147</v>
      </c>
      <c r="D1617" s="33" t="s">
        <v>147</v>
      </c>
      <c r="E1617">
        <v>8</v>
      </c>
      <c r="F1617" s="34">
        <v>6.2916666666666662E-2</v>
      </c>
      <c r="G1617" s="34">
        <v>7.8645833333333328E-3</v>
      </c>
      <c r="H1617" s="33" t="s">
        <v>606</v>
      </c>
      <c r="I1617" s="33" t="s">
        <v>146</v>
      </c>
    </row>
    <row r="1618" spans="1:9" x14ac:dyDescent="0.25">
      <c r="A1618" s="32">
        <v>46252</v>
      </c>
      <c r="B1618" s="33" t="s">
        <v>633</v>
      </c>
      <c r="C1618" s="33" t="s">
        <v>147</v>
      </c>
      <c r="D1618" s="33" t="s">
        <v>32</v>
      </c>
      <c r="E1618">
        <v>5</v>
      </c>
      <c r="F1618" s="34">
        <v>2.3784722222222221E-2</v>
      </c>
      <c r="G1618" s="34">
        <v>4.7569444444444439E-3</v>
      </c>
      <c r="H1618" s="33" t="s">
        <v>606</v>
      </c>
      <c r="I1618" s="33" t="s">
        <v>146</v>
      </c>
    </row>
    <row r="1619" spans="1:9" x14ac:dyDescent="0.25">
      <c r="A1619" s="32">
        <v>46252</v>
      </c>
      <c r="B1619" s="33" t="s">
        <v>634</v>
      </c>
      <c r="C1619" s="33" t="s">
        <v>105</v>
      </c>
      <c r="D1619" s="33" t="s">
        <v>105</v>
      </c>
      <c r="E1619">
        <v>4</v>
      </c>
      <c r="F1619" s="34">
        <v>9.3657407407407411E-2</v>
      </c>
      <c r="G1619" s="34">
        <v>2.3414351851851853E-2</v>
      </c>
      <c r="H1619" s="33" t="s">
        <v>612</v>
      </c>
      <c r="I1619" s="33" t="s">
        <v>601</v>
      </c>
    </row>
    <row r="1620" spans="1:9" x14ac:dyDescent="0.25">
      <c r="A1620" s="32">
        <v>46252</v>
      </c>
      <c r="B1620" s="33" t="s">
        <v>634</v>
      </c>
      <c r="C1620" s="33" t="s">
        <v>105</v>
      </c>
      <c r="D1620" s="33" t="s">
        <v>32</v>
      </c>
      <c r="E1620">
        <v>1</v>
      </c>
      <c r="F1620" s="34">
        <v>6.7129629629629625E-4</v>
      </c>
      <c r="G1620" s="34">
        <v>6.7129629629629625E-4</v>
      </c>
      <c r="H1620" s="33" t="s">
        <v>612</v>
      </c>
      <c r="I1620" s="33" t="s">
        <v>601</v>
      </c>
    </row>
    <row r="1621" spans="1:9" x14ac:dyDescent="0.25">
      <c r="A1621" s="32">
        <v>46252</v>
      </c>
      <c r="B1621" s="33" t="s">
        <v>529</v>
      </c>
      <c r="C1621" s="33" t="s">
        <v>32</v>
      </c>
      <c r="D1621" s="33" t="s">
        <v>32</v>
      </c>
      <c r="E1621">
        <v>18</v>
      </c>
      <c r="F1621" s="34">
        <v>0.11570601851851851</v>
      </c>
      <c r="G1621" s="34">
        <v>6.4281121399176952E-3</v>
      </c>
      <c r="H1621" s="33" t="s">
        <v>256</v>
      </c>
      <c r="I1621" s="33" t="s">
        <v>233</v>
      </c>
    </row>
    <row r="1622" spans="1:9" x14ac:dyDescent="0.25">
      <c r="A1622" s="32">
        <v>46252</v>
      </c>
      <c r="B1622" s="33" t="s">
        <v>662</v>
      </c>
      <c r="C1622" s="33" t="s">
        <v>32</v>
      </c>
      <c r="D1622" s="33" t="s">
        <v>32</v>
      </c>
      <c r="E1622">
        <v>27</v>
      </c>
      <c r="F1622" s="34">
        <v>0.14656250000000001</v>
      </c>
      <c r="G1622" s="34">
        <v>5.4282407407407413E-3</v>
      </c>
      <c r="H1622" s="33" t="s">
        <v>661</v>
      </c>
      <c r="I1622" s="33" t="s">
        <v>100</v>
      </c>
    </row>
    <row r="1623" spans="1:9" x14ac:dyDescent="0.25">
      <c r="A1623" s="32">
        <v>46252</v>
      </c>
      <c r="B1623" s="33" t="s">
        <v>664</v>
      </c>
      <c r="C1623" s="33" t="s">
        <v>32</v>
      </c>
      <c r="D1623" s="33" t="s">
        <v>32</v>
      </c>
      <c r="E1623">
        <v>25</v>
      </c>
      <c r="F1623" s="34">
        <v>0.1419212962962963</v>
      </c>
      <c r="G1623" s="34">
        <v>5.6768518518518522E-3</v>
      </c>
      <c r="H1623" s="33" t="s">
        <v>663</v>
      </c>
      <c r="I1623" s="33" t="s">
        <v>233</v>
      </c>
    </row>
    <row r="1624" spans="1:9" x14ac:dyDescent="0.25">
      <c r="A1624" s="32">
        <v>46252</v>
      </c>
      <c r="B1624" s="33" t="s">
        <v>666</v>
      </c>
      <c r="C1624" s="33" t="s">
        <v>32</v>
      </c>
      <c r="D1624" s="33" t="s">
        <v>32</v>
      </c>
      <c r="E1624">
        <v>46</v>
      </c>
      <c r="F1624" s="34">
        <v>0.19690972222222222</v>
      </c>
      <c r="G1624" s="34">
        <v>4.2806461352657005E-3</v>
      </c>
      <c r="H1624" s="33" t="s">
        <v>665</v>
      </c>
      <c r="I1624" s="33" t="s">
        <v>100</v>
      </c>
    </row>
    <row r="1625" spans="1:9" x14ac:dyDescent="0.25">
      <c r="A1625" s="32">
        <v>46252</v>
      </c>
      <c r="B1625" s="33" t="s">
        <v>530</v>
      </c>
      <c r="C1625" s="33" t="s">
        <v>80</v>
      </c>
      <c r="D1625" s="33" t="s">
        <v>32</v>
      </c>
      <c r="E1625">
        <v>1</v>
      </c>
      <c r="F1625" s="34">
        <v>1.2592592592592593E-2</v>
      </c>
      <c r="G1625" s="34">
        <v>1.2592592592592593E-2</v>
      </c>
      <c r="H1625" s="33" t="s">
        <v>264</v>
      </c>
      <c r="I1625" s="33" t="s">
        <v>78</v>
      </c>
    </row>
    <row r="1626" spans="1:9" x14ac:dyDescent="0.25">
      <c r="A1626" s="32">
        <v>46252</v>
      </c>
      <c r="B1626" s="33" t="s">
        <v>555</v>
      </c>
      <c r="C1626" s="33" t="s">
        <v>32</v>
      </c>
      <c r="D1626" s="33" t="s">
        <v>32</v>
      </c>
      <c r="E1626">
        <v>24</v>
      </c>
      <c r="F1626" s="34">
        <v>0.12351851851851851</v>
      </c>
      <c r="G1626" s="34">
        <v>5.1466049382716044E-3</v>
      </c>
      <c r="H1626" s="33" t="s">
        <v>128</v>
      </c>
      <c r="I1626" s="33" t="s">
        <v>233</v>
      </c>
    </row>
    <row r="1627" spans="1:9" x14ac:dyDescent="0.25">
      <c r="A1627" s="32">
        <v>46252</v>
      </c>
      <c r="B1627" s="33" t="s">
        <v>522</v>
      </c>
      <c r="C1627" s="33" t="s">
        <v>147</v>
      </c>
      <c r="D1627" s="33" t="s">
        <v>147</v>
      </c>
      <c r="E1627">
        <v>14</v>
      </c>
      <c r="F1627" s="34">
        <v>5.1736111111111108E-2</v>
      </c>
      <c r="G1627" s="34">
        <v>3.6954365079365078E-3</v>
      </c>
      <c r="H1627" s="33" t="s">
        <v>178</v>
      </c>
      <c r="I1627" s="33" t="s">
        <v>146</v>
      </c>
    </row>
    <row r="1628" spans="1:9" x14ac:dyDescent="0.25">
      <c r="A1628" s="32">
        <v>46252</v>
      </c>
      <c r="B1628" s="33" t="s">
        <v>522</v>
      </c>
      <c r="C1628" s="33" t="s">
        <v>147</v>
      </c>
      <c r="D1628" s="33" t="s">
        <v>32</v>
      </c>
      <c r="E1628">
        <v>8</v>
      </c>
      <c r="F1628" s="34">
        <v>3.1909722222222221E-2</v>
      </c>
      <c r="G1628" s="34">
        <v>3.9887152777777777E-3</v>
      </c>
      <c r="H1628" s="33" t="s">
        <v>178</v>
      </c>
      <c r="I1628" s="33" t="s">
        <v>146</v>
      </c>
    </row>
    <row r="1629" spans="1:9" x14ac:dyDescent="0.25">
      <c r="A1629" s="32">
        <v>46252</v>
      </c>
      <c r="B1629" s="33" t="s">
        <v>667</v>
      </c>
      <c r="C1629" s="33" t="s">
        <v>105</v>
      </c>
      <c r="D1629" s="33" t="s">
        <v>105</v>
      </c>
      <c r="E1629">
        <v>5</v>
      </c>
      <c r="F1629" s="34">
        <v>9.8449074074074078E-2</v>
      </c>
      <c r="G1629" s="34">
        <v>1.9689814814814816E-2</v>
      </c>
      <c r="H1629" s="33" t="s">
        <v>297</v>
      </c>
      <c r="I1629" s="33" t="s">
        <v>104</v>
      </c>
    </row>
    <row r="1630" spans="1:9" x14ac:dyDescent="0.25">
      <c r="A1630" s="32">
        <v>46252</v>
      </c>
      <c r="B1630" s="33" t="s">
        <v>667</v>
      </c>
      <c r="C1630" s="33" t="s">
        <v>105</v>
      </c>
      <c r="D1630" s="33" t="s">
        <v>32</v>
      </c>
      <c r="E1630">
        <v>10</v>
      </c>
      <c r="F1630" s="34">
        <v>2.4953703703703704E-2</v>
      </c>
      <c r="G1630" s="34">
        <v>2.4953703703703705E-3</v>
      </c>
      <c r="H1630" s="33" t="s">
        <v>297</v>
      </c>
      <c r="I1630" s="33" t="s">
        <v>104</v>
      </c>
    </row>
    <row r="1631" spans="1:9" x14ac:dyDescent="0.25">
      <c r="A1631" s="32">
        <v>46252</v>
      </c>
      <c r="B1631" s="33" t="s">
        <v>635</v>
      </c>
      <c r="C1631" s="33" t="s">
        <v>105</v>
      </c>
      <c r="D1631" s="33" t="s">
        <v>105</v>
      </c>
      <c r="E1631">
        <v>1</v>
      </c>
      <c r="F1631" s="34">
        <v>2.0902777777777777E-2</v>
      </c>
      <c r="G1631" s="34">
        <v>2.0902777777777777E-2</v>
      </c>
      <c r="H1631" s="33" t="s">
        <v>614</v>
      </c>
      <c r="I1631" s="33" t="s">
        <v>601</v>
      </c>
    </row>
    <row r="1632" spans="1:9" x14ac:dyDescent="0.25">
      <c r="A1632" s="32">
        <v>46252</v>
      </c>
      <c r="B1632" s="33" t="s">
        <v>635</v>
      </c>
      <c r="C1632" s="33" t="s">
        <v>105</v>
      </c>
      <c r="D1632" s="33" t="s">
        <v>32</v>
      </c>
      <c r="E1632">
        <v>26</v>
      </c>
      <c r="F1632" s="34">
        <v>8.684027777777778E-2</v>
      </c>
      <c r="G1632" s="34">
        <v>3.340010683760684E-3</v>
      </c>
      <c r="H1632" s="33" t="s">
        <v>614</v>
      </c>
      <c r="I1632" s="33" t="s">
        <v>601</v>
      </c>
    </row>
    <row r="1633" spans="1:9" x14ac:dyDescent="0.25">
      <c r="A1633" s="32">
        <v>46252</v>
      </c>
      <c r="B1633" s="33" t="s">
        <v>523</v>
      </c>
      <c r="C1633" s="33" t="s">
        <v>147</v>
      </c>
      <c r="D1633" s="33" t="s">
        <v>147</v>
      </c>
      <c r="E1633">
        <v>8</v>
      </c>
      <c r="F1633" s="34">
        <v>4.4305555555555556E-2</v>
      </c>
      <c r="G1633" s="34">
        <v>5.5381944444444445E-3</v>
      </c>
      <c r="H1633" s="33" t="s">
        <v>180</v>
      </c>
      <c r="I1633" s="33" t="s">
        <v>146</v>
      </c>
    </row>
    <row r="1634" spans="1:9" x14ac:dyDescent="0.25">
      <c r="A1634" s="32">
        <v>46252</v>
      </c>
      <c r="B1634" s="33" t="s">
        <v>523</v>
      </c>
      <c r="C1634" s="33" t="s">
        <v>147</v>
      </c>
      <c r="D1634" s="33" t="s">
        <v>32</v>
      </c>
      <c r="E1634">
        <v>8</v>
      </c>
      <c r="F1634" s="34">
        <v>5.0081018518518518E-2</v>
      </c>
      <c r="G1634" s="34">
        <v>6.2601273148148147E-3</v>
      </c>
      <c r="H1634" s="33" t="s">
        <v>180</v>
      </c>
      <c r="I1634" s="33" t="s">
        <v>146</v>
      </c>
    </row>
    <row r="1635" spans="1:9" x14ac:dyDescent="0.25">
      <c r="A1635" s="32">
        <v>46252</v>
      </c>
      <c r="B1635" s="33" t="s">
        <v>636</v>
      </c>
      <c r="C1635" s="33" t="s">
        <v>105</v>
      </c>
      <c r="D1635" s="33" t="s">
        <v>105</v>
      </c>
      <c r="E1635">
        <v>6</v>
      </c>
      <c r="F1635" s="34">
        <v>0.12859953703703703</v>
      </c>
      <c r="G1635" s="34">
        <v>2.1433256172839504E-2</v>
      </c>
      <c r="H1635" s="33" t="s">
        <v>615</v>
      </c>
      <c r="I1635" s="33" t="s">
        <v>601</v>
      </c>
    </row>
    <row r="1636" spans="1:9" x14ac:dyDescent="0.25">
      <c r="A1636" s="32">
        <v>46252</v>
      </c>
      <c r="B1636" s="33" t="s">
        <v>636</v>
      </c>
      <c r="C1636" s="33" t="s">
        <v>105</v>
      </c>
      <c r="D1636" s="33" t="s">
        <v>32</v>
      </c>
      <c r="E1636">
        <v>4</v>
      </c>
      <c r="F1636" s="34">
        <v>1.9699074074074074E-2</v>
      </c>
      <c r="G1636" s="34">
        <v>4.9247685185185184E-3</v>
      </c>
      <c r="H1636" s="33" t="s">
        <v>615</v>
      </c>
      <c r="I1636" s="33" t="s">
        <v>601</v>
      </c>
    </row>
    <row r="1637" spans="1:9" x14ac:dyDescent="0.25">
      <c r="A1637" s="32">
        <v>46252</v>
      </c>
      <c r="B1637" s="33" t="s">
        <v>566</v>
      </c>
      <c r="C1637" s="33" t="s">
        <v>147</v>
      </c>
      <c r="D1637" s="33" t="s">
        <v>147</v>
      </c>
      <c r="E1637">
        <v>19</v>
      </c>
      <c r="F1637" s="34">
        <v>7.0995370370370375E-2</v>
      </c>
      <c r="G1637" s="34">
        <v>3.7365984405458093E-3</v>
      </c>
      <c r="H1637" s="33" t="s">
        <v>207</v>
      </c>
      <c r="I1637" s="33" t="s">
        <v>274</v>
      </c>
    </row>
    <row r="1638" spans="1:9" x14ac:dyDescent="0.25">
      <c r="A1638" s="32">
        <v>46252</v>
      </c>
      <c r="B1638" s="33" t="s">
        <v>566</v>
      </c>
      <c r="C1638" s="33" t="s">
        <v>147</v>
      </c>
      <c r="D1638" s="33" t="s">
        <v>32</v>
      </c>
      <c r="E1638">
        <v>6</v>
      </c>
      <c r="F1638" s="34">
        <v>2.1550925925925925E-2</v>
      </c>
      <c r="G1638" s="34">
        <v>3.5918209876543206E-3</v>
      </c>
      <c r="H1638" s="33" t="s">
        <v>207</v>
      </c>
      <c r="I1638" s="33" t="s">
        <v>274</v>
      </c>
    </row>
    <row r="1639" spans="1:9" x14ac:dyDescent="0.25">
      <c r="A1639" s="32">
        <v>46252</v>
      </c>
      <c r="B1639" s="33" t="s">
        <v>637</v>
      </c>
      <c r="C1639" s="33" t="s">
        <v>105</v>
      </c>
      <c r="D1639" s="33" t="s">
        <v>32</v>
      </c>
      <c r="E1639">
        <v>5</v>
      </c>
      <c r="F1639" s="34">
        <v>1.9710648148148147E-2</v>
      </c>
      <c r="G1639" s="34">
        <v>3.9421296296296296E-3</v>
      </c>
      <c r="H1639" s="33" t="s">
        <v>616</v>
      </c>
      <c r="I1639" s="33" t="s">
        <v>601</v>
      </c>
    </row>
    <row r="1640" spans="1:9" x14ac:dyDescent="0.25">
      <c r="A1640" s="32">
        <v>46252</v>
      </c>
      <c r="B1640" s="33" t="s">
        <v>567</v>
      </c>
      <c r="C1640" s="33" t="s">
        <v>105</v>
      </c>
      <c r="D1640" s="33" t="s">
        <v>105</v>
      </c>
      <c r="E1640">
        <v>2</v>
      </c>
      <c r="F1640" s="34">
        <v>4.6134259259259257E-2</v>
      </c>
      <c r="G1640" s="34">
        <v>2.3067129629629628E-2</v>
      </c>
      <c r="H1640" s="33" t="s">
        <v>209</v>
      </c>
      <c r="I1640" s="33" t="s">
        <v>601</v>
      </c>
    </row>
    <row r="1641" spans="1:9" x14ac:dyDescent="0.25">
      <c r="A1641" s="32">
        <v>46252</v>
      </c>
      <c r="B1641" s="33" t="s">
        <v>567</v>
      </c>
      <c r="C1641" s="33" t="s">
        <v>105</v>
      </c>
      <c r="D1641" s="33" t="s">
        <v>32</v>
      </c>
      <c r="E1641">
        <v>5</v>
      </c>
      <c r="F1641" s="34">
        <v>4.1770833333333333E-2</v>
      </c>
      <c r="G1641" s="34">
        <v>8.354166666666666E-3</v>
      </c>
      <c r="H1641" s="33" t="s">
        <v>209</v>
      </c>
      <c r="I1641" s="33" t="s">
        <v>601</v>
      </c>
    </row>
    <row r="1642" spans="1:9" x14ac:dyDescent="0.25">
      <c r="A1642" s="32">
        <v>46252</v>
      </c>
      <c r="B1642" s="33" t="s">
        <v>510</v>
      </c>
      <c r="C1642" s="33" t="s">
        <v>32</v>
      </c>
      <c r="D1642" s="33" t="s">
        <v>32</v>
      </c>
      <c r="E1642">
        <v>49</v>
      </c>
      <c r="F1642" s="34">
        <v>0.22875000000000001</v>
      </c>
      <c r="G1642" s="34">
        <v>4.668367346938776E-3</v>
      </c>
      <c r="H1642" s="33" t="s">
        <v>60</v>
      </c>
      <c r="I1642" s="33" t="s">
        <v>100</v>
      </c>
    </row>
    <row r="1643" spans="1:9" x14ac:dyDescent="0.25">
      <c r="A1643" s="32">
        <v>46252</v>
      </c>
      <c r="B1643" s="33" t="s">
        <v>512</v>
      </c>
      <c r="C1643" s="33" t="s">
        <v>105</v>
      </c>
      <c r="D1643" s="33" t="s">
        <v>105</v>
      </c>
      <c r="E1643">
        <v>5</v>
      </c>
      <c r="F1643" s="34">
        <v>0.10918981481481481</v>
      </c>
      <c r="G1643" s="34">
        <v>2.1837962962962962E-2</v>
      </c>
      <c r="H1643" s="33" t="s">
        <v>132</v>
      </c>
      <c r="I1643" s="33" t="s">
        <v>104</v>
      </c>
    </row>
    <row r="1644" spans="1:9" x14ac:dyDescent="0.25">
      <c r="A1644" s="32">
        <v>46252</v>
      </c>
      <c r="B1644" s="33" t="s">
        <v>512</v>
      </c>
      <c r="C1644" s="33" t="s">
        <v>105</v>
      </c>
      <c r="D1644" s="33" t="s">
        <v>32</v>
      </c>
      <c r="E1644">
        <v>6</v>
      </c>
      <c r="F1644" s="34">
        <v>5.0925925925925923E-2</v>
      </c>
      <c r="G1644" s="34">
        <v>8.4876543209876538E-3</v>
      </c>
      <c r="H1644" s="33" t="s">
        <v>132</v>
      </c>
      <c r="I1644" s="33" t="s">
        <v>104</v>
      </c>
    </row>
    <row r="1645" spans="1:9" x14ac:dyDescent="0.25">
      <c r="A1645" s="32">
        <v>46252</v>
      </c>
      <c r="B1645" s="33" t="s">
        <v>560</v>
      </c>
      <c r="C1645" s="33" t="s">
        <v>105</v>
      </c>
      <c r="D1645" s="33" t="s">
        <v>105</v>
      </c>
      <c r="E1645">
        <v>6</v>
      </c>
      <c r="F1645" s="34">
        <v>0.11271990740740741</v>
      </c>
      <c r="G1645" s="34">
        <v>1.8786651234567901E-2</v>
      </c>
      <c r="H1645" s="33" t="s">
        <v>134</v>
      </c>
      <c r="I1645" s="33" t="s">
        <v>104</v>
      </c>
    </row>
    <row r="1646" spans="1:9" x14ac:dyDescent="0.25">
      <c r="A1646" s="32">
        <v>46252</v>
      </c>
      <c r="B1646" s="33" t="s">
        <v>560</v>
      </c>
      <c r="C1646" s="33" t="s">
        <v>105</v>
      </c>
      <c r="D1646" s="33" t="s">
        <v>32</v>
      </c>
      <c r="E1646">
        <v>3</v>
      </c>
      <c r="F1646" s="34">
        <v>3.6388888888888887E-2</v>
      </c>
      <c r="G1646" s="34">
        <v>1.2129629629629629E-2</v>
      </c>
      <c r="H1646" s="33" t="s">
        <v>134</v>
      </c>
      <c r="I1646" s="33" t="s">
        <v>104</v>
      </c>
    </row>
    <row r="1647" spans="1:9" x14ac:dyDescent="0.25">
      <c r="A1647" s="32">
        <v>46252</v>
      </c>
      <c r="B1647" s="33" t="s">
        <v>546</v>
      </c>
      <c r="C1647" s="33" t="s">
        <v>105</v>
      </c>
      <c r="D1647" s="33" t="s">
        <v>105</v>
      </c>
      <c r="E1647">
        <v>8</v>
      </c>
      <c r="F1647" s="34">
        <v>0.1801851851851852</v>
      </c>
      <c r="G1647" s="34">
        <v>2.252314814814815E-2</v>
      </c>
      <c r="H1647" s="33" t="s">
        <v>211</v>
      </c>
      <c r="I1647" s="33" t="s">
        <v>104</v>
      </c>
    </row>
    <row r="1648" spans="1:9" x14ac:dyDescent="0.25">
      <c r="A1648" s="32">
        <v>46252</v>
      </c>
      <c r="B1648" s="33" t="s">
        <v>546</v>
      </c>
      <c r="C1648" s="33" t="s">
        <v>105</v>
      </c>
      <c r="D1648" s="33" t="s">
        <v>32</v>
      </c>
      <c r="E1648">
        <v>1</v>
      </c>
      <c r="F1648" s="34">
        <v>1.238425925925926E-3</v>
      </c>
      <c r="G1648" s="34">
        <v>1.238425925925926E-3</v>
      </c>
      <c r="H1648" s="33" t="s">
        <v>211</v>
      </c>
      <c r="I1648" s="33" t="s">
        <v>104</v>
      </c>
    </row>
    <row r="1649" spans="1:9" x14ac:dyDescent="0.25">
      <c r="A1649" s="32">
        <v>46252</v>
      </c>
      <c r="B1649" s="33" t="s">
        <v>638</v>
      </c>
      <c r="C1649" s="33" t="s">
        <v>105</v>
      </c>
      <c r="D1649" s="33" t="s">
        <v>105</v>
      </c>
      <c r="E1649">
        <v>2</v>
      </c>
      <c r="F1649" s="34">
        <v>5.3692129629629631E-2</v>
      </c>
      <c r="G1649" s="34">
        <v>2.6846064814814816E-2</v>
      </c>
      <c r="H1649" s="33" t="s">
        <v>617</v>
      </c>
      <c r="I1649" s="33" t="s">
        <v>601</v>
      </c>
    </row>
    <row r="1650" spans="1:9" x14ac:dyDescent="0.25">
      <c r="A1650" s="32">
        <v>46252</v>
      </c>
      <c r="B1650" s="33" t="s">
        <v>638</v>
      </c>
      <c r="C1650" s="33" t="s">
        <v>105</v>
      </c>
      <c r="D1650" s="33" t="s">
        <v>32</v>
      </c>
      <c r="E1650">
        <v>7</v>
      </c>
      <c r="F1650" s="34">
        <v>4.1967592592592591E-2</v>
      </c>
      <c r="G1650" s="34">
        <v>5.9953703703703705E-3</v>
      </c>
      <c r="H1650" s="33" t="s">
        <v>617</v>
      </c>
      <c r="I1650" s="33" t="s">
        <v>601</v>
      </c>
    </row>
    <row r="1651" spans="1:9" x14ac:dyDescent="0.25">
      <c r="A1651" s="32">
        <v>46252</v>
      </c>
      <c r="B1651" s="33" t="s">
        <v>561</v>
      </c>
      <c r="C1651" s="33" t="s">
        <v>105</v>
      </c>
      <c r="D1651" s="33" t="s">
        <v>105</v>
      </c>
      <c r="E1651">
        <v>7</v>
      </c>
      <c r="F1651" s="34">
        <v>0.19372685185185184</v>
      </c>
      <c r="G1651" s="34">
        <v>2.7675264550264551E-2</v>
      </c>
      <c r="H1651" s="33" t="s">
        <v>136</v>
      </c>
      <c r="I1651" s="33" t="s">
        <v>104</v>
      </c>
    </row>
    <row r="1652" spans="1:9" x14ac:dyDescent="0.25">
      <c r="A1652" s="32">
        <v>46252</v>
      </c>
      <c r="B1652" s="33" t="s">
        <v>639</v>
      </c>
      <c r="C1652" s="33" t="s">
        <v>105</v>
      </c>
      <c r="D1652" s="33" t="s">
        <v>105</v>
      </c>
      <c r="E1652">
        <v>4</v>
      </c>
      <c r="F1652" s="34">
        <v>0.10932870370370371</v>
      </c>
      <c r="G1652" s="34">
        <v>2.7332175925925926E-2</v>
      </c>
      <c r="H1652" s="33" t="s">
        <v>618</v>
      </c>
      <c r="I1652" s="33" t="s">
        <v>601</v>
      </c>
    </row>
    <row r="1653" spans="1:9" x14ac:dyDescent="0.25">
      <c r="A1653" s="32">
        <v>46252</v>
      </c>
      <c r="B1653" s="33" t="s">
        <v>639</v>
      </c>
      <c r="C1653" s="33" t="s">
        <v>105</v>
      </c>
      <c r="D1653" s="33" t="s">
        <v>32</v>
      </c>
      <c r="E1653">
        <v>2</v>
      </c>
      <c r="F1653" s="34">
        <v>2.0972222222222222E-2</v>
      </c>
      <c r="G1653" s="34">
        <v>1.0486111111111111E-2</v>
      </c>
      <c r="H1653" s="33" t="s">
        <v>618</v>
      </c>
      <c r="I1653" s="33" t="s">
        <v>601</v>
      </c>
    </row>
    <row r="1654" spans="1:9" x14ac:dyDescent="0.25">
      <c r="A1654" s="32">
        <v>46252</v>
      </c>
      <c r="B1654" s="33" t="s">
        <v>524</v>
      </c>
      <c r="C1654" s="33" t="s">
        <v>147</v>
      </c>
      <c r="D1654" s="33" t="s">
        <v>147</v>
      </c>
      <c r="E1654">
        <v>16</v>
      </c>
      <c r="F1654" s="34">
        <v>6.4062499999999994E-2</v>
      </c>
      <c r="G1654" s="34">
        <v>4.0039062499999997E-3</v>
      </c>
      <c r="H1654" s="33" t="s">
        <v>501</v>
      </c>
      <c r="I1654" s="33" t="s">
        <v>274</v>
      </c>
    </row>
    <row r="1655" spans="1:9" x14ac:dyDescent="0.25">
      <c r="A1655" s="32">
        <v>46252</v>
      </c>
      <c r="B1655" s="33" t="s">
        <v>524</v>
      </c>
      <c r="C1655" s="33" t="s">
        <v>147</v>
      </c>
      <c r="D1655" s="33" t="s">
        <v>32</v>
      </c>
      <c r="E1655">
        <v>6</v>
      </c>
      <c r="F1655" s="34">
        <v>1.6226851851851853E-2</v>
      </c>
      <c r="G1655" s="34">
        <v>2.7044753086419757E-3</v>
      </c>
      <c r="H1655" s="33" t="s">
        <v>501</v>
      </c>
      <c r="I1655" s="33" t="s">
        <v>274</v>
      </c>
    </row>
    <row r="1656" spans="1:9" x14ac:dyDescent="0.25">
      <c r="A1656" s="32">
        <v>46252</v>
      </c>
      <c r="B1656" s="33" t="s">
        <v>572</v>
      </c>
      <c r="C1656" s="33" t="s">
        <v>105</v>
      </c>
      <c r="D1656" s="33" t="s">
        <v>105</v>
      </c>
      <c r="E1656">
        <v>3</v>
      </c>
      <c r="F1656" s="34">
        <v>8.3414351851851851E-2</v>
      </c>
      <c r="G1656" s="34">
        <v>2.7804783950617282E-2</v>
      </c>
      <c r="H1656" s="33" t="s">
        <v>213</v>
      </c>
      <c r="I1656" s="33" t="s">
        <v>601</v>
      </c>
    </row>
    <row r="1657" spans="1:9" x14ac:dyDescent="0.25">
      <c r="A1657" s="32">
        <v>46252</v>
      </c>
      <c r="B1657" s="33" t="s">
        <v>572</v>
      </c>
      <c r="C1657" s="33" t="s">
        <v>105</v>
      </c>
      <c r="D1657" s="33" t="s">
        <v>32</v>
      </c>
      <c r="E1657">
        <v>2</v>
      </c>
      <c r="F1657" s="34">
        <v>1.6469907407407409E-2</v>
      </c>
      <c r="G1657" s="34">
        <v>8.2349537037037044E-3</v>
      </c>
      <c r="H1657" s="33" t="s">
        <v>213</v>
      </c>
      <c r="I1657" s="33" t="s">
        <v>601</v>
      </c>
    </row>
    <row r="1658" spans="1:9" x14ac:dyDescent="0.25">
      <c r="A1658" s="32">
        <v>46252</v>
      </c>
      <c r="B1658" s="33" t="s">
        <v>669</v>
      </c>
      <c r="C1658" s="33" t="s">
        <v>32</v>
      </c>
      <c r="D1658" s="33" t="s">
        <v>32</v>
      </c>
      <c r="E1658">
        <v>44</v>
      </c>
      <c r="F1658" s="34">
        <v>0.11648148148148148</v>
      </c>
      <c r="G1658" s="34">
        <v>2.6473063973063973E-3</v>
      </c>
      <c r="H1658" s="33" t="s">
        <v>668</v>
      </c>
      <c r="I1658" s="33" t="s">
        <v>233</v>
      </c>
    </row>
    <row r="1659" spans="1:9" x14ac:dyDescent="0.25">
      <c r="A1659" s="32">
        <v>46252</v>
      </c>
      <c r="B1659" s="33" t="s">
        <v>670</v>
      </c>
      <c r="C1659" s="33" t="s">
        <v>32</v>
      </c>
      <c r="D1659" s="33" t="s">
        <v>32</v>
      </c>
      <c r="E1659">
        <v>39</v>
      </c>
      <c r="F1659" s="34">
        <v>0.16310185185185186</v>
      </c>
      <c r="G1659" s="34">
        <v>4.1820987654320992E-3</v>
      </c>
      <c r="H1659" s="33" t="s">
        <v>744</v>
      </c>
      <c r="I1659" s="33" t="s">
        <v>100</v>
      </c>
    </row>
    <row r="1660" spans="1:9" x14ac:dyDescent="0.25">
      <c r="A1660" s="32">
        <v>46252</v>
      </c>
      <c r="B1660" s="33" t="s">
        <v>548</v>
      </c>
      <c r="C1660" s="33" t="s">
        <v>105</v>
      </c>
      <c r="D1660" s="33" t="s">
        <v>105</v>
      </c>
      <c r="E1660">
        <v>6</v>
      </c>
      <c r="F1660" s="34">
        <v>0.12670138888888888</v>
      </c>
      <c r="G1660" s="34">
        <v>2.1116898148148145E-2</v>
      </c>
      <c r="H1660" s="33" t="s">
        <v>219</v>
      </c>
      <c r="I1660" s="33" t="s">
        <v>104</v>
      </c>
    </row>
    <row r="1661" spans="1:9" x14ac:dyDescent="0.25">
      <c r="A1661" s="32">
        <v>46252</v>
      </c>
      <c r="B1661" s="33" t="s">
        <v>306</v>
      </c>
      <c r="C1661" s="33" t="s">
        <v>32</v>
      </c>
      <c r="D1661" s="33" t="s">
        <v>32</v>
      </c>
      <c r="E1661">
        <v>56</v>
      </c>
      <c r="F1661" s="34">
        <v>0.17637731481481481</v>
      </c>
      <c r="G1661" s="34">
        <v>3.1495949074074074E-3</v>
      </c>
      <c r="H1661" s="33" t="s">
        <v>305</v>
      </c>
      <c r="I1661" s="33" t="s">
        <v>100</v>
      </c>
    </row>
    <row r="1662" spans="1:9" x14ac:dyDescent="0.25">
      <c r="A1662" s="32">
        <v>46252</v>
      </c>
      <c r="B1662" s="33" t="s">
        <v>641</v>
      </c>
      <c r="C1662" s="33" t="s">
        <v>105</v>
      </c>
      <c r="D1662" s="33" t="s">
        <v>105</v>
      </c>
      <c r="E1662">
        <v>2</v>
      </c>
      <c r="F1662" s="34">
        <v>4.9062500000000002E-2</v>
      </c>
      <c r="G1662" s="34">
        <v>2.4531250000000001E-2</v>
      </c>
      <c r="H1662" s="33" t="s">
        <v>620</v>
      </c>
      <c r="I1662" s="33" t="s">
        <v>601</v>
      </c>
    </row>
    <row r="1663" spans="1:9" x14ac:dyDescent="0.25">
      <c r="A1663" s="32">
        <v>46252</v>
      </c>
      <c r="B1663" s="33" t="s">
        <v>641</v>
      </c>
      <c r="C1663" s="33" t="s">
        <v>105</v>
      </c>
      <c r="D1663" s="33" t="s">
        <v>32</v>
      </c>
      <c r="E1663">
        <v>8</v>
      </c>
      <c r="F1663" s="34">
        <v>3.7025462962962961E-2</v>
      </c>
      <c r="G1663" s="34">
        <v>4.6281828703703702E-3</v>
      </c>
      <c r="H1663" s="33" t="s">
        <v>620</v>
      </c>
      <c r="I1663" s="33" t="s">
        <v>601</v>
      </c>
    </row>
    <row r="1664" spans="1:9" x14ac:dyDescent="0.25">
      <c r="A1664" s="32">
        <v>46252</v>
      </c>
      <c r="B1664" s="33" t="s">
        <v>556</v>
      </c>
      <c r="C1664" s="33" t="s">
        <v>105</v>
      </c>
      <c r="D1664" s="33" t="s">
        <v>105</v>
      </c>
      <c r="E1664">
        <v>1</v>
      </c>
      <c r="F1664" s="34">
        <v>2.6215277777777778E-2</v>
      </c>
      <c r="G1664" s="34">
        <v>2.6215277777777778E-2</v>
      </c>
      <c r="H1664" s="33" t="s">
        <v>138</v>
      </c>
      <c r="I1664" s="33" t="s">
        <v>104</v>
      </c>
    </row>
    <row r="1665" spans="1:9" x14ac:dyDescent="0.25">
      <c r="A1665" s="32">
        <v>46252</v>
      </c>
      <c r="B1665" s="33" t="s">
        <v>556</v>
      </c>
      <c r="C1665" s="33" t="s">
        <v>105</v>
      </c>
      <c r="D1665" s="33" t="s">
        <v>32</v>
      </c>
      <c r="E1665">
        <v>16</v>
      </c>
      <c r="F1665" s="34">
        <v>7.2638888888888892E-2</v>
      </c>
      <c r="G1665" s="34">
        <v>4.5399305555555557E-3</v>
      </c>
      <c r="H1665" s="33" t="s">
        <v>138</v>
      </c>
      <c r="I1665" s="33" t="s">
        <v>104</v>
      </c>
    </row>
    <row r="1666" spans="1:9" x14ac:dyDescent="0.25">
      <c r="A1666" s="32">
        <v>46252</v>
      </c>
      <c r="B1666" s="33" t="s">
        <v>532</v>
      </c>
      <c r="C1666" s="33" t="s">
        <v>32</v>
      </c>
      <c r="D1666" s="33" t="s">
        <v>32</v>
      </c>
      <c r="E1666">
        <v>35</v>
      </c>
      <c r="F1666" s="34">
        <v>0.11486111111111111</v>
      </c>
      <c r="G1666" s="34">
        <v>3.2817460317460315E-3</v>
      </c>
      <c r="H1666" s="33" t="s">
        <v>276</v>
      </c>
      <c r="I1666" s="33" t="s">
        <v>233</v>
      </c>
    </row>
    <row r="1667" spans="1:9" x14ac:dyDescent="0.25">
      <c r="A1667" s="32">
        <v>46252</v>
      </c>
      <c r="B1667" s="33" t="s">
        <v>533</v>
      </c>
      <c r="C1667" s="33" t="s">
        <v>32</v>
      </c>
      <c r="D1667" s="33" t="s">
        <v>32</v>
      </c>
      <c r="E1667">
        <v>20</v>
      </c>
      <c r="F1667" s="34">
        <v>0.14175925925925925</v>
      </c>
      <c r="G1667" s="34">
        <v>7.0879629629629626E-3</v>
      </c>
      <c r="H1667" s="33" t="s">
        <v>278</v>
      </c>
      <c r="I1667" s="33" t="s">
        <v>233</v>
      </c>
    </row>
    <row r="1668" spans="1:9" x14ac:dyDescent="0.25">
      <c r="A1668" s="32">
        <v>46252</v>
      </c>
      <c r="B1668" s="33" t="s">
        <v>511</v>
      </c>
      <c r="C1668" s="33" t="s">
        <v>80</v>
      </c>
      <c r="D1668" s="33" t="s">
        <v>32</v>
      </c>
      <c r="E1668">
        <v>3</v>
      </c>
      <c r="F1668" s="34">
        <v>3.9155092592592596E-2</v>
      </c>
      <c r="G1668" s="34">
        <v>1.3051697530864199E-2</v>
      </c>
      <c r="H1668" s="33" t="s">
        <v>313</v>
      </c>
      <c r="I1668" s="33" t="s">
        <v>78</v>
      </c>
    </row>
    <row r="1669" spans="1:9" x14ac:dyDescent="0.25">
      <c r="A1669" s="32">
        <v>46252</v>
      </c>
      <c r="B1669" s="33" t="s">
        <v>674</v>
      </c>
      <c r="C1669" s="33" t="s">
        <v>105</v>
      </c>
      <c r="D1669" s="33" t="s">
        <v>105</v>
      </c>
      <c r="E1669">
        <v>5</v>
      </c>
      <c r="F1669" s="34">
        <v>0.10712962962962963</v>
      </c>
      <c r="G1669" s="34">
        <v>2.1425925925925925E-2</v>
      </c>
      <c r="H1669" s="33" t="s">
        <v>673</v>
      </c>
      <c r="I1669" s="33" t="s">
        <v>104</v>
      </c>
    </row>
    <row r="1670" spans="1:9" x14ac:dyDescent="0.25">
      <c r="A1670" s="32">
        <v>46252</v>
      </c>
      <c r="B1670" s="33" t="s">
        <v>674</v>
      </c>
      <c r="C1670" s="33" t="s">
        <v>105</v>
      </c>
      <c r="D1670" s="33" t="s">
        <v>32</v>
      </c>
      <c r="E1670">
        <v>5</v>
      </c>
      <c r="F1670" s="34">
        <v>2.6712962962962963E-2</v>
      </c>
      <c r="G1670" s="34">
        <v>5.3425925925925924E-3</v>
      </c>
      <c r="H1670" s="33" t="s">
        <v>673</v>
      </c>
      <c r="I1670" s="33" t="s">
        <v>104</v>
      </c>
    </row>
    <row r="1671" spans="1:9" x14ac:dyDescent="0.25">
      <c r="A1671" s="32">
        <v>46252</v>
      </c>
      <c r="B1671" s="33" t="s">
        <v>549</v>
      </c>
      <c r="C1671" s="33" t="s">
        <v>105</v>
      </c>
      <c r="D1671" s="33" t="s">
        <v>32</v>
      </c>
      <c r="E1671">
        <v>15</v>
      </c>
      <c r="F1671" s="34">
        <v>8.4224537037037042E-2</v>
      </c>
      <c r="G1671" s="34">
        <v>5.6149691358024691E-3</v>
      </c>
      <c r="H1671" s="33" t="s">
        <v>225</v>
      </c>
      <c r="I1671" s="33" t="s">
        <v>601</v>
      </c>
    </row>
    <row r="1672" spans="1:9" x14ac:dyDescent="0.25">
      <c r="A1672" s="32">
        <v>46252</v>
      </c>
      <c r="B1672" s="33" t="s">
        <v>534</v>
      </c>
      <c r="C1672" s="33" t="s">
        <v>32</v>
      </c>
      <c r="D1672" s="33" t="s">
        <v>32</v>
      </c>
      <c r="E1672">
        <v>41</v>
      </c>
      <c r="F1672" s="34">
        <v>0.10310185185185185</v>
      </c>
      <c r="G1672" s="34">
        <v>2.5146793134598012E-3</v>
      </c>
      <c r="H1672" s="33" t="s">
        <v>280</v>
      </c>
      <c r="I1672" s="33" t="s">
        <v>233</v>
      </c>
    </row>
    <row r="1673" spans="1:9" x14ac:dyDescent="0.25">
      <c r="A1673" s="32">
        <v>46252</v>
      </c>
      <c r="B1673" s="33" t="s">
        <v>571</v>
      </c>
      <c r="C1673" s="33" t="s">
        <v>105</v>
      </c>
      <c r="D1673" s="33" t="s">
        <v>105</v>
      </c>
      <c r="E1673">
        <v>10</v>
      </c>
      <c r="F1673" s="34">
        <v>0.21996527777777777</v>
      </c>
      <c r="G1673" s="34">
        <v>2.1996527777777778E-2</v>
      </c>
      <c r="H1673" s="33" t="s">
        <v>299</v>
      </c>
      <c r="I1673" s="33" t="s">
        <v>104</v>
      </c>
    </row>
    <row r="1674" spans="1:9" x14ac:dyDescent="0.25">
      <c r="A1674" s="32">
        <v>46252</v>
      </c>
      <c r="B1674" s="33" t="s">
        <v>535</v>
      </c>
      <c r="C1674" s="33" t="s">
        <v>32</v>
      </c>
      <c r="D1674" s="33" t="s">
        <v>32</v>
      </c>
      <c r="E1674">
        <v>55</v>
      </c>
      <c r="F1674" s="34">
        <v>9.256944444444444E-2</v>
      </c>
      <c r="G1674" s="34">
        <v>1.683080808080808E-3</v>
      </c>
      <c r="H1674" s="33" t="s">
        <v>282</v>
      </c>
      <c r="I1674" s="33" t="s">
        <v>233</v>
      </c>
    </row>
    <row r="1675" spans="1:9" x14ac:dyDescent="0.25">
      <c r="A1675" s="32">
        <v>46252</v>
      </c>
      <c r="B1675" s="33" t="s">
        <v>557</v>
      </c>
      <c r="C1675" s="33" t="s">
        <v>147</v>
      </c>
      <c r="D1675" s="33" t="s">
        <v>147</v>
      </c>
      <c r="E1675">
        <v>9</v>
      </c>
      <c r="F1675" s="34">
        <v>4.5289351851851851E-2</v>
      </c>
      <c r="G1675" s="34">
        <v>5.0321502057613168E-3</v>
      </c>
      <c r="H1675" s="33" t="s">
        <v>227</v>
      </c>
      <c r="I1675" s="33" t="s">
        <v>146</v>
      </c>
    </row>
    <row r="1676" spans="1:9" x14ac:dyDescent="0.25">
      <c r="A1676" s="32">
        <v>46252</v>
      </c>
      <c r="B1676" s="33" t="s">
        <v>557</v>
      </c>
      <c r="C1676" s="33" t="s">
        <v>147</v>
      </c>
      <c r="D1676" s="33" t="s">
        <v>32</v>
      </c>
      <c r="E1676">
        <v>5</v>
      </c>
      <c r="F1676" s="34">
        <v>7.4884259259259262E-2</v>
      </c>
      <c r="G1676" s="34">
        <v>1.4976851851851852E-2</v>
      </c>
      <c r="H1676" s="33" t="s">
        <v>227</v>
      </c>
      <c r="I1676" s="33" t="s">
        <v>146</v>
      </c>
    </row>
    <row r="1677" spans="1:9" x14ac:dyDescent="0.25">
      <c r="A1677" s="32">
        <v>46252</v>
      </c>
      <c r="B1677" s="33" t="s">
        <v>676</v>
      </c>
      <c r="C1677" s="33" t="s">
        <v>105</v>
      </c>
      <c r="D1677" s="33" t="s">
        <v>105</v>
      </c>
      <c r="E1677">
        <v>5</v>
      </c>
      <c r="F1677" s="34">
        <v>9.5000000000000001E-2</v>
      </c>
      <c r="G1677" s="34">
        <v>1.9E-2</v>
      </c>
      <c r="H1677" s="33" t="s">
        <v>675</v>
      </c>
      <c r="I1677" s="33" t="s">
        <v>104</v>
      </c>
    </row>
    <row r="1678" spans="1:9" x14ac:dyDescent="0.25">
      <c r="A1678" s="32">
        <v>46252</v>
      </c>
      <c r="B1678" s="33" t="s">
        <v>676</v>
      </c>
      <c r="C1678" s="33" t="s">
        <v>105</v>
      </c>
      <c r="D1678" s="33" t="s">
        <v>32</v>
      </c>
      <c r="E1678">
        <v>7</v>
      </c>
      <c r="F1678" s="34">
        <v>7.408564814814815E-2</v>
      </c>
      <c r="G1678" s="34">
        <v>1.0583664021164021E-2</v>
      </c>
      <c r="H1678" s="33" t="s">
        <v>675</v>
      </c>
      <c r="I1678" s="33" t="s">
        <v>104</v>
      </c>
    </row>
    <row r="1679" spans="1:9" x14ac:dyDescent="0.25">
      <c r="A1679" s="32">
        <v>46252</v>
      </c>
      <c r="B1679" s="33" t="s">
        <v>678</v>
      </c>
      <c r="C1679" s="33" t="s">
        <v>147</v>
      </c>
      <c r="D1679" s="33" t="s">
        <v>147</v>
      </c>
      <c r="E1679">
        <v>14</v>
      </c>
      <c r="F1679" s="34">
        <v>3.9629629629629633E-2</v>
      </c>
      <c r="G1679" s="34">
        <v>2.8306878306878307E-3</v>
      </c>
      <c r="H1679" s="33" t="s">
        <v>677</v>
      </c>
      <c r="I1679" s="33" t="s">
        <v>274</v>
      </c>
    </row>
    <row r="1680" spans="1:9" x14ac:dyDescent="0.25">
      <c r="A1680" s="32">
        <v>46252</v>
      </c>
      <c r="B1680" s="33" t="s">
        <v>678</v>
      </c>
      <c r="C1680" s="33" t="s">
        <v>147</v>
      </c>
      <c r="D1680" s="33" t="s">
        <v>32</v>
      </c>
      <c r="E1680">
        <v>11</v>
      </c>
      <c r="F1680" s="34">
        <v>4.1180555555555554E-2</v>
      </c>
      <c r="G1680" s="34">
        <v>3.7436868686868685E-3</v>
      </c>
      <c r="H1680" s="33" t="s">
        <v>677</v>
      </c>
      <c r="I1680" s="33" t="s">
        <v>274</v>
      </c>
    </row>
    <row r="1681" spans="1:9" x14ac:dyDescent="0.25">
      <c r="A1681" s="32">
        <v>46253</v>
      </c>
      <c r="B1681" s="33" t="s">
        <v>598</v>
      </c>
      <c r="C1681" s="33" t="s">
        <v>284</v>
      </c>
      <c r="D1681" s="33" t="s">
        <v>600</v>
      </c>
      <c r="E1681">
        <v>1</v>
      </c>
      <c r="F1681" s="34">
        <v>1.1574074074074073E-5</v>
      </c>
      <c r="G1681" s="34">
        <v>1.1574074074074073E-5</v>
      </c>
      <c r="H1681" s="33" t="s">
        <v>598</v>
      </c>
      <c r="I1681" s="33" t="s">
        <v>284</v>
      </c>
    </row>
    <row r="1682" spans="1:9" x14ac:dyDescent="0.25">
      <c r="A1682" s="32">
        <v>46253</v>
      </c>
      <c r="B1682" s="33" t="s">
        <v>644</v>
      </c>
      <c r="C1682" s="33" t="s">
        <v>32</v>
      </c>
      <c r="D1682" s="33" t="s">
        <v>105</v>
      </c>
      <c r="E1682">
        <v>1</v>
      </c>
      <c r="F1682" s="34">
        <v>2.8703703703703703E-3</v>
      </c>
      <c r="G1682" s="34">
        <v>2.8703703703703703E-3</v>
      </c>
      <c r="H1682" s="33" t="s">
        <v>643</v>
      </c>
      <c r="I1682" s="33" t="s">
        <v>233</v>
      </c>
    </row>
    <row r="1683" spans="1:9" x14ac:dyDescent="0.25">
      <c r="A1683" s="32">
        <v>46253</v>
      </c>
      <c r="B1683" s="33" t="s">
        <v>644</v>
      </c>
      <c r="C1683" s="33" t="s">
        <v>32</v>
      </c>
      <c r="D1683" s="33" t="s">
        <v>32</v>
      </c>
      <c r="E1683">
        <v>18</v>
      </c>
      <c r="F1683" s="34">
        <v>0.14901620370370369</v>
      </c>
      <c r="G1683" s="34">
        <v>8.2786779835390938E-3</v>
      </c>
      <c r="H1683" s="33" t="s">
        <v>643</v>
      </c>
      <c r="I1683" s="33" t="s">
        <v>233</v>
      </c>
    </row>
    <row r="1684" spans="1:9" x14ac:dyDescent="0.25">
      <c r="A1684" s="32">
        <v>46253</v>
      </c>
      <c r="B1684" s="33" t="s">
        <v>563</v>
      </c>
      <c r="C1684" s="33" t="s">
        <v>147</v>
      </c>
      <c r="D1684" s="33" t="s">
        <v>147</v>
      </c>
      <c r="E1684">
        <v>14</v>
      </c>
      <c r="F1684" s="34">
        <v>4.1203703703703701E-2</v>
      </c>
      <c r="G1684" s="34">
        <v>2.9431216931216928E-3</v>
      </c>
      <c r="H1684" s="33" t="s">
        <v>193</v>
      </c>
      <c r="I1684" s="33" t="s">
        <v>274</v>
      </c>
    </row>
    <row r="1685" spans="1:9" x14ac:dyDescent="0.25">
      <c r="A1685" s="32">
        <v>46253</v>
      </c>
      <c r="B1685" s="33" t="s">
        <v>563</v>
      </c>
      <c r="C1685" s="33" t="s">
        <v>147</v>
      </c>
      <c r="D1685" s="33" t="s">
        <v>32</v>
      </c>
      <c r="E1685">
        <v>7</v>
      </c>
      <c r="F1685" s="34">
        <v>2.7905092592592592E-2</v>
      </c>
      <c r="G1685" s="34">
        <v>3.9864417989417993E-3</v>
      </c>
      <c r="H1685" s="33" t="s">
        <v>193</v>
      </c>
      <c r="I1685" s="33" t="s">
        <v>274</v>
      </c>
    </row>
    <row r="1686" spans="1:9" x14ac:dyDescent="0.25">
      <c r="A1686" s="32">
        <v>46253</v>
      </c>
      <c r="B1686" s="33" t="s">
        <v>513</v>
      </c>
      <c r="C1686" s="33" t="s">
        <v>105</v>
      </c>
      <c r="D1686" s="33" t="s">
        <v>105</v>
      </c>
      <c r="E1686">
        <v>1</v>
      </c>
      <c r="F1686" s="34">
        <v>2.1076388888888888E-2</v>
      </c>
      <c r="G1686" s="34">
        <v>2.1076388888888888E-2</v>
      </c>
      <c r="H1686" s="33" t="s">
        <v>148</v>
      </c>
      <c r="I1686" s="33" t="s">
        <v>104</v>
      </c>
    </row>
    <row r="1687" spans="1:9" x14ac:dyDescent="0.25">
      <c r="A1687" s="32">
        <v>46253</v>
      </c>
      <c r="B1687" s="33" t="s">
        <v>513</v>
      </c>
      <c r="C1687" s="33" t="s">
        <v>105</v>
      </c>
      <c r="D1687" s="33" t="s">
        <v>32</v>
      </c>
      <c r="E1687">
        <v>11</v>
      </c>
      <c r="F1687" s="34">
        <v>9.0162037037037041E-2</v>
      </c>
      <c r="G1687" s="34">
        <v>8.1965488215488217E-3</v>
      </c>
      <c r="H1687" s="33" t="s">
        <v>148</v>
      </c>
      <c r="I1687" s="33" t="s">
        <v>104</v>
      </c>
    </row>
    <row r="1688" spans="1:9" x14ac:dyDescent="0.25">
      <c r="A1688" s="32">
        <v>46253</v>
      </c>
      <c r="B1688" s="33" t="s">
        <v>550</v>
      </c>
      <c r="C1688" s="33" t="s">
        <v>32</v>
      </c>
      <c r="D1688" s="33" t="s">
        <v>105</v>
      </c>
      <c r="E1688">
        <v>6</v>
      </c>
      <c r="F1688" s="34">
        <v>2.5162037037037038E-2</v>
      </c>
      <c r="G1688" s="34">
        <v>4.1936728395061728E-3</v>
      </c>
      <c r="H1688" s="33" t="s">
        <v>234</v>
      </c>
      <c r="I1688" s="33" t="s">
        <v>233</v>
      </c>
    </row>
    <row r="1689" spans="1:9" x14ac:dyDescent="0.25">
      <c r="A1689" s="32">
        <v>46253</v>
      </c>
      <c r="B1689" s="33" t="s">
        <v>550</v>
      </c>
      <c r="C1689" s="33" t="s">
        <v>32</v>
      </c>
      <c r="D1689" s="33" t="s">
        <v>32</v>
      </c>
      <c r="E1689">
        <v>36</v>
      </c>
      <c r="F1689" s="34">
        <v>0.15680555555555556</v>
      </c>
      <c r="G1689" s="34">
        <v>4.3557098765432097E-3</v>
      </c>
      <c r="H1689" s="33" t="s">
        <v>234</v>
      </c>
      <c r="I1689" s="33" t="s">
        <v>233</v>
      </c>
    </row>
    <row r="1690" spans="1:9" x14ac:dyDescent="0.25">
      <c r="A1690" s="32">
        <v>46253</v>
      </c>
      <c r="B1690" s="33" t="s">
        <v>505</v>
      </c>
      <c r="C1690" s="33" t="s">
        <v>32</v>
      </c>
      <c r="D1690" s="33" t="s">
        <v>105</v>
      </c>
      <c r="E1690">
        <v>8</v>
      </c>
      <c r="F1690" s="34">
        <v>2.7800925925925927E-2</v>
      </c>
      <c r="G1690" s="34">
        <v>3.4751157407407409E-3</v>
      </c>
      <c r="H1690" s="33" t="s">
        <v>34</v>
      </c>
      <c r="I1690" s="33" t="s">
        <v>233</v>
      </c>
    </row>
    <row r="1691" spans="1:9" x14ac:dyDescent="0.25">
      <c r="A1691" s="32">
        <v>46253</v>
      </c>
      <c r="B1691" s="33" t="s">
        <v>505</v>
      </c>
      <c r="C1691" s="33" t="s">
        <v>32</v>
      </c>
      <c r="D1691" s="33" t="s">
        <v>32</v>
      </c>
      <c r="E1691">
        <v>25</v>
      </c>
      <c r="F1691" s="34">
        <v>0.10246527777777778</v>
      </c>
      <c r="G1691" s="34">
        <v>4.098611111111111E-3</v>
      </c>
      <c r="H1691" s="33" t="s">
        <v>34</v>
      </c>
      <c r="I1691" s="33" t="s">
        <v>233</v>
      </c>
    </row>
    <row r="1692" spans="1:9" x14ac:dyDescent="0.25">
      <c r="A1692" s="32">
        <v>46253</v>
      </c>
      <c r="B1692" s="33" t="s">
        <v>551</v>
      </c>
      <c r="C1692" s="33" t="s">
        <v>32</v>
      </c>
      <c r="D1692" s="33" t="s">
        <v>105</v>
      </c>
      <c r="E1692">
        <v>1</v>
      </c>
      <c r="F1692" s="34">
        <v>3.8773148148148148E-3</v>
      </c>
      <c r="G1692" s="34">
        <v>3.8773148148148148E-3</v>
      </c>
      <c r="H1692" s="33" t="s">
        <v>236</v>
      </c>
      <c r="I1692" s="33" t="s">
        <v>233</v>
      </c>
    </row>
    <row r="1693" spans="1:9" x14ac:dyDescent="0.25">
      <c r="A1693" s="32">
        <v>46253</v>
      </c>
      <c r="B1693" s="33" t="s">
        <v>551</v>
      </c>
      <c r="C1693" s="33" t="s">
        <v>32</v>
      </c>
      <c r="D1693" s="33" t="s">
        <v>32</v>
      </c>
      <c r="E1693">
        <v>5</v>
      </c>
      <c r="F1693" s="34">
        <v>1.6377314814814813E-2</v>
      </c>
      <c r="G1693" s="34">
        <v>3.2754629629629627E-3</v>
      </c>
      <c r="H1693" s="33" t="s">
        <v>236</v>
      </c>
      <c r="I1693" s="33" t="s">
        <v>233</v>
      </c>
    </row>
    <row r="1694" spans="1:9" x14ac:dyDescent="0.25">
      <c r="A1694" s="32">
        <v>46253</v>
      </c>
      <c r="B1694" s="33" t="s">
        <v>631</v>
      </c>
      <c r="C1694" s="33" t="s">
        <v>105</v>
      </c>
      <c r="D1694" s="33" t="s">
        <v>105</v>
      </c>
      <c r="E1694">
        <v>2</v>
      </c>
      <c r="F1694" s="34">
        <v>5.4131944444444448E-2</v>
      </c>
      <c r="G1694" s="34">
        <v>2.7065972222222224E-2</v>
      </c>
      <c r="H1694" s="33" t="s">
        <v>608</v>
      </c>
      <c r="I1694" s="33" t="s">
        <v>601</v>
      </c>
    </row>
    <row r="1695" spans="1:9" x14ac:dyDescent="0.25">
      <c r="A1695" s="32">
        <v>46253</v>
      </c>
      <c r="B1695" s="33" t="s">
        <v>631</v>
      </c>
      <c r="C1695" s="33" t="s">
        <v>105</v>
      </c>
      <c r="D1695" s="33" t="s">
        <v>32</v>
      </c>
      <c r="E1695">
        <v>8</v>
      </c>
      <c r="F1695" s="34">
        <v>6.5613425925925922E-2</v>
      </c>
      <c r="G1695" s="34">
        <v>8.2016782407407403E-3</v>
      </c>
      <c r="H1695" s="33" t="s">
        <v>608</v>
      </c>
      <c r="I1695" s="33" t="s">
        <v>601</v>
      </c>
    </row>
    <row r="1696" spans="1:9" x14ac:dyDescent="0.25">
      <c r="A1696" s="32">
        <v>46253</v>
      </c>
      <c r="B1696" s="33" t="s">
        <v>564</v>
      </c>
      <c r="C1696" s="33" t="s">
        <v>105</v>
      </c>
      <c r="D1696" s="33" t="s">
        <v>105</v>
      </c>
      <c r="E1696">
        <v>1</v>
      </c>
      <c r="F1696" s="34">
        <v>2.900462962962963E-2</v>
      </c>
      <c r="G1696" s="34">
        <v>2.900462962962963E-2</v>
      </c>
      <c r="H1696" s="33" t="s">
        <v>197</v>
      </c>
      <c r="I1696" s="33" t="s">
        <v>601</v>
      </c>
    </row>
    <row r="1697" spans="1:9" x14ac:dyDescent="0.25">
      <c r="A1697" s="32">
        <v>46253</v>
      </c>
      <c r="B1697" s="33" t="s">
        <v>564</v>
      </c>
      <c r="C1697" s="33" t="s">
        <v>105</v>
      </c>
      <c r="D1697" s="33" t="s">
        <v>32</v>
      </c>
      <c r="E1697">
        <v>4</v>
      </c>
      <c r="F1697" s="34">
        <v>5.6678240740740737E-2</v>
      </c>
      <c r="G1697" s="34">
        <v>1.4169560185185184E-2</v>
      </c>
      <c r="H1697" s="33" t="s">
        <v>197</v>
      </c>
      <c r="I1697" s="33" t="s">
        <v>601</v>
      </c>
    </row>
    <row r="1698" spans="1:9" x14ac:dyDescent="0.25">
      <c r="A1698" s="32">
        <v>46253</v>
      </c>
      <c r="B1698" s="33" t="s">
        <v>514</v>
      </c>
      <c r="C1698" s="33" t="s">
        <v>147</v>
      </c>
      <c r="D1698" s="33" t="s">
        <v>147</v>
      </c>
      <c r="E1698">
        <v>21</v>
      </c>
      <c r="F1698" s="34">
        <v>4.0555555555555553E-2</v>
      </c>
      <c r="G1698" s="34">
        <v>1.9312169312169312E-3</v>
      </c>
      <c r="H1698" s="33" t="s">
        <v>150</v>
      </c>
      <c r="I1698" s="33" t="s">
        <v>146</v>
      </c>
    </row>
    <row r="1699" spans="1:9" x14ac:dyDescent="0.25">
      <c r="A1699" s="32">
        <v>46253</v>
      </c>
      <c r="B1699" s="33" t="s">
        <v>514</v>
      </c>
      <c r="C1699" s="33" t="s">
        <v>147</v>
      </c>
      <c r="D1699" s="33" t="s">
        <v>32</v>
      </c>
      <c r="E1699">
        <v>5</v>
      </c>
      <c r="F1699" s="34">
        <v>1.1574074074074073E-2</v>
      </c>
      <c r="G1699" s="34">
        <v>2.3148148148148147E-3</v>
      </c>
      <c r="H1699" s="33" t="s">
        <v>150</v>
      </c>
      <c r="I1699" s="33" t="s">
        <v>146</v>
      </c>
    </row>
    <row r="1700" spans="1:9" x14ac:dyDescent="0.25">
      <c r="A1700" s="32">
        <v>46253</v>
      </c>
      <c r="B1700" s="33" t="s">
        <v>515</v>
      </c>
      <c r="C1700" s="33" t="s">
        <v>147</v>
      </c>
      <c r="D1700" s="33" t="s">
        <v>147</v>
      </c>
      <c r="E1700">
        <v>15</v>
      </c>
      <c r="F1700" s="34">
        <v>5.2905092592592594E-2</v>
      </c>
      <c r="G1700" s="34">
        <v>3.5270061728395062E-3</v>
      </c>
      <c r="H1700" s="33" t="s">
        <v>154</v>
      </c>
      <c r="I1700" s="33" t="s">
        <v>146</v>
      </c>
    </row>
    <row r="1701" spans="1:9" x14ac:dyDescent="0.25">
      <c r="A1701" s="32">
        <v>46253</v>
      </c>
      <c r="B1701" s="33" t="s">
        <v>515</v>
      </c>
      <c r="C1701" s="33" t="s">
        <v>147</v>
      </c>
      <c r="D1701" s="33" t="s">
        <v>32</v>
      </c>
      <c r="E1701">
        <v>5</v>
      </c>
      <c r="F1701" s="34">
        <v>2.6817129629629628E-2</v>
      </c>
      <c r="G1701" s="34">
        <v>5.363425925925926E-3</v>
      </c>
      <c r="H1701" s="33" t="s">
        <v>154</v>
      </c>
      <c r="I1701" s="33" t="s">
        <v>146</v>
      </c>
    </row>
    <row r="1702" spans="1:9" x14ac:dyDescent="0.25">
      <c r="A1702" s="32">
        <v>46253</v>
      </c>
      <c r="B1702" s="33" t="s">
        <v>570</v>
      </c>
      <c r="C1702" s="33" t="s">
        <v>105</v>
      </c>
      <c r="D1702" s="33" t="s">
        <v>105</v>
      </c>
      <c r="E1702">
        <v>3</v>
      </c>
      <c r="F1702" s="34">
        <v>0.13758101851851851</v>
      </c>
      <c r="G1702" s="34">
        <v>4.5860339506172833E-2</v>
      </c>
      <c r="H1702" s="33" t="s">
        <v>112</v>
      </c>
      <c r="I1702" s="33" t="s">
        <v>104</v>
      </c>
    </row>
    <row r="1703" spans="1:9" x14ac:dyDescent="0.25">
      <c r="A1703" s="32">
        <v>46253</v>
      </c>
      <c r="B1703" s="33" t="s">
        <v>537</v>
      </c>
      <c r="C1703" s="33" t="s">
        <v>105</v>
      </c>
      <c r="D1703" s="33" t="s">
        <v>105</v>
      </c>
      <c r="E1703">
        <v>5</v>
      </c>
      <c r="F1703" s="34">
        <v>4.0706018518518516E-2</v>
      </c>
      <c r="G1703" s="34">
        <v>8.1412037037037026E-3</v>
      </c>
      <c r="H1703" s="33" t="s">
        <v>42</v>
      </c>
      <c r="I1703" s="33" t="s">
        <v>104</v>
      </c>
    </row>
    <row r="1704" spans="1:9" x14ac:dyDescent="0.25">
      <c r="A1704" s="32">
        <v>46253</v>
      </c>
      <c r="B1704" s="33" t="s">
        <v>537</v>
      </c>
      <c r="C1704" s="33" t="s">
        <v>105</v>
      </c>
      <c r="D1704" s="33" t="s">
        <v>32</v>
      </c>
      <c r="E1704">
        <v>11</v>
      </c>
      <c r="F1704" s="34">
        <v>5.46875E-2</v>
      </c>
      <c r="G1704" s="34">
        <v>4.971590909090909E-3</v>
      </c>
      <c r="H1704" s="33" t="s">
        <v>42</v>
      </c>
      <c r="I1704" s="33" t="s">
        <v>104</v>
      </c>
    </row>
    <row r="1705" spans="1:9" x14ac:dyDescent="0.25">
      <c r="A1705" s="32">
        <v>46253</v>
      </c>
      <c r="B1705" s="33" t="s">
        <v>516</v>
      </c>
      <c r="C1705" s="33" t="s">
        <v>147</v>
      </c>
      <c r="D1705" s="33" t="s">
        <v>147</v>
      </c>
      <c r="E1705">
        <v>12</v>
      </c>
      <c r="F1705" s="34">
        <v>4.1180555555555554E-2</v>
      </c>
      <c r="G1705" s="34">
        <v>3.4317129629629628E-3</v>
      </c>
      <c r="H1705" s="33" t="s">
        <v>156</v>
      </c>
      <c r="I1705" s="33" t="s">
        <v>146</v>
      </c>
    </row>
    <row r="1706" spans="1:9" x14ac:dyDescent="0.25">
      <c r="A1706" s="32">
        <v>46253</v>
      </c>
      <c r="B1706" s="33" t="s">
        <v>516</v>
      </c>
      <c r="C1706" s="33" t="s">
        <v>147</v>
      </c>
      <c r="D1706" s="33" t="s">
        <v>32</v>
      </c>
      <c r="E1706">
        <v>7</v>
      </c>
      <c r="F1706" s="34">
        <v>2.8449074074074075E-2</v>
      </c>
      <c r="G1706" s="34">
        <v>4.0641534391534393E-3</v>
      </c>
      <c r="H1706" s="33" t="s">
        <v>156</v>
      </c>
      <c r="I1706" s="33" t="s">
        <v>146</v>
      </c>
    </row>
    <row r="1707" spans="1:9" x14ac:dyDescent="0.25">
      <c r="A1707" s="32">
        <v>46253</v>
      </c>
      <c r="B1707" s="33" t="s">
        <v>541</v>
      </c>
      <c r="C1707" s="33" t="s">
        <v>105</v>
      </c>
      <c r="D1707" s="33" t="s">
        <v>32</v>
      </c>
      <c r="E1707">
        <v>19</v>
      </c>
      <c r="F1707" s="34">
        <v>8.5138888888888889E-2</v>
      </c>
      <c r="G1707" s="34">
        <v>4.4809941520467834E-3</v>
      </c>
      <c r="H1707" s="33" t="s">
        <v>114</v>
      </c>
      <c r="I1707" s="33" t="s">
        <v>104</v>
      </c>
    </row>
    <row r="1708" spans="1:9" x14ac:dyDescent="0.25">
      <c r="A1708" s="32">
        <v>46253</v>
      </c>
      <c r="B1708" s="33" t="s">
        <v>506</v>
      </c>
      <c r="C1708" s="33" t="s">
        <v>32</v>
      </c>
      <c r="D1708" s="33" t="s">
        <v>32</v>
      </c>
      <c r="E1708">
        <v>29</v>
      </c>
      <c r="F1708" s="34">
        <v>0.14633101851851851</v>
      </c>
      <c r="G1708" s="34">
        <v>5.0458971902937414E-3</v>
      </c>
      <c r="H1708" s="33" t="s">
        <v>44</v>
      </c>
      <c r="I1708" s="33" t="s">
        <v>100</v>
      </c>
    </row>
    <row r="1709" spans="1:9" x14ac:dyDescent="0.25">
      <c r="A1709" s="32">
        <v>46253</v>
      </c>
      <c r="B1709" s="33" t="s">
        <v>632</v>
      </c>
      <c r="C1709" s="33" t="s">
        <v>105</v>
      </c>
      <c r="D1709" s="33" t="s">
        <v>105</v>
      </c>
      <c r="E1709">
        <v>5</v>
      </c>
      <c r="F1709" s="34">
        <v>0.12490740740740741</v>
      </c>
      <c r="G1709" s="34">
        <v>2.4981481481481483E-2</v>
      </c>
      <c r="H1709" s="33" t="s">
        <v>609</v>
      </c>
      <c r="I1709" s="33" t="s">
        <v>601</v>
      </c>
    </row>
    <row r="1710" spans="1:9" x14ac:dyDescent="0.25">
      <c r="A1710" s="32">
        <v>46253</v>
      </c>
      <c r="B1710" s="33" t="s">
        <v>527</v>
      </c>
      <c r="C1710" s="33" t="s">
        <v>32</v>
      </c>
      <c r="D1710" s="33" t="s">
        <v>32</v>
      </c>
      <c r="E1710">
        <v>5</v>
      </c>
      <c r="F1710" s="34">
        <v>3.8854166666666669E-2</v>
      </c>
      <c r="G1710" s="34">
        <v>7.7708333333333336E-3</v>
      </c>
      <c r="H1710" s="33" t="s">
        <v>240</v>
      </c>
      <c r="I1710" s="33" t="s">
        <v>233</v>
      </c>
    </row>
    <row r="1711" spans="1:9" x14ac:dyDescent="0.25">
      <c r="A1711" s="32">
        <v>46253</v>
      </c>
      <c r="B1711" s="33" t="s">
        <v>646</v>
      </c>
      <c r="C1711" s="33" t="s">
        <v>32</v>
      </c>
      <c r="D1711" s="33" t="s">
        <v>32</v>
      </c>
      <c r="E1711">
        <v>39</v>
      </c>
      <c r="F1711" s="34">
        <v>0.16285879629629629</v>
      </c>
      <c r="G1711" s="34">
        <v>4.1758665716999047E-3</v>
      </c>
      <c r="H1711" s="33" t="s">
        <v>645</v>
      </c>
      <c r="I1711" s="33" t="s">
        <v>100</v>
      </c>
    </row>
    <row r="1712" spans="1:9" x14ac:dyDescent="0.25">
      <c r="A1712" s="32">
        <v>46253</v>
      </c>
      <c r="B1712" s="33" t="s">
        <v>544</v>
      </c>
      <c r="C1712" s="33" t="s">
        <v>147</v>
      </c>
      <c r="D1712" s="33" t="s">
        <v>147</v>
      </c>
      <c r="E1712">
        <v>12</v>
      </c>
      <c r="F1712" s="34">
        <v>2.7094907407407408E-2</v>
      </c>
      <c r="G1712" s="34">
        <v>2.257908950617284E-3</v>
      </c>
      <c r="H1712" s="33" t="s">
        <v>160</v>
      </c>
      <c r="I1712" s="33" t="s">
        <v>146</v>
      </c>
    </row>
    <row r="1713" spans="1:9" x14ac:dyDescent="0.25">
      <c r="A1713" s="32">
        <v>46253</v>
      </c>
      <c r="B1713" s="33" t="s">
        <v>544</v>
      </c>
      <c r="C1713" s="33" t="s">
        <v>147</v>
      </c>
      <c r="D1713" s="33" t="s">
        <v>32</v>
      </c>
      <c r="E1713">
        <v>10</v>
      </c>
      <c r="F1713" s="34">
        <v>2.6145833333333333E-2</v>
      </c>
      <c r="G1713" s="34">
        <v>2.6145833333333333E-3</v>
      </c>
      <c r="H1713" s="33" t="s">
        <v>160</v>
      </c>
      <c r="I1713" s="33" t="s">
        <v>146</v>
      </c>
    </row>
    <row r="1714" spans="1:9" x14ac:dyDescent="0.25">
      <c r="A1714" s="32">
        <v>46253</v>
      </c>
      <c r="B1714" s="33" t="s">
        <v>558</v>
      </c>
      <c r="C1714" s="33" t="s">
        <v>32</v>
      </c>
      <c r="D1714" s="33" t="s">
        <v>105</v>
      </c>
      <c r="E1714">
        <v>10</v>
      </c>
      <c r="F1714" s="34">
        <v>1.6087962962962964E-2</v>
      </c>
      <c r="G1714" s="34">
        <v>1.6087962962962963E-3</v>
      </c>
      <c r="H1714" s="33" t="s">
        <v>120</v>
      </c>
      <c r="I1714" s="33" t="s">
        <v>233</v>
      </c>
    </row>
    <row r="1715" spans="1:9" x14ac:dyDescent="0.25">
      <c r="A1715" s="32">
        <v>46253</v>
      </c>
      <c r="B1715" s="33" t="s">
        <v>558</v>
      </c>
      <c r="C1715" s="33" t="s">
        <v>32</v>
      </c>
      <c r="D1715" s="33" t="s">
        <v>32</v>
      </c>
      <c r="E1715">
        <v>33</v>
      </c>
      <c r="F1715" s="34">
        <v>8.9837962962962967E-2</v>
      </c>
      <c r="G1715" s="34">
        <v>2.7223625140291806E-3</v>
      </c>
      <c r="H1715" s="33" t="s">
        <v>120</v>
      </c>
      <c r="I1715" s="33" t="s">
        <v>233</v>
      </c>
    </row>
    <row r="1716" spans="1:9" x14ac:dyDescent="0.25">
      <c r="A1716" s="32">
        <v>46253</v>
      </c>
      <c r="B1716" s="33" t="s">
        <v>507</v>
      </c>
      <c r="C1716" s="33" t="s">
        <v>32</v>
      </c>
      <c r="D1716" s="33" t="s">
        <v>32</v>
      </c>
      <c r="E1716">
        <v>31</v>
      </c>
      <c r="F1716" s="34">
        <v>0.14576388888888889</v>
      </c>
      <c r="G1716" s="34">
        <v>4.7020609318996417E-3</v>
      </c>
      <c r="H1716" s="33" t="s">
        <v>46</v>
      </c>
      <c r="I1716" s="33" t="s">
        <v>100</v>
      </c>
    </row>
    <row r="1717" spans="1:9" x14ac:dyDescent="0.25">
      <c r="A1717" s="32">
        <v>46253</v>
      </c>
      <c r="B1717" s="33" t="s">
        <v>517</v>
      </c>
      <c r="C1717" s="33" t="s">
        <v>147</v>
      </c>
      <c r="D1717" s="33" t="s">
        <v>147</v>
      </c>
      <c r="E1717">
        <v>2</v>
      </c>
      <c r="F1717" s="34">
        <v>1.4918981481481481E-2</v>
      </c>
      <c r="G1717" s="34">
        <v>7.4594907407407405E-3</v>
      </c>
      <c r="H1717" s="33" t="s">
        <v>499</v>
      </c>
      <c r="I1717" s="33" t="s">
        <v>146</v>
      </c>
    </row>
    <row r="1718" spans="1:9" x14ac:dyDescent="0.25">
      <c r="A1718" s="32">
        <v>46253</v>
      </c>
      <c r="B1718" s="33" t="s">
        <v>648</v>
      </c>
      <c r="C1718" s="33" t="s">
        <v>32</v>
      </c>
      <c r="D1718" s="33" t="s">
        <v>105</v>
      </c>
      <c r="E1718">
        <v>4</v>
      </c>
      <c r="F1718" s="34">
        <v>9.4560185185185181E-3</v>
      </c>
      <c r="G1718" s="34">
        <v>2.3640046296296295E-3</v>
      </c>
      <c r="H1718" s="33" t="s">
        <v>647</v>
      </c>
      <c r="I1718" s="33" t="s">
        <v>233</v>
      </c>
    </row>
    <row r="1719" spans="1:9" x14ac:dyDescent="0.25">
      <c r="A1719" s="32">
        <v>46253</v>
      </c>
      <c r="B1719" s="33" t="s">
        <v>648</v>
      </c>
      <c r="C1719" s="33" t="s">
        <v>32</v>
      </c>
      <c r="D1719" s="33" t="s">
        <v>32</v>
      </c>
      <c r="E1719">
        <v>28</v>
      </c>
      <c r="F1719" s="34">
        <v>0.10658564814814815</v>
      </c>
      <c r="G1719" s="34">
        <v>3.8066302910052911E-3</v>
      </c>
      <c r="H1719" s="33" t="s">
        <v>647</v>
      </c>
      <c r="I1719" s="33" t="s">
        <v>233</v>
      </c>
    </row>
    <row r="1720" spans="1:9" x14ac:dyDescent="0.25">
      <c r="A1720" s="32">
        <v>46253</v>
      </c>
      <c r="B1720" s="33" t="s">
        <v>650</v>
      </c>
      <c r="C1720" s="33" t="s">
        <v>105</v>
      </c>
      <c r="D1720" s="33" t="s">
        <v>32</v>
      </c>
      <c r="E1720">
        <v>10</v>
      </c>
      <c r="F1720" s="34">
        <v>6.7349537037037041E-2</v>
      </c>
      <c r="G1720" s="34">
        <v>6.7349537037037039E-3</v>
      </c>
      <c r="H1720" s="33" t="s">
        <v>649</v>
      </c>
      <c r="I1720" s="33" t="s">
        <v>104</v>
      </c>
    </row>
    <row r="1721" spans="1:9" x14ac:dyDescent="0.25">
      <c r="A1721" s="32">
        <v>46253</v>
      </c>
      <c r="B1721" s="33" t="s">
        <v>652</v>
      </c>
      <c r="C1721" s="33" t="s">
        <v>32</v>
      </c>
      <c r="D1721" s="33" t="s">
        <v>32</v>
      </c>
      <c r="E1721">
        <v>17</v>
      </c>
      <c r="F1721" s="34">
        <v>0.14930555555555555</v>
      </c>
      <c r="G1721" s="34">
        <v>8.7826797385620915E-3</v>
      </c>
      <c r="H1721" s="33" t="s">
        <v>651</v>
      </c>
      <c r="I1721" s="33" t="s">
        <v>100</v>
      </c>
    </row>
    <row r="1722" spans="1:9" x14ac:dyDescent="0.25">
      <c r="A1722" s="32">
        <v>46253</v>
      </c>
      <c r="B1722" s="33" t="s">
        <v>568</v>
      </c>
      <c r="C1722" s="33" t="s">
        <v>32</v>
      </c>
      <c r="D1722" s="33" t="s">
        <v>105</v>
      </c>
      <c r="E1722">
        <v>5</v>
      </c>
      <c r="F1722" s="34">
        <v>2.8981481481481483E-2</v>
      </c>
      <c r="G1722" s="34">
        <v>5.7962962962962968E-3</v>
      </c>
      <c r="H1722" s="33" t="s">
        <v>246</v>
      </c>
      <c r="I1722" s="33" t="s">
        <v>233</v>
      </c>
    </row>
    <row r="1723" spans="1:9" x14ac:dyDescent="0.25">
      <c r="A1723" s="32">
        <v>46253</v>
      </c>
      <c r="B1723" s="33" t="s">
        <v>568</v>
      </c>
      <c r="C1723" s="33" t="s">
        <v>32</v>
      </c>
      <c r="D1723" s="33" t="s">
        <v>32</v>
      </c>
      <c r="E1723">
        <v>45</v>
      </c>
      <c r="F1723" s="34">
        <v>0.12729166666666666</v>
      </c>
      <c r="G1723" s="34">
        <v>2.8287037037037035E-3</v>
      </c>
      <c r="H1723" s="33" t="s">
        <v>246</v>
      </c>
      <c r="I1723" s="33" t="s">
        <v>233</v>
      </c>
    </row>
    <row r="1724" spans="1:9" x14ac:dyDescent="0.25">
      <c r="A1724" s="32">
        <v>46253</v>
      </c>
      <c r="B1724" s="33" t="s">
        <v>508</v>
      </c>
      <c r="C1724" s="33" t="s">
        <v>32</v>
      </c>
      <c r="D1724" s="33" t="s">
        <v>32</v>
      </c>
      <c r="E1724">
        <v>31</v>
      </c>
      <c r="F1724" s="34">
        <v>0.10167824074074074</v>
      </c>
      <c r="G1724" s="34">
        <v>3.2799432497013139E-3</v>
      </c>
      <c r="H1724" s="33" t="s">
        <v>48</v>
      </c>
      <c r="I1724" s="33" t="s">
        <v>100</v>
      </c>
    </row>
    <row r="1725" spans="1:9" x14ac:dyDescent="0.25">
      <c r="A1725" s="32">
        <v>46253</v>
      </c>
      <c r="B1725" s="33" t="s">
        <v>603</v>
      </c>
      <c r="C1725" s="33" t="s">
        <v>32</v>
      </c>
      <c r="D1725" s="33" t="s">
        <v>105</v>
      </c>
      <c r="E1725">
        <v>4</v>
      </c>
      <c r="F1725" s="34">
        <v>2.4826388888888887E-2</v>
      </c>
      <c r="G1725" s="34">
        <v>6.2065972222222219E-3</v>
      </c>
      <c r="H1725" s="33" t="s">
        <v>242</v>
      </c>
      <c r="I1725" s="33" t="s">
        <v>233</v>
      </c>
    </row>
    <row r="1726" spans="1:9" x14ac:dyDescent="0.25">
      <c r="A1726" s="32">
        <v>46253</v>
      </c>
      <c r="B1726" s="33" t="s">
        <v>603</v>
      </c>
      <c r="C1726" s="33" t="s">
        <v>32</v>
      </c>
      <c r="D1726" s="33" t="s">
        <v>32</v>
      </c>
      <c r="E1726">
        <v>23</v>
      </c>
      <c r="F1726" s="34">
        <v>0.14577546296296295</v>
      </c>
      <c r="G1726" s="34">
        <v>6.3380636070853461E-3</v>
      </c>
      <c r="H1726" s="33" t="s">
        <v>242</v>
      </c>
      <c r="I1726" s="33" t="s">
        <v>233</v>
      </c>
    </row>
    <row r="1727" spans="1:9" x14ac:dyDescent="0.25">
      <c r="A1727" s="32">
        <v>46253</v>
      </c>
      <c r="B1727" s="33" t="s">
        <v>559</v>
      </c>
      <c r="C1727" s="33" t="s">
        <v>105</v>
      </c>
      <c r="D1727" s="33" t="s">
        <v>105</v>
      </c>
      <c r="E1727">
        <v>2</v>
      </c>
      <c r="F1727" s="34">
        <v>4.8125000000000001E-2</v>
      </c>
      <c r="G1727" s="34">
        <v>2.4062500000000001E-2</v>
      </c>
      <c r="H1727" s="33" t="s">
        <v>289</v>
      </c>
      <c r="I1727" s="33" t="s">
        <v>104</v>
      </c>
    </row>
    <row r="1728" spans="1:9" x14ac:dyDescent="0.25">
      <c r="A1728" s="32">
        <v>46253</v>
      </c>
      <c r="B1728" s="33" t="s">
        <v>559</v>
      </c>
      <c r="C1728" s="33" t="s">
        <v>105</v>
      </c>
      <c r="D1728" s="33" t="s">
        <v>32</v>
      </c>
      <c r="E1728">
        <v>9</v>
      </c>
      <c r="F1728" s="34">
        <v>4.0347222222222222E-2</v>
      </c>
      <c r="G1728" s="34">
        <v>4.483024691358025E-3</v>
      </c>
      <c r="H1728" s="33" t="s">
        <v>289</v>
      </c>
      <c r="I1728" s="33" t="s">
        <v>104</v>
      </c>
    </row>
    <row r="1729" spans="1:9" x14ac:dyDescent="0.25">
      <c r="A1729" s="32">
        <v>46253</v>
      </c>
      <c r="B1729" s="33" t="s">
        <v>518</v>
      </c>
      <c r="C1729" s="33" t="s">
        <v>147</v>
      </c>
      <c r="D1729" s="33" t="s">
        <v>147</v>
      </c>
      <c r="E1729">
        <v>12</v>
      </c>
      <c r="F1729" s="34">
        <v>3.5219907407407408E-2</v>
      </c>
      <c r="G1729" s="34">
        <v>2.9349922839506173E-3</v>
      </c>
      <c r="H1729" s="33" t="s">
        <v>500</v>
      </c>
      <c r="I1729" s="33" t="s">
        <v>274</v>
      </c>
    </row>
    <row r="1730" spans="1:9" x14ac:dyDescent="0.25">
      <c r="A1730" s="32">
        <v>46253</v>
      </c>
      <c r="B1730" s="33" t="s">
        <v>518</v>
      </c>
      <c r="C1730" s="33" t="s">
        <v>147</v>
      </c>
      <c r="D1730" s="33" t="s">
        <v>32</v>
      </c>
      <c r="E1730">
        <v>8</v>
      </c>
      <c r="F1730" s="34">
        <v>3.5567129629629629E-2</v>
      </c>
      <c r="G1730" s="34">
        <v>4.4458912037037036E-3</v>
      </c>
      <c r="H1730" s="33" t="s">
        <v>500</v>
      </c>
      <c r="I1730" s="33" t="s">
        <v>274</v>
      </c>
    </row>
    <row r="1731" spans="1:9" x14ac:dyDescent="0.25">
      <c r="A1731" s="32">
        <v>46253</v>
      </c>
      <c r="B1731" s="33" t="s">
        <v>684</v>
      </c>
      <c r="C1731" s="33" t="s">
        <v>32</v>
      </c>
      <c r="D1731" s="33" t="s">
        <v>105</v>
      </c>
      <c r="E1731">
        <v>4</v>
      </c>
      <c r="F1731" s="34">
        <v>2.4212962962962964E-2</v>
      </c>
      <c r="G1731" s="34">
        <v>6.053240740740741E-3</v>
      </c>
      <c r="H1731" s="33" t="s">
        <v>683</v>
      </c>
      <c r="I1731" s="33" t="s">
        <v>233</v>
      </c>
    </row>
    <row r="1732" spans="1:9" x14ac:dyDescent="0.25">
      <c r="A1732" s="32">
        <v>46253</v>
      </c>
      <c r="B1732" s="33" t="s">
        <v>684</v>
      </c>
      <c r="C1732" s="33" t="s">
        <v>32</v>
      </c>
      <c r="D1732" s="33" t="s">
        <v>32</v>
      </c>
      <c r="E1732">
        <v>27</v>
      </c>
      <c r="F1732" s="34">
        <v>9.707175925925926E-2</v>
      </c>
      <c r="G1732" s="34">
        <v>3.595250342935528E-3</v>
      </c>
      <c r="H1732" s="33" t="s">
        <v>683</v>
      </c>
      <c r="I1732" s="33" t="s">
        <v>233</v>
      </c>
    </row>
    <row r="1733" spans="1:9" x14ac:dyDescent="0.25">
      <c r="A1733" s="32">
        <v>46253</v>
      </c>
      <c r="B1733" s="33" t="s">
        <v>654</v>
      </c>
      <c r="C1733" s="33" t="s">
        <v>32</v>
      </c>
      <c r="D1733" s="33" t="s">
        <v>32</v>
      </c>
      <c r="E1733">
        <v>31</v>
      </c>
      <c r="F1733" s="34">
        <v>0.16087962962962962</v>
      </c>
      <c r="G1733" s="34">
        <v>5.1896654719235363E-3</v>
      </c>
      <c r="H1733" s="33" t="s">
        <v>653</v>
      </c>
      <c r="I1733" s="33" t="s">
        <v>100</v>
      </c>
    </row>
    <row r="1734" spans="1:9" x14ac:dyDescent="0.25">
      <c r="A1734" s="32">
        <v>46253</v>
      </c>
      <c r="B1734" s="33" t="s">
        <v>519</v>
      </c>
      <c r="C1734" s="33" t="s">
        <v>147</v>
      </c>
      <c r="D1734" s="33" t="s">
        <v>147</v>
      </c>
      <c r="E1734">
        <v>12</v>
      </c>
      <c r="F1734" s="34">
        <v>8.3171296296296299E-2</v>
      </c>
      <c r="G1734" s="34">
        <v>6.9309413580246918E-3</v>
      </c>
      <c r="H1734" s="33" t="s">
        <v>164</v>
      </c>
      <c r="I1734" s="33" t="s">
        <v>146</v>
      </c>
    </row>
    <row r="1735" spans="1:9" x14ac:dyDescent="0.25">
      <c r="A1735" s="32">
        <v>46253</v>
      </c>
      <c r="B1735" s="33" t="s">
        <v>519</v>
      </c>
      <c r="C1735" s="33" t="s">
        <v>147</v>
      </c>
      <c r="D1735" s="33" t="s">
        <v>32</v>
      </c>
      <c r="E1735">
        <v>11</v>
      </c>
      <c r="F1735" s="34">
        <v>2.3680555555555555E-2</v>
      </c>
      <c r="G1735" s="34">
        <v>2.1527777777777778E-3</v>
      </c>
      <c r="H1735" s="33" t="s">
        <v>164</v>
      </c>
      <c r="I1735" s="33" t="s">
        <v>146</v>
      </c>
    </row>
    <row r="1736" spans="1:9" x14ac:dyDescent="0.25">
      <c r="A1736" s="32">
        <v>46253</v>
      </c>
      <c r="B1736" s="33" t="s">
        <v>656</v>
      </c>
      <c r="C1736" s="33" t="s">
        <v>32</v>
      </c>
      <c r="D1736" s="33" t="s">
        <v>32</v>
      </c>
      <c r="E1736">
        <v>25</v>
      </c>
      <c r="F1736" s="34">
        <v>0.1506712962962963</v>
      </c>
      <c r="G1736" s="34">
        <v>6.0268518518518518E-3</v>
      </c>
      <c r="H1736" s="33" t="s">
        <v>655</v>
      </c>
      <c r="I1736" s="33" t="s">
        <v>100</v>
      </c>
    </row>
    <row r="1737" spans="1:9" x14ac:dyDescent="0.25">
      <c r="A1737" s="32">
        <v>46253</v>
      </c>
      <c r="B1737" s="33" t="s">
        <v>167</v>
      </c>
      <c r="C1737" s="33" t="s">
        <v>147</v>
      </c>
      <c r="D1737" s="33" t="s">
        <v>147</v>
      </c>
      <c r="E1737">
        <v>14</v>
      </c>
      <c r="F1737" s="34">
        <v>5.451388888888889E-2</v>
      </c>
      <c r="G1737" s="34">
        <v>3.8938492063492064E-3</v>
      </c>
      <c r="H1737" s="33" t="s">
        <v>166</v>
      </c>
      <c r="I1737" s="33" t="s">
        <v>146</v>
      </c>
    </row>
    <row r="1738" spans="1:9" x14ac:dyDescent="0.25">
      <c r="A1738" s="32">
        <v>46253</v>
      </c>
      <c r="B1738" s="33" t="s">
        <v>167</v>
      </c>
      <c r="C1738" s="33" t="s">
        <v>147</v>
      </c>
      <c r="D1738" s="33" t="s">
        <v>32</v>
      </c>
      <c r="E1738">
        <v>2</v>
      </c>
      <c r="F1738" s="34">
        <v>9.837962962962962E-4</v>
      </c>
      <c r="G1738" s="34">
        <v>4.918981481481481E-4</v>
      </c>
      <c r="H1738" s="33" t="s">
        <v>166</v>
      </c>
      <c r="I1738" s="33" t="s">
        <v>146</v>
      </c>
    </row>
    <row r="1739" spans="1:9" x14ac:dyDescent="0.25">
      <c r="A1739" s="32">
        <v>46253</v>
      </c>
      <c r="B1739" s="33" t="s">
        <v>658</v>
      </c>
      <c r="C1739" s="33" t="s">
        <v>147</v>
      </c>
      <c r="D1739" s="33" t="s">
        <v>147</v>
      </c>
      <c r="E1739">
        <v>14</v>
      </c>
      <c r="F1739" s="34">
        <v>4.8449074074074075E-2</v>
      </c>
      <c r="G1739" s="34">
        <v>3.460648148148148E-3</v>
      </c>
      <c r="H1739" s="33" t="s">
        <v>657</v>
      </c>
      <c r="I1739" s="33" t="s">
        <v>274</v>
      </c>
    </row>
    <row r="1740" spans="1:9" x14ac:dyDescent="0.25">
      <c r="A1740" s="32">
        <v>46253</v>
      </c>
      <c r="B1740" s="33" t="s">
        <v>658</v>
      </c>
      <c r="C1740" s="33" t="s">
        <v>147</v>
      </c>
      <c r="D1740" s="33" t="s">
        <v>32</v>
      </c>
      <c r="E1740">
        <v>4</v>
      </c>
      <c r="F1740" s="34">
        <v>1.2627314814814815E-2</v>
      </c>
      <c r="G1740" s="34">
        <v>3.1568287037037038E-3</v>
      </c>
      <c r="H1740" s="33" t="s">
        <v>657</v>
      </c>
      <c r="I1740" s="33" t="s">
        <v>274</v>
      </c>
    </row>
    <row r="1741" spans="1:9" x14ac:dyDescent="0.25">
      <c r="A1741" s="32">
        <v>46253</v>
      </c>
      <c r="B1741" s="33" t="s">
        <v>528</v>
      </c>
      <c r="C1741" s="33" t="s">
        <v>32</v>
      </c>
      <c r="D1741" s="33" t="s">
        <v>32</v>
      </c>
      <c r="E1741">
        <v>18</v>
      </c>
      <c r="F1741" s="34">
        <v>0.10266203703703704</v>
      </c>
      <c r="G1741" s="34">
        <v>5.7034465020576134E-3</v>
      </c>
      <c r="H1741" s="33" t="s">
        <v>254</v>
      </c>
      <c r="I1741" s="33" t="s">
        <v>233</v>
      </c>
    </row>
    <row r="1742" spans="1:9" x14ac:dyDescent="0.25">
      <c r="A1742" s="32">
        <v>46253</v>
      </c>
      <c r="B1742" s="33" t="s">
        <v>545</v>
      </c>
      <c r="C1742" s="33" t="s">
        <v>600</v>
      </c>
      <c r="D1742" s="33" t="s">
        <v>600</v>
      </c>
      <c r="E1742">
        <v>25</v>
      </c>
      <c r="F1742" s="34">
        <v>9.0613425925925931E-2</v>
      </c>
      <c r="G1742" s="34">
        <v>3.6245370370370372E-3</v>
      </c>
      <c r="H1742" s="33" t="s">
        <v>201</v>
      </c>
      <c r="I1742" s="33" t="s">
        <v>601</v>
      </c>
    </row>
    <row r="1743" spans="1:9" x14ac:dyDescent="0.25">
      <c r="A1743" s="32">
        <v>46253</v>
      </c>
      <c r="B1743" s="33" t="s">
        <v>520</v>
      </c>
      <c r="C1743" s="33" t="s">
        <v>147</v>
      </c>
      <c r="D1743" s="33" t="s">
        <v>147</v>
      </c>
      <c r="E1743">
        <v>9</v>
      </c>
      <c r="F1743" s="34">
        <v>1.3657407407407408E-2</v>
      </c>
      <c r="G1743" s="34">
        <v>1.5174897119341565E-3</v>
      </c>
      <c r="H1743" s="33" t="s">
        <v>168</v>
      </c>
      <c r="I1743" s="33" t="s">
        <v>274</v>
      </c>
    </row>
    <row r="1744" spans="1:9" x14ac:dyDescent="0.25">
      <c r="A1744" s="32">
        <v>46253</v>
      </c>
      <c r="B1744" s="33" t="s">
        <v>520</v>
      </c>
      <c r="C1744" s="33" t="s">
        <v>147</v>
      </c>
      <c r="D1744" s="33" t="s">
        <v>32</v>
      </c>
      <c r="E1744">
        <v>6</v>
      </c>
      <c r="F1744" s="34">
        <v>2.4965277777777777E-2</v>
      </c>
      <c r="G1744" s="34">
        <v>4.1608796296296298E-3</v>
      </c>
      <c r="H1744" s="33" t="s">
        <v>168</v>
      </c>
      <c r="I1744" s="33" t="s">
        <v>274</v>
      </c>
    </row>
    <row r="1745" spans="1:9" x14ac:dyDescent="0.25">
      <c r="A1745" s="32">
        <v>46253</v>
      </c>
      <c r="B1745" s="33" t="s">
        <v>521</v>
      </c>
      <c r="C1745" s="33" t="s">
        <v>147</v>
      </c>
      <c r="D1745" s="33" t="s">
        <v>147</v>
      </c>
      <c r="E1745">
        <v>8</v>
      </c>
      <c r="F1745" s="34">
        <v>3.9328703703703706E-2</v>
      </c>
      <c r="G1745" s="34">
        <v>4.9160879629629632E-3</v>
      </c>
      <c r="H1745" s="33" t="s">
        <v>170</v>
      </c>
      <c r="I1745" s="33" t="s">
        <v>146</v>
      </c>
    </row>
    <row r="1746" spans="1:9" x14ac:dyDescent="0.25">
      <c r="A1746" s="32">
        <v>46253</v>
      </c>
      <c r="B1746" s="33" t="s">
        <v>521</v>
      </c>
      <c r="C1746" s="33" t="s">
        <v>147</v>
      </c>
      <c r="D1746" s="33" t="s">
        <v>32</v>
      </c>
      <c r="E1746">
        <v>6</v>
      </c>
      <c r="F1746" s="34">
        <v>1.2349537037037037E-2</v>
      </c>
      <c r="G1746" s="34">
        <v>2.0582561728395062E-3</v>
      </c>
      <c r="H1746" s="33" t="s">
        <v>170</v>
      </c>
      <c r="I1746" s="33" t="s">
        <v>146</v>
      </c>
    </row>
    <row r="1747" spans="1:9" x14ac:dyDescent="0.25">
      <c r="A1747" s="32">
        <v>46253</v>
      </c>
      <c r="B1747" s="33" t="s">
        <v>543</v>
      </c>
      <c r="C1747" s="33" t="s">
        <v>600</v>
      </c>
      <c r="D1747" s="33" t="s">
        <v>600</v>
      </c>
      <c r="E1747">
        <v>45</v>
      </c>
      <c r="F1747" s="34">
        <v>7.7430555555555558E-2</v>
      </c>
      <c r="G1747" s="34">
        <v>1.7206790123456791E-3</v>
      </c>
      <c r="H1747" s="33" t="s">
        <v>293</v>
      </c>
      <c r="I1747" s="33" t="s">
        <v>104</v>
      </c>
    </row>
    <row r="1748" spans="1:9" x14ac:dyDescent="0.25">
      <c r="A1748" s="32">
        <v>46253</v>
      </c>
      <c r="B1748" s="33" t="s">
        <v>633</v>
      </c>
      <c r="C1748" s="33" t="s">
        <v>147</v>
      </c>
      <c r="D1748" s="33" t="s">
        <v>147</v>
      </c>
      <c r="E1748">
        <v>3</v>
      </c>
      <c r="F1748" s="34">
        <v>1.9560185185185184E-2</v>
      </c>
      <c r="G1748" s="34">
        <v>6.520061728395061E-3</v>
      </c>
      <c r="H1748" s="33" t="s">
        <v>606</v>
      </c>
      <c r="I1748" s="33" t="s">
        <v>146</v>
      </c>
    </row>
    <row r="1749" spans="1:9" x14ac:dyDescent="0.25">
      <c r="A1749" s="32">
        <v>46253</v>
      </c>
      <c r="B1749" s="33" t="s">
        <v>633</v>
      </c>
      <c r="C1749" s="33" t="s">
        <v>147</v>
      </c>
      <c r="D1749" s="33" t="s">
        <v>32</v>
      </c>
      <c r="E1749">
        <v>5</v>
      </c>
      <c r="F1749" s="34">
        <v>4.7719907407407405E-2</v>
      </c>
      <c r="G1749" s="34">
        <v>9.5439814814814814E-3</v>
      </c>
      <c r="H1749" s="33" t="s">
        <v>606</v>
      </c>
      <c r="I1749" s="33" t="s">
        <v>146</v>
      </c>
    </row>
    <row r="1750" spans="1:9" x14ac:dyDescent="0.25">
      <c r="A1750" s="32">
        <v>46253</v>
      </c>
      <c r="B1750" s="33" t="s">
        <v>634</v>
      </c>
      <c r="C1750" s="33" t="s">
        <v>105</v>
      </c>
      <c r="D1750" s="33" t="s">
        <v>105</v>
      </c>
      <c r="E1750">
        <v>1</v>
      </c>
      <c r="F1750" s="34">
        <v>2.792824074074074E-2</v>
      </c>
      <c r="G1750" s="34">
        <v>2.792824074074074E-2</v>
      </c>
      <c r="H1750" s="33" t="s">
        <v>612</v>
      </c>
      <c r="I1750" s="33" t="s">
        <v>601</v>
      </c>
    </row>
    <row r="1751" spans="1:9" x14ac:dyDescent="0.25">
      <c r="A1751" s="32">
        <v>46253</v>
      </c>
      <c r="B1751" s="33" t="s">
        <v>529</v>
      </c>
      <c r="C1751" s="33" t="s">
        <v>32</v>
      </c>
      <c r="D1751" s="33" t="s">
        <v>32</v>
      </c>
      <c r="E1751">
        <v>23</v>
      </c>
      <c r="F1751" s="34">
        <v>0.14369212962962963</v>
      </c>
      <c r="G1751" s="34">
        <v>6.2474838969404185E-3</v>
      </c>
      <c r="H1751" s="33" t="s">
        <v>256</v>
      </c>
      <c r="I1751" s="33" t="s">
        <v>233</v>
      </c>
    </row>
    <row r="1752" spans="1:9" x14ac:dyDescent="0.25">
      <c r="A1752" s="32">
        <v>46253</v>
      </c>
      <c r="B1752" s="33" t="s">
        <v>662</v>
      </c>
      <c r="C1752" s="33" t="s">
        <v>32</v>
      </c>
      <c r="D1752" s="33" t="s">
        <v>32</v>
      </c>
      <c r="E1752">
        <v>20</v>
      </c>
      <c r="F1752" s="34">
        <v>0.15082175925925925</v>
      </c>
      <c r="G1752" s="34">
        <v>7.541087962962963E-3</v>
      </c>
      <c r="H1752" s="33" t="s">
        <v>661</v>
      </c>
      <c r="I1752" s="33" t="s">
        <v>100</v>
      </c>
    </row>
    <row r="1753" spans="1:9" x14ac:dyDescent="0.25">
      <c r="A1753" s="32">
        <v>46253</v>
      </c>
      <c r="B1753" s="33" t="s">
        <v>666</v>
      </c>
      <c r="C1753" s="33" t="s">
        <v>32</v>
      </c>
      <c r="D1753" s="33" t="s">
        <v>32</v>
      </c>
      <c r="E1753">
        <v>38</v>
      </c>
      <c r="F1753" s="34">
        <v>0.13447916666666668</v>
      </c>
      <c r="G1753" s="34">
        <v>3.5389254385964916E-3</v>
      </c>
      <c r="H1753" s="33" t="s">
        <v>665</v>
      </c>
      <c r="I1753" s="33" t="s">
        <v>100</v>
      </c>
    </row>
    <row r="1754" spans="1:9" x14ac:dyDescent="0.25">
      <c r="A1754" s="32">
        <v>46253</v>
      </c>
      <c r="B1754" s="33" t="s">
        <v>530</v>
      </c>
      <c r="C1754" s="33" t="s">
        <v>80</v>
      </c>
      <c r="D1754" s="33" t="s">
        <v>32</v>
      </c>
      <c r="E1754">
        <v>1</v>
      </c>
      <c r="F1754" s="34">
        <v>7.1180555555555554E-3</v>
      </c>
      <c r="G1754" s="34">
        <v>7.1180555555555554E-3</v>
      </c>
      <c r="H1754" s="33" t="s">
        <v>264</v>
      </c>
      <c r="I1754" s="33" t="s">
        <v>78</v>
      </c>
    </row>
    <row r="1755" spans="1:9" x14ac:dyDescent="0.25">
      <c r="A1755" s="32">
        <v>46253</v>
      </c>
      <c r="B1755" s="33" t="s">
        <v>555</v>
      </c>
      <c r="C1755" s="33" t="s">
        <v>32</v>
      </c>
      <c r="D1755" s="33" t="s">
        <v>105</v>
      </c>
      <c r="E1755">
        <v>5</v>
      </c>
      <c r="F1755" s="34">
        <v>2.6782407407407408E-2</v>
      </c>
      <c r="G1755" s="34">
        <v>5.3564814814814812E-3</v>
      </c>
      <c r="H1755" s="33" t="s">
        <v>128</v>
      </c>
      <c r="I1755" s="33" t="s">
        <v>233</v>
      </c>
    </row>
    <row r="1756" spans="1:9" x14ac:dyDescent="0.25">
      <c r="A1756" s="32">
        <v>46253</v>
      </c>
      <c r="B1756" s="33" t="s">
        <v>555</v>
      </c>
      <c r="C1756" s="33" t="s">
        <v>32</v>
      </c>
      <c r="D1756" s="33" t="s">
        <v>32</v>
      </c>
      <c r="E1756">
        <v>29</v>
      </c>
      <c r="F1756" s="34">
        <v>7.9814814814814811E-2</v>
      </c>
      <c r="G1756" s="34">
        <v>2.7522349936143038E-3</v>
      </c>
      <c r="H1756" s="33" t="s">
        <v>128</v>
      </c>
      <c r="I1756" s="33" t="s">
        <v>233</v>
      </c>
    </row>
    <row r="1757" spans="1:9" x14ac:dyDescent="0.25">
      <c r="A1757" s="32">
        <v>46253</v>
      </c>
      <c r="B1757" s="33" t="s">
        <v>522</v>
      </c>
      <c r="C1757" s="33" t="s">
        <v>147</v>
      </c>
      <c r="D1757" s="33" t="s">
        <v>147</v>
      </c>
      <c r="E1757">
        <v>11</v>
      </c>
      <c r="F1757" s="34">
        <v>0.06</v>
      </c>
      <c r="G1757" s="34">
        <v>5.4545454545454541E-3</v>
      </c>
      <c r="H1757" s="33" t="s">
        <v>178</v>
      </c>
      <c r="I1757" s="33" t="s">
        <v>146</v>
      </c>
    </row>
    <row r="1758" spans="1:9" x14ac:dyDescent="0.25">
      <c r="A1758" s="32">
        <v>46253</v>
      </c>
      <c r="B1758" s="33" t="s">
        <v>522</v>
      </c>
      <c r="C1758" s="33" t="s">
        <v>147</v>
      </c>
      <c r="D1758" s="33" t="s">
        <v>32</v>
      </c>
      <c r="E1758">
        <v>7</v>
      </c>
      <c r="F1758" s="34">
        <v>4.400462962962963E-2</v>
      </c>
      <c r="G1758" s="34">
        <v>6.2863756613756611E-3</v>
      </c>
      <c r="H1758" s="33" t="s">
        <v>178</v>
      </c>
      <c r="I1758" s="33" t="s">
        <v>146</v>
      </c>
    </row>
    <row r="1759" spans="1:9" x14ac:dyDescent="0.25">
      <c r="A1759" s="32">
        <v>46253</v>
      </c>
      <c r="B1759" s="33" t="s">
        <v>531</v>
      </c>
      <c r="C1759" s="33" t="s">
        <v>32</v>
      </c>
      <c r="D1759" s="33" t="s">
        <v>32</v>
      </c>
      <c r="E1759">
        <v>2</v>
      </c>
      <c r="F1759" s="34">
        <v>7.6504629629629631E-3</v>
      </c>
      <c r="G1759" s="34">
        <v>3.8252314814814815E-3</v>
      </c>
      <c r="H1759" s="33" t="s">
        <v>266</v>
      </c>
      <c r="I1759" s="33" t="s">
        <v>233</v>
      </c>
    </row>
    <row r="1760" spans="1:9" x14ac:dyDescent="0.25">
      <c r="A1760" s="32">
        <v>46253</v>
      </c>
      <c r="B1760" s="33" t="s">
        <v>667</v>
      </c>
      <c r="C1760" s="33" t="s">
        <v>105</v>
      </c>
      <c r="D1760" s="33" t="s">
        <v>105</v>
      </c>
      <c r="E1760">
        <v>4</v>
      </c>
      <c r="F1760" s="34">
        <v>7.4062500000000003E-2</v>
      </c>
      <c r="G1760" s="34">
        <v>1.8515625000000001E-2</v>
      </c>
      <c r="H1760" s="33" t="s">
        <v>297</v>
      </c>
      <c r="I1760" s="33" t="s">
        <v>104</v>
      </c>
    </row>
    <row r="1761" spans="1:9" x14ac:dyDescent="0.25">
      <c r="A1761" s="32">
        <v>46253</v>
      </c>
      <c r="B1761" s="33" t="s">
        <v>523</v>
      </c>
      <c r="C1761" s="33" t="s">
        <v>147</v>
      </c>
      <c r="D1761" s="33" t="s">
        <v>147</v>
      </c>
      <c r="E1761">
        <v>9</v>
      </c>
      <c r="F1761" s="34">
        <v>3.5509259259259261E-2</v>
      </c>
      <c r="G1761" s="34">
        <v>3.9454732510288068E-3</v>
      </c>
      <c r="H1761" s="33" t="s">
        <v>180</v>
      </c>
      <c r="I1761" s="33" t="s">
        <v>146</v>
      </c>
    </row>
    <row r="1762" spans="1:9" x14ac:dyDescent="0.25">
      <c r="A1762" s="32">
        <v>46253</v>
      </c>
      <c r="B1762" s="33" t="s">
        <v>523</v>
      </c>
      <c r="C1762" s="33" t="s">
        <v>147</v>
      </c>
      <c r="D1762" s="33" t="s">
        <v>32</v>
      </c>
      <c r="E1762">
        <v>8</v>
      </c>
      <c r="F1762" s="34">
        <v>1.7476851851851851E-2</v>
      </c>
      <c r="G1762" s="34">
        <v>2.1846064814814814E-3</v>
      </c>
      <c r="H1762" s="33" t="s">
        <v>180</v>
      </c>
      <c r="I1762" s="33" t="s">
        <v>146</v>
      </c>
    </row>
    <row r="1763" spans="1:9" x14ac:dyDescent="0.25">
      <c r="A1763" s="32">
        <v>46253</v>
      </c>
      <c r="B1763" s="33" t="s">
        <v>97</v>
      </c>
      <c r="C1763" s="33" t="s">
        <v>80</v>
      </c>
      <c r="D1763" s="33" t="s">
        <v>32</v>
      </c>
      <c r="E1763">
        <v>1</v>
      </c>
      <c r="F1763" s="34">
        <v>1.9155092592592592E-2</v>
      </c>
      <c r="G1763" s="34">
        <v>1.9155092592592592E-2</v>
      </c>
      <c r="H1763" s="33" t="s">
        <v>96</v>
      </c>
      <c r="I1763" s="33" t="s">
        <v>78</v>
      </c>
    </row>
    <row r="1764" spans="1:9" x14ac:dyDescent="0.25">
      <c r="A1764" s="32">
        <v>46253</v>
      </c>
      <c r="B1764" s="33" t="s">
        <v>566</v>
      </c>
      <c r="C1764" s="33" t="s">
        <v>147</v>
      </c>
      <c r="D1764" s="33" t="s">
        <v>147</v>
      </c>
      <c r="E1764">
        <v>16</v>
      </c>
      <c r="F1764" s="34">
        <v>4.4097222222222225E-2</v>
      </c>
      <c r="G1764" s="34">
        <v>2.7560763888888891E-3</v>
      </c>
      <c r="H1764" s="33" t="s">
        <v>207</v>
      </c>
      <c r="I1764" s="33" t="s">
        <v>274</v>
      </c>
    </row>
    <row r="1765" spans="1:9" x14ac:dyDescent="0.25">
      <c r="A1765" s="32">
        <v>46253</v>
      </c>
      <c r="B1765" s="33" t="s">
        <v>566</v>
      </c>
      <c r="C1765" s="33" t="s">
        <v>147</v>
      </c>
      <c r="D1765" s="33" t="s">
        <v>32</v>
      </c>
      <c r="E1765">
        <v>6</v>
      </c>
      <c r="F1765" s="34">
        <v>1.2002314814814815E-2</v>
      </c>
      <c r="G1765" s="34">
        <v>2.0003858024691358E-3</v>
      </c>
      <c r="H1765" s="33" t="s">
        <v>207</v>
      </c>
      <c r="I1765" s="33" t="s">
        <v>274</v>
      </c>
    </row>
    <row r="1766" spans="1:9" x14ac:dyDescent="0.25">
      <c r="A1766" s="32">
        <v>46253</v>
      </c>
      <c r="B1766" s="33" t="s">
        <v>637</v>
      </c>
      <c r="C1766" s="33" t="s">
        <v>105</v>
      </c>
      <c r="D1766" s="33" t="s">
        <v>105</v>
      </c>
      <c r="E1766">
        <v>2</v>
      </c>
      <c r="F1766" s="34">
        <v>4.6238425925925926E-2</v>
      </c>
      <c r="G1766" s="34">
        <v>2.3119212962962963E-2</v>
      </c>
      <c r="H1766" s="33" t="s">
        <v>616</v>
      </c>
      <c r="I1766" s="33" t="s">
        <v>601</v>
      </c>
    </row>
    <row r="1767" spans="1:9" x14ac:dyDescent="0.25">
      <c r="A1767" s="32">
        <v>46253</v>
      </c>
      <c r="B1767" s="33" t="s">
        <v>637</v>
      </c>
      <c r="C1767" s="33" t="s">
        <v>105</v>
      </c>
      <c r="D1767" s="33" t="s">
        <v>32</v>
      </c>
      <c r="E1767">
        <v>7</v>
      </c>
      <c r="F1767" s="34">
        <v>2.5057870370370369E-2</v>
      </c>
      <c r="G1767" s="34">
        <v>3.5796957671957669E-3</v>
      </c>
      <c r="H1767" s="33" t="s">
        <v>616</v>
      </c>
      <c r="I1767" s="33" t="s">
        <v>601</v>
      </c>
    </row>
    <row r="1768" spans="1:9" x14ac:dyDescent="0.25">
      <c r="A1768" s="32">
        <v>46253</v>
      </c>
      <c r="B1768" s="33" t="s">
        <v>567</v>
      </c>
      <c r="C1768" s="33" t="s">
        <v>105</v>
      </c>
      <c r="D1768" s="33" t="s">
        <v>105</v>
      </c>
      <c r="E1768">
        <v>3</v>
      </c>
      <c r="F1768" s="34">
        <v>8.548611111111111E-2</v>
      </c>
      <c r="G1768" s="34">
        <v>2.8495370370370369E-2</v>
      </c>
      <c r="H1768" s="33" t="s">
        <v>209</v>
      </c>
      <c r="I1768" s="33" t="s">
        <v>601</v>
      </c>
    </row>
    <row r="1769" spans="1:9" x14ac:dyDescent="0.25">
      <c r="A1769" s="32">
        <v>46253</v>
      </c>
      <c r="B1769" s="33" t="s">
        <v>567</v>
      </c>
      <c r="C1769" s="33" t="s">
        <v>105</v>
      </c>
      <c r="D1769" s="33" t="s">
        <v>32</v>
      </c>
      <c r="E1769">
        <v>9</v>
      </c>
      <c r="F1769" s="34">
        <v>4.7592592592592596E-2</v>
      </c>
      <c r="G1769" s="34">
        <v>5.2880658436213999E-3</v>
      </c>
      <c r="H1769" s="33" t="s">
        <v>209</v>
      </c>
      <c r="I1769" s="33" t="s">
        <v>601</v>
      </c>
    </row>
    <row r="1770" spans="1:9" x14ac:dyDescent="0.25">
      <c r="A1770" s="32">
        <v>46253</v>
      </c>
      <c r="B1770" s="33" t="s">
        <v>510</v>
      </c>
      <c r="C1770" s="33" t="s">
        <v>32</v>
      </c>
      <c r="D1770" s="33" t="s">
        <v>32</v>
      </c>
      <c r="E1770">
        <v>48</v>
      </c>
      <c r="F1770" s="34">
        <v>0.17064814814814816</v>
      </c>
      <c r="G1770" s="34">
        <v>3.55516975308642E-3</v>
      </c>
      <c r="H1770" s="33" t="s">
        <v>60</v>
      </c>
      <c r="I1770" s="33" t="s">
        <v>100</v>
      </c>
    </row>
    <row r="1771" spans="1:9" x14ac:dyDescent="0.25">
      <c r="A1771" s="32">
        <v>46253</v>
      </c>
      <c r="B1771" s="33" t="s">
        <v>512</v>
      </c>
      <c r="C1771" s="33" t="s">
        <v>105</v>
      </c>
      <c r="D1771" s="33" t="s">
        <v>105</v>
      </c>
      <c r="E1771">
        <v>4</v>
      </c>
      <c r="F1771" s="34">
        <v>2.8472222222222222E-2</v>
      </c>
      <c r="G1771" s="34">
        <v>7.1180555555555554E-3</v>
      </c>
      <c r="H1771" s="33" t="s">
        <v>132</v>
      </c>
      <c r="I1771" s="33" t="s">
        <v>104</v>
      </c>
    </row>
    <row r="1772" spans="1:9" x14ac:dyDescent="0.25">
      <c r="A1772" s="32">
        <v>46253</v>
      </c>
      <c r="B1772" s="33" t="s">
        <v>512</v>
      </c>
      <c r="C1772" s="33" t="s">
        <v>105</v>
      </c>
      <c r="D1772" s="33" t="s">
        <v>32</v>
      </c>
      <c r="E1772">
        <v>8</v>
      </c>
      <c r="F1772" s="34">
        <v>6.5902777777777782E-2</v>
      </c>
      <c r="G1772" s="34">
        <v>8.2378472222222228E-3</v>
      </c>
      <c r="H1772" s="33" t="s">
        <v>132</v>
      </c>
      <c r="I1772" s="33" t="s">
        <v>104</v>
      </c>
    </row>
    <row r="1773" spans="1:9" x14ac:dyDescent="0.25">
      <c r="A1773" s="32">
        <v>46253</v>
      </c>
      <c r="B1773" s="33" t="s">
        <v>560</v>
      </c>
      <c r="C1773" s="33" t="s">
        <v>105</v>
      </c>
      <c r="D1773" s="33" t="s">
        <v>32</v>
      </c>
      <c r="E1773">
        <v>7</v>
      </c>
      <c r="F1773" s="34">
        <v>3.8541666666666669E-2</v>
      </c>
      <c r="G1773" s="34">
        <v>5.5059523809523813E-3</v>
      </c>
      <c r="H1773" s="33" t="s">
        <v>134</v>
      </c>
      <c r="I1773" s="33" t="s">
        <v>104</v>
      </c>
    </row>
    <row r="1774" spans="1:9" x14ac:dyDescent="0.25">
      <c r="A1774" s="32">
        <v>46253</v>
      </c>
      <c r="B1774" s="33" t="s">
        <v>546</v>
      </c>
      <c r="C1774" s="33" t="s">
        <v>105</v>
      </c>
      <c r="D1774" s="33" t="s">
        <v>105</v>
      </c>
      <c r="E1774">
        <v>3</v>
      </c>
      <c r="F1774" s="34">
        <v>9.0011574074074077E-2</v>
      </c>
      <c r="G1774" s="34">
        <v>3.0003858024691358E-2</v>
      </c>
      <c r="H1774" s="33" t="s">
        <v>211</v>
      </c>
      <c r="I1774" s="33" t="s">
        <v>104</v>
      </c>
    </row>
    <row r="1775" spans="1:9" x14ac:dyDescent="0.25">
      <c r="A1775" s="32">
        <v>46253</v>
      </c>
      <c r="B1775" s="33" t="s">
        <v>638</v>
      </c>
      <c r="C1775" s="33" t="s">
        <v>105</v>
      </c>
      <c r="D1775" s="33" t="s">
        <v>105</v>
      </c>
      <c r="E1775">
        <v>1</v>
      </c>
      <c r="F1775" s="34">
        <v>3.4050925925925929E-2</v>
      </c>
      <c r="G1775" s="34">
        <v>3.4050925925925929E-2</v>
      </c>
      <c r="H1775" s="33" t="s">
        <v>617</v>
      </c>
      <c r="I1775" s="33" t="s">
        <v>601</v>
      </c>
    </row>
    <row r="1776" spans="1:9" x14ac:dyDescent="0.25">
      <c r="A1776" s="32">
        <v>46253</v>
      </c>
      <c r="B1776" s="33" t="s">
        <v>638</v>
      </c>
      <c r="C1776" s="33" t="s">
        <v>105</v>
      </c>
      <c r="D1776" s="33" t="s">
        <v>32</v>
      </c>
      <c r="E1776">
        <v>12</v>
      </c>
      <c r="F1776" s="34">
        <v>6.3831018518518523E-2</v>
      </c>
      <c r="G1776" s="34">
        <v>5.3192515432098769E-3</v>
      </c>
      <c r="H1776" s="33" t="s">
        <v>617</v>
      </c>
      <c r="I1776" s="33" t="s">
        <v>601</v>
      </c>
    </row>
    <row r="1777" spans="1:9" x14ac:dyDescent="0.25">
      <c r="A1777" s="32">
        <v>46253</v>
      </c>
      <c r="B1777" s="33" t="s">
        <v>561</v>
      </c>
      <c r="C1777" s="33" t="s">
        <v>105</v>
      </c>
      <c r="D1777" s="33" t="s">
        <v>105</v>
      </c>
      <c r="E1777">
        <v>4</v>
      </c>
      <c r="F1777" s="34">
        <v>3.6990740740740741E-2</v>
      </c>
      <c r="G1777" s="34">
        <v>9.2476851851851852E-3</v>
      </c>
      <c r="H1777" s="33" t="s">
        <v>136</v>
      </c>
      <c r="I1777" s="33" t="s">
        <v>104</v>
      </c>
    </row>
    <row r="1778" spans="1:9" x14ac:dyDescent="0.25">
      <c r="A1778" s="32">
        <v>46253</v>
      </c>
      <c r="B1778" s="33" t="s">
        <v>561</v>
      </c>
      <c r="C1778" s="33" t="s">
        <v>105</v>
      </c>
      <c r="D1778" s="33" t="s">
        <v>32</v>
      </c>
      <c r="E1778">
        <v>7</v>
      </c>
      <c r="F1778" s="34">
        <v>3.4837962962962966E-2</v>
      </c>
      <c r="G1778" s="34">
        <v>4.9768518518518521E-3</v>
      </c>
      <c r="H1778" s="33" t="s">
        <v>136</v>
      </c>
      <c r="I1778" s="33" t="s">
        <v>104</v>
      </c>
    </row>
    <row r="1779" spans="1:9" x14ac:dyDescent="0.25">
      <c r="A1779" s="32">
        <v>46253</v>
      </c>
      <c r="B1779" s="33" t="s">
        <v>639</v>
      </c>
      <c r="C1779" s="33" t="s">
        <v>105</v>
      </c>
      <c r="D1779" s="33" t="s">
        <v>32</v>
      </c>
      <c r="E1779">
        <v>14</v>
      </c>
      <c r="F1779" s="34">
        <v>0.11814814814814815</v>
      </c>
      <c r="G1779" s="34">
        <v>8.4391534391534389E-3</v>
      </c>
      <c r="H1779" s="33" t="s">
        <v>618</v>
      </c>
      <c r="I1779" s="33" t="s">
        <v>601</v>
      </c>
    </row>
    <row r="1780" spans="1:9" x14ac:dyDescent="0.25">
      <c r="A1780" s="32">
        <v>46253</v>
      </c>
      <c r="B1780" s="33" t="s">
        <v>524</v>
      </c>
      <c r="C1780" s="33" t="s">
        <v>147</v>
      </c>
      <c r="D1780" s="33" t="s">
        <v>147</v>
      </c>
      <c r="E1780">
        <v>9</v>
      </c>
      <c r="F1780" s="34">
        <v>3.5717592592592592E-2</v>
      </c>
      <c r="G1780" s="34">
        <v>3.9686213991769548E-3</v>
      </c>
      <c r="H1780" s="33" t="s">
        <v>501</v>
      </c>
      <c r="I1780" s="33" t="s">
        <v>274</v>
      </c>
    </row>
    <row r="1781" spans="1:9" x14ac:dyDescent="0.25">
      <c r="A1781" s="32">
        <v>46253</v>
      </c>
      <c r="B1781" s="33" t="s">
        <v>524</v>
      </c>
      <c r="C1781" s="33" t="s">
        <v>147</v>
      </c>
      <c r="D1781" s="33" t="s">
        <v>32</v>
      </c>
      <c r="E1781">
        <v>8</v>
      </c>
      <c r="F1781" s="34">
        <v>3.4814814814814812E-2</v>
      </c>
      <c r="G1781" s="34">
        <v>4.3518518518518515E-3</v>
      </c>
      <c r="H1781" s="33" t="s">
        <v>501</v>
      </c>
      <c r="I1781" s="33" t="s">
        <v>274</v>
      </c>
    </row>
    <row r="1782" spans="1:9" x14ac:dyDescent="0.25">
      <c r="A1782" s="32">
        <v>46253</v>
      </c>
      <c r="B1782" s="33" t="s">
        <v>572</v>
      </c>
      <c r="C1782" s="33" t="s">
        <v>105</v>
      </c>
      <c r="D1782" s="33" t="s">
        <v>105</v>
      </c>
      <c r="E1782">
        <v>5</v>
      </c>
      <c r="F1782" s="34">
        <v>0.13555555555555557</v>
      </c>
      <c r="G1782" s="34">
        <v>2.7111111111111114E-2</v>
      </c>
      <c r="H1782" s="33" t="s">
        <v>213</v>
      </c>
      <c r="I1782" s="33" t="s">
        <v>601</v>
      </c>
    </row>
    <row r="1783" spans="1:9" x14ac:dyDescent="0.25">
      <c r="A1783" s="32">
        <v>46253</v>
      </c>
      <c r="B1783" s="33" t="s">
        <v>572</v>
      </c>
      <c r="C1783" s="33" t="s">
        <v>105</v>
      </c>
      <c r="D1783" s="33" t="s">
        <v>32</v>
      </c>
      <c r="E1783">
        <v>1</v>
      </c>
      <c r="F1783" s="34">
        <v>2.5659722222222223E-2</v>
      </c>
      <c r="G1783" s="34">
        <v>2.5659722222222223E-2</v>
      </c>
      <c r="H1783" s="33" t="s">
        <v>213</v>
      </c>
      <c r="I1783" s="33" t="s">
        <v>601</v>
      </c>
    </row>
    <row r="1784" spans="1:9" x14ac:dyDescent="0.25">
      <c r="A1784" s="32">
        <v>46253</v>
      </c>
      <c r="B1784" s="33" t="s">
        <v>669</v>
      </c>
      <c r="C1784" s="33" t="s">
        <v>32</v>
      </c>
      <c r="D1784" s="33" t="s">
        <v>105</v>
      </c>
      <c r="E1784">
        <v>11</v>
      </c>
      <c r="F1784" s="34">
        <v>5.5370370370370368E-2</v>
      </c>
      <c r="G1784" s="34">
        <v>5.0336700336700334E-3</v>
      </c>
      <c r="H1784" s="33" t="s">
        <v>668</v>
      </c>
      <c r="I1784" s="33" t="s">
        <v>233</v>
      </c>
    </row>
    <row r="1785" spans="1:9" x14ac:dyDescent="0.25">
      <c r="A1785" s="32">
        <v>46253</v>
      </c>
      <c r="B1785" s="33" t="s">
        <v>669</v>
      </c>
      <c r="C1785" s="33" t="s">
        <v>32</v>
      </c>
      <c r="D1785" s="33" t="s">
        <v>32</v>
      </c>
      <c r="E1785">
        <v>28</v>
      </c>
      <c r="F1785" s="34">
        <v>7.6585648148148153E-2</v>
      </c>
      <c r="G1785" s="34">
        <v>2.7352017195767199E-3</v>
      </c>
      <c r="H1785" s="33" t="s">
        <v>668</v>
      </c>
      <c r="I1785" s="33" t="s">
        <v>233</v>
      </c>
    </row>
    <row r="1786" spans="1:9" x14ac:dyDescent="0.25">
      <c r="A1786" s="32">
        <v>46253</v>
      </c>
      <c r="B1786" s="33" t="s">
        <v>670</v>
      </c>
      <c r="C1786" s="33" t="s">
        <v>32</v>
      </c>
      <c r="D1786" s="33" t="s">
        <v>32</v>
      </c>
      <c r="E1786">
        <v>28</v>
      </c>
      <c r="F1786" s="34">
        <v>0.10797453703703704</v>
      </c>
      <c r="G1786" s="34">
        <v>3.8562334656084656E-3</v>
      </c>
      <c r="H1786" s="33" t="s">
        <v>744</v>
      </c>
      <c r="I1786" s="33" t="s">
        <v>100</v>
      </c>
    </row>
    <row r="1787" spans="1:9" x14ac:dyDescent="0.25">
      <c r="A1787" s="32">
        <v>46253</v>
      </c>
      <c r="B1787" s="33" t="s">
        <v>548</v>
      </c>
      <c r="C1787" s="33" t="s">
        <v>105</v>
      </c>
      <c r="D1787" s="33" t="s">
        <v>105</v>
      </c>
      <c r="E1787">
        <v>4</v>
      </c>
      <c r="F1787" s="34">
        <v>5.2962962962962962E-2</v>
      </c>
      <c r="G1787" s="34">
        <v>1.324074074074074E-2</v>
      </c>
      <c r="H1787" s="33" t="s">
        <v>219</v>
      </c>
      <c r="I1787" s="33" t="s">
        <v>104</v>
      </c>
    </row>
    <row r="1788" spans="1:9" x14ac:dyDescent="0.25">
      <c r="A1788" s="32">
        <v>46253</v>
      </c>
      <c r="B1788" s="33" t="s">
        <v>306</v>
      </c>
      <c r="C1788" s="33" t="s">
        <v>32</v>
      </c>
      <c r="D1788" s="33" t="s">
        <v>32</v>
      </c>
      <c r="E1788">
        <v>45</v>
      </c>
      <c r="F1788" s="34">
        <v>0.1097337962962963</v>
      </c>
      <c r="G1788" s="34">
        <v>2.4385288065843624E-3</v>
      </c>
      <c r="H1788" s="33" t="s">
        <v>305</v>
      </c>
      <c r="I1788" s="33" t="s">
        <v>100</v>
      </c>
    </row>
    <row r="1789" spans="1:9" x14ac:dyDescent="0.25">
      <c r="A1789" s="32">
        <v>46253</v>
      </c>
      <c r="B1789" s="33" t="s">
        <v>641</v>
      </c>
      <c r="C1789" s="33" t="s">
        <v>105</v>
      </c>
      <c r="D1789" s="33" t="s">
        <v>105</v>
      </c>
      <c r="E1789">
        <v>6</v>
      </c>
      <c r="F1789" s="34">
        <v>0.16145833333333334</v>
      </c>
      <c r="G1789" s="34">
        <v>2.6909722222222224E-2</v>
      </c>
      <c r="H1789" s="33" t="s">
        <v>620</v>
      </c>
      <c r="I1789" s="33" t="s">
        <v>601</v>
      </c>
    </row>
    <row r="1790" spans="1:9" x14ac:dyDescent="0.25">
      <c r="A1790" s="32">
        <v>46253</v>
      </c>
      <c r="B1790" s="33" t="s">
        <v>641</v>
      </c>
      <c r="C1790" s="33" t="s">
        <v>105</v>
      </c>
      <c r="D1790" s="33" t="s">
        <v>32</v>
      </c>
      <c r="E1790">
        <v>1</v>
      </c>
      <c r="F1790" s="34">
        <v>1.0902777777777779E-2</v>
      </c>
      <c r="G1790" s="34">
        <v>1.0902777777777779E-2</v>
      </c>
      <c r="H1790" s="33" t="s">
        <v>620</v>
      </c>
      <c r="I1790" s="33" t="s">
        <v>601</v>
      </c>
    </row>
    <row r="1791" spans="1:9" x14ac:dyDescent="0.25">
      <c r="A1791" s="32">
        <v>46253</v>
      </c>
      <c r="B1791" s="33" t="s">
        <v>556</v>
      </c>
      <c r="C1791" s="33" t="s">
        <v>105</v>
      </c>
      <c r="D1791" s="33" t="s">
        <v>32</v>
      </c>
      <c r="E1791">
        <v>15</v>
      </c>
      <c r="F1791" s="34">
        <v>0.11665509259259259</v>
      </c>
      <c r="G1791" s="34">
        <v>7.7770061728395061E-3</v>
      </c>
      <c r="H1791" s="33" t="s">
        <v>138</v>
      </c>
      <c r="I1791" s="33" t="s">
        <v>104</v>
      </c>
    </row>
    <row r="1792" spans="1:9" x14ac:dyDescent="0.25">
      <c r="A1792" s="32">
        <v>46253</v>
      </c>
      <c r="B1792" s="33" t="s">
        <v>532</v>
      </c>
      <c r="C1792" s="33" t="s">
        <v>32</v>
      </c>
      <c r="D1792" s="33" t="s">
        <v>105</v>
      </c>
      <c r="E1792">
        <v>11</v>
      </c>
      <c r="F1792" s="34">
        <v>2.042824074074074E-2</v>
      </c>
      <c r="G1792" s="34">
        <v>1.8571127946127946E-3</v>
      </c>
      <c r="H1792" s="33" t="s">
        <v>276</v>
      </c>
      <c r="I1792" s="33" t="s">
        <v>233</v>
      </c>
    </row>
    <row r="1793" spans="1:9" x14ac:dyDescent="0.25">
      <c r="A1793" s="32">
        <v>46253</v>
      </c>
      <c r="B1793" s="33" t="s">
        <v>532</v>
      </c>
      <c r="C1793" s="33" t="s">
        <v>32</v>
      </c>
      <c r="D1793" s="33" t="s">
        <v>32</v>
      </c>
      <c r="E1793">
        <v>39</v>
      </c>
      <c r="F1793" s="34">
        <v>0.12202546296296296</v>
      </c>
      <c r="G1793" s="34">
        <v>3.1288580246913579E-3</v>
      </c>
      <c r="H1793" s="33" t="s">
        <v>276</v>
      </c>
      <c r="I1793" s="33" t="s">
        <v>233</v>
      </c>
    </row>
    <row r="1794" spans="1:9" x14ac:dyDescent="0.25">
      <c r="A1794" s="32">
        <v>46253</v>
      </c>
      <c r="B1794" s="33" t="s">
        <v>533</v>
      </c>
      <c r="C1794" s="33" t="s">
        <v>32</v>
      </c>
      <c r="D1794" s="33" t="s">
        <v>105</v>
      </c>
      <c r="E1794">
        <v>6</v>
      </c>
      <c r="F1794" s="34">
        <v>5.9560185185185188E-2</v>
      </c>
      <c r="G1794" s="34">
        <v>9.926697530864198E-3</v>
      </c>
      <c r="H1794" s="33" t="s">
        <v>278</v>
      </c>
      <c r="I1794" s="33" t="s">
        <v>233</v>
      </c>
    </row>
    <row r="1795" spans="1:9" x14ac:dyDescent="0.25">
      <c r="A1795" s="32">
        <v>46253</v>
      </c>
      <c r="B1795" s="33" t="s">
        <v>533</v>
      </c>
      <c r="C1795" s="33" t="s">
        <v>32</v>
      </c>
      <c r="D1795" s="33" t="s">
        <v>32</v>
      </c>
      <c r="E1795">
        <v>19</v>
      </c>
      <c r="F1795" s="34">
        <v>8.7187500000000001E-2</v>
      </c>
      <c r="G1795" s="34">
        <v>4.5888157894736839E-3</v>
      </c>
      <c r="H1795" s="33" t="s">
        <v>278</v>
      </c>
      <c r="I1795" s="33" t="s">
        <v>233</v>
      </c>
    </row>
    <row r="1796" spans="1:9" x14ac:dyDescent="0.25">
      <c r="A1796" s="32">
        <v>46253</v>
      </c>
      <c r="B1796" s="33" t="s">
        <v>511</v>
      </c>
      <c r="C1796" s="33" t="s">
        <v>80</v>
      </c>
      <c r="D1796" s="33" t="s">
        <v>32</v>
      </c>
      <c r="E1796">
        <v>1</v>
      </c>
      <c r="F1796" s="34">
        <v>1.5740740740740741E-3</v>
      </c>
      <c r="G1796" s="34">
        <v>1.5740740740740741E-3</v>
      </c>
      <c r="H1796" s="33" t="s">
        <v>313</v>
      </c>
      <c r="I1796" s="33" t="s">
        <v>78</v>
      </c>
    </row>
    <row r="1797" spans="1:9" x14ac:dyDescent="0.25">
      <c r="A1797" s="32">
        <v>46253</v>
      </c>
      <c r="B1797" s="33" t="s">
        <v>674</v>
      </c>
      <c r="C1797" s="33" t="s">
        <v>105</v>
      </c>
      <c r="D1797" s="33" t="s">
        <v>32</v>
      </c>
      <c r="E1797">
        <v>12</v>
      </c>
      <c r="F1797" s="34">
        <v>9.8472222222222225E-2</v>
      </c>
      <c r="G1797" s="34">
        <v>8.2060185185185187E-3</v>
      </c>
      <c r="H1797" s="33" t="s">
        <v>673</v>
      </c>
      <c r="I1797" s="33" t="s">
        <v>104</v>
      </c>
    </row>
    <row r="1798" spans="1:9" x14ac:dyDescent="0.25">
      <c r="A1798" s="32">
        <v>46253</v>
      </c>
      <c r="B1798" s="33" t="s">
        <v>549</v>
      </c>
      <c r="C1798" s="33" t="s">
        <v>105</v>
      </c>
      <c r="D1798" s="33" t="s">
        <v>105</v>
      </c>
      <c r="E1798">
        <v>6</v>
      </c>
      <c r="F1798" s="34">
        <v>0.17215277777777777</v>
      </c>
      <c r="G1798" s="34">
        <v>2.8692129629629626E-2</v>
      </c>
      <c r="H1798" s="33" t="s">
        <v>225</v>
      </c>
      <c r="I1798" s="33" t="s">
        <v>601</v>
      </c>
    </row>
    <row r="1799" spans="1:9" x14ac:dyDescent="0.25">
      <c r="A1799" s="32">
        <v>46253</v>
      </c>
      <c r="B1799" s="33" t="s">
        <v>549</v>
      </c>
      <c r="C1799" s="33" t="s">
        <v>105</v>
      </c>
      <c r="D1799" s="33" t="s">
        <v>32</v>
      </c>
      <c r="E1799">
        <v>1</v>
      </c>
      <c r="F1799" s="34">
        <v>2.476851851851852E-3</v>
      </c>
      <c r="G1799" s="34">
        <v>2.476851851851852E-3</v>
      </c>
      <c r="H1799" s="33" t="s">
        <v>225</v>
      </c>
      <c r="I1799" s="33" t="s">
        <v>601</v>
      </c>
    </row>
    <row r="1800" spans="1:9" x14ac:dyDescent="0.25">
      <c r="A1800" s="32">
        <v>46253</v>
      </c>
      <c r="B1800" s="33" t="s">
        <v>71</v>
      </c>
      <c r="C1800" s="33" t="s">
        <v>80</v>
      </c>
      <c r="D1800" s="33" t="s">
        <v>32</v>
      </c>
      <c r="E1800">
        <v>1</v>
      </c>
      <c r="F1800" s="34">
        <v>4.6481481481481485E-2</v>
      </c>
      <c r="G1800" s="34">
        <v>4.6481481481481485E-2</v>
      </c>
      <c r="H1800" s="33" t="s">
        <v>70</v>
      </c>
      <c r="I1800" s="33" t="s">
        <v>78</v>
      </c>
    </row>
    <row r="1801" spans="1:9" x14ac:dyDescent="0.25">
      <c r="A1801" s="32">
        <v>46253</v>
      </c>
      <c r="B1801" s="33" t="s">
        <v>534</v>
      </c>
      <c r="C1801" s="33" t="s">
        <v>32</v>
      </c>
      <c r="D1801" s="33" t="s">
        <v>32</v>
      </c>
      <c r="E1801">
        <v>5</v>
      </c>
      <c r="F1801" s="34">
        <v>2.599537037037037E-2</v>
      </c>
      <c r="G1801" s="34">
        <v>5.1990740740740738E-3</v>
      </c>
      <c r="H1801" s="33" t="s">
        <v>280</v>
      </c>
      <c r="I1801" s="33" t="s">
        <v>233</v>
      </c>
    </row>
    <row r="1802" spans="1:9" x14ac:dyDescent="0.25">
      <c r="A1802" s="32">
        <v>46253</v>
      </c>
      <c r="B1802" s="33" t="s">
        <v>571</v>
      </c>
      <c r="C1802" s="33" t="s">
        <v>105</v>
      </c>
      <c r="D1802" s="33" t="s">
        <v>105</v>
      </c>
      <c r="E1802">
        <v>1</v>
      </c>
      <c r="F1802" s="34">
        <v>3.5046296296296298E-2</v>
      </c>
      <c r="G1802" s="34">
        <v>3.5046296296296298E-2</v>
      </c>
      <c r="H1802" s="33" t="s">
        <v>299</v>
      </c>
      <c r="I1802" s="33" t="s">
        <v>104</v>
      </c>
    </row>
    <row r="1803" spans="1:9" x14ac:dyDescent="0.25">
      <c r="A1803" s="32">
        <v>46253</v>
      </c>
      <c r="B1803" s="33" t="s">
        <v>571</v>
      </c>
      <c r="C1803" s="33" t="s">
        <v>105</v>
      </c>
      <c r="D1803" s="33" t="s">
        <v>32</v>
      </c>
      <c r="E1803">
        <v>5</v>
      </c>
      <c r="F1803" s="34">
        <v>5.7789351851851849E-2</v>
      </c>
      <c r="G1803" s="34">
        <v>1.1557870370370369E-2</v>
      </c>
      <c r="H1803" s="33" t="s">
        <v>299</v>
      </c>
      <c r="I1803" s="33" t="s">
        <v>104</v>
      </c>
    </row>
    <row r="1804" spans="1:9" x14ac:dyDescent="0.25">
      <c r="A1804" s="32">
        <v>46253</v>
      </c>
      <c r="B1804" s="33" t="s">
        <v>535</v>
      </c>
      <c r="C1804" s="33" t="s">
        <v>32</v>
      </c>
      <c r="D1804" s="33" t="s">
        <v>105</v>
      </c>
      <c r="E1804">
        <v>9</v>
      </c>
      <c r="F1804" s="34">
        <v>3.9675925925925927E-2</v>
      </c>
      <c r="G1804" s="34">
        <v>4.4084362139917696E-3</v>
      </c>
      <c r="H1804" s="33" t="s">
        <v>282</v>
      </c>
      <c r="I1804" s="33" t="s">
        <v>233</v>
      </c>
    </row>
    <row r="1805" spans="1:9" x14ac:dyDescent="0.25">
      <c r="A1805" s="32">
        <v>46253</v>
      </c>
      <c r="B1805" s="33" t="s">
        <v>535</v>
      </c>
      <c r="C1805" s="33" t="s">
        <v>32</v>
      </c>
      <c r="D1805" s="33" t="s">
        <v>32</v>
      </c>
      <c r="E1805">
        <v>34</v>
      </c>
      <c r="F1805" s="34">
        <v>9.9097222222222225E-2</v>
      </c>
      <c r="G1805" s="34">
        <v>2.9146241830065359E-3</v>
      </c>
      <c r="H1805" s="33" t="s">
        <v>282</v>
      </c>
      <c r="I1805" s="33" t="s">
        <v>233</v>
      </c>
    </row>
    <row r="1806" spans="1:9" x14ac:dyDescent="0.25">
      <c r="A1806" s="32">
        <v>46253</v>
      </c>
      <c r="B1806" s="33" t="s">
        <v>557</v>
      </c>
      <c r="C1806" s="33" t="s">
        <v>147</v>
      </c>
      <c r="D1806" s="33" t="s">
        <v>147</v>
      </c>
      <c r="E1806">
        <v>10</v>
      </c>
      <c r="F1806" s="34">
        <v>6.2384259259259257E-2</v>
      </c>
      <c r="G1806" s="34">
        <v>6.2384259259259259E-3</v>
      </c>
      <c r="H1806" s="33" t="s">
        <v>227</v>
      </c>
      <c r="I1806" s="33" t="s">
        <v>146</v>
      </c>
    </row>
    <row r="1807" spans="1:9" x14ac:dyDescent="0.25">
      <c r="A1807" s="32">
        <v>46253</v>
      </c>
      <c r="B1807" s="33" t="s">
        <v>557</v>
      </c>
      <c r="C1807" s="33" t="s">
        <v>147</v>
      </c>
      <c r="D1807" s="33" t="s">
        <v>32</v>
      </c>
      <c r="E1807">
        <v>3</v>
      </c>
      <c r="F1807" s="34">
        <v>1.0127314814814815E-2</v>
      </c>
      <c r="G1807" s="34">
        <v>3.3757716049382714E-3</v>
      </c>
      <c r="H1807" s="33" t="s">
        <v>227</v>
      </c>
      <c r="I1807" s="33" t="s">
        <v>146</v>
      </c>
    </row>
    <row r="1808" spans="1:9" x14ac:dyDescent="0.25">
      <c r="A1808" s="32">
        <v>46253</v>
      </c>
      <c r="B1808" s="33" t="s">
        <v>676</v>
      </c>
      <c r="C1808" s="33" t="s">
        <v>105</v>
      </c>
      <c r="D1808" s="33" t="s">
        <v>105</v>
      </c>
      <c r="E1808">
        <v>1</v>
      </c>
      <c r="F1808" s="34">
        <v>1.6516203703703703E-2</v>
      </c>
      <c r="G1808" s="34">
        <v>1.6516203703703703E-2</v>
      </c>
      <c r="H1808" s="33" t="s">
        <v>675</v>
      </c>
      <c r="I1808" s="33" t="s">
        <v>104</v>
      </c>
    </row>
    <row r="1809" spans="1:9" x14ac:dyDescent="0.25">
      <c r="A1809" s="32">
        <v>46253</v>
      </c>
      <c r="B1809" s="33" t="s">
        <v>676</v>
      </c>
      <c r="C1809" s="33" t="s">
        <v>105</v>
      </c>
      <c r="D1809" s="33" t="s">
        <v>32</v>
      </c>
      <c r="E1809">
        <v>12</v>
      </c>
      <c r="F1809" s="34">
        <v>0.12908564814814816</v>
      </c>
      <c r="G1809" s="34">
        <v>1.0757137345679013E-2</v>
      </c>
      <c r="H1809" s="33" t="s">
        <v>675</v>
      </c>
      <c r="I1809" s="33" t="s">
        <v>104</v>
      </c>
    </row>
    <row r="1810" spans="1:9" x14ac:dyDescent="0.25">
      <c r="A1810" s="32">
        <v>46253</v>
      </c>
      <c r="B1810" s="33" t="s">
        <v>678</v>
      </c>
      <c r="C1810" s="33" t="s">
        <v>147</v>
      </c>
      <c r="D1810" s="33" t="s">
        <v>147</v>
      </c>
      <c r="E1810">
        <v>14</v>
      </c>
      <c r="F1810" s="34">
        <v>2.7465277777777779E-2</v>
      </c>
      <c r="G1810" s="34">
        <v>1.9618055555555556E-3</v>
      </c>
      <c r="H1810" s="33" t="s">
        <v>677</v>
      </c>
      <c r="I1810" s="33" t="s">
        <v>274</v>
      </c>
    </row>
    <row r="1811" spans="1:9" x14ac:dyDescent="0.25">
      <c r="A1811" s="32">
        <v>46253</v>
      </c>
      <c r="B1811" s="33" t="s">
        <v>678</v>
      </c>
      <c r="C1811" s="33" t="s">
        <v>147</v>
      </c>
      <c r="D1811" s="33" t="s">
        <v>32</v>
      </c>
      <c r="E1811">
        <v>8</v>
      </c>
      <c r="F1811" s="34">
        <v>2.101851851851852E-2</v>
      </c>
      <c r="G1811" s="34">
        <v>2.627314814814815E-3</v>
      </c>
      <c r="H1811" s="33" t="s">
        <v>677</v>
      </c>
      <c r="I1811" s="33" t="s">
        <v>274</v>
      </c>
    </row>
  </sheetData>
  <mergeCells count="14">
    <mergeCell ref="A1:I2"/>
    <mergeCell ref="A4:I4"/>
    <mergeCell ref="A19:I19"/>
    <mergeCell ref="A5:G12"/>
    <mergeCell ref="A14:G14"/>
    <mergeCell ref="A15:C15"/>
    <mergeCell ref="A16:C16"/>
    <mergeCell ref="A17:C17"/>
    <mergeCell ref="D15:E15"/>
    <mergeCell ref="D16:E16"/>
    <mergeCell ref="D17:E17"/>
    <mergeCell ref="F15:G15"/>
    <mergeCell ref="F16:G16"/>
    <mergeCell ref="F17:G17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999E-1810-4399-AFF3-BE538F58BAC9}">
  <dimension ref="A1:L21"/>
  <sheetViews>
    <sheetView showGridLines="0" workbookViewId="0">
      <selection activeCell="A4" sqref="A4:L23"/>
    </sheetView>
  </sheetViews>
  <sheetFormatPr defaultRowHeight="15" x14ac:dyDescent="0.25"/>
  <cols>
    <col min="1" max="1" width="11" customWidth="1"/>
    <col min="2" max="2" width="14" customWidth="1"/>
    <col min="3" max="3" width="18" customWidth="1"/>
    <col min="4" max="4" width="11" customWidth="1"/>
    <col min="5" max="6" width="14" customWidth="1"/>
    <col min="7" max="7" width="11" customWidth="1"/>
    <col min="8" max="8" width="14" customWidth="1"/>
    <col min="9" max="9" width="13" customWidth="1"/>
    <col min="10" max="10" width="15" bestFit="1" customWidth="1"/>
    <col min="11" max="12" width="14" customWidth="1"/>
  </cols>
  <sheetData>
    <row r="1" spans="1:12" ht="21.95" customHeight="1" x14ac:dyDescent="0.25">
      <c r="A1" s="96" t="s">
        <v>573</v>
      </c>
      <c r="B1" s="72"/>
      <c r="C1" s="72"/>
      <c r="D1" s="72"/>
      <c r="E1" s="72"/>
      <c r="F1" s="72"/>
      <c r="G1" s="72"/>
      <c r="H1" s="72"/>
      <c r="I1" s="72"/>
    </row>
    <row r="2" spans="1:12" x14ac:dyDescent="0.25">
      <c r="A2" s="72"/>
      <c r="B2" s="72"/>
      <c r="C2" s="72"/>
      <c r="D2" s="72"/>
      <c r="E2" s="72"/>
      <c r="F2" s="72"/>
      <c r="G2" s="72"/>
      <c r="H2" s="72"/>
      <c r="I2" s="72"/>
    </row>
    <row r="4" spans="1:12" ht="30" customHeight="1" x14ac:dyDescent="0.25">
      <c r="A4" s="59" t="s">
        <v>8</v>
      </c>
      <c r="B4" s="59" t="s">
        <v>574</v>
      </c>
      <c r="C4" s="59" t="s">
        <v>575</v>
      </c>
      <c r="D4" s="59" t="s">
        <v>3</v>
      </c>
      <c r="E4" s="59" t="s">
        <v>15</v>
      </c>
      <c r="F4" s="59" t="s">
        <v>16</v>
      </c>
      <c r="G4" s="59" t="s">
        <v>4</v>
      </c>
      <c r="H4" s="59" t="s">
        <v>5</v>
      </c>
      <c r="I4" s="59" t="s">
        <v>6</v>
      </c>
      <c r="J4" s="59" t="s">
        <v>576</v>
      </c>
      <c r="K4" s="59" t="s">
        <v>577</v>
      </c>
      <c r="L4" s="59" t="s">
        <v>578</v>
      </c>
    </row>
    <row r="5" spans="1:12" x14ac:dyDescent="0.25">
      <c r="A5" s="60">
        <v>46235</v>
      </c>
      <c r="B5" s="61" t="s">
        <v>579</v>
      </c>
      <c r="C5" s="61">
        <f>COUNTIFS(Diário!$A:$A,A5)</f>
        <v>90</v>
      </c>
      <c r="D5" s="61">
        <f>SUMIFS(Diário!$G:$G,Diário!$A:$A,A5)</f>
        <v>1077</v>
      </c>
      <c r="E5" s="55">
        <f>SUMIFS(Diário!$H:$H,Diário!$A:$A,A5)</f>
        <v>22.201886574074074</v>
      </c>
      <c r="F5" s="55">
        <f>SUMIFS(Diário!$I:$I,Diário!$A:$A,A5)</f>
        <v>6.9651736111111111</v>
      </c>
      <c r="G5" s="55">
        <f t="shared" ref="G5:G20" si="0">IFERROR(F5/D5,0)</f>
        <v>6.467199074074074E-3</v>
      </c>
      <c r="H5" s="55">
        <f>SUMIFS(Diário!$K:$K,Diário!$A:$A,A5)</f>
        <v>6.7243402777777774</v>
      </c>
      <c r="I5" s="56">
        <f t="shared" ref="I5:I21" si="1">IFERROR(H5/E5,0)</f>
        <v>0.302872472361427</v>
      </c>
      <c r="J5" s="55">
        <f t="shared" ref="J5:J20" si="2">IFERROR(E5/C5,0)</f>
        <v>0.24668762731481483</v>
      </c>
      <c r="K5" s="55">
        <f t="shared" ref="K5:K20" si="3">IFERROR(F5/C5,0)</f>
        <v>7.7390821759259265E-2</v>
      </c>
      <c r="L5" s="55">
        <f t="shared" ref="L5:L20" si="4">IFERROR(H5/C5,0)</f>
        <v>7.4714895833333336E-2</v>
      </c>
    </row>
    <row r="6" spans="1:12" x14ac:dyDescent="0.25">
      <c r="A6" s="60">
        <v>46237</v>
      </c>
      <c r="B6" s="61" t="s">
        <v>580</v>
      </c>
      <c r="C6" s="61">
        <f>COUNTIFS(Diário!$A:$A,A6)</f>
        <v>104</v>
      </c>
      <c r="D6" s="61">
        <f>SUMIFS(Diário!$G:$G,Diário!$A:$A,A6)</f>
        <v>1829</v>
      </c>
      <c r="E6" s="55">
        <f>SUMIFS(Diário!$H:$H,Diário!$A:$A,A6)</f>
        <v>27.122766203703705</v>
      </c>
      <c r="F6" s="55">
        <f>SUMIFS(Diário!$I:$I,Diário!$A:$A,A6)</f>
        <v>13.627407407407407</v>
      </c>
      <c r="G6" s="55">
        <f t="shared" si="0"/>
        <v>7.4507407407407413E-3</v>
      </c>
      <c r="H6" s="55">
        <f>SUMIFS(Diário!$K:$K,Diário!$A:$A,A6)</f>
        <v>8.5208564814814807</v>
      </c>
      <c r="I6" s="56">
        <f t="shared" si="1"/>
        <v>0.31415882943082402</v>
      </c>
      <c r="J6" s="55">
        <f t="shared" si="2"/>
        <v>0.26079583333333334</v>
      </c>
      <c r="K6" s="55">
        <f t="shared" si="3"/>
        <v>0.13103276620370369</v>
      </c>
      <c r="L6" s="55">
        <f t="shared" si="4"/>
        <v>8.1931307870370368E-2</v>
      </c>
    </row>
    <row r="7" spans="1:12" x14ac:dyDescent="0.25">
      <c r="A7" s="60">
        <v>46238</v>
      </c>
      <c r="B7" s="61" t="s">
        <v>581</v>
      </c>
      <c r="C7" s="61">
        <f>COUNTIFS(Diário!$A:$A,A7)</f>
        <v>107</v>
      </c>
      <c r="D7" s="61">
        <f>SUMIFS(Diário!$G:$G,Diário!$A:$A,A7)</f>
        <v>1937</v>
      </c>
      <c r="E7" s="55">
        <f>SUMIFS(Diário!$H:$H,Diário!$A:$A,A7)</f>
        <v>25.844178240740742</v>
      </c>
      <c r="F7" s="55">
        <f>SUMIFS(Diário!$I:$I,Diário!$A:$A,A7)</f>
        <v>13.427164351851852</v>
      </c>
      <c r="G7" s="55">
        <f t="shared" si="0"/>
        <v>6.9319328703703704E-3</v>
      </c>
      <c r="H7" s="55">
        <f>SUMIFS(Diário!$K:$K,Diário!$A:$A,A7)</f>
        <v>9.6403703703703698</v>
      </c>
      <c r="I7" s="56">
        <f t="shared" si="1"/>
        <v>0.37301903278059301</v>
      </c>
      <c r="J7" s="55">
        <f t="shared" si="2"/>
        <v>0.241534375</v>
      </c>
      <c r="K7" s="55">
        <f t="shared" si="3"/>
        <v>0.12548751157407406</v>
      </c>
      <c r="L7" s="55">
        <f t="shared" si="4"/>
        <v>9.009692129629629E-2</v>
      </c>
    </row>
    <row r="8" spans="1:12" x14ac:dyDescent="0.25">
      <c r="A8" s="60">
        <v>46239</v>
      </c>
      <c r="B8" s="61" t="s">
        <v>740</v>
      </c>
      <c r="C8" s="61">
        <f>COUNTIFS(Diário!$A:$A,A8)</f>
        <v>107</v>
      </c>
      <c r="D8" s="61">
        <f>SUMIFS(Diário!$G:$G,Diário!$A:$A,A8)</f>
        <v>1730</v>
      </c>
      <c r="E8" s="55">
        <f>SUMIFS(Diário!$H:$H,Diário!$A:$A,A8)</f>
        <v>27.187025462962964</v>
      </c>
      <c r="F8" s="55">
        <f>SUMIFS(Diário!$I:$I,Diário!$A:$A,A8)</f>
        <v>13.533761574074074</v>
      </c>
      <c r="G8" s="55">
        <f t="shared" si="0"/>
        <v>7.8229861111111104E-3</v>
      </c>
      <c r="H8" s="55">
        <f>SUMIFS(Diário!$K:$K,Diário!$A:$A,A8)</f>
        <v>8.9863657407407409</v>
      </c>
      <c r="I8" s="56">
        <f t="shared" si="1"/>
        <v>0.33053876206438698</v>
      </c>
      <c r="J8" s="55">
        <f t="shared" si="2"/>
        <v>0.25408435185185185</v>
      </c>
      <c r="K8" s="55">
        <f t="shared" si="3"/>
        <v>0.12648375000000001</v>
      </c>
      <c r="L8" s="55">
        <f t="shared" si="4"/>
        <v>8.3984722222222224E-2</v>
      </c>
    </row>
    <row r="9" spans="1:12" x14ac:dyDescent="0.25">
      <c r="A9" s="60">
        <v>46240</v>
      </c>
      <c r="B9" s="61" t="s">
        <v>741</v>
      </c>
      <c r="C9" s="61">
        <f>COUNTIFS(Diário!$A:$A,A9)</f>
        <v>106</v>
      </c>
      <c r="D9" s="61">
        <f>SUMIFS(Diário!$G:$G,Diário!$A:$A,A9)</f>
        <v>1542</v>
      </c>
      <c r="E9" s="55">
        <f>SUMIFS(Diário!$H:$H,Diário!$A:$A,A9)</f>
        <v>26.177280092592593</v>
      </c>
      <c r="F9" s="55">
        <f>SUMIFS(Diário!$I:$I,Diário!$A:$A,A9)</f>
        <v>10.376828703703703</v>
      </c>
      <c r="G9" s="55">
        <f t="shared" si="0"/>
        <v>6.7294560185185183E-3</v>
      </c>
      <c r="H9" s="55">
        <f>SUMIFS(Diário!$K:$K,Diário!$A:$A,A9)</f>
        <v>9.3818402777777781</v>
      </c>
      <c r="I9" s="56">
        <f t="shared" si="1"/>
        <v>0.35839629803375</v>
      </c>
      <c r="J9" s="55">
        <f t="shared" si="2"/>
        <v>0.24695547453703706</v>
      </c>
      <c r="K9" s="55">
        <f t="shared" si="3"/>
        <v>9.7894606481481475E-2</v>
      </c>
      <c r="L9" s="55">
        <f t="shared" si="4"/>
        <v>8.8507928240740746E-2</v>
      </c>
    </row>
    <row r="10" spans="1:12" x14ac:dyDescent="0.25">
      <c r="A10" s="60">
        <v>46241</v>
      </c>
      <c r="B10" s="61" t="s">
        <v>742</v>
      </c>
      <c r="C10" s="61">
        <f>COUNTIFS(Diário!$A:$A,A10)</f>
        <v>100</v>
      </c>
      <c r="D10" s="61">
        <f>SUMIFS(Diário!$G:$G,Diário!$A:$A,A10)</f>
        <v>1385</v>
      </c>
      <c r="E10" s="55">
        <f>SUMIFS(Diário!$H:$H,Diário!$A:$A,A10)</f>
        <v>24.520798611111111</v>
      </c>
      <c r="F10" s="55">
        <f>SUMIFS(Diário!$I:$I,Diário!$A:$A,A10)</f>
        <v>8.8004629629629623</v>
      </c>
      <c r="G10" s="55">
        <f t="shared" si="0"/>
        <v>6.3541203703703702E-3</v>
      </c>
      <c r="H10" s="55">
        <f>SUMIFS(Diário!$K:$K,Diário!$A:$A,A10)</f>
        <v>9.75105324074074</v>
      </c>
      <c r="I10" s="56">
        <f t="shared" si="1"/>
        <v>0.39766458651645398</v>
      </c>
      <c r="J10" s="55">
        <f t="shared" si="2"/>
        <v>0.24520798611111114</v>
      </c>
      <c r="K10" s="55">
        <f t="shared" si="3"/>
        <v>8.8004629629629627E-2</v>
      </c>
      <c r="L10" s="55">
        <f t="shared" si="4"/>
        <v>9.751053240740741E-2</v>
      </c>
    </row>
    <row r="11" spans="1:12" x14ac:dyDescent="0.25">
      <c r="A11" s="60">
        <v>46242</v>
      </c>
      <c r="B11" s="61" t="s">
        <v>579</v>
      </c>
      <c r="C11" s="61">
        <f>COUNTIFS(Diário!$A:$A,A11)</f>
        <v>86</v>
      </c>
      <c r="D11" s="61">
        <f>SUMIFS(Diário!$G:$G,Diário!$A:$A,A11)</f>
        <v>773</v>
      </c>
      <c r="E11" s="55">
        <f>SUMIFS(Diário!$H:$H,Diário!$A:$A,A11)</f>
        <v>19.60207175925926</v>
      </c>
      <c r="F11" s="55">
        <f>SUMIFS(Diário!$I:$I,Diário!$A:$A,A11)</f>
        <v>4.1086805555555559</v>
      </c>
      <c r="G11" s="55">
        <f t="shared" si="0"/>
        <v>5.3152430555555557E-3</v>
      </c>
      <c r="H11" s="55">
        <f>SUMIFS(Diário!$K:$K,Diário!$A:$A,A11)</f>
        <v>8.5507291666666667</v>
      </c>
      <c r="I11" s="56">
        <f t="shared" si="1"/>
        <v>0.436215583315964</v>
      </c>
      <c r="J11" s="55">
        <f t="shared" si="2"/>
        <v>0.22793106481481479</v>
      </c>
      <c r="K11" s="55">
        <f t="shared" si="3"/>
        <v>4.7775358796296297E-2</v>
      </c>
      <c r="L11" s="55">
        <f t="shared" si="4"/>
        <v>9.9427083333333333E-2</v>
      </c>
    </row>
    <row r="12" spans="1:12" x14ac:dyDescent="0.25">
      <c r="A12" s="60">
        <v>46244</v>
      </c>
      <c r="B12" s="61" t="s">
        <v>580</v>
      </c>
      <c r="C12" s="61">
        <f>COUNTIFS(Diário!$A:$A,A12)</f>
        <v>98</v>
      </c>
      <c r="D12" s="61">
        <f>SUMIFS(Diário!$G:$G,Diário!$A:$A,A12)</f>
        <v>1544</v>
      </c>
      <c r="E12" s="55">
        <f>SUMIFS(Diário!$H:$H,Diário!$A:$A,A12)</f>
        <v>24.774305555555557</v>
      </c>
      <c r="F12" s="55">
        <f>SUMIFS(Diário!$I:$I,Diário!$A:$A,A12)</f>
        <v>8.375775462962963</v>
      </c>
      <c r="G12" s="55">
        <f t="shared" si="0"/>
        <v>5.4247222222222223E-3</v>
      </c>
      <c r="H12" s="55">
        <f>SUMIFS(Diário!$K:$K,Diário!$A:$A,A12)</f>
        <v>10.282060185185186</v>
      </c>
      <c r="I12" s="56">
        <f t="shared" si="1"/>
        <v>0.41502919878533101</v>
      </c>
      <c r="J12" s="55">
        <f t="shared" si="2"/>
        <v>0.25279903935185183</v>
      </c>
      <c r="K12" s="55">
        <f t="shared" si="3"/>
        <v>8.5467094907407407E-2</v>
      </c>
      <c r="L12" s="55">
        <f t="shared" si="4"/>
        <v>0.10491898148148149</v>
      </c>
    </row>
    <row r="13" spans="1:12" x14ac:dyDescent="0.25">
      <c r="A13" s="60">
        <v>46245</v>
      </c>
      <c r="B13" s="61" t="s">
        <v>581</v>
      </c>
      <c r="C13" s="61">
        <f>COUNTIFS(Diário!$A:$A,A13)</f>
        <v>99</v>
      </c>
      <c r="D13" s="61">
        <f>SUMIFS(Diário!$G:$G,Diário!$A:$A,A13)</f>
        <v>1394</v>
      </c>
      <c r="E13" s="55">
        <f>SUMIFS(Diário!$H:$H,Diário!$A:$A,A13)</f>
        <v>25.615219907407408</v>
      </c>
      <c r="F13" s="55">
        <f>SUMIFS(Diário!$I:$I,Diário!$A:$A,A13)</f>
        <v>7.9453819444444447</v>
      </c>
      <c r="G13" s="55">
        <f t="shared" si="0"/>
        <v>5.699699074074074E-3</v>
      </c>
      <c r="H13" s="55">
        <f>SUMIFS(Diário!$K:$K,Diário!$A:$A,A13)</f>
        <v>10.113807870370371</v>
      </c>
      <c r="I13" s="56">
        <f t="shared" si="1"/>
        <v>0.39483587909568002</v>
      </c>
      <c r="J13" s="55">
        <f t="shared" si="2"/>
        <v>0.25873959490740739</v>
      </c>
      <c r="K13" s="55">
        <f t="shared" si="3"/>
        <v>8.0256388888888891E-2</v>
      </c>
      <c r="L13" s="55">
        <f t="shared" si="4"/>
        <v>0.10215967592592592</v>
      </c>
    </row>
    <row r="14" spans="1:12" x14ac:dyDescent="0.25">
      <c r="A14" s="60">
        <v>46246</v>
      </c>
      <c r="B14" s="61" t="s">
        <v>740</v>
      </c>
      <c r="C14" s="61">
        <f>COUNTIFS(Diário!$A:$A,A14)</f>
        <v>102</v>
      </c>
      <c r="D14" s="61">
        <f>SUMIFS(Diário!$G:$G,Diário!$A:$A,A14)</f>
        <v>1610</v>
      </c>
      <c r="E14" s="55">
        <f>SUMIFS(Diário!$H:$H,Diário!$A:$A,A14)</f>
        <v>26.801655092592593</v>
      </c>
      <c r="F14" s="55">
        <f>SUMIFS(Diário!$I:$I,Diário!$A:$A,A14)</f>
        <v>9.7704166666666659</v>
      </c>
      <c r="G14" s="55">
        <f t="shared" si="0"/>
        <v>6.0685763888888898E-3</v>
      </c>
      <c r="H14" s="55">
        <f>SUMIFS(Diário!$K:$K,Diário!$A:$A,A14)</f>
        <v>10.584305555555556</v>
      </c>
      <c r="I14" s="56">
        <f t="shared" si="1"/>
        <v>0.394912385783251</v>
      </c>
      <c r="J14" s="55">
        <f t="shared" si="2"/>
        <v>0.26276131944444447</v>
      </c>
      <c r="K14" s="55">
        <f t="shared" si="3"/>
        <v>9.5788402777777781E-2</v>
      </c>
      <c r="L14" s="55">
        <f t="shared" si="4"/>
        <v>0.10376769675925926</v>
      </c>
    </row>
    <row r="15" spans="1:12" x14ac:dyDescent="0.25">
      <c r="A15" s="60">
        <v>46247</v>
      </c>
      <c r="B15" s="61" t="s">
        <v>741</v>
      </c>
      <c r="C15" s="61">
        <f>COUNTIFS(Diário!$A:$A,A15)</f>
        <v>101</v>
      </c>
      <c r="D15" s="61">
        <f>SUMIFS(Diário!$G:$G,Diário!$A:$A,A15)</f>
        <v>1251</v>
      </c>
      <c r="E15" s="55">
        <f>SUMIFS(Diário!$H:$H,Diário!$A:$A,A15)</f>
        <v>0</v>
      </c>
      <c r="F15" s="55">
        <f>SUMIFS(Diário!$I:$I,Diário!$A:$A,A15)</f>
        <v>7.2474652777777777</v>
      </c>
      <c r="G15" s="55">
        <f t="shared" si="0"/>
        <v>5.7933333333333335E-3</v>
      </c>
      <c r="H15" s="55">
        <f>SUMIFS(Diário!$K:$K,Diário!$A:$A,A15)</f>
        <v>0</v>
      </c>
      <c r="I15" s="56">
        <f t="shared" si="1"/>
        <v>0</v>
      </c>
      <c r="J15" s="55">
        <f t="shared" si="2"/>
        <v>0</v>
      </c>
      <c r="K15" s="55">
        <f t="shared" si="3"/>
        <v>7.1757083333333332E-2</v>
      </c>
      <c r="L15" s="55">
        <f t="shared" si="4"/>
        <v>0</v>
      </c>
    </row>
    <row r="16" spans="1:12" x14ac:dyDescent="0.25">
      <c r="A16" s="60">
        <v>46248</v>
      </c>
      <c r="B16" s="61" t="s">
        <v>742</v>
      </c>
      <c r="C16" s="61">
        <f>COUNTIFS(Diário!$A:$A,A16)</f>
        <v>99</v>
      </c>
      <c r="D16" s="61">
        <f>SUMIFS(Diário!$G:$G,Diário!$A:$A,A16)</f>
        <v>1263</v>
      </c>
      <c r="E16" s="55">
        <f>SUMIFS(Diário!$H:$H,Diário!$A:$A,A16)</f>
        <v>24.17357638888889</v>
      </c>
      <c r="F16" s="55">
        <f>SUMIFS(Diário!$I:$I,Diário!$A:$A,A16)</f>
        <v>6.2442129629629628</v>
      </c>
      <c r="G16" s="55">
        <f t="shared" si="0"/>
        <v>4.9439583333333332E-3</v>
      </c>
      <c r="H16" s="55">
        <f>SUMIFS(Diário!$K:$K,Diário!$A:$A,A16)</f>
        <v>10.280081018518519</v>
      </c>
      <c r="I16" s="56">
        <f t="shared" si="1"/>
        <v>0.42526107238495497</v>
      </c>
      <c r="J16" s="55">
        <f t="shared" si="2"/>
        <v>0.2441775347222222</v>
      </c>
      <c r="K16" s="55">
        <f t="shared" si="3"/>
        <v>6.3072858796296288E-2</v>
      </c>
      <c r="L16" s="55">
        <f t="shared" si="4"/>
        <v>0.1038392013888889</v>
      </c>
    </row>
    <row r="17" spans="1:12" x14ac:dyDescent="0.25">
      <c r="A17" s="60">
        <v>46249</v>
      </c>
      <c r="B17" s="61" t="s">
        <v>579</v>
      </c>
      <c r="C17" s="61">
        <f>COUNTIFS(Diário!$A:$A,A17)</f>
        <v>85</v>
      </c>
      <c r="D17" s="61">
        <f>SUMIFS(Diário!$G:$G,Diário!$A:$A,A17)</f>
        <v>934</v>
      </c>
      <c r="E17" s="55">
        <f>SUMIFS(Diário!$H:$H,Diário!$A:$A,A17)</f>
        <v>20.439745370370371</v>
      </c>
      <c r="F17" s="55">
        <f>SUMIFS(Diário!$I:$I,Diário!$A:$A,A17)</f>
        <v>4.5663773148148152</v>
      </c>
      <c r="G17" s="55">
        <f t="shared" si="0"/>
        <v>4.889050925925926E-3</v>
      </c>
      <c r="H17" s="55">
        <f>SUMIFS(Diário!$K:$K,Diário!$A:$A,A17)</f>
        <v>9.0230787037037032</v>
      </c>
      <c r="I17" s="56">
        <f t="shared" si="1"/>
        <v>0.44144770593784599</v>
      </c>
      <c r="J17" s="55">
        <f t="shared" si="2"/>
        <v>0.24046759259259262</v>
      </c>
      <c r="K17" s="55">
        <f t="shared" si="3"/>
        <v>5.372208333333333E-2</v>
      </c>
      <c r="L17" s="55">
        <f t="shared" si="4"/>
        <v>0.10615386574074073</v>
      </c>
    </row>
    <row r="18" spans="1:12" x14ac:dyDescent="0.25">
      <c r="A18" s="60">
        <v>46251</v>
      </c>
      <c r="B18" s="61" t="s">
        <v>580</v>
      </c>
      <c r="C18" s="61">
        <f>COUNTIFS(Diário!$A:$A,A18)</f>
        <v>97</v>
      </c>
      <c r="D18" s="61">
        <f>SUMIFS(Diário!$G:$G,Diário!$A:$A,A18)</f>
        <v>1865</v>
      </c>
      <c r="E18" s="55">
        <f>SUMIFS(Diário!$H:$H,Diário!$A:$A,A18)</f>
        <v>25.548692129629629</v>
      </c>
      <c r="F18" s="55">
        <f>SUMIFS(Diário!$I:$I,Diário!$A:$A,A18)</f>
        <v>10.738912037037037</v>
      </c>
      <c r="G18" s="55">
        <f t="shared" si="0"/>
        <v>5.7581250000000002E-3</v>
      </c>
      <c r="H18" s="55">
        <f>SUMIFS(Diário!$K:$K,Diário!$A:$A,A18)</f>
        <v>9.5607638888888893</v>
      </c>
      <c r="I18" s="56">
        <f t="shared" si="1"/>
        <v>0.37421735094615499</v>
      </c>
      <c r="J18" s="55">
        <f t="shared" si="2"/>
        <v>0.26338857638888891</v>
      </c>
      <c r="K18" s="55">
        <f t="shared" si="3"/>
        <v>0.11071042824074073</v>
      </c>
      <c r="L18" s="55">
        <f t="shared" si="4"/>
        <v>9.8564571759259256E-2</v>
      </c>
    </row>
    <row r="19" spans="1:12" x14ac:dyDescent="0.25">
      <c r="A19" s="60">
        <v>46252</v>
      </c>
      <c r="B19" s="61" t="s">
        <v>581</v>
      </c>
      <c r="C19" s="61">
        <f>COUNTIFS(Diário!$A:$A,A19)</f>
        <v>102</v>
      </c>
      <c r="D19" s="61">
        <f>SUMIFS(Diário!$G:$G,Diário!$A:$A,A19)</f>
        <v>1795</v>
      </c>
      <c r="E19" s="55">
        <f>SUMIFS(Diário!$H:$H,Diário!$A:$A,A19)</f>
        <v>26.022199074074074</v>
      </c>
      <c r="F19" s="55">
        <f>SUMIFS(Diário!$I:$I,Diário!$A:$A,A19)</f>
        <v>10.025393518518518</v>
      </c>
      <c r="G19" s="55">
        <f t="shared" si="0"/>
        <v>5.5851736111111111E-3</v>
      </c>
      <c r="H19" s="55">
        <f>SUMIFS(Diário!$K:$K,Diário!$A:$A,A19)</f>
        <v>9.616087962962963</v>
      </c>
      <c r="I19" s="56">
        <f t="shared" si="1"/>
        <v>0.36953402499112697</v>
      </c>
      <c r="J19" s="55">
        <f t="shared" si="2"/>
        <v>0.25511959490740738</v>
      </c>
      <c r="K19" s="55">
        <f t="shared" si="3"/>
        <v>9.8288171296296301E-2</v>
      </c>
      <c r="L19" s="55">
        <f t="shared" si="4"/>
        <v>9.427537037037037E-2</v>
      </c>
    </row>
    <row r="20" spans="1:12" x14ac:dyDescent="0.25">
      <c r="A20" s="60">
        <v>46253</v>
      </c>
      <c r="B20" s="61" t="s">
        <v>740</v>
      </c>
      <c r="C20" s="61">
        <f>COUNTIFS(Diário!$A:$A,A20)</f>
        <v>97</v>
      </c>
      <c r="D20" s="61">
        <f>SUMIFS(Diário!$G:$G,Diário!$A:$A,A20)</f>
        <v>1564</v>
      </c>
      <c r="E20" s="55">
        <f>SUMIFS(Diário!$H:$H,Diário!$A:$A,A20)</f>
        <v>25.042511574074073</v>
      </c>
      <c r="F20" s="55">
        <f>SUMIFS(Diário!$I:$I,Diário!$A:$A,A20)</f>
        <v>8.0159722222222225</v>
      </c>
      <c r="G20" s="55">
        <f t="shared" si="0"/>
        <v>5.1253009259259264E-3</v>
      </c>
      <c r="H20" s="55">
        <f>SUMIFS(Diário!$K:$K,Diário!$A:$A,A20)</f>
        <v>8.4410532407407413</v>
      </c>
      <c r="I20" s="56">
        <f t="shared" si="1"/>
        <v>0.33706895635338602</v>
      </c>
      <c r="J20" s="55">
        <f t="shared" si="2"/>
        <v>0.25817021990740741</v>
      </c>
      <c r="K20" s="55">
        <f t="shared" si="3"/>
        <v>8.2638888888888887E-2</v>
      </c>
      <c r="L20" s="55">
        <f t="shared" si="4"/>
        <v>8.7021168981481475E-2</v>
      </c>
    </row>
    <row r="21" spans="1:12" x14ac:dyDescent="0.25">
      <c r="A21" s="62" t="s">
        <v>582</v>
      </c>
      <c r="B21" s="62"/>
      <c r="C21" s="62">
        <f>ROUND(AVERAGE(C5:C20),0)</f>
        <v>99</v>
      </c>
      <c r="D21" s="62">
        <f>SUM(D5:D20)</f>
        <v>23493</v>
      </c>
      <c r="E21" s="57">
        <f>SUM(E5:E20)</f>
        <v>371.07391203703702</v>
      </c>
      <c r="F21" s="57">
        <f>SUM(F5:F20)</f>
        <v>143.76938657407408</v>
      </c>
      <c r="G21" s="57">
        <f>AVERAGE(G5:G20)</f>
        <v>6.0224768518518518E-3</v>
      </c>
      <c r="H21" s="57">
        <f>SUM(H5:H20)</f>
        <v>139.45679398148147</v>
      </c>
      <c r="I21" s="58">
        <f t="shared" si="1"/>
        <v>0.37581945121370403</v>
      </c>
      <c r="J21" s="57">
        <f>SUM(J5:J20)</f>
        <v>3.7588201967592592</v>
      </c>
      <c r="K21" s="57">
        <f>SUM(K5:K20)</f>
        <v>1.4357708449074074</v>
      </c>
      <c r="L21" s="57">
        <f>SUM(L5:L20)</f>
        <v>1.4168739351851851</v>
      </c>
    </row>
  </sheetData>
  <mergeCells count="1"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5625-98E8-40B3-804D-9AB535F9D9EF}">
  <dimension ref="B2:K125"/>
  <sheetViews>
    <sheetView showGridLines="0" workbookViewId="0">
      <selection activeCell="C3" sqref="C3"/>
    </sheetView>
  </sheetViews>
  <sheetFormatPr defaultRowHeight="15" x14ac:dyDescent="0.25"/>
  <cols>
    <col min="1" max="1" width="3" customWidth="1"/>
    <col min="2" max="2" width="35" customWidth="1"/>
    <col min="3" max="3" width="32" customWidth="1"/>
    <col min="4" max="4" width="28" customWidth="1"/>
    <col min="5" max="6" width="14" customWidth="1"/>
    <col min="7" max="7" width="30" customWidth="1"/>
    <col min="8" max="8" width="18" customWidth="1"/>
    <col min="9" max="9" width="14" customWidth="1"/>
    <col min="11" max="11" width="0" hidden="1" customWidth="1"/>
  </cols>
  <sheetData>
    <row r="2" spans="2:11" ht="27.95" customHeight="1" x14ac:dyDescent="0.25">
      <c r="B2" s="96" t="s">
        <v>583</v>
      </c>
      <c r="C2" s="96"/>
      <c r="D2" s="96"/>
      <c r="E2" s="96"/>
      <c r="F2" s="96"/>
      <c r="G2" s="96"/>
      <c r="H2" s="96"/>
      <c r="I2" s="96"/>
    </row>
    <row r="3" spans="2:11" ht="21.95" customHeight="1" x14ac:dyDescent="0.25">
      <c r="B3" s="27" t="s">
        <v>584</v>
      </c>
      <c r="C3" s="19">
        <v>46253</v>
      </c>
    </row>
    <row r="5" spans="2:11" ht="18" customHeight="1" x14ac:dyDescent="0.25">
      <c r="B5" s="28" t="s">
        <v>585</v>
      </c>
      <c r="C5" s="29">
        <f>COUNTA(B10:B125)</f>
        <v>116</v>
      </c>
    </row>
    <row r="6" spans="2:11" ht="18" customHeight="1" x14ac:dyDescent="0.25">
      <c r="B6" s="32" t="s">
        <v>586</v>
      </c>
      <c r="C6" s="33">
        <f>COUNTIF(I10:I125,"FALTOU")</f>
        <v>20</v>
      </c>
    </row>
    <row r="7" spans="2:11" ht="18" customHeight="1" x14ac:dyDescent="0.25">
      <c r="B7" s="28" t="s">
        <v>587</v>
      </c>
      <c r="C7" s="29">
        <f>COUNTIF(I10:I125,"TRABALHOU")</f>
        <v>96</v>
      </c>
    </row>
    <row r="9" spans="2:11" ht="21.95" customHeight="1" x14ac:dyDescent="0.25">
      <c r="B9" s="27" t="s">
        <v>588</v>
      </c>
      <c r="C9" s="27" t="s">
        <v>11</v>
      </c>
      <c r="D9" s="27" t="s">
        <v>12</v>
      </c>
      <c r="E9" s="27" t="s">
        <v>13</v>
      </c>
      <c r="F9" s="27" t="s">
        <v>14</v>
      </c>
      <c r="G9" s="27" t="s">
        <v>325</v>
      </c>
      <c r="H9" s="27" t="s">
        <v>324</v>
      </c>
      <c r="I9" s="27" t="s">
        <v>589</v>
      </c>
    </row>
    <row r="10" spans="2:11" ht="15" customHeight="1" x14ac:dyDescent="0.25">
      <c r="B10" s="28" t="s">
        <v>186</v>
      </c>
      <c r="C10" s="29" t="s">
        <v>78</v>
      </c>
      <c r="D10" s="29" t="s">
        <v>79</v>
      </c>
      <c r="E10" s="29" t="s">
        <v>80</v>
      </c>
      <c r="F10" s="29" t="s">
        <v>33</v>
      </c>
      <c r="G10" s="29" t="s">
        <v>330</v>
      </c>
      <c r="H10" s="29" t="s">
        <v>327</v>
      </c>
      <c r="I10" s="29" t="str">
        <f>IF(COUNTIFS(Diário!$B:$B,B10,Diário!$A:$A,$C$3)=0,"FALTOU","TRABALHOU")</f>
        <v>TRABALHOU</v>
      </c>
      <c r="K10" s="19">
        <v>46174</v>
      </c>
    </row>
    <row r="11" spans="2:11" ht="15" customHeight="1" x14ac:dyDescent="0.25">
      <c r="B11" s="32" t="s">
        <v>82</v>
      </c>
      <c r="C11" s="33" t="s">
        <v>78</v>
      </c>
      <c r="D11" s="33" t="s">
        <v>79</v>
      </c>
      <c r="E11" s="33" t="s">
        <v>80</v>
      </c>
      <c r="F11" s="33" t="s">
        <v>81</v>
      </c>
      <c r="G11" s="33" t="s">
        <v>330</v>
      </c>
      <c r="H11" s="33" t="s">
        <v>327</v>
      </c>
      <c r="I11" s="33" t="str">
        <f>IF(COUNTIFS(Diário!$B:$B,B11,Diário!$A:$A,$C$3)=0,"FALTOU","TRABALHOU")</f>
        <v>TRABALHOU</v>
      </c>
      <c r="K11" s="19">
        <v>46175</v>
      </c>
    </row>
    <row r="12" spans="2:11" ht="15" customHeight="1" x14ac:dyDescent="0.25">
      <c r="B12" s="28" t="s">
        <v>307</v>
      </c>
      <c r="C12" s="29" t="s">
        <v>78</v>
      </c>
      <c r="D12" s="29" t="s">
        <v>79</v>
      </c>
      <c r="E12" s="29" t="s">
        <v>80</v>
      </c>
      <c r="F12" s="29" t="s">
        <v>81</v>
      </c>
      <c r="G12" s="29" t="s">
        <v>330</v>
      </c>
      <c r="H12" s="29" t="s">
        <v>327</v>
      </c>
      <c r="I12" s="29" t="str">
        <f>IF(COUNTIFS(Diário!$B:$B,B12,Diário!$A:$A,$C$3)=0,"FALTOU","TRABALHOU")</f>
        <v>TRABALHOU</v>
      </c>
      <c r="K12" s="19">
        <v>46176</v>
      </c>
    </row>
    <row r="13" spans="2:11" ht="15" customHeight="1" x14ac:dyDescent="0.25">
      <c r="B13" s="32" t="s">
        <v>497</v>
      </c>
      <c r="C13" s="33" t="s">
        <v>78</v>
      </c>
      <c r="D13" s="33" t="s">
        <v>79</v>
      </c>
      <c r="E13" s="33" t="s">
        <v>80</v>
      </c>
      <c r="F13" s="33" t="s">
        <v>81</v>
      </c>
      <c r="G13" s="33" t="s">
        <v>330</v>
      </c>
      <c r="H13" s="33" t="s">
        <v>327</v>
      </c>
      <c r="I13" s="33" t="str">
        <f>IF(COUNTIFS(Diário!$B:$B,B13,Diário!$A:$A,$C$3)=0,"FALTOU","TRABALHOU")</f>
        <v>TRABALHOU</v>
      </c>
      <c r="K13" s="19">
        <v>46177</v>
      </c>
    </row>
    <row r="14" spans="2:11" ht="15" customHeight="1" x14ac:dyDescent="0.25">
      <c r="B14" s="28" t="s">
        <v>309</v>
      </c>
      <c r="C14" s="29" t="s">
        <v>78</v>
      </c>
      <c r="D14" s="29" t="s">
        <v>79</v>
      </c>
      <c r="E14" s="29" t="s">
        <v>80</v>
      </c>
      <c r="F14" s="29" t="s">
        <v>81</v>
      </c>
      <c r="G14" s="29" t="s">
        <v>330</v>
      </c>
      <c r="H14" s="29" t="s">
        <v>327</v>
      </c>
      <c r="I14" s="29" t="str">
        <f>IF(COUNTIFS(Diário!$B:$B,B14,Diário!$A:$A,$C$3)=0,"FALTOU","TRABALHOU")</f>
        <v>TRABALHOU</v>
      </c>
      <c r="K14" s="19">
        <v>46178</v>
      </c>
    </row>
    <row r="15" spans="2:11" ht="15" customHeight="1" x14ac:dyDescent="0.25">
      <c r="B15" s="32" t="s">
        <v>248</v>
      </c>
      <c r="C15" s="33" t="s">
        <v>78</v>
      </c>
      <c r="D15" s="33" t="s">
        <v>79</v>
      </c>
      <c r="E15" s="33" t="s">
        <v>80</v>
      </c>
      <c r="F15" s="33" t="s">
        <v>81</v>
      </c>
      <c r="G15" s="33" t="s">
        <v>330</v>
      </c>
      <c r="H15" s="33" t="s">
        <v>327</v>
      </c>
      <c r="I15" s="33" t="str">
        <f>IF(COUNTIFS(Diário!$B:$B,B15,Diário!$A:$A,$C$3)=0,"FALTOU","TRABALHOU")</f>
        <v>TRABALHOU</v>
      </c>
      <c r="K15" s="19">
        <v>46179</v>
      </c>
    </row>
    <row r="16" spans="2:11" ht="15" customHeight="1" x14ac:dyDescent="0.25">
      <c r="B16" s="28" t="s">
        <v>252</v>
      </c>
      <c r="C16" s="29" t="s">
        <v>78</v>
      </c>
      <c r="D16" s="29" t="s">
        <v>79</v>
      </c>
      <c r="E16" s="29" t="s">
        <v>80</v>
      </c>
      <c r="F16" s="29" t="s">
        <v>81</v>
      </c>
      <c r="G16" s="29" t="s">
        <v>330</v>
      </c>
      <c r="H16" s="29" t="s">
        <v>327</v>
      </c>
      <c r="I16" s="29" t="str">
        <f>IF(COUNTIFS(Diário!$B:$B,B16,Diário!$A:$A,$C$3)=0,"FALTOU","TRABALHOU")</f>
        <v>TRABALHOU</v>
      </c>
      <c r="K16" s="19">
        <v>46181</v>
      </c>
    </row>
    <row r="17" spans="2:11" ht="15" customHeight="1" x14ac:dyDescent="0.25">
      <c r="B17" s="32" t="s">
        <v>90</v>
      </c>
      <c r="C17" s="33" t="s">
        <v>78</v>
      </c>
      <c r="D17" s="33" t="s">
        <v>79</v>
      </c>
      <c r="E17" s="33" t="s">
        <v>80</v>
      </c>
      <c r="F17" s="33" t="s">
        <v>81</v>
      </c>
      <c r="G17" s="33" t="s">
        <v>330</v>
      </c>
      <c r="H17" s="33" t="s">
        <v>327</v>
      </c>
      <c r="I17" s="33" t="str">
        <f>IF(COUNTIFS(Diário!$B:$B,B17,Diário!$A:$A,$C$3)=0,"FALTOU","TRABALHOU")</f>
        <v>FALTOU</v>
      </c>
      <c r="K17" s="19">
        <v>46182</v>
      </c>
    </row>
    <row r="18" spans="2:11" ht="15" customHeight="1" x14ac:dyDescent="0.25">
      <c r="B18" s="28" t="s">
        <v>92</v>
      </c>
      <c r="C18" s="29" t="s">
        <v>78</v>
      </c>
      <c r="D18" s="29" t="s">
        <v>79</v>
      </c>
      <c r="E18" s="29" t="s">
        <v>80</v>
      </c>
      <c r="F18" s="29" t="s">
        <v>81</v>
      </c>
      <c r="G18" s="29" t="s">
        <v>330</v>
      </c>
      <c r="H18" s="29" t="s">
        <v>327</v>
      </c>
      <c r="I18" s="29" t="str">
        <f>IF(COUNTIFS(Diário!$B:$B,B18,Diário!$A:$A,$C$3)=0,"FALTOU","TRABALHOU")</f>
        <v>TRABALHOU</v>
      </c>
      <c r="K18" s="19">
        <v>46183</v>
      </c>
    </row>
    <row r="19" spans="2:11" ht="15" customHeight="1" x14ac:dyDescent="0.25">
      <c r="B19" s="32" t="s">
        <v>94</v>
      </c>
      <c r="C19" s="33" t="s">
        <v>78</v>
      </c>
      <c r="D19" s="33" t="s">
        <v>79</v>
      </c>
      <c r="E19" s="33" t="s">
        <v>80</v>
      </c>
      <c r="F19" s="33" t="s">
        <v>81</v>
      </c>
      <c r="G19" s="33" t="s">
        <v>330</v>
      </c>
      <c r="H19" s="33" t="s">
        <v>327</v>
      </c>
      <c r="I19" s="33" t="str">
        <f>IF(COUNTIFS(Diário!$B:$B,B19,Diário!$A:$A,$C$3)=0,"FALTOU","TRABALHOU")</f>
        <v>TRABALHOU</v>
      </c>
      <c r="K19" s="19">
        <v>46184</v>
      </c>
    </row>
    <row r="20" spans="2:11" ht="15" customHeight="1" x14ac:dyDescent="0.25">
      <c r="B20" s="28" t="s">
        <v>264</v>
      </c>
      <c r="C20" s="29" t="s">
        <v>78</v>
      </c>
      <c r="D20" s="29" t="s">
        <v>79</v>
      </c>
      <c r="E20" s="29" t="s">
        <v>80</v>
      </c>
      <c r="F20" s="29" t="s">
        <v>106</v>
      </c>
      <c r="G20" s="29" t="s">
        <v>330</v>
      </c>
      <c r="H20" s="29" t="s">
        <v>327</v>
      </c>
      <c r="I20" s="29" t="str">
        <f>IF(COUNTIFS(Diário!$B:$B,B20,Diário!$A:$A,$C$3)=0,"FALTOU","TRABALHOU")</f>
        <v>TRABALHOU</v>
      </c>
      <c r="K20" s="19">
        <v>46185</v>
      </c>
    </row>
    <row r="21" spans="2:11" ht="15" customHeight="1" x14ac:dyDescent="0.25">
      <c r="B21" s="32" t="s">
        <v>96</v>
      </c>
      <c r="C21" s="33" t="s">
        <v>78</v>
      </c>
      <c r="D21" s="33" t="s">
        <v>79</v>
      </c>
      <c r="E21" s="33" t="s">
        <v>80</v>
      </c>
      <c r="F21" s="33" t="s">
        <v>81</v>
      </c>
      <c r="G21" s="33" t="s">
        <v>330</v>
      </c>
      <c r="H21" s="33" t="s">
        <v>327</v>
      </c>
      <c r="I21" s="33" t="str">
        <f>IF(COUNTIFS(Diário!$B:$B,B21,Diário!$A:$A,$C$3)=0,"FALTOU","TRABALHOU")</f>
        <v>TRABALHOU</v>
      </c>
      <c r="K21" s="19">
        <v>46186</v>
      </c>
    </row>
    <row r="22" spans="2:11" ht="15" customHeight="1" x14ac:dyDescent="0.25">
      <c r="B22" s="28" t="s">
        <v>313</v>
      </c>
      <c r="C22" s="29" t="s">
        <v>78</v>
      </c>
      <c r="D22" s="29" t="s">
        <v>79</v>
      </c>
      <c r="E22" s="29" t="s">
        <v>80</v>
      </c>
      <c r="F22" s="29" t="s">
        <v>81</v>
      </c>
      <c r="G22" s="29" t="s">
        <v>330</v>
      </c>
      <c r="H22" s="29" t="s">
        <v>327</v>
      </c>
      <c r="I22" s="29" t="str">
        <f>IF(COUNTIFS(Diário!$B:$B,B22,Diário!$A:$A,$C$3)=0,"FALTOU","TRABALHOU")</f>
        <v>TRABALHOU</v>
      </c>
      <c r="K22" s="19">
        <v>46188</v>
      </c>
    </row>
    <row r="23" spans="2:11" ht="15" customHeight="1" x14ac:dyDescent="0.25">
      <c r="B23" s="32" t="s">
        <v>70</v>
      </c>
      <c r="C23" s="33" t="s">
        <v>78</v>
      </c>
      <c r="D23" s="33" t="s">
        <v>79</v>
      </c>
      <c r="E23" s="33" t="s">
        <v>80</v>
      </c>
      <c r="F23" s="33" t="s">
        <v>33</v>
      </c>
      <c r="G23" s="33" t="s">
        <v>330</v>
      </c>
      <c r="H23" s="33" t="s">
        <v>327</v>
      </c>
      <c r="I23" s="33" t="str">
        <f>IF(COUNTIFS(Diário!$B:$B,B23,Diário!$A:$A,$C$3)=0,"FALTOU","TRABALHOU")</f>
        <v>TRABALHOU</v>
      </c>
    </row>
    <row r="24" spans="2:11" ht="15" customHeight="1" x14ac:dyDescent="0.25">
      <c r="B24" s="28" t="s">
        <v>503</v>
      </c>
      <c r="C24" s="29" t="s">
        <v>78</v>
      </c>
      <c r="D24" s="29" t="s">
        <v>79</v>
      </c>
      <c r="E24" s="29" t="s">
        <v>496</v>
      </c>
      <c r="F24" s="29" t="s">
        <v>106</v>
      </c>
      <c r="G24" s="29" t="s">
        <v>495</v>
      </c>
      <c r="H24" s="29" t="s">
        <v>327</v>
      </c>
      <c r="I24" s="29" t="str">
        <f>IF(COUNTIFS(Diário!$B:$B,B24,Diário!$A:$A,$C$3)=0,"FALTOU","TRABALHOU")</f>
        <v>FALTOU</v>
      </c>
    </row>
    <row r="25" spans="2:11" ht="15" customHeight="1" x14ac:dyDescent="0.25">
      <c r="B25" s="32" t="s">
        <v>148</v>
      </c>
      <c r="C25" s="33" t="s">
        <v>104</v>
      </c>
      <c r="D25" s="33" t="s">
        <v>31</v>
      </c>
      <c r="E25" s="33" t="s">
        <v>105</v>
      </c>
      <c r="F25" s="33" t="s">
        <v>106</v>
      </c>
      <c r="G25" s="33" t="s">
        <v>328</v>
      </c>
      <c r="H25" s="33" t="s">
        <v>327</v>
      </c>
      <c r="I25" s="33" t="str">
        <f>IF(COUNTIFS(Diário!$B:$B,B25,Diário!$A:$A,$C$3)=0,"FALTOU","TRABALHOU")</f>
        <v>TRABALHOU</v>
      </c>
    </row>
    <row r="26" spans="2:11" ht="15" customHeight="1" x14ac:dyDescent="0.25">
      <c r="B26" s="28" t="s">
        <v>493</v>
      </c>
      <c r="C26" s="29" t="s">
        <v>104</v>
      </c>
      <c r="D26" s="29" t="s">
        <v>31</v>
      </c>
      <c r="E26" s="29" t="s">
        <v>105</v>
      </c>
      <c r="F26" s="29" t="s">
        <v>106</v>
      </c>
      <c r="G26" s="29" t="s">
        <v>328</v>
      </c>
      <c r="H26" s="29" t="s">
        <v>327</v>
      </c>
      <c r="I26" s="29" t="str">
        <f>IF(COUNTIFS(Diário!$B:$B,B26,Diário!$A:$A,$C$3)=0,"FALTOU","TRABALHOU")</f>
        <v>FALTOU</v>
      </c>
    </row>
    <row r="27" spans="2:11" ht="15" customHeight="1" x14ac:dyDescent="0.25">
      <c r="B27" s="32" t="s">
        <v>112</v>
      </c>
      <c r="C27" s="33" t="s">
        <v>104</v>
      </c>
      <c r="D27" s="33" t="s">
        <v>31</v>
      </c>
      <c r="E27" s="33" t="s">
        <v>105</v>
      </c>
      <c r="F27" s="33" t="s">
        <v>106</v>
      </c>
      <c r="G27" s="33" t="s">
        <v>328</v>
      </c>
      <c r="H27" s="33" t="s">
        <v>327</v>
      </c>
      <c r="I27" s="33" t="str">
        <f>IF(COUNTIFS(Diário!$B:$B,B27,Diário!$A:$A,$C$3)=0,"FALTOU","TRABALHOU")</f>
        <v>TRABALHOU</v>
      </c>
    </row>
    <row r="28" spans="2:11" ht="15" customHeight="1" x14ac:dyDescent="0.25">
      <c r="B28" s="28" t="s">
        <v>42</v>
      </c>
      <c r="C28" s="29" t="s">
        <v>104</v>
      </c>
      <c r="D28" s="29" t="s">
        <v>31</v>
      </c>
      <c r="E28" s="29" t="s">
        <v>105</v>
      </c>
      <c r="F28" s="29" t="s">
        <v>106</v>
      </c>
      <c r="G28" s="29" t="s">
        <v>328</v>
      </c>
      <c r="H28" s="29" t="s">
        <v>327</v>
      </c>
      <c r="I28" s="29" t="str">
        <f>IF(COUNTIFS(Diário!$B:$B,B28,Diário!$A:$A,$C$3)=0,"FALTOU","TRABALHOU")</f>
        <v>TRABALHOU</v>
      </c>
    </row>
    <row r="29" spans="2:11" ht="15" customHeight="1" x14ac:dyDescent="0.25">
      <c r="B29" s="32" t="s">
        <v>114</v>
      </c>
      <c r="C29" s="33" t="s">
        <v>104</v>
      </c>
      <c r="D29" s="33" t="s">
        <v>31</v>
      </c>
      <c r="E29" s="33" t="s">
        <v>105</v>
      </c>
      <c r="F29" s="33" t="s">
        <v>106</v>
      </c>
      <c r="G29" s="33" t="s">
        <v>328</v>
      </c>
      <c r="H29" s="33" t="s">
        <v>327</v>
      </c>
      <c r="I29" s="33" t="str">
        <f>IF(COUNTIFS(Diário!$B:$B,B29,Diário!$A:$A,$C$3)=0,"FALTOU","TRABALHOU")</f>
        <v>TRABALHOU</v>
      </c>
    </row>
    <row r="30" spans="2:11" ht="15" customHeight="1" x14ac:dyDescent="0.25">
      <c r="B30" s="28" t="s">
        <v>287</v>
      </c>
      <c r="C30" s="29" t="s">
        <v>104</v>
      </c>
      <c r="D30" s="29" t="s">
        <v>31</v>
      </c>
      <c r="E30" s="29" t="s">
        <v>105</v>
      </c>
      <c r="F30" s="29" t="s">
        <v>106</v>
      </c>
      <c r="G30" s="29" t="s">
        <v>328</v>
      </c>
      <c r="H30" s="29" t="s">
        <v>327</v>
      </c>
      <c r="I30" s="29" t="str">
        <f>IF(COUNTIFS(Diário!$B:$B,B30,Diário!$A:$A,$C$3)=0,"FALTOU","TRABALHOU")</f>
        <v>FALTOU</v>
      </c>
    </row>
    <row r="31" spans="2:11" ht="15" customHeight="1" x14ac:dyDescent="0.25">
      <c r="B31" s="32" t="s">
        <v>649</v>
      </c>
      <c r="C31" s="33" t="s">
        <v>104</v>
      </c>
      <c r="D31" s="33" t="s">
        <v>31</v>
      </c>
      <c r="E31" s="33" t="s">
        <v>105</v>
      </c>
      <c r="F31" s="33" t="s">
        <v>106</v>
      </c>
      <c r="G31" s="33" t="s">
        <v>328</v>
      </c>
      <c r="H31" s="33" t="s">
        <v>327</v>
      </c>
      <c r="I31" s="33" t="str">
        <f>IF(COUNTIFS(Diário!$B:$B,B31,Diário!$A:$A,$C$3)=0,"FALTOU","TRABALHOU")</f>
        <v>TRABALHOU</v>
      </c>
    </row>
    <row r="32" spans="2:11" ht="15" customHeight="1" x14ac:dyDescent="0.25">
      <c r="B32" s="28" t="s">
        <v>289</v>
      </c>
      <c r="C32" s="29" t="s">
        <v>104</v>
      </c>
      <c r="D32" s="29" t="s">
        <v>31</v>
      </c>
      <c r="E32" s="29" t="s">
        <v>105</v>
      </c>
      <c r="F32" s="29" t="s">
        <v>106</v>
      </c>
      <c r="G32" s="29" t="s">
        <v>328</v>
      </c>
      <c r="H32" s="29" t="s">
        <v>327</v>
      </c>
      <c r="I32" s="29" t="str">
        <f>IF(COUNTIFS(Diário!$B:$B,B32,Diário!$A:$A,$C$3)=0,"FALTOU","TRABALHOU")</f>
        <v>TRABALHOU</v>
      </c>
    </row>
    <row r="33" spans="2:9" ht="15" customHeight="1" x14ac:dyDescent="0.25">
      <c r="B33" s="32" t="s">
        <v>293</v>
      </c>
      <c r="C33" s="33" t="s">
        <v>104</v>
      </c>
      <c r="D33" s="33" t="s">
        <v>31</v>
      </c>
      <c r="E33" s="33" t="s">
        <v>600</v>
      </c>
      <c r="F33" s="33" t="s">
        <v>106</v>
      </c>
      <c r="G33" s="33" t="s">
        <v>328</v>
      </c>
      <c r="H33" s="33" t="s">
        <v>327</v>
      </c>
      <c r="I33" s="33" t="str">
        <f>IF(COUNTIFS(Diário!$B:$B,B33,Diário!$A:$A,$C$3)=0,"FALTOU","TRABALHOU")</f>
        <v>TRABALHOU</v>
      </c>
    </row>
    <row r="34" spans="2:9" ht="15" customHeight="1" x14ac:dyDescent="0.25">
      <c r="B34" s="28" t="s">
        <v>690</v>
      </c>
      <c r="C34" s="29" t="s">
        <v>104</v>
      </c>
      <c r="D34" s="29" t="s">
        <v>31</v>
      </c>
      <c r="E34" s="29" t="s">
        <v>105</v>
      </c>
      <c r="F34" s="29" t="s">
        <v>106</v>
      </c>
      <c r="G34" s="29" t="s">
        <v>328</v>
      </c>
      <c r="H34" s="29" t="s">
        <v>327</v>
      </c>
      <c r="I34" s="29" t="str">
        <f>IF(COUNTIFS(Diário!$B:$B,B34,Diário!$A:$A,$C$3)=0,"FALTOU","TRABALHOU")</f>
        <v>FALTOU</v>
      </c>
    </row>
    <row r="35" spans="2:9" ht="15" customHeight="1" x14ac:dyDescent="0.25">
      <c r="B35" s="32" t="s">
        <v>297</v>
      </c>
      <c r="C35" s="33" t="s">
        <v>104</v>
      </c>
      <c r="D35" s="33" t="s">
        <v>31</v>
      </c>
      <c r="E35" s="33" t="s">
        <v>105</v>
      </c>
      <c r="F35" s="33" t="s">
        <v>106</v>
      </c>
      <c r="G35" s="33" t="s">
        <v>328</v>
      </c>
      <c r="H35" s="33" t="s">
        <v>327</v>
      </c>
      <c r="I35" s="33" t="str">
        <f>IF(COUNTIFS(Diário!$B:$B,B35,Diário!$A:$A,$C$3)=0,"FALTOU","TRABALHOU")</f>
        <v>TRABALHOU</v>
      </c>
    </row>
    <row r="36" spans="2:9" ht="15" customHeight="1" x14ac:dyDescent="0.25">
      <c r="B36" s="28" t="s">
        <v>132</v>
      </c>
      <c r="C36" s="29" t="s">
        <v>104</v>
      </c>
      <c r="D36" s="29" t="s">
        <v>31</v>
      </c>
      <c r="E36" s="29" t="s">
        <v>105</v>
      </c>
      <c r="F36" s="29" t="s">
        <v>106</v>
      </c>
      <c r="G36" s="29" t="s">
        <v>328</v>
      </c>
      <c r="H36" s="29" t="s">
        <v>327</v>
      </c>
      <c r="I36" s="29" t="str">
        <f>IF(COUNTIFS(Diário!$B:$B,B36,Diário!$A:$A,$C$3)=0,"FALTOU","TRABALHOU")</f>
        <v>TRABALHOU</v>
      </c>
    </row>
    <row r="37" spans="2:9" ht="15" customHeight="1" x14ac:dyDescent="0.25">
      <c r="B37" s="32" t="s">
        <v>134</v>
      </c>
      <c r="C37" s="33" t="s">
        <v>104</v>
      </c>
      <c r="D37" s="33" t="s">
        <v>31</v>
      </c>
      <c r="E37" s="33" t="s">
        <v>105</v>
      </c>
      <c r="F37" s="33" t="s">
        <v>106</v>
      </c>
      <c r="G37" s="33" t="s">
        <v>328</v>
      </c>
      <c r="H37" s="33" t="s">
        <v>327</v>
      </c>
      <c r="I37" s="33" t="str">
        <f>IF(COUNTIFS(Diário!$B:$B,B37,Diário!$A:$A,$C$3)=0,"FALTOU","TRABALHOU")</f>
        <v>TRABALHOU</v>
      </c>
    </row>
    <row r="38" spans="2:9" ht="15" customHeight="1" x14ac:dyDescent="0.25">
      <c r="B38" s="28" t="s">
        <v>211</v>
      </c>
      <c r="C38" s="29" t="s">
        <v>104</v>
      </c>
      <c r="D38" s="29" t="s">
        <v>31</v>
      </c>
      <c r="E38" s="29" t="s">
        <v>105</v>
      </c>
      <c r="F38" s="29" t="s">
        <v>106</v>
      </c>
      <c r="G38" s="29" t="s">
        <v>328</v>
      </c>
      <c r="H38" s="29" t="s">
        <v>327</v>
      </c>
      <c r="I38" s="29" t="str">
        <f>IF(COUNTIFS(Diário!$B:$B,B38,Diário!$A:$A,$C$3)=0,"FALTOU","TRABALHOU")</f>
        <v>TRABALHOU</v>
      </c>
    </row>
    <row r="39" spans="2:9" ht="15" customHeight="1" x14ac:dyDescent="0.25">
      <c r="B39" s="32" t="s">
        <v>136</v>
      </c>
      <c r="C39" s="33" t="s">
        <v>104</v>
      </c>
      <c r="D39" s="33" t="s">
        <v>31</v>
      </c>
      <c r="E39" s="33" t="s">
        <v>105</v>
      </c>
      <c r="F39" s="33" t="s">
        <v>106</v>
      </c>
      <c r="G39" s="33" t="s">
        <v>328</v>
      </c>
      <c r="H39" s="33" t="s">
        <v>327</v>
      </c>
      <c r="I39" s="33" t="str">
        <f>IF(COUNTIFS(Diário!$B:$B,B39,Diário!$A:$A,$C$3)=0,"FALTOU","TRABALHOU")</f>
        <v>TRABALHOU</v>
      </c>
    </row>
    <row r="40" spans="2:9" ht="15" customHeight="1" x14ac:dyDescent="0.25">
      <c r="B40" s="28" t="s">
        <v>219</v>
      </c>
      <c r="C40" s="29" t="s">
        <v>104</v>
      </c>
      <c r="D40" s="29" t="s">
        <v>31</v>
      </c>
      <c r="E40" s="29" t="s">
        <v>105</v>
      </c>
      <c r="F40" s="29" t="s">
        <v>106</v>
      </c>
      <c r="G40" s="29" t="s">
        <v>328</v>
      </c>
      <c r="H40" s="29" t="s">
        <v>327</v>
      </c>
      <c r="I40" s="29" t="str">
        <f>IF(COUNTIFS(Diário!$B:$B,B40,Diário!$A:$A,$C$3)=0,"FALTOU","TRABALHOU")</f>
        <v>TRABALHOU</v>
      </c>
    </row>
    <row r="41" spans="2:9" ht="15" customHeight="1" x14ac:dyDescent="0.25">
      <c r="B41" s="32" t="s">
        <v>138</v>
      </c>
      <c r="C41" s="33" t="s">
        <v>104</v>
      </c>
      <c r="D41" s="33" t="s">
        <v>31</v>
      </c>
      <c r="E41" s="33" t="s">
        <v>105</v>
      </c>
      <c r="F41" s="33" t="s">
        <v>106</v>
      </c>
      <c r="G41" s="33" t="s">
        <v>328</v>
      </c>
      <c r="H41" s="33" t="s">
        <v>327</v>
      </c>
      <c r="I41" s="33" t="str">
        <f>IF(COUNTIFS(Diário!$B:$B,B41,Diário!$A:$A,$C$3)=0,"FALTOU","TRABALHOU")</f>
        <v>TRABALHOU</v>
      </c>
    </row>
    <row r="42" spans="2:9" ht="15" customHeight="1" x14ac:dyDescent="0.25">
      <c r="B42" s="28" t="s">
        <v>673</v>
      </c>
      <c r="C42" s="29" t="s">
        <v>104</v>
      </c>
      <c r="D42" s="29" t="s">
        <v>31</v>
      </c>
      <c r="E42" s="29" t="s">
        <v>105</v>
      </c>
      <c r="F42" s="29" t="s">
        <v>106</v>
      </c>
      <c r="G42" s="29" t="s">
        <v>328</v>
      </c>
      <c r="H42" s="29" t="s">
        <v>327</v>
      </c>
      <c r="I42" s="29" t="str">
        <f>IF(COUNTIFS(Diário!$B:$B,B42,Diário!$A:$A,$C$3)=0,"FALTOU","TRABALHOU")</f>
        <v>TRABALHOU</v>
      </c>
    </row>
    <row r="43" spans="2:9" ht="15" customHeight="1" x14ac:dyDescent="0.25">
      <c r="B43" s="32" t="s">
        <v>299</v>
      </c>
      <c r="C43" s="33" t="s">
        <v>104</v>
      </c>
      <c r="D43" s="33" t="s">
        <v>31</v>
      </c>
      <c r="E43" s="33" t="s">
        <v>105</v>
      </c>
      <c r="F43" s="33" t="s">
        <v>106</v>
      </c>
      <c r="G43" s="33" t="s">
        <v>328</v>
      </c>
      <c r="H43" s="33" t="s">
        <v>327</v>
      </c>
      <c r="I43" s="33" t="str">
        <f>IF(COUNTIFS(Diário!$B:$B,B43,Diário!$A:$A,$C$3)=0,"FALTOU","TRABALHOU")</f>
        <v>TRABALHOU</v>
      </c>
    </row>
    <row r="44" spans="2:9" ht="15" customHeight="1" x14ac:dyDescent="0.25">
      <c r="B44" s="28" t="s">
        <v>301</v>
      </c>
      <c r="C44" s="29" t="s">
        <v>104</v>
      </c>
      <c r="D44" s="29" t="s">
        <v>31</v>
      </c>
      <c r="E44" s="29" t="s">
        <v>105</v>
      </c>
      <c r="F44" s="29" t="s">
        <v>106</v>
      </c>
      <c r="G44" s="29" t="s">
        <v>328</v>
      </c>
      <c r="H44" s="29" t="s">
        <v>327</v>
      </c>
      <c r="I44" s="29" t="str">
        <f>IF(COUNTIFS(Diário!$B:$B,B44,Diário!$A:$A,$C$3)=0,"FALTOU","TRABALHOU")</f>
        <v>FALTOU</v>
      </c>
    </row>
    <row r="45" spans="2:9" ht="15" customHeight="1" x14ac:dyDescent="0.25">
      <c r="B45" s="32" t="s">
        <v>675</v>
      </c>
      <c r="C45" s="33" t="s">
        <v>104</v>
      </c>
      <c r="D45" s="33" t="s">
        <v>31</v>
      </c>
      <c r="E45" s="33" t="s">
        <v>105</v>
      </c>
      <c r="F45" s="33" t="s">
        <v>106</v>
      </c>
      <c r="G45" s="33" t="s">
        <v>328</v>
      </c>
      <c r="H45" s="33" t="s">
        <v>327</v>
      </c>
      <c r="I45" s="33" t="str">
        <f>IF(COUNTIFS(Diário!$B:$B,B45,Diário!$A:$A,$C$3)=0,"FALTOU","TRABALHOU")</f>
        <v>TRABALHOU</v>
      </c>
    </row>
    <row r="46" spans="2:9" ht="15" customHeight="1" x14ac:dyDescent="0.25">
      <c r="B46" s="28" t="s">
        <v>608</v>
      </c>
      <c r="C46" s="29" t="s">
        <v>601</v>
      </c>
      <c r="D46" s="29" t="s">
        <v>31</v>
      </c>
      <c r="E46" s="29" t="s">
        <v>105</v>
      </c>
      <c r="F46" s="29" t="s">
        <v>33</v>
      </c>
      <c r="G46" s="29" t="s">
        <v>328</v>
      </c>
      <c r="H46" s="29" t="s">
        <v>327</v>
      </c>
      <c r="I46" s="29" t="str">
        <f>IF(COUNTIFS(Diário!$B:$B,B46,Diário!$A:$A,$C$3)=0,"FALTOU","TRABALHOU")</f>
        <v>TRABALHOU</v>
      </c>
    </row>
    <row r="47" spans="2:9" ht="15" customHeight="1" x14ac:dyDescent="0.25">
      <c r="B47" s="32" t="s">
        <v>197</v>
      </c>
      <c r="C47" s="33" t="s">
        <v>601</v>
      </c>
      <c r="D47" s="33" t="s">
        <v>31</v>
      </c>
      <c r="E47" s="33" t="s">
        <v>105</v>
      </c>
      <c r="F47" s="33" t="s">
        <v>33</v>
      </c>
      <c r="G47" s="33" t="s">
        <v>328</v>
      </c>
      <c r="H47" s="33" t="s">
        <v>327</v>
      </c>
      <c r="I47" s="33" t="str">
        <f>IF(COUNTIFS(Diário!$B:$B,B47,Diário!$A:$A,$C$3)=0,"FALTOU","TRABALHOU")</f>
        <v>TRABALHOU</v>
      </c>
    </row>
    <row r="48" spans="2:9" ht="15" customHeight="1" x14ac:dyDescent="0.25">
      <c r="B48" s="28" t="s">
        <v>681</v>
      </c>
      <c r="C48" s="29" t="s">
        <v>601</v>
      </c>
      <c r="D48" s="29" t="s">
        <v>31</v>
      </c>
      <c r="E48" s="29" t="s">
        <v>105</v>
      </c>
      <c r="F48" s="29" t="s">
        <v>33</v>
      </c>
      <c r="G48" s="29" t="s">
        <v>328</v>
      </c>
      <c r="H48" s="29" t="s">
        <v>327</v>
      </c>
      <c r="I48" s="29" t="str">
        <f>IF(COUNTIFS(Diário!$B:$B,B48,Diário!$A:$A,$C$3)=0,"FALTOU","TRABALHOU")</f>
        <v>FALTOU</v>
      </c>
    </row>
    <row r="49" spans="2:9" ht="15" customHeight="1" x14ac:dyDescent="0.25">
      <c r="B49" s="32" t="s">
        <v>609</v>
      </c>
      <c r="C49" s="33" t="s">
        <v>601</v>
      </c>
      <c r="D49" s="33" t="s">
        <v>31</v>
      </c>
      <c r="E49" s="33" t="s">
        <v>105</v>
      </c>
      <c r="F49" s="33" t="s">
        <v>33</v>
      </c>
      <c r="G49" s="33" t="s">
        <v>328</v>
      </c>
      <c r="H49" s="33" t="s">
        <v>327</v>
      </c>
      <c r="I49" s="33" t="str">
        <f>IF(COUNTIFS(Diário!$B:$B,B49,Diário!$A:$A,$C$3)=0,"FALTOU","TRABALHOU")</f>
        <v>TRABALHOU</v>
      </c>
    </row>
    <row r="50" spans="2:9" ht="15" customHeight="1" x14ac:dyDescent="0.25">
      <c r="B50" s="28" t="s">
        <v>610</v>
      </c>
      <c r="C50" s="29" t="s">
        <v>601</v>
      </c>
      <c r="D50" s="29" t="s">
        <v>31</v>
      </c>
      <c r="E50" s="29" t="s">
        <v>105</v>
      </c>
      <c r="F50" s="29" t="s">
        <v>33</v>
      </c>
      <c r="G50" s="29" t="s">
        <v>328</v>
      </c>
      <c r="H50" s="29" t="s">
        <v>607</v>
      </c>
      <c r="I50" s="29" t="str">
        <f>IF(COUNTIFS(Diário!$B:$B,B50,Diário!$A:$A,$C$3)=0,"FALTOU","TRABALHOU")</f>
        <v>FALTOU</v>
      </c>
    </row>
    <row r="51" spans="2:9" ht="15" customHeight="1" x14ac:dyDescent="0.25">
      <c r="B51" s="32" t="s">
        <v>201</v>
      </c>
      <c r="C51" s="33" t="s">
        <v>601</v>
      </c>
      <c r="D51" s="33" t="s">
        <v>31</v>
      </c>
      <c r="E51" s="33" t="s">
        <v>600</v>
      </c>
      <c r="F51" s="33" t="s">
        <v>33</v>
      </c>
      <c r="G51" s="33" t="s">
        <v>328</v>
      </c>
      <c r="H51" s="33" t="s">
        <v>327</v>
      </c>
      <c r="I51" s="33" t="str">
        <f>IF(COUNTIFS(Diário!$B:$B,B51,Diário!$A:$A,$C$3)=0,"FALTOU","TRABALHOU")</f>
        <v>TRABALHOU</v>
      </c>
    </row>
    <row r="52" spans="2:9" ht="15" customHeight="1" x14ac:dyDescent="0.25">
      <c r="B52" s="28" t="s">
        <v>612</v>
      </c>
      <c r="C52" s="29" t="s">
        <v>601</v>
      </c>
      <c r="D52" s="29" t="s">
        <v>31</v>
      </c>
      <c r="E52" s="29" t="s">
        <v>105</v>
      </c>
      <c r="F52" s="29" t="s">
        <v>33</v>
      </c>
      <c r="G52" s="29" t="s">
        <v>328</v>
      </c>
      <c r="H52" s="29" t="s">
        <v>327</v>
      </c>
      <c r="I52" s="29" t="str">
        <f>IF(COUNTIFS(Diário!$B:$B,B52,Diário!$A:$A,$C$3)=0,"FALTOU","TRABALHOU")</f>
        <v>TRABALHOU</v>
      </c>
    </row>
    <row r="53" spans="2:9" ht="15" customHeight="1" x14ac:dyDescent="0.25">
      <c r="B53" s="32" t="s">
        <v>203</v>
      </c>
      <c r="C53" s="33" t="s">
        <v>601</v>
      </c>
      <c r="D53" s="33" t="s">
        <v>31</v>
      </c>
      <c r="E53" s="33" t="s">
        <v>105</v>
      </c>
      <c r="F53" s="33" t="s">
        <v>33</v>
      </c>
      <c r="G53" s="33" t="s">
        <v>328</v>
      </c>
      <c r="H53" s="33" t="s">
        <v>327</v>
      </c>
      <c r="I53" s="33" t="str">
        <f>IF(COUNTIFS(Diário!$B:$B,B53,Diário!$A:$A,$C$3)=0,"FALTOU","TRABALHOU")</f>
        <v>FALTOU</v>
      </c>
    </row>
    <row r="54" spans="2:9" ht="15" customHeight="1" x14ac:dyDescent="0.25">
      <c r="B54" s="28" t="s">
        <v>614</v>
      </c>
      <c r="C54" s="29" t="s">
        <v>601</v>
      </c>
      <c r="D54" s="29" t="s">
        <v>31</v>
      </c>
      <c r="E54" s="29" t="s">
        <v>105</v>
      </c>
      <c r="F54" s="29" t="s">
        <v>33</v>
      </c>
      <c r="G54" s="29" t="s">
        <v>328</v>
      </c>
      <c r="H54" s="29" t="s">
        <v>327</v>
      </c>
      <c r="I54" s="29" t="str">
        <f>IF(COUNTIFS(Diário!$B:$B,B54,Diário!$A:$A,$C$3)=0,"FALTOU","TRABALHOU")</f>
        <v>FALTOU</v>
      </c>
    </row>
    <row r="55" spans="2:9" ht="15" customHeight="1" x14ac:dyDescent="0.25">
      <c r="B55" s="32" t="s">
        <v>615</v>
      </c>
      <c r="C55" s="33" t="s">
        <v>601</v>
      </c>
      <c r="D55" s="33" t="s">
        <v>31</v>
      </c>
      <c r="E55" s="33" t="s">
        <v>105</v>
      </c>
      <c r="F55" s="33" t="s">
        <v>33</v>
      </c>
      <c r="G55" s="33" t="s">
        <v>328</v>
      </c>
      <c r="H55" s="33" t="s">
        <v>327</v>
      </c>
      <c r="I55" s="33" t="str">
        <f>IF(COUNTIFS(Diário!$B:$B,B55,Diário!$A:$A,$C$3)=0,"FALTOU","TRABALHOU")</f>
        <v>FALTOU</v>
      </c>
    </row>
    <row r="56" spans="2:9" ht="15" customHeight="1" x14ac:dyDescent="0.25">
      <c r="B56" s="28" t="s">
        <v>616</v>
      </c>
      <c r="C56" s="29" t="s">
        <v>601</v>
      </c>
      <c r="D56" s="29" t="s">
        <v>31</v>
      </c>
      <c r="E56" s="29" t="s">
        <v>105</v>
      </c>
      <c r="F56" s="29" t="s">
        <v>33</v>
      </c>
      <c r="G56" s="29" t="s">
        <v>328</v>
      </c>
      <c r="H56" s="29" t="s">
        <v>327</v>
      </c>
      <c r="I56" s="29" t="str">
        <f>IF(COUNTIFS(Diário!$B:$B,B56,Diário!$A:$A,$C$3)=0,"FALTOU","TRABALHOU")</f>
        <v>TRABALHOU</v>
      </c>
    </row>
    <row r="57" spans="2:9" ht="15" customHeight="1" x14ac:dyDescent="0.25">
      <c r="B57" s="32" t="s">
        <v>209</v>
      </c>
      <c r="C57" s="33" t="s">
        <v>601</v>
      </c>
      <c r="D57" s="33" t="s">
        <v>31</v>
      </c>
      <c r="E57" s="33" t="s">
        <v>105</v>
      </c>
      <c r="F57" s="33" t="s">
        <v>33</v>
      </c>
      <c r="G57" s="33" t="s">
        <v>328</v>
      </c>
      <c r="H57" s="33" t="s">
        <v>327</v>
      </c>
      <c r="I57" s="33" t="str">
        <f>IF(COUNTIFS(Diário!$B:$B,B57,Diário!$A:$A,$C$3)=0,"FALTOU","TRABALHOU")</f>
        <v>TRABALHOU</v>
      </c>
    </row>
    <row r="58" spans="2:9" ht="15" customHeight="1" x14ac:dyDescent="0.25">
      <c r="B58" s="28" t="s">
        <v>617</v>
      </c>
      <c r="C58" s="29" t="s">
        <v>601</v>
      </c>
      <c r="D58" s="29" t="s">
        <v>31</v>
      </c>
      <c r="E58" s="29" t="s">
        <v>105</v>
      </c>
      <c r="F58" s="29" t="s">
        <v>33</v>
      </c>
      <c r="G58" s="29" t="s">
        <v>328</v>
      </c>
      <c r="H58" s="29" t="s">
        <v>327</v>
      </c>
      <c r="I58" s="29" t="str">
        <f>IF(COUNTIFS(Diário!$B:$B,B58,Diário!$A:$A,$C$3)=0,"FALTOU","TRABALHOU")</f>
        <v>TRABALHOU</v>
      </c>
    </row>
    <row r="59" spans="2:9" ht="15" customHeight="1" x14ac:dyDescent="0.25">
      <c r="B59" s="32" t="s">
        <v>618</v>
      </c>
      <c r="C59" s="33" t="s">
        <v>601</v>
      </c>
      <c r="D59" s="33" t="s">
        <v>31</v>
      </c>
      <c r="E59" s="33" t="s">
        <v>105</v>
      </c>
      <c r="F59" s="33" t="s">
        <v>33</v>
      </c>
      <c r="G59" s="33" t="s">
        <v>328</v>
      </c>
      <c r="H59" s="33" t="s">
        <v>327</v>
      </c>
      <c r="I59" s="33" t="str">
        <f>IF(COUNTIFS(Diário!$B:$B,B59,Diário!$A:$A,$C$3)=0,"FALTOU","TRABALHOU")</f>
        <v>TRABALHOU</v>
      </c>
    </row>
    <row r="60" spans="2:9" ht="15" customHeight="1" x14ac:dyDescent="0.25">
      <c r="B60" s="28" t="s">
        <v>213</v>
      </c>
      <c r="C60" s="29" t="s">
        <v>601</v>
      </c>
      <c r="D60" s="29" t="s">
        <v>31</v>
      </c>
      <c r="E60" s="29" t="s">
        <v>105</v>
      </c>
      <c r="F60" s="29" t="s">
        <v>33</v>
      </c>
      <c r="G60" s="29" t="s">
        <v>328</v>
      </c>
      <c r="H60" s="29" t="s">
        <v>327</v>
      </c>
      <c r="I60" s="29" t="str">
        <f>IF(COUNTIFS(Diário!$B:$B,B60,Diário!$A:$A,$C$3)=0,"FALTOU","TRABALHOU")</f>
        <v>TRABALHOU</v>
      </c>
    </row>
    <row r="61" spans="2:9" ht="15" customHeight="1" x14ac:dyDescent="0.25">
      <c r="B61" s="32" t="s">
        <v>215</v>
      </c>
      <c r="C61" s="33" t="s">
        <v>601</v>
      </c>
      <c r="D61" s="33" t="s">
        <v>31</v>
      </c>
      <c r="E61" s="33" t="s">
        <v>105</v>
      </c>
      <c r="F61" s="33" t="s">
        <v>33</v>
      </c>
      <c r="G61" s="33" t="s">
        <v>328</v>
      </c>
      <c r="H61" s="33" t="s">
        <v>327</v>
      </c>
      <c r="I61" s="33" t="str">
        <f>IF(COUNTIFS(Diário!$B:$B,B61,Diário!$A:$A,$C$3)=0,"FALTOU","TRABALHOU")</f>
        <v>FALTOU</v>
      </c>
    </row>
    <row r="62" spans="2:9" ht="15" customHeight="1" x14ac:dyDescent="0.25">
      <c r="B62" s="28" t="s">
        <v>619</v>
      </c>
      <c r="C62" s="29" t="s">
        <v>601</v>
      </c>
      <c r="D62" s="29" t="s">
        <v>31</v>
      </c>
      <c r="E62" s="29" t="s">
        <v>105</v>
      </c>
      <c r="F62" s="29" t="s">
        <v>33</v>
      </c>
      <c r="G62" s="29" t="s">
        <v>328</v>
      </c>
      <c r="H62" s="29" t="s">
        <v>327</v>
      </c>
      <c r="I62" s="29" t="str">
        <f>IF(COUNTIFS(Diário!$B:$B,B62,Diário!$A:$A,$C$3)=0,"FALTOU","TRABALHOU")</f>
        <v>FALTOU</v>
      </c>
    </row>
    <row r="63" spans="2:9" ht="15" customHeight="1" x14ac:dyDescent="0.25">
      <c r="B63" s="32" t="s">
        <v>620</v>
      </c>
      <c r="C63" s="33" t="s">
        <v>601</v>
      </c>
      <c r="D63" s="33" t="s">
        <v>31</v>
      </c>
      <c r="E63" s="33" t="s">
        <v>105</v>
      </c>
      <c r="F63" s="33" t="s">
        <v>33</v>
      </c>
      <c r="G63" s="33" t="s">
        <v>328</v>
      </c>
      <c r="H63" s="33" t="s">
        <v>327</v>
      </c>
      <c r="I63" s="33" t="str">
        <f>IF(COUNTIFS(Diário!$B:$B,B63,Diário!$A:$A,$C$3)=0,"FALTOU","TRABALHOU")</f>
        <v>TRABALHOU</v>
      </c>
    </row>
    <row r="64" spans="2:9" ht="15" customHeight="1" x14ac:dyDescent="0.25">
      <c r="B64" s="28" t="s">
        <v>671</v>
      </c>
      <c r="C64" s="29" t="s">
        <v>601</v>
      </c>
      <c r="D64" s="29" t="s">
        <v>31</v>
      </c>
      <c r="E64" s="29" t="s">
        <v>105</v>
      </c>
      <c r="F64" s="29" t="s">
        <v>33</v>
      </c>
      <c r="G64" s="29" t="s">
        <v>328</v>
      </c>
      <c r="H64" s="29" t="s">
        <v>327</v>
      </c>
      <c r="I64" s="29" t="str">
        <f>IF(COUNTIFS(Diário!$B:$B,B64,Diário!$A:$A,$C$3)=0,"FALTOU","TRABALHOU")</f>
        <v>FALTOU</v>
      </c>
    </row>
    <row r="65" spans="2:9" ht="15" customHeight="1" x14ac:dyDescent="0.25">
      <c r="B65" s="32" t="s">
        <v>225</v>
      </c>
      <c r="C65" s="33" t="s">
        <v>601</v>
      </c>
      <c r="D65" s="33" t="s">
        <v>31</v>
      </c>
      <c r="E65" s="33" t="s">
        <v>105</v>
      </c>
      <c r="F65" s="33" t="s">
        <v>33</v>
      </c>
      <c r="G65" s="33" t="s">
        <v>328</v>
      </c>
      <c r="H65" s="33" t="s">
        <v>327</v>
      </c>
      <c r="I65" s="33" t="str">
        <f>IF(COUNTIFS(Diário!$B:$B,B65,Diário!$A:$A,$C$3)=0,"FALTOU","TRABALHOU")</f>
        <v>TRABALHOU</v>
      </c>
    </row>
    <row r="66" spans="2:9" ht="15" customHeight="1" x14ac:dyDescent="0.25">
      <c r="B66" s="28" t="s">
        <v>150</v>
      </c>
      <c r="C66" s="29" t="s">
        <v>146</v>
      </c>
      <c r="D66" s="29" t="s">
        <v>79</v>
      </c>
      <c r="E66" s="29" t="s">
        <v>147</v>
      </c>
      <c r="F66" s="29" t="s">
        <v>106</v>
      </c>
      <c r="G66" s="29" t="s">
        <v>328</v>
      </c>
      <c r="H66" s="29" t="s">
        <v>327</v>
      </c>
      <c r="I66" s="29" t="str">
        <f>IF(COUNTIFS(Diário!$B:$B,B66,Diário!$A:$A,$C$3)=0,"FALTOU","TRABALHOU")</f>
        <v>TRABALHOU</v>
      </c>
    </row>
    <row r="67" spans="2:9" ht="15" customHeight="1" x14ac:dyDescent="0.25">
      <c r="B67" s="32" t="s">
        <v>154</v>
      </c>
      <c r="C67" s="33" t="s">
        <v>146</v>
      </c>
      <c r="D67" s="33" t="s">
        <v>79</v>
      </c>
      <c r="E67" s="33" t="s">
        <v>147</v>
      </c>
      <c r="F67" s="33" t="s">
        <v>106</v>
      </c>
      <c r="G67" s="33" t="s">
        <v>328</v>
      </c>
      <c r="H67" s="33" t="s">
        <v>327</v>
      </c>
      <c r="I67" s="33" t="str">
        <f>IF(COUNTIFS(Diário!$B:$B,B67,Diário!$A:$A,$C$3)=0,"FALTOU","TRABALHOU")</f>
        <v>TRABALHOU</v>
      </c>
    </row>
    <row r="68" spans="2:9" ht="15" customHeight="1" x14ac:dyDescent="0.25">
      <c r="B68" s="28" t="s">
        <v>156</v>
      </c>
      <c r="C68" s="29" t="s">
        <v>146</v>
      </c>
      <c r="D68" s="29" t="s">
        <v>79</v>
      </c>
      <c r="E68" s="29" t="s">
        <v>147</v>
      </c>
      <c r="F68" s="29" t="s">
        <v>106</v>
      </c>
      <c r="G68" s="29" t="s">
        <v>328</v>
      </c>
      <c r="H68" s="29" t="s">
        <v>327</v>
      </c>
      <c r="I68" s="29" t="str">
        <f>IF(COUNTIFS(Diário!$B:$B,B68,Diário!$A:$A,$C$3)=0,"FALTOU","TRABALHOU")</f>
        <v>TRABALHOU</v>
      </c>
    </row>
    <row r="69" spans="2:9" ht="15" customHeight="1" x14ac:dyDescent="0.25">
      <c r="B69" s="32" t="s">
        <v>160</v>
      </c>
      <c r="C69" s="33" t="s">
        <v>146</v>
      </c>
      <c r="D69" s="33" t="s">
        <v>79</v>
      </c>
      <c r="E69" s="33" t="s">
        <v>147</v>
      </c>
      <c r="F69" s="33" t="s">
        <v>106</v>
      </c>
      <c r="G69" s="33" t="s">
        <v>328</v>
      </c>
      <c r="H69" s="33" t="s">
        <v>327</v>
      </c>
      <c r="I69" s="33" t="str">
        <f>IF(COUNTIFS(Diário!$B:$B,B69,Diário!$A:$A,$C$3)=0,"FALTOU","TRABALHOU")</f>
        <v>TRABALHOU</v>
      </c>
    </row>
    <row r="70" spans="2:9" ht="15" customHeight="1" x14ac:dyDescent="0.25">
      <c r="B70" s="28" t="s">
        <v>499</v>
      </c>
      <c r="C70" s="29" t="s">
        <v>146</v>
      </c>
      <c r="D70" s="29" t="s">
        <v>79</v>
      </c>
      <c r="E70" s="29" t="s">
        <v>147</v>
      </c>
      <c r="F70" s="29" t="s">
        <v>106</v>
      </c>
      <c r="G70" s="29" t="s">
        <v>328</v>
      </c>
      <c r="H70" s="29" t="s">
        <v>327</v>
      </c>
      <c r="I70" s="29" t="str">
        <f>IF(COUNTIFS(Diário!$B:$B,B70,Diário!$A:$A,$C$3)=0,"FALTOU","TRABALHOU")</f>
        <v>TRABALHOU</v>
      </c>
    </row>
    <row r="71" spans="2:9" ht="15" customHeight="1" x14ac:dyDescent="0.25">
      <c r="B71" s="32" t="s">
        <v>164</v>
      </c>
      <c r="C71" s="33" t="s">
        <v>146</v>
      </c>
      <c r="D71" s="33" t="s">
        <v>79</v>
      </c>
      <c r="E71" s="33" t="s">
        <v>147</v>
      </c>
      <c r="F71" s="33" t="s">
        <v>106</v>
      </c>
      <c r="G71" s="33" t="s">
        <v>328</v>
      </c>
      <c r="H71" s="33" t="s">
        <v>327</v>
      </c>
      <c r="I71" s="33" t="str">
        <f>IF(COUNTIFS(Diário!$B:$B,B71,Diário!$A:$A,$C$3)=0,"FALTOU","TRABALHOU")</f>
        <v>TRABALHOU</v>
      </c>
    </row>
    <row r="72" spans="2:9" ht="15" customHeight="1" x14ac:dyDescent="0.25">
      <c r="B72" s="28" t="s">
        <v>166</v>
      </c>
      <c r="C72" s="29" t="s">
        <v>146</v>
      </c>
      <c r="D72" s="29" t="s">
        <v>79</v>
      </c>
      <c r="E72" s="29" t="s">
        <v>147</v>
      </c>
      <c r="F72" s="29" t="s">
        <v>106</v>
      </c>
      <c r="G72" s="29" t="s">
        <v>328</v>
      </c>
      <c r="H72" s="29" t="s">
        <v>327</v>
      </c>
      <c r="I72" s="29" t="str">
        <f>IF(COUNTIFS(Diário!$B:$B,B72,Diário!$A:$A,$C$3)=0,"FALTOU","TRABALHOU")</f>
        <v>TRABALHOU</v>
      </c>
    </row>
    <row r="73" spans="2:9" ht="15" customHeight="1" x14ac:dyDescent="0.25">
      <c r="B73" s="32" t="s">
        <v>170</v>
      </c>
      <c r="C73" s="33" t="s">
        <v>146</v>
      </c>
      <c r="D73" s="33" t="s">
        <v>79</v>
      </c>
      <c r="E73" s="33" t="s">
        <v>147</v>
      </c>
      <c r="F73" s="33" t="s">
        <v>106</v>
      </c>
      <c r="G73" s="33" t="s">
        <v>328</v>
      </c>
      <c r="H73" s="33" t="s">
        <v>327</v>
      </c>
      <c r="I73" s="33" t="str">
        <f>IF(COUNTIFS(Diário!$B:$B,B73,Diário!$A:$A,$C$3)=0,"FALTOU","TRABALHOU")</f>
        <v>TRABALHOU</v>
      </c>
    </row>
    <row r="74" spans="2:9" ht="15" customHeight="1" x14ac:dyDescent="0.25">
      <c r="B74" s="28" t="s">
        <v>606</v>
      </c>
      <c r="C74" s="29" t="s">
        <v>146</v>
      </c>
      <c r="D74" s="29" t="s">
        <v>79</v>
      </c>
      <c r="E74" s="29" t="s">
        <v>147</v>
      </c>
      <c r="F74" s="29" t="s">
        <v>106</v>
      </c>
      <c r="G74" s="29" t="s">
        <v>328</v>
      </c>
      <c r="H74" s="29" t="s">
        <v>327</v>
      </c>
      <c r="I74" s="29" t="str">
        <f>IF(COUNTIFS(Diário!$B:$B,B74,Diário!$A:$A,$C$3)=0,"FALTOU","TRABALHOU")</f>
        <v>TRABALHOU</v>
      </c>
    </row>
    <row r="75" spans="2:9" ht="15" customHeight="1" x14ac:dyDescent="0.25">
      <c r="B75" s="32" t="s">
        <v>178</v>
      </c>
      <c r="C75" s="33" t="s">
        <v>146</v>
      </c>
      <c r="D75" s="33" t="s">
        <v>79</v>
      </c>
      <c r="E75" s="33" t="s">
        <v>147</v>
      </c>
      <c r="F75" s="33" t="s">
        <v>106</v>
      </c>
      <c r="G75" s="33" t="s">
        <v>328</v>
      </c>
      <c r="H75" s="33" t="s">
        <v>327</v>
      </c>
      <c r="I75" s="33" t="str">
        <f>IF(COUNTIFS(Diário!$B:$B,B75,Diário!$A:$A,$C$3)=0,"FALTOU","TRABALHOU")</f>
        <v>TRABALHOU</v>
      </c>
    </row>
    <row r="76" spans="2:9" ht="15" customHeight="1" x14ac:dyDescent="0.25">
      <c r="B76" s="28" t="s">
        <v>180</v>
      </c>
      <c r="C76" s="29" t="s">
        <v>146</v>
      </c>
      <c r="D76" s="29" t="s">
        <v>79</v>
      </c>
      <c r="E76" s="29" t="s">
        <v>147</v>
      </c>
      <c r="F76" s="29" t="s">
        <v>106</v>
      </c>
      <c r="G76" s="29" t="s">
        <v>328</v>
      </c>
      <c r="H76" s="29" t="s">
        <v>327</v>
      </c>
      <c r="I76" s="29" t="str">
        <f>IF(COUNTIFS(Diário!$B:$B,B76,Diário!$A:$A,$C$3)=0,"FALTOU","TRABALHOU")</f>
        <v>TRABALHOU</v>
      </c>
    </row>
    <row r="77" spans="2:9" ht="15" customHeight="1" x14ac:dyDescent="0.25">
      <c r="B77" s="32" t="s">
        <v>227</v>
      </c>
      <c r="C77" s="33" t="s">
        <v>146</v>
      </c>
      <c r="D77" s="33" t="s">
        <v>79</v>
      </c>
      <c r="E77" s="33" t="s">
        <v>147</v>
      </c>
      <c r="F77" s="33" t="s">
        <v>106</v>
      </c>
      <c r="G77" s="33" t="s">
        <v>328</v>
      </c>
      <c r="H77" s="33" t="s">
        <v>327</v>
      </c>
      <c r="I77" s="33" t="str">
        <f>IF(COUNTIFS(Diário!$B:$B,B77,Diário!$A:$A,$C$3)=0,"FALTOU","TRABALHOU")</f>
        <v>TRABALHOU</v>
      </c>
    </row>
    <row r="78" spans="2:9" ht="15" customHeight="1" x14ac:dyDescent="0.25">
      <c r="B78" s="28" t="s">
        <v>643</v>
      </c>
      <c r="C78" s="29" t="s">
        <v>233</v>
      </c>
      <c r="D78" s="29" t="s">
        <v>31</v>
      </c>
      <c r="E78" s="29" t="s">
        <v>32</v>
      </c>
      <c r="F78" s="29" t="s">
        <v>106</v>
      </c>
      <c r="G78" s="29" t="s">
        <v>328</v>
      </c>
      <c r="H78" s="29" t="s">
        <v>327</v>
      </c>
      <c r="I78" s="29" t="str">
        <f>IF(COUNTIFS(Diário!$B:$B,B78,Diário!$A:$A,$C$3)=0,"FALTOU","TRABALHOU")</f>
        <v>TRABALHOU</v>
      </c>
    </row>
    <row r="79" spans="2:9" ht="15" customHeight="1" x14ac:dyDescent="0.25">
      <c r="B79" s="32" t="s">
        <v>231</v>
      </c>
      <c r="C79" s="33" t="s">
        <v>233</v>
      </c>
      <c r="D79" s="33" t="s">
        <v>31</v>
      </c>
      <c r="E79" s="33" t="s">
        <v>32</v>
      </c>
      <c r="F79" s="33" t="s">
        <v>106</v>
      </c>
      <c r="G79" s="33" t="s">
        <v>328</v>
      </c>
      <c r="H79" s="33" t="s">
        <v>327</v>
      </c>
      <c r="I79" s="33" t="str">
        <f>IF(COUNTIFS(Diário!$B:$B,B79,Diário!$A:$A,$C$3)=0,"FALTOU","TRABALHOU")</f>
        <v>FALTOU</v>
      </c>
    </row>
    <row r="80" spans="2:9" ht="15" customHeight="1" x14ac:dyDescent="0.25">
      <c r="B80" s="28" t="s">
        <v>234</v>
      </c>
      <c r="C80" s="29" t="s">
        <v>233</v>
      </c>
      <c r="D80" s="29" t="s">
        <v>31</v>
      </c>
      <c r="E80" s="29" t="s">
        <v>32</v>
      </c>
      <c r="F80" s="29" t="s">
        <v>106</v>
      </c>
      <c r="G80" s="29" t="s">
        <v>328</v>
      </c>
      <c r="H80" s="29" t="s">
        <v>327</v>
      </c>
      <c r="I80" s="29" t="str">
        <f>IF(COUNTIFS(Diário!$B:$B,B80,Diário!$A:$A,$C$3)=0,"FALTOU","TRABALHOU")</f>
        <v>TRABALHOU</v>
      </c>
    </row>
    <row r="81" spans="2:9" ht="15" customHeight="1" x14ac:dyDescent="0.25">
      <c r="B81" s="32" t="s">
        <v>34</v>
      </c>
      <c r="C81" s="33" t="s">
        <v>233</v>
      </c>
      <c r="D81" s="33" t="s">
        <v>31</v>
      </c>
      <c r="E81" s="33" t="s">
        <v>32</v>
      </c>
      <c r="F81" s="33" t="s">
        <v>106</v>
      </c>
      <c r="G81" s="33" t="s">
        <v>328</v>
      </c>
      <c r="H81" s="33" t="s">
        <v>327</v>
      </c>
      <c r="I81" s="33" t="str">
        <f>IF(COUNTIFS(Diário!$B:$B,B81,Diário!$A:$A,$C$3)=0,"FALTOU","TRABALHOU")</f>
        <v>TRABALHOU</v>
      </c>
    </row>
    <row r="82" spans="2:9" ht="15" customHeight="1" x14ac:dyDescent="0.25">
      <c r="B82" s="28" t="s">
        <v>236</v>
      </c>
      <c r="C82" s="29" t="s">
        <v>233</v>
      </c>
      <c r="D82" s="29" t="s">
        <v>31</v>
      </c>
      <c r="E82" s="29" t="s">
        <v>32</v>
      </c>
      <c r="F82" s="29" t="s">
        <v>106</v>
      </c>
      <c r="G82" s="29" t="s">
        <v>328</v>
      </c>
      <c r="H82" s="29" t="s">
        <v>327</v>
      </c>
      <c r="I82" s="29" t="str">
        <f>IF(COUNTIFS(Diário!$B:$B,B82,Diário!$A:$A,$C$3)=0,"FALTOU","TRABALHOU")</f>
        <v>TRABALHOU</v>
      </c>
    </row>
    <row r="83" spans="2:9" ht="15" customHeight="1" x14ac:dyDescent="0.25">
      <c r="B83" s="32" t="s">
        <v>238</v>
      </c>
      <c r="C83" s="33" t="s">
        <v>233</v>
      </c>
      <c r="D83" s="33" t="s">
        <v>31</v>
      </c>
      <c r="E83" s="33" t="s">
        <v>32</v>
      </c>
      <c r="F83" s="33" t="s">
        <v>106</v>
      </c>
      <c r="G83" s="33" t="s">
        <v>328</v>
      </c>
      <c r="H83" s="33" t="s">
        <v>327</v>
      </c>
      <c r="I83" s="33" t="str">
        <f>IF(COUNTIFS(Diário!$B:$B,B83,Diário!$A:$A,$C$3)=0,"FALTOU","TRABALHOU")</f>
        <v>TRABALHOU</v>
      </c>
    </row>
    <row r="84" spans="2:9" ht="15" customHeight="1" x14ac:dyDescent="0.25">
      <c r="B84" s="28" t="s">
        <v>240</v>
      </c>
      <c r="C84" s="29" t="s">
        <v>233</v>
      </c>
      <c r="D84" s="29" t="s">
        <v>31</v>
      </c>
      <c r="E84" s="29" t="s">
        <v>32</v>
      </c>
      <c r="F84" s="29" t="s">
        <v>106</v>
      </c>
      <c r="G84" s="29" t="s">
        <v>328</v>
      </c>
      <c r="H84" s="29" t="s">
        <v>327</v>
      </c>
      <c r="I84" s="29" t="str">
        <f>IF(COUNTIFS(Diário!$B:$B,B84,Diário!$A:$A,$C$3)=0,"FALTOU","TRABALHOU")</f>
        <v>TRABALHOU</v>
      </c>
    </row>
    <row r="85" spans="2:9" ht="15" customHeight="1" x14ac:dyDescent="0.25">
      <c r="B85" s="32" t="s">
        <v>120</v>
      </c>
      <c r="C85" s="33" t="s">
        <v>233</v>
      </c>
      <c r="D85" s="33" t="s">
        <v>31</v>
      </c>
      <c r="E85" s="33" t="s">
        <v>32</v>
      </c>
      <c r="F85" s="33" t="s">
        <v>106</v>
      </c>
      <c r="G85" s="33" t="s">
        <v>328</v>
      </c>
      <c r="H85" s="33" t="s">
        <v>327</v>
      </c>
      <c r="I85" s="33" t="str">
        <f>IF(COUNTIFS(Diário!$B:$B,B85,Diário!$A:$A,$C$3)=0,"FALTOU","TRABALHOU")</f>
        <v>TRABALHOU</v>
      </c>
    </row>
    <row r="86" spans="2:9" ht="15" customHeight="1" x14ac:dyDescent="0.25">
      <c r="B86" s="28" t="s">
        <v>647</v>
      </c>
      <c r="C86" s="29" t="s">
        <v>233</v>
      </c>
      <c r="D86" s="29" t="s">
        <v>31</v>
      </c>
      <c r="E86" s="29" t="s">
        <v>32</v>
      </c>
      <c r="F86" s="29" t="s">
        <v>106</v>
      </c>
      <c r="G86" s="29" t="s">
        <v>328</v>
      </c>
      <c r="H86" s="29" t="s">
        <v>327</v>
      </c>
      <c r="I86" s="29" t="str">
        <f>IF(COUNTIFS(Diário!$B:$B,B86,Diário!$A:$A,$C$3)=0,"FALTOU","TRABALHOU")</f>
        <v>TRABALHOU</v>
      </c>
    </row>
    <row r="87" spans="2:9" ht="15" customHeight="1" x14ac:dyDescent="0.25">
      <c r="B87" s="32" t="s">
        <v>246</v>
      </c>
      <c r="C87" s="33" t="s">
        <v>233</v>
      </c>
      <c r="D87" s="33" t="s">
        <v>31</v>
      </c>
      <c r="E87" s="33" t="s">
        <v>32</v>
      </c>
      <c r="F87" s="33" t="s">
        <v>106</v>
      </c>
      <c r="G87" s="33" t="s">
        <v>328</v>
      </c>
      <c r="H87" s="33" t="s">
        <v>327</v>
      </c>
      <c r="I87" s="33" t="str">
        <f>IF(COUNTIFS(Diário!$B:$B,B87,Diário!$A:$A,$C$3)=0,"FALTOU","TRABALHOU")</f>
        <v>TRABALHOU</v>
      </c>
    </row>
    <row r="88" spans="2:9" ht="15" customHeight="1" x14ac:dyDescent="0.25">
      <c r="B88" s="28" t="s">
        <v>242</v>
      </c>
      <c r="C88" s="29" t="s">
        <v>233</v>
      </c>
      <c r="D88" s="29" t="s">
        <v>31</v>
      </c>
      <c r="E88" s="29" t="s">
        <v>32</v>
      </c>
      <c r="F88" s="29" t="s">
        <v>106</v>
      </c>
      <c r="G88" s="29" t="s">
        <v>328</v>
      </c>
      <c r="H88" s="29" t="s">
        <v>327</v>
      </c>
      <c r="I88" s="29" t="str">
        <f>IF(COUNTIFS(Diário!$B:$B,B88,Diário!$A:$A,$C$3)=0,"FALTOU","TRABALHOU")</f>
        <v>TRABALHOU</v>
      </c>
    </row>
    <row r="89" spans="2:9" ht="15" customHeight="1" x14ac:dyDescent="0.25">
      <c r="B89" s="32" t="s">
        <v>683</v>
      </c>
      <c r="C89" s="33" t="s">
        <v>233</v>
      </c>
      <c r="D89" s="33" t="s">
        <v>31</v>
      </c>
      <c r="E89" s="33" t="s">
        <v>32</v>
      </c>
      <c r="F89" s="33" t="s">
        <v>106</v>
      </c>
      <c r="G89" s="33" t="s">
        <v>328</v>
      </c>
      <c r="H89" s="33" t="s">
        <v>327</v>
      </c>
      <c r="I89" s="33" t="str">
        <f>IF(COUNTIFS(Diário!$B:$B,B89,Diário!$A:$A,$C$3)=0,"FALTOU","TRABALHOU")</f>
        <v>TRABALHOU</v>
      </c>
    </row>
    <row r="90" spans="2:9" ht="15" customHeight="1" x14ac:dyDescent="0.25">
      <c r="B90" s="28" t="s">
        <v>254</v>
      </c>
      <c r="C90" s="29" t="s">
        <v>233</v>
      </c>
      <c r="D90" s="29" t="s">
        <v>31</v>
      </c>
      <c r="E90" s="29" t="s">
        <v>32</v>
      </c>
      <c r="F90" s="29" t="s">
        <v>106</v>
      </c>
      <c r="G90" s="29" t="s">
        <v>328</v>
      </c>
      <c r="H90" s="29" t="s">
        <v>327</v>
      </c>
      <c r="I90" s="29" t="str">
        <f>IF(COUNTIFS(Diário!$B:$B,B90,Diário!$A:$A,$C$3)=0,"FALTOU","TRABALHOU")</f>
        <v>TRABALHOU</v>
      </c>
    </row>
    <row r="91" spans="2:9" ht="15" customHeight="1" x14ac:dyDescent="0.25">
      <c r="B91" s="32" t="s">
        <v>256</v>
      </c>
      <c r="C91" s="33" t="s">
        <v>233</v>
      </c>
      <c r="D91" s="33" t="s">
        <v>31</v>
      </c>
      <c r="E91" s="33" t="s">
        <v>32</v>
      </c>
      <c r="F91" s="33" t="s">
        <v>106</v>
      </c>
      <c r="G91" s="33" t="s">
        <v>328</v>
      </c>
      <c r="H91" s="33" t="s">
        <v>327</v>
      </c>
      <c r="I91" s="33" t="str">
        <f>IF(COUNTIFS(Diário!$B:$B,B91,Diário!$A:$A,$C$3)=0,"FALTOU","TRABALHOU")</f>
        <v>TRABALHOU</v>
      </c>
    </row>
    <row r="92" spans="2:9" ht="15" customHeight="1" x14ac:dyDescent="0.25">
      <c r="B92" s="28" t="s">
        <v>258</v>
      </c>
      <c r="C92" s="29" t="s">
        <v>233</v>
      </c>
      <c r="D92" s="29" t="s">
        <v>31</v>
      </c>
      <c r="E92" s="29" t="s">
        <v>32</v>
      </c>
      <c r="F92" s="29" t="s">
        <v>106</v>
      </c>
      <c r="G92" s="29" t="s">
        <v>328</v>
      </c>
      <c r="H92" s="29" t="s">
        <v>327</v>
      </c>
      <c r="I92" s="29" t="str">
        <f>IF(COUNTIFS(Diário!$B:$B,B92,Diário!$A:$A,$C$3)=0,"FALTOU","TRABALHOU")</f>
        <v>FALTOU</v>
      </c>
    </row>
    <row r="93" spans="2:9" ht="15" customHeight="1" x14ac:dyDescent="0.25">
      <c r="B93" s="32" t="s">
        <v>663</v>
      </c>
      <c r="C93" s="33" t="s">
        <v>233</v>
      </c>
      <c r="D93" s="33" t="s">
        <v>31</v>
      </c>
      <c r="E93" s="33" t="s">
        <v>32</v>
      </c>
      <c r="F93" s="33" t="s">
        <v>106</v>
      </c>
      <c r="G93" s="33" t="s">
        <v>328</v>
      </c>
      <c r="H93" s="33" t="s">
        <v>327</v>
      </c>
      <c r="I93" s="33" t="str">
        <f>IF(COUNTIFS(Diário!$B:$B,B93,Diário!$A:$A,$C$3)=0,"FALTOU","TRABALHOU")</f>
        <v>FALTOU</v>
      </c>
    </row>
    <row r="94" spans="2:9" ht="15" customHeight="1" x14ac:dyDescent="0.25">
      <c r="B94" s="28" t="s">
        <v>128</v>
      </c>
      <c r="C94" s="29" t="s">
        <v>233</v>
      </c>
      <c r="D94" s="29" t="s">
        <v>31</v>
      </c>
      <c r="E94" s="29" t="s">
        <v>32</v>
      </c>
      <c r="F94" s="29" t="s">
        <v>106</v>
      </c>
      <c r="G94" s="29" t="s">
        <v>328</v>
      </c>
      <c r="H94" s="29" t="s">
        <v>327</v>
      </c>
      <c r="I94" s="29" t="str">
        <f>IF(COUNTIFS(Diário!$B:$B,B94,Diário!$A:$A,$C$3)=0,"FALTOU","TRABALHOU")</f>
        <v>TRABALHOU</v>
      </c>
    </row>
    <row r="95" spans="2:9" ht="15" customHeight="1" x14ac:dyDescent="0.25">
      <c r="B95" s="32" t="s">
        <v>266</v>
      </c>
      <c r="C95" s="33" t="s">
        <v>233</v>
      </c>
      <c r="D95" s="33" t="s">
        <v>31</v>
      </c>
      <c r="E95" s="33" t="s">
        <v>32</v>
      </c>
      <c r="F95" s="33" t="s">
        <v>106</v>
      </c>
      <c r="G95" s="33" t="s">
        <v>328</v>
      </c>
      <c r="H95" s="33" t="s">
        <v>327</v>
      </c>
      <c r="I95" s="33" t="str">
        <f>IF(COUNTIFS(Diário!$B:$B,B95,Diário!$A:$A,$C$3)=0,"FALTOU","TRABALHOU")</f>
        <v>TRABALHOU</v>
      </c>
    </row>
    <row r="96" spans="2:9" ht="15" customHeight="1" x14ac:dyDescent="0.25">
      <c r="B96" s="28" t="s">
        <v>668</v>
      </c>
      <c r="C96" s="29" t="s">
        <v>233</v>
      </c>
      <c r="D96" s="29" t="s">
        <v>31</v>
      </c>
      <c r="E96" s="29" t="s">
        <v>32</v>
      </c>
      <c r="F96" s="29" t="s">
        <v>106</v>
      </c>
      <c r="G96" s="29" t="s">
        <v>328</v>
      </c>
      <c r="H96" s="29" t="s">
        <v>327</v>
      </c>
      <c r="I96" s="29" t="str">
        <f>IF(COUNTIFS(Diário!$B:$B,B96,Diário!$A:$A,$C$3)=0,"FALTOU","TRABALHOU")</f>
        <v>TRABALHOU</v>
      </c>
    </row>
    <row r="97" spans="2:9" ht="15" customHeight="1" x14ac:dyDescent="0.25">
      <c r="B97" s="32" t="s">
        <v>274</v>
      </c>
      <c r="C97" s="33" t="s">
        <v>233</v>
      </c>
      <c r="D97" s="33" t="s">
        <v>31</v>
      </c>
      <c r="E97" s="33" t="s">
        <v>32</v>
      </c>
      <c r="F97" s="33" t="s">
        <v>106</v>
      </c>
      <c r="G97" s="33" t="s">
        <v>328</v>
      </c>
      <c r="H97" s="33" t="s">
        <v>327</v>
      </c>
      <c r="I97" s="33" t="str">
        <f>IF(COUNTIFS(Diário!$B:$B,B97,Diário!$A:$A,$C$3)=0,"FALTOU","TRABALHOU")</f>
        <v>FALTOU</v>
      </c>
    </row>
    <row r="98" spans="2:9" ht="15" customHeight="1" x14ac:dyDescent="0.25">
      <c r="B98" s="28" t="s">
        <v>276</v>
      </c>
      <c r="C98" s="29" t="s">
        <v>233</v>
      </c>
      <c r="D98" s="29" t="s">
        <v>31</v>
      </c>
      <c r="E98" s="29" t="s">
        <v>32</v>
      </c>
      <c r="F98" s="29" t="s">
        <v>106</v>
      </c>
      <c r="G98" s="29" t="s">
        <v>328</v>
      </c>
      <c r="H98" s="29" t="s">
        <v>327</v>
      </c>
      <c r="I98" s="29" t="str">
        <f>IF(COUNTIFS(Diário!$B:$B,B98,Diário!$A:$A,$C$3)=0,"FALTOU","TRABALHOU")</f>
        <v>TRABALHOU</v>
      </c>
    </row>
    <row r="99" spans="2:9" ht="15" customHeight="1" x14ac:dyDescent="0.25">
      <c r="B99" s="32" t="s">
        <v>278</v>
      </c>
      <c r="C99" s="33" t="s">
        <v>233</v>
      </c>
      <c r="D99" s="33" t="s">
        <v>31</v>
      </c>
      <c r="E99" s="33" t="s">
        <v>32</v>
      </c>
      <c r="F99" s="33" t="s">
        <v>106</v>
      </c>
      <c r="G99" s="33" t="s">
        <v>328</v>
      </c>
      <c r="H99" s="33" t="s">
        <v>327</v>
      </c>
      <c r="I99" s="33" t="str">
        <f>IF(COUNTIFS(Diário!$B:$B,B99,Diário!$A:$A,$C$3)=0,"FALTOU","TRABALHOU")</f>
        <v>TRABALHOU</v>
      </c>
    </row>
    <row r="100" spans="2:9" ht="15" customHeight="1" x14ac:dyDescent="0.25">
      <c r="B100" s="28" t="s">
        <v>280</v>
      </c>
      <c r="C100" s="29" t="s">
        <v>233</v>
      </c>
      <c r="D100" s="29" t="s">
        <v>31</v>
      </c>
      <c r="E100" s="29" t="s">
        <v>32</v>
      </c>
      <c r="F100" s="29" t="s">
        <v>106</v>
      </c>
      <c r="G100" s="29" t="s">
        <v>328</v>
      </c>
      <c r="H100" s="29" t="s">
        <v>327</v>
      </c>
      <c r="I100" s="29" t="str">
        <f>IF(COUNTIFS(Diário!$B:$B,B100,Diário!$A:$A,$C$3)=0,"FALTOU","TRABALHOU")</f>
        <v>TRABALHOU</v>
      </c>
    </row>
    <row r="101" spans="2:9" ht="15" customHeight="1" x14ac:dyDescent="0.25">
      <c r="B101" s="32" t="s">
        <v>282</v>
      </c>
      <c r="C101" s="33" t="s">
        <v>233</v>
      </c>
      <c r="D101" s="33" t="s">
        <v>31</v>
      </c>
      <c r="E101" s="33" t="s">
        <v>32</v>
      </c>
      <c r="F101" s="33" t="s">
        <v>106</v>
      </c>
      <c r="G101" s="33" t="s">
        <v>328</v>
      </c>
      <c r="H101" s="33" t="s">
        <v>327</v>
      </c>
      <c r="I101" s="33" t="str">
        <f>IF(COUNTIFS(Diário!$B:$B,B101,Diário!$A:$A,$C$3)=0,"FALTOU","TRABALHOU")</f>
        <v>TRABALHOU</v>
      </c>
    </row>
    <row r="102" spans="2:9" ht="15" customHeight="1" x14ac:dyDescent="0.25">
      <c r="B102" s="28" t="s">
        <v>193</v>
      </c>
      <c r="C102" s="29" t="s">
        <v>274</v>
      </c>
      <c r="D102" s="29" t="s">
        <v>79</v>
      </c>
      <c r="E102" s="29" t="s">
        <v>147</v>
      </c>
      <c r="F102" s="29" t="s">
        <v>33</v>
      </c>
      <c r="G102" s="29" t="s">
        <v>328</v>
      </c>
      <c r="H102" s="29" t="s">
        <v>327</v>
      </c>
      <c r="I102" s="29" t="str">
        <f>IF(COUNTIFS(Diário!$B:$B,B102,Diário!$A:$A,$C$3)=0,"FALTOU","TRABALHOU")</f>
        <v>TRABALHOU</v>
      </c>
    </row>
    <row r="103" spans="2:9" ht="15" customHeight="1" x14ac:dyDescent="0.25">
      <c r="B103" s="32" t="s">
        <v>500</v>
      </c>
      <c r="C103" s="33" t="s">
        <v>274</v>
      </c>
      <c r="D103" s="33" t="s">
        <v>79</v>
      </c>
      <c r="E103" s="33" t="s">
        <v>147</v>
      </c>
      <c r="F103" s="33" t="s">
        <v>33</v>
      </c>
      <c r="G103" s="33" t="s">
        <v>328</v>
      </c>
      <c r="H103" s="33" t="s">
        <v>327</v>
      </c>
      <c r="I103" s="33" t="str">
        <f>IF(COUNTIFS(Diário!$B:$B,B103,Diário!$A:$A,$C$3)=0,"FALTOU","TRABALHOU")</f>
        <v>TRABALHOU</v>
      </c>
    </row>
    <row r="104" spans="2:9" ht="15" customHeight="1" x14ac:dyDescent="0.25">
      <c r="B104" s="28" t="s">
        <v>657</v>
      </c>
      <c r="C104" s="29" t="s">
        <v>274</v>
      </c>
      <c r="D104" s="29" t="s">
        <v>79</v>
      </c>
      <c r="E104" s="29" t="s">
        <v>147</v>
      </c>
      <c r="F104" s="29" t="s">
        <v>33</v>
      </c>
      <c r="G104" s="29" t="s">
        <v>328</v>
      </c>
      <c r="H104" s="29" t="s">
        <v>327</v>
      </c>
      <c r="I104" s="29" t="str">
        <f>IF(COUNTIFS(Diário!$B:$B,B104,Diário!$A:$A,$C$3)=0,"FALTOU","TRABALHOU")</f>
        <v>TRABALHOU</v>
      </c>
    </row>
    <row r="105" spans="2:9" ht="15" customHeight="1" x14ac:dyDescent="0.25">
      <c r="B105" s="32" t="s">
        <v>168</v>
      </c>
      <c r="C105" s="33" t="s">
        <v>274</v>
      </c>
      <c r="D105" s="33" t="s">
        <v>79</v>
      </c>
      <c r="E105" s="33" t="s">
        <v>147</v>
      </c>
      <c r="F105" s="33" t="s">
        <v>33</v>
      </c>
      <c r="G105" s="33" t="s">
        <v>328</v>
      </c>
      <c r="H105" s="33" t="s">
        <v>327</v>
      </c>
      <c r="I105" s="33" t="str">
        <f>IF(COUNTIFS(Diário!$B:$B,B105,Diário!$A:$A,$C$3)=0,"FALTOU","TRABALHOU")</f>
        <v>TRABALHOU</v>
      </c>
    </row>
    <row r="106" spans="2:9" ht="15" customHeight="1" x14ac:dyDescent="0.25">
      <c r="B106" s="28" t="s">
        <v>207</v>
      </c>
      <c r="C106" s="29" t="s">
        <v>274</v>
      </c>
      <c r="D106" s="29" t="s">
        <v>79</v>
      </c>
      <c r="E106" s="29" t="s">
        <v>147</v>
      </c>
      <c r="F106" s="29" t="s">
        <v>33</v>
      </c>
      <c r="G106" s="29" t="s">
        <v>328</v>
      </c>
      <c r="H106" s="29" t="s">
        <v>327</v>
      </c>
      <c r="I106" s="29" t="str">
        <f>IF(COUNTIFS(Diário!$B:$B,B106,Diário!$A:$A,$C$3)=0,"FALTOU","TRABALHOU")</f>
        <v>TRABALHOU</v>
      </c>
    </row>
    <row r="107" spans="2:9" ht="15" customHeight="1" x14ac:dyDescent="0.25">
      <c r="B107" s="32" t="s">
        <v>501</v>
      </c>
      <c r="C107" s="33" t="s">
        <v>274</v>
      </c>
      <c r="D107" s="33" t="s">
        <v>79</v>
      </c>
      <c r="E107" s="33" t="s">
        <v>147</v>
      </c>
      <c r="F107" s="33" t="s">
        <v>33</v>
      </c>
      <c r="G107" s="33" t="s">
        <v>328</v>
      </c>
      <c r="H107" s="33" t="s">
        <v>327</v>
      </c>
      <c r="I107" s="33" t="str">
        <f>IF(COUNTIFS(Diário!$B:$B,B107,Diário!$A:$A,$C$3)=0,"FALTOU","TRABALHOU")</f>
        <v>TRABALHOU</v>
      </c>
    </row>
    <row r="108" spans="2:9" ht="15" customHeight="1" x14ac:dyDescent="0.25">
      <c r="B108" s="28" t="s">
        <v>677</v>
      </c>
      <c r="C108" s="29" t="s">
        <v>274</v>
      </c>
      <c r="D108" s="29" t="s">
        <v>79</v>
      </c>
      <c r="E108" s="29" t="s">
        <v>147</v>
      </c>
      <c r="F108" s="29" t="s">
        <v>33</v>
      </c>
      <c r="G108" s="29" t="s">
        <v>328</v>
      </c>
      <c r="H108" s="29" t="s">
        <v>327</v>
      </c>
      <c r="I108" s="29" t="str">
        <f>IF(COUNTIFS(Diário!$B:$B,B108,Diário!$A:$A,$C$3)=0,"FALTOU","TRABALHOU")</f>
        <v>TRABALHOU</v>
      </c>
    </row>
    <row r="109" spans="2:9" ht="15" customHeight="1" x14ac:dyDescent="0.25">
      <c r="B109" s="32" t="s">
        <v>679</v>
      </c>
      <c r="C109" s="33" t="s">
        <v>274</v>
      </c>
      <c r="D109" s="33" t="s">
        <v>79</v>
      </c>
      <c r="E109" s="33" t="s">
        <v>147</v>
      </c>
      <c r="F109" s="33" t="s">
        <v>33</v>
      </c>
      <c r="G109" s="33" t="s">
        <v>328</v>
      </c>
      <c r="H109" s="33" t="s">
        <v>327</v>
      </c>
      <c r="I109" s="33" t="str">
        <f>IF(COUNTIFS(Diário!$B:$B,B109,Diário!$A:$A,$C$3)=0,"FALTOU","TRABALHOU")</f>
        <v>FALTOU</v>
      </c>
    </row>
    <row r="110" spans="2:9" ht="15" customHeight="1" x14ac:dyDescent="0.25">
      <c r="B110" s="28" t="s">
        <v>38</v>
      </c>
      <c r="C110" s="29" t="s">
        <v>100</v>
      </c>
      <c r="D110" s="29" t="s">
        <v>31</v>
      </c>
      <c r="E110" s="29" t="s">
        <v>32</v>
      </c>
      <c r="F110" s="29" t="s">
        <v>33</v>
      </c>
      <c r="G110" s="29" t="s">
        <v>328</v>
      </c>
      <c r="H110" s="29" t="s">
        <v>327</v>
      </c>
      <c r="I110" s="29" t="str">
        <f>IF(COUNTIFS(Diário!$B:$B,B110,Diário!$A:$A,$C$3)=0,"FALTOU","TRABALHOU")</f>
        <v>FALTOU</v>
      </c>
    </row>
    <row r="111" spans="2:9" ht="15" customHeight="1" x14ac:dyDescent="0.25">
      <c r="B111" s="32" t="s">
        <v>44</v>
      </c>
      <c r="C111" s="33" t="s">
        <v>100</v>
      </c>
      <c r="D111" s="33" t="s">
        <v>31</v>
      </c>
      <c r="E111" s="33" t="s">
        <v>32</v>
      </c>
      <c r="F111" s="33" t="s">
        <v>33</v>
      </c>
      <c r="G111" s="33" t="s">
        <v>328</v>
      </c>
      <c r="H111" s="33" t="s">
        <v>327</v>
      </c>
      <c r="I111" s="33" t="str">
        <f>IF(COUNTIFS(Diário!$B:$B,B111,Diário!$A:$A,$C$3)=0,"FALTOU","TRABALHOU")</f>
        <v>TRABALHOU</v>
      </c>
    </row>
    <row r="112" spans="2:9" ht="15" customHeight="1" x14ac:dyDescent="0.25">
      <c r="B112" s="28" t="s">
        <v>645</v>
      </c>
      <c r="C112" s="29" t="s">
        <v>100</v>
      </c>
      <c r="D112" s="29" t="s">
        <v>31</v>
      </c>
      <c r="E112" s="29" t="s">
        <v>32</v>
      </c>
      <c r="F112" s="29" t="s">
        <v>33</v>
      </c>
      <c r="G112" s="29" t="s">
        <v>328</v>
      </c>
      <c r="H112" s="29" t="s">
        <v>607</v>
      </c>
      <c r="I112" s="29" t="str">
        <f>IF(COUNTIFS(Diário!$B:$B,B112,Diário!$A:$A,$C$3)=0,"FALTOU","TRABALHOU")</f>
        <v>TRABALHOU</v>
      </c>
    </row>
    <row r="113" spans="2:9" ht="15" customHeight="1" x14ac:dyDescent="0.25">
      <c r="B113" s="32" t="s">
        <v>46</v>
      </c>
      <c r="C113" s="33" t="s">
        <v>100</v>
      </c>
      <c r="D113" s="33" t="s">
        <v>31</v>
      </c>
      <c r="E113" s="33" t="s">
        <v>32</v>
      </c>
      <c r="F113" s="33" t="s">
        <v>33</v>
      </c>
      <c r="G113" s="33" t="s">
        <v>328</v>
      </c>
      <c r="H113" s="33" t="s">
        <v>327</v>
      </c>
      <c r="I113" s="33" t="str">
        <f>IF(COUNTIFS(Diário!$B:$B,B113,Diário!$A:$A,$C$3)=0,"FALTOU","TRABALHOU")</f>
        <v>TRABALHOU</v>
      </c>
    </row>
    <row r="114" spans="2:9" ht="15" customHeight="1" x14ac:dyDescent="0.25">
      <c r="B114" s="28" t="s">
        <v>651</v>
      </c>
      <c r="C114" s="29" t="s">
        <v>100</v>
      </c>
      <c r="D114" s="29" t="s">
        <v>31</v>
      </c>
      <c r="E114" s="29" t="s">
        <v>32</v>
      </c>
      <c r="F114" s="29" t="s">
        <v>33</v>
      </c>
      <c r="G114" s="29" t="s">
        <v>328</v>
      </c>
      <c r="H114" s="29" t="s">
        <v>607</v>
      </c>
      <c r="I114" s="29" t="str">
        <f>IF(COUNTIFS(Diário!$B:$B,B114,Diário!$A:$A,$C$3)=0,"FALTOU","TRABALHOU")</f>
        <v>TRABALHOU</v>
      </c>
    </row>
    <row r="115" spans="2:9" ht="15" customHeight="1" x14ac:dyDescent="0.25">
      <c r="B115" s="32" t="s">
        <v>48</v>
      </c>
      <c r="C115" s="33" t="s">
        <v>100</v>
      </c>
      <c r="D115" s="33" t="s">
        <v>31</v>
      </c>
      <c r="E115" s="33" t="s">
        <v>32</v>
      </c>
      <c r="F115" s="33" t="s">
        <v>33</v>
      </c>
      <c r="G115" s="33" t="s">
        <v>328</v>
      </c>
      <c r="H115" s="33" t="s">
        <v>327</v>
      </c>
      <c r="I115" s="33" t="str">
        <f>IF(COUNTIFS(Diário!$B:$B,B115,Diário!$A:$A,$C$3)=0,"FALTOU","TRABALHOU")</f>
        <v>TRABALHOU</v>
      </c>
    </row>
    <row r="116" spans="2:9" ht="15" customHeight="1" x14ac:dyDescent="0.25">
      <c r="B116" s="28" t="s">
        <v>50</v>
      </c>
      <c r="C116" s="29" t="s">
        <v>100</v>
      </c>
      <c r="D116" s="29" t="s">
        <v>31</v>
      </c>
      <c r="E116" s="29" t="s">
        <v>32</v>
      </c>
      <c r="F116" s="29" t="s">
        <v>33</v>
      </c>
      <c r="G116" s="29" t="s">
        <v>328</v>
      </c>
      <c r="H116" s="29" t="s">
        <v>327</v>
      </c>
      <c r="I116" s="29" t="str">
        <f>IF(COUNTIFS(Diário!$B:$B,B116,Diário!$A:$A,$C$3)=0,"FALTOU","TRABALHOU")</f>
        <v>TRABALHOU</v>
      </c>
    </row>
    <row r="117" spans="2:9" ht="15" customHeight="1" x14ac:dyDescent="0.25">
      <c r="B117" s="32" t="s">
        <v>744</v>
      </c>
      <c r="C117" s="33" t="s">
        <v>100</v>
      </c>
      <c r="D117" s="33" t="s">
        <v>31</v>
      </c>
      <c r="E117" s="33" t="s">
        <v>32</v>
      </c>
      <c r="F117" s="33" t="s">
        <v>33</v>
      </c>
      <c r="G117" s="33" t="s">
        <v>328</v>
      </c>
      <c r="H117" s="33" t="s">
        <v>607</v>
      </c>
      <c r="I117" s="33" t="str">
        <f>IF(COUNTIFS(Diário!$B:$B,B117,Diário!$A:$A,$C$3)=0,"FALTOU","TRABALHOU")</f>
        <v>TRABALHOU</v>
      </c>
    </row>
    <row r="118" spans="2:9" ht="15" customHeight="1" x14ac:dyDescent="0.25">
      <c r="B118" s="28" t="s">
        <v>653</v>
      </c>
      <c r="C118" s="29" t="s">
        <v>100</v>
      </c>
      <c r="D118" s="29" t="s">
        <v>31</v>
      </c>
      <c r="E118" s="29" t="s">
        <v>32</v>
      </c>
      <c r="F118" s="29" t="s">
        <v>33</v>
      </c>
      <c r="G118" s="29" t="s">
        <v>328</v>
      </c>
      <c r="H118" s="29" t="s">
        <v>607</v>
      </c>
      <c r="I118" s="29" t="str">
        <f>IF(COUNTIFS(Diário!$B:$B,B118,Diário!$A:$A,$C$3)=0,"FALTOU","TRABALHOU")</f>
        <v>TRABALHOU</v>
      </c>
    </row>
    <row r="119" spans="2:9" ht="15" customHeight="1" x14ac:dyDescent="0.25">
      <c r="B119" s="32" t="s">
        <v>52</v>
      </c>
      <c r="C119" s="33" t="s">
        <v>100</v>
      </c>
      <c r="D119" s="33" t="s">
        <v>31</v>
      </c>
      <c r="E119" s="33" t="s">
        <v>32</v>
      </c>
      <c r="F119" s="33" t="s">
        <v>33</v>
      </c>
      <c r="G119" s="33" t="s">
        <v>328</v>
      </c>
      <c r="H119" s="33" t="s">
        <v>327</v>
      </c>
      <c r="I119" s="33" t="str">
        <f>IF(COUNTIFS(Diário!$B:$B,B119,Diário!$A:$A,$C$3)=0,"FALTOU","TRABALHOU")</f>
        <v>TRABALHOU</v>
      </c>
    </row>
    <row r="120" spans="2:9" ht="15" customHeight="1" x14ac:dyDescent="0.25">
      <c r="B120" s="28" t="s">
        <v>655</v>
      </c>
      <c r="C120" s="29" t="s">
        <v>100</v>
      </c>
      <c r="D120" s="29" t="s">
        <v>31</v>
      </c>
      <c r="E120" s="29" t="s">
        <v>32</v>
      </c>
      <c r="F120" s="29" t="s">
        <v>33</v>
      </c>
      <c r="G120" s="29" t="s">
        <v>328</v>
      </c>
      <c r="H120" s="29" t="s">
        <v>607</v>
      </c>
      <c r="I120" s="29" t="str">
        <f>IF(COUNTIFS(Diário!$B:$B,B120,Diário!$A:$A,$C$3)=0,"FALTOU","TRABALHOU")</f>
        <v>TRABALHOU</v>
      </c>
    </row>
    <row r="121" spans="2:9" ht="15" customHeight="1" x14ac:dyDescent="0.25">
      <c r="B121" s="32" t="s">
        <v>659</v>
      </c>
      <c r="C121" s="33" t="s">
        <v>100</v>
      </c>
      <c r="D121" s="33" t="s">
        <v>31</v>
      </c>
      <c r="E121" s="33" t="s">
        <v>32</v>
      </c>
      <c r="F121" s="33" t="s">
        <v>33</v>
      </c>
      <c r="G121" s="33" t="s">
        <v>328</v>
      </c>
      <c r="H121" s="33" t="s">
        <v>327</v>
      </c>
      <c r="I121" s="33" t="str">
        <f>IF(COUNTIFS(Diário!$B:$B,B121,Diário!$A:$A,$C$3)=0,"FALTOU","TRABALHOU")</f>
        <v>TRABALHOU</v>
      </c>
    </row>
    <row r="122" spans="2:9" ht="15" customHeight="1" x14ac:dyDescent="0.25">
      <c r="B122" s="28" t="s">
        <v>661</v>
      </c>
      <c r="C122" s="29" t="s">
        <v>100</v>
      </c>
      <c r="D122" s="29" t="s">
        <v>31</v>
      </c>
      <c r="E122" s="29" t="s">
        <v>32</v>
      </c>
      <c r="F122" s="29" t="s">
        <v>33</v>
      </c>
      <c r="G122" s="29" t="s">
        <v>328</v>
      </c>
      <c r="H122" s="29" t="s">
        <v>607</v>
      </c>
      <c r="I122" s="29" t="str">
        <f>IF(COUNTIFS(Diário!$B:$B,B122,Diário!$A:$A,$C$3)=0,"FALTOU","TRABALHOU")</f>
        <v>TRABALHOU</v>
      </c>
    </row>
    <row r="123" spans="2:9" ht="15" customHeight="1" x14ac:dyDescent="0.25">
      <c r="B123" s="32" t="s">
        <v>665</v>
      </c>
      <c r="C123" s="33" t="s">
        <v>100</v>
      </c>
      <c r="D123" s="33" t="s">
        <v>31</v>
      </c>
      <c r="E123" s="33" t="s">
        <v>32</v>
      </c>
      <c r="F123" s="33" t="s">
        <v>33</v>
      </c>
      <c r="G123" s="33" t="s">
        <v>328</v>
      </c>
      <c r="H123" s="33" t="s">
        <v>607</v>
      </c>
      <c r="I123" s="33" t="str">
        <f>IF(COUNTIFS(Diário!$B:$B,B123,Diário!$A:$A,$C$3)=0,"FALTOU","TRABALHOU")</f>
        <v>TRABALHOU</v>
      </c>
    </row>
    <row r="124" spans="2:9" ht="15" customHeight="1" x14ac:dyDescent="0.25">
      <c r="B124" s="28" t="s">
        <v>60</v>
      </c>
      <c r="C124" s="29" t="s">
        <v>100</v>
      </c>
      <c r="D124" s="29" t="s">
        <v>31</v>
      </c>
      <c r="E124" s="29" t="s">
        <v>32</v>
      </c>
      <c r="F124" s="29" t="s">
        <v>33</v>
      </c>
      <c r="G124" s="29" t="s">
        <v>328</v>
      </c>
      <c r="H124" s="29" t="s">
        <v>327</v>
      </c>
      <c r="I124" s="29" t="str">
        <f>IF(COUNTIFS(Diário!$B:$B,B124,Diário!$A:$A,$C$3)=0,"FALTOU","TRABALHOU")</f>
        <v>TRABALHOU</v>
      </c>
    </row>
    <row r="125" spans="2:9" ht="15" customHeight="1" x14ac:dyDescent="0.25">
      <c r="B125" s="32" t="s">
        <v>305</v>
      </c>
      <c r="C125" s="33" t="s">
        <v>100</v>
      </c>
      <c r="D125" s="33" t="s">
        <v>31</v>
      </c>
      <c r="E125" s="33" t="s">
        <v>32</v>
      </c>
      <c r="F125" s="33" t="s">
        <v>33</v>
      </c>
      <c r="G125" s="33" t="s">
        <v>328</v>
      </c>
      <c r="H125" s="33" t="s">
        <v>327</v>
      </c>
      <c r="I125" s="33" t="str">
        <f>IF(COUNTIFS(Diário!$B:$B,B125,Diário!$A:$A,$C$3)=0,"FALTOU","TRABALHOU")</f>
        <v>TRABALHOU</v>
      </c>
    </row>
  </sheetData>
  <autoFilter ref="B9:I125" xr:uid="{00000000-0009-0000-0000-000002000000}"/>
  <mergeCells count="1">
    <mergeCell ref="B2:I2"/>
  </mergeCells>
  <conditionalFormatting sqref="I10:I147">
    <cfRule type="cellIs" dxfId="7" priority="1" operator="equal">
      <formula>"FALTOU"</formula>
    </cfRule>
    <cfRule type="cellIs" dxfId="6" priority="2" operator="equal">
      <formula>"TRABALHOU"</formula>
    </cfRule>
  </conditionalFormatting>
  <dataValidations count="1">
    <dataValidation type="list" allowBlank="1" showInputMessage="1" showErrorMessage="1" errorTitle="Data inválida" error="Selecione uma data da lista (datas disponíveis no Diário)." promptTitle="Data" prompt="Escolha uma data" sqref="C3" xr:uid="{00000000-0002-0000-0200-000000000000}">
      <formula1>$K$10:$K$22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9CB3-E82A-48E4-A2A2-F0020CFE8C45}">
  <dimension ref="A1:O12"/>
  <sheetViews>
    <sheetView showGridLines="0" workbookViewId="0">
      <selection sqref="A1:N2"/>
    </sheetView>
  </sheetViews>
  <sheetFormatPr defaultRowHeight="15" x14ac:dyDescent="0.25"/>
  <cols>
    <col min="1" max="1" width="32" customWidth="1"/>
    <col min="2" max="2" width="25" customWidth="1"/>
    <col min="3" max="4" width="11" customWidth="1"/>
    <col min="5" max="6" width="14" customWidth="1"/>
    <col min="7" max="7" width="11" customWidth="1"/>
    <col min="8" max="8" width="14" customWidth="1"/>
    <col min="9" max="9" width="13" customWidth="1"/>
    <col min="10" max="14" width="11" customWidth="1"/>
    <col min="15" max="15" width="14" customWidth="1"/>
  </cols>
  <sheetData>
    <row r="1" spans="1:15" ht="21.95" customHeight="1" x14ac:dyDescent="0.25">
      <c r="A1" s="96" t="s">
        <v>590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5" ht="21.9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1:15" ht="30" customHeight="1" x14ac:dyDescent="0.25">
      <c r="A4" s="27" t="s">
        <v>11</v>
      </c>
      <c r="B4" s="27" t="s">
        <v>12</v>
      </c>
      <c r="C4" s="27" t="s">
        <v>336</v>
      </c>
      <c r="D4" s="27" t="s">
        <v>3</v>
      </c>
      <c r="E4" s="27" t="s">
        <v>591</v>
      </c>
      <c r="F4" s="27" t="s">
        <v>15</v>
      </c>
      <c r="G4" s="27" t="s">
        <v>17</v>
      </c>
      <c r="H4" s="27" t="s">
        <v>5</v>
      </c>
      <c r="I4" s="27" t="s">
        <v>6</v>
      </c>
      <c r="J4" s="27" t="s">
        <v>18</v>
      </c>
      <c r="K4" s="27" t="s">
        <v>19</v>
      </c>
      <c r="L4" s="27" t="s">
        <v>23</v>
      </c>
      <c r="M4" s="27" t="s">
        <v>25</v>
      </c>
      <c r="N4" s="27" t="s">
        <v>27</v>
      </c>
      <c r="O4" s="27" t="s">
        <v>578</v>
      </c>
    </row>
    <row r="5" spans="1:15" x14ac:dyDescent="0.25">
      <c r="A5" s="40" t="s">
        <v>100</v>
      </c>
      <c r="B5" s="40" t="s">
        <v>31</v>
      </c>
      <c r="C5" s="29">
        <f>COUNTIF(Consolidado!$D:$D,A5)</f>
        <v>16</v>
      </c>
      <c r="D5" s="29">
        <f>SUMIFS(Diário!$G:$G,Diário!$D:$D,A5)</f>
        <v>5927</v>
      </c>
      <c r="E5" s="41">
        <f t="shared" ref="E5:E10" si="0">IFERROR(D5/C5,0)</f>
        <v>370.4375</v>
      </c>
      <c r="F5" s="30">
        <f>SUMIFS(Diário!$H:$H,Diário!$D:$D,A5)</f>
        <v>56.10238425925926</v>
      </c>
      <c r="G5" s="30">
        <f>IFERROR(SUMIFS(Diário!$I:$I,Diário!$D:$D,A5)/D5,0)</f>
        <v>5.3920601851851855E-3</v>
      </c>
      <c r="H5" s="30">
        <f>SUMIFS(Diário!$K:$K,Diário!$D:$D,A5)</f>
        <v>17.641030092592594</v>
      </c>
      <c r="I5" s="31">
        <f t="shared" ref="I5:I10" si="1">IFERROR(H5/F5,0)</f>
        <v>0.31444350049491998</v>
      </c>
      <c r="J5" s="30">
        <f>SUMIFS(Diário!$N:$N,Diário!$D:$D,A5)</f>
        <v>1.684386574074074</v>
      </c>
      <c r="K5" s="30">
        <f>SUMIFS(Diário!$O:$O,Diário!$D:$D,A5)</f>
        <v>2.9700810185185187</v>
      </c>
      <c r="L5" s="30">
        <f>SUMIFS(Diário!$S:$S,Diário!$D:$D,A5)</f>
        <v>3.0174074074074073</v>
      </c>
      <c r="M5" s="30">
        <f>SUMIFS(Diário!$U:$U,Diário!$D:$D,A5)</f>
        <v>0.41680555555555554</v>
      </c>
      <c r="N5" s="30">
        <f>SUMIFS(Diário!$W:$W,Diário!$D:$D,A5)</f>
        <v>8.5039930555555561</v>
      </c>
      <c r="O5" s="30">
        <f t="shared" ref="O5:O10" si="2">IFERROR(H5/C5,0)</f>
        <v>1.102564375</v>
      </c>
    </row>
    <row r="6" spans="1:15" x14ac:dyDescent="0.25">
      <c r="A6" s="42" t="s">
        <v>78</v>
      </c>
      <c r="B6" s="42" t="s">
        <v>79</v>
      </c>
      <c r="C6" s="33">
        <f>COUNTIF(Consolidado!$D:$D,A6)</f>
        <v>14</v>
      </c>
      <c r="D6" s="33">
        <f>SUMIFS(Diário!$G:$G,Diário!$D:$D,A6)</f>
        <v>83</v>
      </c>
      <c r="E6" s="43">
        <f t="shared" si="0"/>
        <v>5.9285714285714297</v>
      </c>
      <c r="F6" s="34">
        <f>SUMIFS(Diário!$H:$H,Diário!$D:$D,A6)</f>
        <v>49.186377314814813</v>
      </c>
      <c r="G6" s="34">
        <f>IFERROR(SUMIFS(Diário!$I:$I,Diário!$D:$D,A6)/D6,0)</f>
        <v>1.0979756944444445E-2</v>
      </c>
      <c r="H6" s="34">
        <f>SUMIFS(Diário!$K:$K,Diário!$D:$D,A6)</f>
        <v>13.525439814814815</v>
      </c>
      <c r="I6" s="35">
        <f t="shared" si="1"/>
        <v>0.27498345178474798</v>
      </c>
      <c r="J6" s="34">
        <f>SUMIFS(Diário!$N:$N,Diário!$D:$D,A6)</f>
        <v>0.85015046296296293</v>
      </c>
      <c r="K6" s="34">
        <f>SUMIFS(Diário!$O:$O,Diário!$D:$D,A6)</f>
        <v>3.3662152777777776</v>
      </c>
      <c r="L6" s="34">
        <f>SUMIFS(Diário!$S:$S,Diário!$D:$D,A6)</f>
        <v>2.0304050925925927</v>
      </c>
      <c r="M6" s="34">
        <f>SUMIFS(Diário!$U:$U,Diário!$D:$D,A6)</f>
        <v>1.5494560185185184</v>
      </c>
      <c r="N6" s="34">
        <f>SUMIFS(Diário!$W:$W,Diário!$D:$D,A6)</f>
        <v>0.99984953703703705</v>
      </c>
      <c r="O6" s="30">
        <f t="shared" si="2"/>
        <v>0.96610284722222217</v>
      </c>
    </row>
    <row r="7" spans="1:15" x14ac:dyDescent="0.25">
      <c r="A7" s="40" t="s">
        <v>104</v>
      </c>
      <c r="B7" s="40" t="s">
        <v>31</v>
      </c>
      <c r="C7" s="29">
        <f>COUNTIF(Consolidado!$D:$D,A7)</f>
        <v>19</v>
      </c>
      <c r="D7" s="29">
        <f>SUMIFS(Diário!$G:$G,Diário!$D:$D,A7)</f>
        <v>3019</v>
      </c>
      <c r="E7" s="41">
        <f t="shared" si="0"/>
        <v>158.894736842105</v>
      </c>
      <c r="F7" s="30">
        <f>SUMIFS(Diário!$H:$H,Diário!$D:$D,A7)</f>
        <v>63.281273148148145</v>
      </c>
      <c r="G7" s="30">
        <f>IFERROR(SUMIFS(Diário!$I:$I,Diário!$D:$D,A7)/D7,0)</f>
        <v>1.2894016203703703E-2</v>
      </c>
      <c r="H7" s="30">
        <f>SUMIFS(Diário!$K:$K,Diário!$D:$D,A7)</f>
        <v>33.659421296296294</v>
      </c>
      <c r="I7" s="31">
        <f t="shared" si="1"/>
        <v>0.53190177159514496</v>
      </c>
      <c r="J7" s="30">
        <f>SUMIFS(Diário!$N:$N,Diário!$D:$D,A7)</f>
        <v>2.3864467592592593</v>
      </c>
      <c r="K7" s="30">
        <f>SUMIFS(Diário!$O:$O,Diário!$D:$D,A7)</f>
        <v>3.9370370370370371</v>
      </c>
      <c r="L7" s="30">
        <f>SUMIFS(Diário!$S:$S,Diário!$D:$D,A7)</f>
        <v>3.4701157407407406</v>
      </c>
      <c r="M7" s="30">
        <f>SUMIFS(Diário!$U:$U,Diário!$D:$D,A7)</f>
        <v>1.0478240740740741</v>
      </c>
      <c r="N7" s="30">
        <f>SUMIFS(Diário!$W:$W,Diário!$D:$D,A7)</f>
        <v>20.018599537037037</v>
      </c>
      <c r="O7" s="30">
        <f t="shared" si="2"/>
        <v>1.7715484837962963</v>
      </c>
    </row>
    <row r="8" spans="1:15" x14ac:dyDescent="0.25">
      <c r="A8" s="42" t="s">
        <v>146</v>
      </c>
      <c r="B8" s="42" t="s">
        <v>79</v>
      </c>
      <c r="C8" s="33">
        <f>COUNTIF(Consolidado!$D:$D,A8)</f>
        <v>13</v>
      </c>
      <c r="D8" s="33">
        <f>SUMIFS(Diário!$G:$G,Diário!$D:$D,A8)</f>
        <v>2871</v>
      </c>
      <c r="E8" s="43">
        <f t="shared" si="0"/>
        <v>220.84615384615401</v>
      </c>
      <c r="F8" s="34">
        <f>SUMIFS(Diário!$H:$H,Diário!$D:$D,A8)</f>
        <v>43.537407407407407</v>
      </c>
      <c r="G8" s="34">
        <f>IFERROR(SUMIFS(Diário!$I:$I,Diário!$D:$D,A8)/D8,0)</f>
        <v>3.5848263888888887E-3</v>
      </c>
      <c r="H8" s="34">
        <f>SUMIFS(Diário!$K:$K,Diário!$D:$D,A8)</f>
        <v>7.9218518518518515</v>
      </c>
      <c r="I8" s="35">
        <f t="shared" si="1"/>
        <v>0.18195506631164299</v>
      </c>
      <c r="J8" s="34">
        <f>SUMIFS(Diário!$N:$N,Diário!$D:$D,A8)</f>
        <v>1.0038194444444444</v>
      </c>
      <c r="K8" s="34">
        <f>SUMIFS(Diário!$O:$O,Diário!$D:$D,A8)</f>
        <v>2.2700694444444443</v>
      </c>
      <c r="L8" s="34">
        <f>SUMIFS(Diário!$S:$S,Diário!$D:$D,A8)</f>
        <v>2.3175810185185184</v>
      </c>
      <c r="M8" s="34">
        <f>SUMIFS(Diário!$U:$U,Diário!$D:$D,A8)</f>
        <v>0.50082175925925931</v>
      </c>
      <c r="N8" s="34">
        <f>SUMIFS(Diário!$W:$W,Diário!$D:$D,A8)</f>
        <v>0.3369212962962963</v>
      </c>
      <c r="O8" s="30">
        <f t="shared" si="2"/>
        <v>0.60937321759259255</v>
      </c>
    </row>
    <row r="9" spans="1:15" x14ac:dyDescent="0.25">
      <c r="A9" s="40" t="s">
        <v>274</v>
      </c>
      <c r="B9" s="40" t="s">
        <v>31</v>
      </c>
      <c r="C9" s="29">
        <f>COUNTIF(Consolidado!$D:$D,A9)</f>
        <v>8</v>
      </c>
      <c r="D9" s="29">
        <f>SUMIFS(Diário!$G:$G,Diário!$D:$D,A9)</f>
        <v>2023</v>
      </c>
      <c r="E9" s="41">
        <f t="shared" si="0"/>
        <v>252.875</v>
      </c>
      <c r="F9" s="30">
        <f>SUMIFS(Diário!$H:$H,Diário!$D:$D,A9)</f>
        <v>28.522407407407407</v>
      </c>
      <c r="G9" s="30">
        <f>IFERROR(SUMIFS(Diário!$I:$I,Diário!$D:$D,A9)/D9,0)</f>
        <v>3.5283680555555554E-3</v>
      </c>
      <c r="H9" s="30">
        <f>SUMIFS(Diário!$K:$K,Diário!$D:$D,A9)</f>
        <v>4.1538425925925928</v>
      </c>
      <c r="I9" s="31">
        <f t="shared" si="1"/>
        <v>0.145634361548101</v>
      </c>
      <c r="J9" s="30">
        <f>SUMIFS(Diário!$N:$N,Diário!$D:$D,A9)</f>
        <v>0.41152777777777777</v>
      </c>
      <c r="K9" s="30">
        <f>SUMIFS(Diário!$O:$O,Diário!$D:$D,A9)</f>
        <v>1.4370023148148148</v>
      </c>
      <c r="L9" s="30">
        <f>SUMIFS(Diário!$S:$S,Diário!$D:$D,A9)</f>
        <v>1.4990277777777778</v>
      </c>
      <c r="M9" s="30">
        <f>SUMIFS(Diário!$U:$U,Diário!$D:$D,A9)</f>
        <v>7.3576388888888886E-2</v>
      </c>
      <c r="N9" s="30">
        <f>SUMIFS(Diário!$W:$W,Diário!$D:$D,A9)</f>
        <v>4.0972222222222226E-3</v>
      </c>
      <c r="O9" s="30">
        <f t="shared" si="2"/>
        <v>0.5192303240740741</v>
      </c>
    </row>
    <row r="10" spans="1:15" x14ac:dyDescent="0.25">
      <c r="A10" s="42" t="s">
        <v>233</v>
      </c>
      <c r="B10" s="42" t="s">
        <v>31</v>
      </c>
      <c r="C10" s="33">
        <f>COUNTIF(Consolidado!$D:$D,A10)</f>
        <v>24</v>
      </c>
      <c r="D10" s="33">
        <f>SUMIFS(Diário!$G:$G,Diário!$D:$D,A10)</f>
        <v>7723</v>
      </c>
      <c r="E10" s="43">
        <f t="shared" si="0"/>
        <v>321.79166666666703</v>
      </c>
      <c r="F10" s="34">
        <f>SUMIFS(Diário!$H:$H,Diário!$D:$D,A10)</f>
        <v>78.998506944444443</v>
      </c>
      <c r="G10" s="34">
        <f>IFERROR(SUMIFS(Diário!$I:$I,Diário!$D:$D,A10)/D10,0)</f>
        <v>4.1478009259259263E-3</v>
      </c>
      <c r="H10" s="34">
        <f>SUMIFS(Diário!$K:$K,Diário!$D:$D,A10)</f>
        <v>26.154363425925926</v>
      </c>
      <c r="I10" s="35">
        <f t="shared" si="1"/>
        <v>0.33107414858256701</v>
      </c>
      <c r="J10" s="34">
        <f>SUMIFS(Diário!$N:$N,Diário!$D:$D,A10)</f>
        <v>2.3181712962962964</v>
      </c>
      <c r="K10" s="34">
        <f>SUMIFS(Diário!$O:$O,Diário!$D:$D,A10)</f>
        <v>3.9776388888888889</v>
      </c>
      <c r="L10" s="34">
        <f>SUMIFS(Diário!$S:$S,Diário!$D:$D,A10)</f>
        <v>3.9123842592592593</v>
      </c>
      <c r="M10" s="34">
        <f>SUMIFS(Diário!$U:$U,Diário!$D:$D,A10)</f>
        <v>0.51671296296296299</v>
      </c>
      <c r="N10" s="34">
        <f>SUMIFS(Diário!$W:$W,Diário!$D:$D,A10)</f>
        <v>12.846921296296296</v>
      </c>
      <c r="O10" s="30">
        <f t="shared" si="2"/>
        <v>1.0897651388888889</v>
      </c>
    </row>
    <row r="11" spans="1:15" x14ac:dyDescent="0.25">
      <c r="A11" s="42" t="s">
        <v>601</v>
      </c>
      <c r="B11" s="42" t="s">
        <v>31</v>
      </c>
      <c r="C11" s="33">
        <f>COUNTIF(Consolidado!$D:$D,A11)</f>
        <v>19</v>
      </c>
      <c r="D11" s="33">
        <f>SUMIFS(Diário!$G:$G,Diário!$D:$D,A11)</f>
        <v>1758</v>
      </c>
      <c r="E11" s="43">
        <f>IFERROR(D11/C11,0)</f>
        <v>92.526315789473699</v>
      </c>
      <c r="F11" s="34">
        <f>SUMIFS(Diário!$H:$H,Diário!$D:$D,A11)</f>
        <v>51.445555555555558</v>
      </c>
      <c r="G11" s="34">
        <f>IFERROR(SUMIFS(Diário!$I:$I,Diário!$D:$D,A11)/D11,0)</f>
        <v>1.2803113425925926E-2</v>
      </c>
      <c r="H11" s="34">
        <f>SUMIFS(Diário!$K:$K,Diário!$D:$D,A11)</f>
        <v>36.400844907407411</v>
      </c>
      <c r="I11" s="35">
        <f>IFERROR(H11/F11,0)</f>
        <v>0.70756053684945597</v>
      </c>
      <c r="J11" s="34">
        <f>SUMIFS(Diário!$N:$N,Diário!$D:$D,A11)</f>
        <v>1.5849074074074074</v>
      </c>
      <c r="K11" s="34">
        <f>SUMIFS(Diário!$O:$O,Diário!$D:$D,A11)</f>
        <v>3.3193634259259261</v>
      </c>
      <c r="L11" s="34">
        <f>SUMIFS(Diário!$S:$S,Diário!$D:$D,A11)</f>
        <v>2.9854861111111113</v>
      </c>
      <c r="M11" s="34">
        <f>SUMIFS(Diário!$U:$U,Diário!$D:$D,A11)</f>
        <v>19.741076388888889</v>
      </c>
      <c r="N11" s="34">
        <f>SUMIFS(Diário!$W:$W,Diário!$D:$D,A11)</f>
        <v>6.6260300925925923</v>
      </c>
      <c r="O11" s="30">
        <f>IFERROR(H11/C11,0)</f>
        <v>1.9158339467592593</v>
      </c>
    </row>
    <row r="12" spans="1:15" x14ac:dyDescent="0.25">
      <c r="A12" s="44"/>
      <c r="B12" s="36"/>
      <c r="C12" s="37">
        <f>SUM(C5:C11)</f>
        <v>113</v>
      </c>
      <c r="D12" s="37">
        <f>SUM(D5:D11)</f>
        <v>23404</v>
      </c>
      <c r="E12" s="45">
        <f>IFERROR(D12/C12,0)</f>
        <v>207.11504424778801</v>
      </c>
      <c r="F12" s="38">
        <f>SUM(F5:F11)</f>
        <v>371.07391203703702</v>
      </c>
      <c r="G12" s="46"/>
      <c r="H12" s="38">
        <f>SUM(H5:H11)</f>
        <v>139.45679398148147</v>
      </c>
      <c r="I12" s="39">
        <f>IFERROR(H12/F12,0)</f>
        <v>0.37581945121370403</v>
      </c>
      <c r="J12" s="38">
        <f>SUM(J5:J11)</f>
        <v>10.239409722222222</v>
      </c>
      <c r="K12" s="38">
        <f>SUM(K5:K11)</f>
        <v>21.277407407407406</v>
      </c>
      <c r="L12" s="38">
        <f>SUM(L5:L11)</f>
        <v>19.232407407407408</v>
      </c>
      <c r="M12" s="38">
        <f>SUM(M5:M11)</f>
        <v>23.84627314814815</v>
      </c>
      <c r="N12" s="38">
        <f>SUM(N5:N11)</f>
        <v>49.336412037037036</v>
      </c>
      <c r="O12" s="38">
        <f>IFERROR(H12/C12,0)</f>
        <v>1.2341309259259259</v>
      </c>
    </row>
  </sheetData>
  <mergeCells count="1">
    <mergeCell ref="A1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4ED8-3376-4B5A-9EA9-5952656F4EB5}">
  <dimension ref="A1:Y116"/>
  <sheetViews>
    <sheetView showGridLines="0" zoomScaleNormal="100" workbookViewId="0">
      <pane xSplit="3" ySplit="2" topLeftCell="I3" activePane="bottomRight" state="frozen"/>
      <selection pane="topRight"/>
      <selection pane="bottomLeft"/>
      <selection pane="bottomRight" sqref="A1:XFD1048576"/>
    </sheetView>
  </sheetViews>
  <sheetFormatPr defaultColWidth="8.7109375" defaultRowHeight="15" x14ac:dyDescent="0.25"/>
  <cols>
    <col min="1" max="1" width="47.5703125" bestFit="1" customWidth="1"/>
    <col min="2" max="2" width="19.85546875" bestFit="1" customWidth="1"/>
    <col min="3" max="3" width="19.140625" bestFit="1" customWidth="1"/>
    <col min="4" max="4" width="35" bestFit="1" customWidth="1"/>
    <col min="5" max="5" width="26.7109375" bestFit="1" customWidth="1"/>
    <col min="6" max="6" width="11.85546875" bestFit="1" customWidth="1"/>
    <col min="7" max="7" width="12" customWidth="1"/>
    <col min="8" max="8" width="30.7109375" bestFit="1" customWidth="1"/>
    <col min="9" max="9" width="17.85546875" bestFit="1" customWidth="1"/>
    <col min="10" max="10" width="15.140625" bestFit="1" customWidth="1"/>
    <col min="11" max="11" width="19.42578125" bestFit="1" customWidth="1"/>
    <col min="12" max="12" width="18.85546875" bestFit="1" customWidth="1"/>
    <col min="13" max="13" width="9.5703125" bestFit="1" customWidth="1"/>
    <col min="14" max="14" width="20.42578125" bestFit="1" customWidth="1"/>
    <col min="15" max="15" width="19" bestFit="1" customWidth="1"/>
    <col min="16" max="16" width="12.42578125" bestFit="1" customWidth="1"/>
    <col min="17" max="17" width="13.140625" bestFit="1" customWidth="1"/>
    <col min="18" max="18" width="11.5703125" bestFit="1" customWidth="1"/>
    <col min="19" max="19" width="12.85546875" bestFit="1" customWidth="1"/>
    <col min="20" max="20" width="13.28515625" bestFit="1" customWidth="1"/>
    <col min="21" max="21" width="13" bestFit="1" customWidth="1"/>
    <col min="22" max="22" width="11.42578125" bestFit="1" customWidth="1"/>
    <col min="23" max="23" width="13.42578125" bestFit="1" customWidth="1"/>
    <col min="24" max="24" width="11.42578125" bestFit="1" customWidth="1"/>
    <col min="25" max="25" width="12.28515625" bestFit="1" customWidth="1"/>
  </cols>
  <sheetData>
    <row r="1" spans="1:25" ht="21.75" customHeight="1" x14ac:dyDescent="0.25">
      <c r="A1" s="97" t="s">
        <v>319</v>
      </c>
      <c r="B1" s="97"/>
      <c r="C1" s="97"/>
      <c r="D1" s="97"/>
      <c r="E1" s="97"/>
      <c r="F1" s="97"/>
      <c r="G1" s="97"/>
      <c r="H1" s="97"/>
      <c r="I1" s="98" t="s">
        <v>320</v>
      </c>
      <c r="J1" s="98"/>
      <c r="K1" s="98"/>
      <c r="L1" s="98"/>
      <c r="M1" s="98"/>
      <c r="N1" s="98"/>
      <c r="O1" s="98"/>
      <c r="P1" s="99" t="s">
        <v>321</v>
      </c>
      <c r="Q1" s="99"/>
      <c r="R1" s="99"/>
      <c r="S1" s="99"/>
      <c r="T1" s="99"/>
      <c r="U1" s="99"/>
      <c r="V1" s="99"/>
      <c r="W1" s="99"/>
      <c r="X1" s="99"/>
      <c r="Y1" s="99"/>
    </row>
    <row r="2" spans="1:25" ht="30" customHeight="1" x14ac:dyDescent="0.25">
      <c r="A2" s="8" t="s">
        <v>322</v>
      </c>
      <c r="B2" s="8" t="s">
        <v>323</v>
      </c>
      <c r="C2" s="8" t="s">
        <v>324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325</v>
      </c>
      <c r="I2" s="9" t="s">
        <v>326</v>
      </c>
      <c r="J2" s="9" t="s">
        <v>3</v>
      </c>
      <c r="K2" s="9" t="s">
        <v>15</v>
      </c>
      <c r="L2" s="9" t="s">
        <v>16</v>
      </c>
      <c r="M2" s="9" t="s">
        <v>17</v>
      </c>
      <c r="N2" s="9" t="s">
        <v>5</v>
      </c>
      <c r="O2" s="9" t="s">
        <v>6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  <c r="U2" s="10" t="s">
        <v>23</v>
      </c>
      <c r="V2" s="10" t="s">
        <v>24</v>
      </c>
      <c r="W2" s="10" t="s">
        <v>25</v>
      </c>
      <c r="X2" s="10" t="s">
        <v>26</v>
      </c>
      <c r="Y2" s="10" t="s">
        <v>27</v>
      </c>
    </row>
    <row r="3" spans="1:25" ht="15" customHeight="1" x14ac:dyDescent="0.25">
      <c r="A3" s="11" t="s">
        <v>186</v>
      </c>
      <c r="B3" s="12" t="s">
        <v>562</v>
      </c>
      <c r="C3" s="12" t="s">
        <v>327</v>
      </c>
      <c r="D3" s="11" t="s">
        <v>78</v>
      </c>
      <c r="E3" s="11" t="s">
        <v>79</v>
      </c>
      <c r="F3" s="12" t="s">
        <v>80</v>
      </c>
      <c r="G3" s="12" t="s">
        <v>33</v>
      </c>
      <c r="H3" s="11" t="s">
        <v>330</v>
      </c>
      <c r="I3" s="12">
        <v>16</v>
      </c>
      <c r="J3" s="12">
        <v>32</v>
      </c>
      <c r="K3" s="13">
        <v>3.9831018518518513</v>
      </c>
      <c r="L3" s="13">
        <v>0.13243055555555555</v>
      </c>
      <c r="M3" s="13">
        <f t="shared" ref="M3:M34" si="0">IFERROR(L3/J3,0)</f>
        <v>4.1384490740740739E-3</v>
      </c>
      <c r="N3" s="13">
        <v>0.67828703703703708</v>
      </c>
      <c r="O3" s="14">
        <f t="shared" ref="O3:O34" si="1">IFERROR(N3/K3,0)</f>
        <v>0.170291160574185</v>
      </c>
      <c r="P3" s="13">
        <v>0.13405092592592593</v>
      </c>
      <c r="Q3" s="13">
        <v>0.21653935185185186</v>
      </c>
      <c r="R3" s="13"/>
      <c r="S3" s="13">
        <v>7.1759259259259259E-3</v>
      </c>
      <c r="T3" s="13">
        <v>2.1817129629629631E-2</v>
      </c>
      <c r="U3" s="13">
        <v>0.2096527777777778</v>
      </c>
      <c r="V3" s="13">
        <v>1.2199074074074074E-2</v>
      </c>
      <c r="W3" s="13">
        <v>5.2662037037037035E-3</v>
      </c>
      <c r="X3" s="13"/>
      <c r="Y3" s="13">
        <v>7.1168981481481486E-2</v>
      </c>
    </row>
    <row r="4" spans="1:25" ht="15" customHeight="1" x14ac:dyDescent="0.25">
      <c r="A4" s="15" t="s">
        <v>643</v>
      </c>
      <c r="B4" s="16" t="s">
        <v>644</v>
      </c>
      <c r="C4" s="16" t="s">
        <v>327</v>
      </c>
      <c r="D4" s="15" t="s">
        <v>233</v>
      </c>
      <c r="E4" s="15" t="s">
        <v>31</v>
      </c>
      <c r="F4" s="16" t="s">
        <v>32</v>
      </c>
      <c r="G4" s="16" t="s">
        <v>106</v>
      </c>
      <c r="H4" s="15" t="s">
        <v>328</v>
      </c>
      <c r="I4" s="16">
        <v>16</v>
      </c>
      <c r="J4" s="16">
        <v>273</v>
      </c>
      <c r="K4" s="17">
        <v>3.8627662037037038</v>
      </c>
      <c r="L4" s="17">
        <v>2.1213541666666669</v>
      </c>
      <c r="M4" s="17">
        <f t="shared" si="0"/>
        <v>7.7705324074074074E-3</v>
      </c>
      <c r="N4" s="17">
        <v>0.65849537037037031</v>
      </c>
      <c r="O4" s="18">
        <f t="shared" si="1"/>
        <v>0.17047248931063699</v>
      </c>
      <c r="P4" s="17">
        <v>8.8703703703703715E-2</v>
      </c>
      <c r="Q4" s="17">
        <v>0.22506944444444443</v>
      </c>
      <c r="R4" s="17">
        <v>1.1319444444444443E-2</v>
      </c>
      <c r="S4" s="17">
        <v>8.6770833333333325E-2</v>
      </c>
      <c r="T4" s="17">
        <v>1.3773148148148149E-2</v>
      </c>
      <c r="U4" s="17">
        <v>0.18393518518518517</v>
      </c>
      <c r="V4" s="17">
        <v>1.8541666666666668E-2</v>
      </c>
      <c r="W4" s="17">
        <v>2.9826388888888888E-2</v>
      </c>
      <c r="X4" s="17"/>
      <c r="Y4" s="17"/>
    </row>
    <row r="5" spans="1:25" ht="15" customHeight="1" x14ac:dyDescent="0.25">
      <c r="A5" s="11" t="s">
        <v>193</v>
      </c>
      <c r="B5" s="12" t="s">
        <v>563</v>
      </c>
      <c r="C5" s="12" t="s">
        <v>327</v>
      </c>
      <c r="D5" s="11" t="s">
        <v>274</v>
      </c>
      <c r="E5" s="11" t="s">
        <v>79</v>
      </c>
      <c r="F5" s="12" t="s">
        <v>147</v>
      </c>
      <c r="G5" s="12" t="s">
        <v>33</v>
      </c>
      <c r="H5" s="11" t="s">
        <v>328</v>
      </c>
      <c r="I5" s="12">
        <v>16</v>
      </c>
      <c r="J5" s="12">
        <v>273</v>
      </c>
      <c r="K5" s="13">
        <v>3.9175694444444447</v>
      </c>
      <c r="L5" s="13">
        <v>1.0278356481481481</v>
      </c>
      <c r="M5" s="13">
        <f t="shared" si="0"/>
        <v>3.7649652777777777E-3</v>
      </c>
      <c r="N5" s="13">
        <v>0.51260416666666664</v>
      </c>
      <c r="O5" s="14">
        <f t="shared" si="1"/>
        <v>0.13084749968978801</v>
      </c>
      <c r="P5" s="13">
        <v>3.0729166666666669E-2</v>
      </c>
      <c r="Q5" s="13">
        <v>0.16796296296296298</v>
      </c>
      <c r="R5" s="13"/>
      <c r="S5" s="13">
        <v>4.4155092592592593E-2</v>
      </c>
      <c r="T5" s="13">
        <v>4.8749999999999995E-2</v>
      </c>
      <c r="U5" s="13">
        <v>0.2107060185185185</v>
      </c>
      <c r="V5" s="13">
        <v>4.1782407407407419E-3</v>
      </c>
      <c r="W5" s="13">
        <v>5.3356481481481484E-3</v>
      </c>
      <c r="X5" s="13"/>
      <c r="Y5" s="13"/>
    </row>
    <row r="6" spans="1:25" ht="15" customHeight="1" x14ac:dyDescent="0.25">
      <c r="A6" s="15" t="s">
        <v>231</v>
      </c>
      <c r="B6" s="16" t="s">
        <v>525</v>
      </c>
      <c r="C6" s="16" t="s">
        <v>327</v>
      </c>
      <c r="D6" s="15" t="s">
        <v>233</v>
      </c>
      <c r="E6" s="15" t="s">
        <v>31</v>
      </c>
      <c r="F6" s="16" t="s">
        <v>32</v>
      </c>
      <c r="G6" s="16" t="s">
        <v>106</v>
      </c>
      <c r="H6" s="15" t="s">
        <v>328</v>
      </c>
      <c r="I6" s="16">
        <v>11</v>
      </c>
      <c r="J6" s="16">
        <v>362</v>
      </c>
      <c r="K6" s="17">
        <v>2.6003935185185183</v>
      </c>
      <c r="L6" s="17">
        <v>1.3334606481481481</v>
      </c>
      <c r="M6" s="17">
        <f t="shared" si="0"/>
        <v>3.6835879629629632E-3</v>
      </c>
      <c r="N6" s="17">
        <v>0.44761574074074079</v>
      </c>
      <c r="O6" s="18">
        <f t="shared" si="1"/>
        <v>0.17213384726314601</v>
      </c>
      <c r="P6" s="17">
        <v>2.2638888888888889E-2</v>
      </c>
      <c r="Q6" s="17">
        <v>0.14750000000000002</v>
      </c>
      <c r="R6" s="17"/>
      <c r="S6" s="17">
        <v>1.0937500000000001E-2</v>
      </c>
      <c r="T6" s="17">
        <v>1.2592592592592593E-2</v>
      </c>
      <c r="U6" s="17">
        <v>0.13996527777777776</v>
      </c>
      <c r="V6" s="17">
        <v>9.7291666666666651E-2</v>
      </c>
      <c r="W6" s="17">
        <v>4.155092592592593E-3</v>
      </c>
      <c r="X6" s="17"/>
      <c r="Y6" s="17">
        <v>1.2048611111111111E-2</v>
      </c>
    </row>
    <row r="7" spans="1:25" ht="15" customHeight="1" x14ac:dyDescent="0.25">
      <c r="A7" s="11" t="s">
        <v>234</v>
      </c>
      <c r="B7" s="12" t="s">
        <v>550</v>
      </c>
      <c r="C7" s="12" t="s">
        <v>327</v>
      </c>
      <c r="D7" s="11" t="s">
        <v>233</v>
      </c>
      <c r="E7" s="11" t="s">
        <v>31</v>
      </c>
      <c r="F7" s="12" t="s">
        <v>32</v>
      </c>
      <c r="G7" s="12" t="s">
        <v>106</v>
      </c>
      <c r="H7" s="11" t="s">
        <v>328</v>
      </c>
      <c r="I7" s="12">
        <v>13</v>
      </c>
      <c r="J7" s="12">
        <v>419</v>
      </c>
      <c r="K7" s="13">
        <v>2.9790625000000004</v>
      </c>
      <c r="L7" s="13">
        <v>1.4293981481481484</v>
      </c>
      <c r="M7" s="13">
        <f t="shared" si="0"/>
        <v>3.4114467592592595E-3</v>
      </c>
      <c r="N7" s="13">
        <v>0.5172106481481481</v>
      </c>
      <c r="O7" s="14">
        <f t="shared" si="1"/>
        <v>0.17361523907207299</v>
      </c>
      <c r="P7" s="13">
        <v>9.7372685185185173E-2</v>
      </c>
      <c r="Q7" s="13">
        <v>0.15001157407407409</v>
      </c>
      <c r="R7" s="13">
        <v>1.9791666666666668E-3</v>
      </c>
      <c r="S7" s="13">
        <v>1.4849537037037038E-2</v>
      </c>
      <c r="T7" s="13">
        <v>7.6504629629629631E-3</v>
      </c>
      <c r="U7" s="13">
        <v>0.14467592592592593</v>
      </c>
      <c r="V7" s="13">
        <v>8.6527777777777787E-2</v>
      </c>
      <c r="W7" s="13">
        <v>4.2476851851851851E-3</v>
      </c>
      <c r="X7" s="13"/>
      <c r="Y7" s="13">
        <v>9.2476851851851852E-3</v>
      </c>
    </row>
    <row r="8" spans="1:25" ht="15" customHeight="1" x14ac:dyDescent="0.25">
      <c r="A8" s="15" t="s">
        <v>34</v>
      </c>
      <c r="B8" s="16" t="s">
        <v>505</v>
      </c>
      <c r="C8" s="16" t="s">
        <v>327</v>
      </c>
      <c r="D8" s="15" t="s">
        <v>233</v>
      </c>
      <c r="E8" s="15" t="s">
        <v>31</v>
      </c>
      <c r="F8" s="16" t="s">
        <v>32</v>
      </c>
      <c r="G8" s="16" t="s">
        <v>106</v>
      </c>
      <c r="H8" s="15" t="s">
        <v>328</v>
      </c>
      <c r="I8" s="16">
        <v>16</v>
      </c>
      <c r="J8" s="16">
        <v>521</v>
      </c>
      <c r="K8" s="17">
        <v>3.8572222222222221</v>
      </c>
      <c r="L8" s="17">
        <v>1.8462500000000002</v>
      </c>
      <c r="M8" s="17">
        <f t="shared" si="0"/>
        <v>3.5436689814814814E-3</v>
      </c>
      <c r="N8" s="17">
        <v>0.67732638888888885</v>
      </c>
      <c r="O8" s="18">
        <f t="shared" si="1"/>
        <v>0.17559952470113799</v>
      </c>
      <c r="P8" s="17">
        <v>5.6655092592592597E-2</v>
      </c>
      <c r="Q8" s="17">
        <v>0.20424768518518516</v>
      </c>
      <c r="R8" s="17"/>
      <c r="S8" s="17">
        <v>1.59375E-2</v>
      </c>
      <c r="T8" s="17"/>
      <c r="U8" s="17">
        <v>0.20249999999999999</v>
      </c>
      <c r="V8" s="17">
        <v>6.6099537037037026E-2</v>
      </c>
      <c r="W8" s="17">
        <v>7.6527777777777778E-2</v>
      </c>
      <c r="X8" s="17"/>
      <c r="Y8" s="17">
        <v>4.809027777777778E-2</v>
      </c>
    </row>
    <row r="9" spans="1:25" ht="15" customHeight="1" x14ac:dyDescent="0.25">
      <c r="A9" s="11" t="s">
        <v>236</v>
      </c>
      <c r="B9" s="12" t="s">
        <v>551</v>
      </c>
      <c r="C9" s="12" t="s">
        <v>327</v>
      </c>
      <c r="D9" s="11" t="s">
        <v>233</v>
      </c>
      <c r="E9" s="11" t="s">
        <v>31</v>
      </c>
      <c r="F9" s="12" t="s">
        <v>32</v>
      </c>
      <c r="G9" s="12" t="s">
        <v>106</v>
      </c>
      <c r="H9" s="11" t="s">
        <v>328</v>
      </c>
      <c r="I9" s="12">
        <v>13</v>
      </c>
      <c r="J9" s="12">
        <v>62</v>
      </c>
      <c r="K9" s="13">
        <v>2.8863078703703704</v>
      </c>
      <c r="L9" s="13">
        <v>0.25439814814814821</v>
      </c>
      <c r="M9" s="13">
        <f t="shared" si="0"/>
        <v>4.1031944444444449E-3</v>
      </c>
      <c r="N9" s="13">
        <v>2.4881944444444444</v>
      </c>
      <c r="O9" s="14">
        <f t="shared" si="1"/>
        <v>0.86206827413915499</v>
      </c>
      <c r="P9" s="13">
        <v>0.22663194444444446</v>
      </c>
      <c r="Q9" s="13">
        <v>0.17446759259259259</v>
      </c>
      <c r="R9" s="13"/>
      <c r="S9" s="13"/>
      <c r="T9" s="13"/>
      <c r="U9" s="13">
        <v>7.9282407407407413E-2</v>
      </c>
      <c r="V9" s="13">
        <v>0.44087962962962968</v>
      </c>
      <c r="W9" s="13">
        <v>5.2777777777777771E-3</v>
      </c>
      <c r="X9" s="13"/>
      <c r="Y9" s="13">
        <v>1.5615624999999997</v>
      </c>
    </row>
    <row r="10" spans="1:25" ht="15" customHeight="1" x14ac:dyDescent="0.25">
      <c r="A10" s="15" t="s">
        <v>238</v>
      </c>
      <c r="B10" s="16" t="s">
        <v>526</v>
      </c>
      <c r="C10" s="16" t="s">
        <v>327</v>
      </c>
      <c r="D10" s="15" t="s">
        <v>233</v>
      </c>
      <c r="E10" s="15" t="s">
        <v>31</v>
      </c>
      <c r="F10" s="16" t="s">
        <v>32</v>
      </c>
      <c r="G10" s="16" t="s">
        <v>106</v>
      </c>
      <c r="H10" s="15" t="s">
        <v>328</v>
      </c>
      <c r="I10" s="16">
        <v>16</v>
      </c>
      <c r="J10" s="16">
        <v>22</v>
      </c>
      <c r="K10" s="17">
        <v>3.455034722222222</v>
      </c>
      <c r="L10" s="17">
        <v>7.9745370370370383E-2</v>
      </c>
      <c r="M10" s="17">
        <f t="shared" si="0"/>
        <v>3.6247916666666668E-3</v>
      </c>
      <c r="N10" s="17">
        <v>3.2852199074074075</v>
      </c>
      <c r="O10" s="18">
        <f t="shared" si="1"/>
        <v>0.95085004103646398</v>
      </c>
      <c r="P10" s="17"/>
      <c r="Q10" s="17">
        <v>8.8043981481481487E-2</v>
      </c>
      <c r="R10" s="17"/>
      <c r="S10" s="17"/>
      <c r="T10" s="17"/>
      <c r="U10" s="17">
        <v>0.14774305555555556</v>
      </c>
      <c r="V10" s="17">
        <v>1.0555555555555556E-2</v>
      </c>
      <c r="W10" s="17">
        <v>2.3148148148148149E-4</v>
      </c>
      <c r="X10" s="17"/>
      <c r="Y10" s="17">
        <v>3.0386458333333337</v>
      </c>
    </row>
    <row r="11" spans="1:25" ht="15" customHeight="1" x14ac:dyDescent="0.25">
      <c r="A11" s="11" t="s">
        <v>608</v>
      </c>
      <c r="B11" s="12" t="s">
        <v>631</v>
      </c>
      <c r="C11" s="12" t="s">
        <v>327</v>
      </c>
      <c r="D11" s="11" t="s">
        <v>601</v>
      </c>
      <c r="E11" s="11" t="s">
        <v>31</v>
      </c>
      <c r="F11" s="12" t="s">
        <v>105</v>
      </c>
      <c r="G11" s="12" t="s">
        <v>33</v>
      </c>
      <c r="H11" s="11" t="s">
        <v>328</v>
      </c>
      <c r="I11" s="12">
        <v>16</v>
      </c>
      <c r="J11" s="12">
        <v>111</v>
      </c>
      <c r="K11" s="13">
        <v>3.3726273148148151</v>
      </c>
      <c r="L11" s="13">
        <v>1.7493981481481482</v>
      </c>
      <c r="M11" s="13">
        <f t="shared" si="0"/>
        <v>1.5760347222222221E-2</v>
      </c>
      <c r="N11" s="13">
        <v>2.3576736111111112</v>
      </c>
      <c r="O11" s="14">
        <f t="shared" si="1"/>
        <v>0.69906141148612699</v>
      </c>
      <c r="P11" s="13">
        <v>4.1898148148148146E-3</v>
      </c>
      <c r="Q11" s="13">
        <v>0.18739583333333332</v>
      </c>
      <c r="R11" s="13"/>
      <c r="S11" s="13">
        <v>3.1828703703703706E-2</v>
      </c>
      <c r="T11" s="13"/>
      <c r="U11" s="13">
        <v>0.18415509259259258</v>
      </c>
      <c r="V11" s="13">
        <v>3.9525462962962957E-2</v>
      </c>
      <c r="W11" s="13">
        <v>1.6025925925925926</v>
      </c>
      <c r="X11" s="13"/>
      <c r="Y11" s="13">
        <v>0.30797453703703703</v>
      </c>
    </row>
    <row r="12" spans="1:25" ht="15" customHeight="1" x14ac:dyDescent="0.25">
      <c r="A12" s="15" t="s">
        <v>197</v>
      </c>
      <c r="B12" s="16" t="s">
        <v>564</v>
      </c>
      <c r="C12" s="16" t="s">
        <v>327</v>
      </c>
      <c r="D12" s="15" t="s">
        <v>601</v>
      </c>
      <c r="E12" s="15" t="s">
        <v>31</v>
      </c>
      <c r="F12" s="16" t="s">
        <v>105</v>
      </c>
      <c r="G12" s="16" t="s">
        <v>33</v>
      </c>
      <c r="H12" s="15" t="s">
        <v>328</v>
      </c>
      <c r="I12" s="16">
        <v>16</v>
      </c>
      <c r="J12" s="16">
        <v>90</v>
      </c>
      <c r="K12" s="17">
        <v>3.3141087962962965</v>
      </c>
      <c r="L12" s="17">
        <v>1.3918055555555555</v>
      </c>
      <c r="M12" s="17">
        <f t="shared" si="0"/>
        <v>1.5464502314814815E-2</v>
      </c>
      <c r="N12" s="17">
        <v>2.4498842592592589</v>
      </c>
      <c r="O12" s="18">
        <f t="shared" si="1"/>
        <v>0.73922867649883495</v>
      </c>
      <c r="P12" s="17">
        <v>5.872685185185185E-2</v>
      </c>
      <c r="Q12" s="17">
        <v>0.30449074074074067</v>
      </c>
      <c r="R12" s="17"/>
      <c r="S12" s="17">
        <v>9.4594907407407391E-2</v>
      </c>
      <c r="T12" s="17"/>
      <c r="U12" s="17">
        <v>0.25184027777777784</v>
      </c>
      <c r="V12" s="17">
        <v>3.0601851851851849E-2</v>
      </c>
      <c r="W12" s="17">
        <v>1.2009606481481481</v>
      </c>
      <c r="X12" s="17"/>
      <c r="Y12" s="17">
        <v>0.50861111111111101</v>
      </c>
    </row>
    <row r="13" spans="1:25" ht="15" customHeight="1" x14ac:dyDescent="0.25">
      <c r="A13" s="11" t="s">
        <v>150</v>
      </c>
      <c r="B13" s="12" t="s">
        <v>514</v>
      </c>
      <c r="C13" s="12" t="s">
        <v>327</v>
      </c>
      <c r="D13" s="11" t="s">
        <v>146</v>
      </c>
      <c r="E13" s="11" t="s">
        <v>79</v>
      </c>
      <c r="F13" s="12" t="s">
        <v>147</v>
      </c>
      <c r="G13" s="12" t="s">
        <v>106</v>
      </c>
      <c r="H13" s="11" t="s">
        <v>328</v>
      </c>
      <c r="I13" s="12">
        <v>12</v>
      </c>
      <c r="J13" s="12">
        <v>276</v>
      </c>
      <c r="K13" s="13">
        <v>2.9303703703703698</v>
      </c>
      <c r="L13" s="13">
        <v>0.62780092592592585</v>
      </c>
      <c r="M13" s="13">
        <f t="shared" si="0"/>
        <v>2.2746412037037036E-3</v>
      </c>
      <c r="N13" s="13">
        <v>0.41563657407407406</v>
      </c>
      <c r="O13" s="14">
        <f t="shared" si="1"/>
        <v>0.14183755687563199</v>
      </c>
      <c r="P13" s="13">
        <v>1.0254629629629631E-2</v>
      </c>
      <c r="Q13" s="13">
        <v>0.14901620370370372</v>
      </c>
      <c r="R13" s="13">
        <v>1.1296296296296297E-2</v>
      </c>
      <c r="S13" s="13">
        <v>3.2245370370370376E-2</v>
      </c>
      <c r="T13" s="13">
        <v>1.1574074074074075E-4</v>
      </c>
      <c r="U13" s="13">
        <v>0.15699074074074074</v>
      </c>
      <c r="V13" s="13">
        <v>1.8518518518518517E-3</v>
      </c>
      <c r="W13" s="13">
        <v>2.7662037037037039E-3</v>
      </c>
      <c r="X13" s="13"/>
      <c r="Y13" s="13">
        <v>5.0659722222222217E-2</v>
      </c>
    </row>
    <row r="14" spans="1:25" ht="15" customHeight="1" x14ac:dyDescent="0.25">
      <c r="A14" s="15" t="s">
        <v>154</v>
      </c>
      <c r="B14" s="16" t="s">
        <v>515</v>
      </c>
      <c r="C14" s="16" t="s">
        <v>327</v>
      </c>
      <c r="D14" s="15" t="s">
        <v>146</v>
      </c>
      <c r="E14" s="15" t="s">
        <v>79</v>
      </c>
      <c r="F14" s="16" t="s">
        <v>147</v>
      </c>
      <c r="G14" s="16" t="s">
        <v>106</v>
      </c>
      <c r="H14" s="15" t="s">
        <v>328</v>
      </c>
      <c r="I14" s="16">
        <v>15</v>
      </c>
      <c r="J14" s="16">
        <v>274</v>
      </c>
      <c r="K14" s="17">
        <v>3.6674652777777772</v>
      </c>
      <c r="L14" s="17">
        <v>0.64620370370370384</v>
      </c>
      <c r="M14" s="17">
        <f t="shared" si="0"/>
        <v>2.3584027777777778E-3</v>
      </c>
      <c r="N14" s="17">
        <v>0.53194444444444455</v>
      </c>
      <c r="O14" s="18">
        <f t="shared" si="1"/>
        <v>0.145044166516763</v>
      </c>
      <c r="P14" s="17">
        <v>6.247685185185186E-2</v>
      </c>
      <c r="Q14" s="17">
        <v>0.15336805555555555</v>
      </c>
      <c r="R14" s="17">
        <v>1.25E-3</v>
      </c>
      <c r="S14" s="17">
        <v>8.2812499999999997E-2</v>
      </c>
      <c r="T14" s="17"/>
      <c r="U14" s="17">
        <v>0.19722222222222224</v>
      </c>
      <c r="V14" s="17">
        <v>1.0023148148148147E-2</v>
      </c>
      <c r="W14" s="17">
        <v>1.5856481481481482E-2</v>
      </c>
      <c r="X14" s="17"/>
      <c r="Y14" s="17">
        <v>7.4421296296296301E-3</v>
      </c>
    </row>
    <row r="15" spans="1:25" ht="15" customHeight="1" x14ac:dyDescent="0.25">
      <c r="A15" s="11" t="s">
        <v>112</v>
      </c>
      <c r="B15" s="12" t="s">
        <v>570</v>
      </c>
      <c r="C15" s="12" t="s">
        <v>327</v>
      </c>
      <c r="D15" s="11" t="s">
        <v>104</v>
      </c>
      <c r="E15" s="11" t="s">
        <v>31</v>
      </c>
      <c r="F15" s="12" t="s">
        <v>105</v>
      </c>
      <c r="G15" s="12" t="s">
        <v>106</v>
      </c>
      <c r="H15" s="11" t="s">
        <v>328</v>
      </c>
      <c r="I15" s="12">
        <v>16</v>
      </c>
      <c r="J15" s="12">
        <v>104</v>
      </c>
      <c r="K15" s="13">
        <v>3.4274884259259255</v>
      </c>
      <c r="L15" s="13">
        <v>2.0933912037037037</v>
      </c>
      <c r="M15" s="13">
        <f t="shared" si="0"/>
        <v>2.0128761574074075E-2</v>
      </c>
      <c r="N15" s="13">
        <v>1.9389699074074072</v>
      </c>
      <c r="O15" s="14">
        <f t="shared" si="1"/>
        <v>0.56571158424367296</v>
      </c>
      <c r="P15" s="13">
        <v>0.27946759259259257</v>
      </c>
      <c r="Q15" s="13">
        <v>0.26173611111111111</v>
      </c>
      <c r="R15" s="13">
        <v>3.4791666666666665E-2</v>
      </c>
      <c r="S15" s="13">
        <v>1.230324074074074E-2</v>
      </c>
      <c r="T15" s="13"/>
      <c r="U15" s="13">
        <v>0.17681712962962959</v>
      </c>
      <c r="V15" s="13">
        <v>6.1782407407407404E-2</v>
      </c>
      <c r="W15" s="13">
        <v>6.3773148148148148E-2</v>
      </c>
      <c r="X15" s="13"/>
      <c r="Y15" s="13">
        <v>1.0482291666666668</v>
      </c>
    </row>
    <row r="16" spans="1:25" ht="15" customHeight="1" x14ac:dyDescent="0.25">
      <c r="A16" s="15" t="s">
        <v>42</v>
      </c>
      <c r="B16" s="16" t="s">
        <v>537</v>
      </c>
      <c r="C16" s="16" t="s">
        <v>327</v>
      </c>
      <c r="D16" s="15" t="s">
        <v>104</v>
      </c>
      <c r="E16" s="15" t="s">
        <v>31</v>
      </c>
      <c r="F16" s="16" t="s">
        <v>105</v>
      </c>
      <c r="G16" s="16" t="s">
        <v>106</v>
      </c>
      <c r="H16" s="15" t="s">
        <v>328</v>
      </c>
      <c r="I16" s="16">
        <v>15</v>
      </c>
      <c r="J16" s="16">
        <v>185</v>
      </c>
      <c r="K16" s="17">
        <v>3.3804398148148151</v>
      </c>
      <c r="L16" s="17">
        <v>2.3092013888888889</v>
      </c>
      <c r="M16" s="17">
        <f t="shared" si="0"/>
        <v>1.2482164351851852E-2</v>
      </c>
      <c r="N16" s="17">
        <v>1.8188310185185186</v>
      </c>
      <c r="O16" s="18">
        <f t="shared" si="1"/>
        <v>0.53804567398226399</v>
      </c>
      <c r="P16" s="17">
        <v>0.1340277777777778</v>
      </c>
      <c r="Q16" s="17">
        <v>0.19626157407407407</v>
      </c>
      <c r="R16" s="17"/>
      <c r="S16" s="17">
        <v>4.9652777777777777E-3</v>
      </c>
      <c r="T16" s="17">
        <v>4.6296296296296294E-5</v>
      </c>
      <c r="U16" s="17">
        <v>0.19091435185185185</v>
      </c>
      <c r="V16" s="17">
        <v>1.7094907407407406E-2</v>
      </c>
      <c r="W16" s="17">
        <v>1.4305555555555556E-2</v>
      </c>
      <c r="X16" s="17"/>
      <c r="Y16" s="17">
        <v>1.2609837962962964</v>
      </c>
    </row>
    <row r="17" spans="1:25" ht="15" customHeight="1" x14ac:dyDescent="0.25">
      <c r="A17" s="11" t="s">
        <v>114</v>
      </c>
      <c r="B17" s="12" t="s">
        <v>541</v>
      </c>
      <c r="C17" s="12" t="s">
        <v>327</v>
      </c>
      <c r="D17" s="11" t="s">
        <v>104</v>
      </c>
      <c r="E17" s="11" t="s">
        <v>31</v>
      </c>
      <c r="F17" s="12" t="s">
        <v>105</v>
      </c>
      <c r="G17" s="12" t="s">
        <v>106</v>
      </c>
      <c r="H17" s="11" t="s">
        <v>328</v>
      </c>
      <c r="I17" s="12">
        <v>16</v>
      </c>
      <c r="J17" s="12">
        <v>160</v>
      </c>
      <c r="K17" s="13">
        <v>3.5322222222222228</v>
      </c>
      <c r="L17" s="13">
        <v>2.0902083333333334</v>
      </c>
      <c r="M17" s="13">
        <f t="shared" si="0"/>
        <v>1.3063796296296296E-2</v>
      </c>
      <c r="N17" s="13">
        <v>2.1564467592592593</v>
      </c>
      <c r="O17" s="14">
        <f t="shared" si="1"/>
        <v>0.61050710391108298</v>
      </c>
      <c r="P17" s="13">
        <v>0.11037037037037038</v>
      </c>
      <c r="Q17" s="13">
        <v>0.21394675925925924</v>
      </c>
      <c r="R17" s="13"/>
      <c r="S17" s="13">
        <v>3.1863425925925927E-2</v>
      </c>
      <c r="T17" s="13"/>
      <c r="U17" s="13">
        <v>0.22179398148148149</v>
      </c>
      <c r="V17" s="13">
        <v>0.57797453703703694</v>
      </c>
      <c r="W17" s="13">
        <v>1.0069444444444443E-2</v>
      </c>
      <c r="X17" s="13"/>
      <c r="Y17" s="13">
        <v>0.99042824074074065</v>
      </c>
    </row>
    <row r="18" spans="1:25" ht="15" customHeight="1" x14ac:dyDescent="0.25">
      <c r="A18" s="15" t="s">
        <v>44</v>
      </c>
      <c r="B18" s="16" t="s">
        <v>506</v>
      </c>
      <c r="C18" s="16" t="s">
        <v>327</v>
      </c>
      <c r="D18" s="15" t="s">
        <v>100</v>
      </c>
      <c r="E18" s="15" t="s">
        <v>31</v>
      </c>
      <c r="F18" s="16" t="s">
        <v>32</v>
      </c>
      <c r="G18" s="16" t="s">
        <v>33</v>
      </c>
      <c r="H18" s="15" t="s">
        <v>328</v>
      </c>
      <c r="I18" s="16">
        <v>16</v>
      </c>
      <c r="J18" s="16">
        <v>483</v>
      </c>
      <c r="K18" s="17">
        <v>3.9040856481481478</v>
      </c>
      <c r="L18" s="17">
        <v>2.7789583333333336</v>
      </c>
      <c r="M18" s="17">
        <f t="shared" si="0"/>
        <v>5.7535416666666664E-3</v>
      </c>
      <c r="N18" s="17">
        <v>0.56603009259259263</v>
      </c>
      <c r="O18" s="18">
        <f t="shared" si="1"/>
        <v>0.14498403559898401</v>
      </c>
      <c r="P18" s="17">
        <v>2.5046296296296296E-2</v>
      </c>
      <c r="Q18" s="17">
        <v>0.20891203703703703</v>
      </c>
      <c r="R18" s="17"/>
      <c r="S18" s="17">
        <v>4.2592592592592592E-2</v>
      </c>
      <c r="T18" s="17">
        <v>9.5833333333333326E-3</v>
      </c>
      <c r="U18" s="17">
        <v>0.21503472222222222</v>
      </c>
      <c r="V18" s="17">
        <v>1.1423611111111112E-2</v>
      </c>
      <c r="W18" s="17">
        <v>3.6388888888888894E-2</v>
      </c>
      <c r="X18" s="17"/>
      <c r="Y18" s="17">
        <v>1.4490740740740742E-2</v>
      </c>
    </row>
    <row r="19" spans="1:25" ht="15" customHeight="1" x14ac:dyDescent="0.25">
      <c r="A19" s="11" t="s">
        <v>240</v>
      </c>
      <c r="B19" s="12" t="s">
        <v>527</v>
      </c>
      <c r="C19" s="12" t="s">
        <v>327</v>
      </c>
      <c r="D19" s="11" t="s">
        <v>233</v>
      </c>
      <c r="E19" s="11" t="s">
        <v>31</v>
      </c>
      <c r="F19" s="12" t="s">
        <v>32</v>
      </c>
      <c r="G19" s="12" t="s">
        <v>106</v>
      </c>
      <c r="H19" s="11" t="s">
        <v>328</v>
      </c>
      <c r="I19" s="12">
        <v>16</v>
      </c>
      <c r="J19" s="12">
        <v>24</v>
      </c>
      <c r="K19" s="13">
        <v>3.3416666666666668</v>
      </c>
      <c r="L19" s="13">
        <v>0.14785879629629631</v>
      </c>
      <c r="M19" s="13">
        <f t="shared" si="0"/>
        <v>6.1607870370370375E-3</v>
      </c>
      <c r="N19" s="13">
        <v>3.0640277777777776</v>
      </c>
      <c r="O19" s="14">
        <f t="shared" si="1"/>
        <v>0.91691604322526998</v>
      </c>
      <c r="P19" s="13">
        <v>0.22606481481481483</v>
      </c>
      <c r="Q19" s="13">
        <v>0.17875000000000002</v>
      </c>
      <c r="R19" s="13"/>
      <c r="S19" s="13"/>
      <c r="T19" s="13"/>
      <c r="U19" s="13">
        <v>0.20303240740740744</v>
      </c>
      <c r="V19" s="13">
        <v>7.7708333333333338E-2</v>
      </c>
      <c r="W19" s="13">
        <v>3.2407407407407406E-4</v>
      </c>
      <c r="X19" s="13"/>
      <c r="Y19" s="13">
        <v>2.3781481481481483</v>
      </c>
    </row>
    <row r="20" spans="1:25" ht="15" customHeight="1" x14ac:dyDescent="0.25">
      <c r="A20" s="15" t="s">
        <v>160</v>
      </c>
      <c r="B20" s="16" t="s">
        <v>544</v>
      </c>
      <c r="C20" s="16" t="s">
        <v>327</v>
      </c>
      <c r="D20" s="15" t="s">
        <v>146</v>
      </c>
      <c r="E20" s="15" t="s">
        <v>79</v>
      </c>
      <c r="F20" s="16" t="s">
        <v>147</v>
      </c>
      <c r="G20" s="16" t="s">
        <v>106</v>
      </c>
      <c r="H20" s="15" t="s">
        <v>328</v>
      </c>
      <c r="I20" s="16">
        <v>15</v>
      </c>
      <c r="J20" s="16">
        <v>242</v>
      </c>
      <c r="K20" s="17">
        <v>3.5725000000000002</v>
      </c>
      <c r="L20" s="17">
        <v>0.61115740740740732</v>
      </c>
      <c r="M20" s="17">
        <f t="shared" si="0"/>
        <v>2.525439814814815E-3</v>
      </c>
      <c r="N20" s="17">
        <v>0.86340277777777796</v>
      </c>
      <c r="O20" s="18">
        <f t="shared" si="1"/>
        <v>0.241680273695669</v>
      </c>
      <c r="P20" s="17">
        <v>0.13224537037037035</v>
      </c>
      <c r="Q20" s="17">
        <v>0.22792824074074075</v>
      </c>
      <c r="R20" s="17"/>
      <c r="S20" s="17">
        <v>0.20462962962962966</v>
      </c>
      <c r="T20" s="17">
        <v>9.2592592592592588E-5</v>
      </c>
      <c r="U20" s="17">
        <v>0.19273148148148148</v>
      </c>
      <c r="V20" s="17">
        <v>1.0856481481481483E-2</v>
      </c>
      <c r="W20" s="17">
        <v>4.7812500000000001E-2</v>
      </c>
      <c r="X20" s="17"/>
      <c r="Y20" s="17">
        <v>4.4479166666666667E-2</v>
      </c>
    </row>
    <row r="21" spans="1:25" ht="15" customHeight="1" x14ac:dyDescent="0.25">
      <c r="A21" s="11" t="s">
        <v>645</v>
      </c>
      <c r="B21" s="12" t="s">
        <v>646</v>
      </c>
      <c r="C21" s="12" t="s">
        <v>607</v>
      </c>
      <c r="D21" s="11" t="s">
        <v>100</v>
      </c>
      <c r="E21" s="11" t="s">
        <v>31</v>
      </c>
      <c r="F21" s="12" t="s">
        <v>32</v>
      </c>
      <c r="G21" s="12" t="s">
        <v>33</v>
      </c>
      <c r="H21" s="11" t="s">
        <v>328</v>
      </c>
      <c r="I21" s="12">
        <v>16</v>
      </c>
      <c r="J21" s="12">
        <v>531</v>
      </c>
      <c r="K21" s="13">
        <v>3.9282870370370366</v>
      </c>
      <c r="L21" s="13">
        <v>2.9965393518518524</v>
      </c>
      <c r="M21" s="13">
        <f t="shared" si="0"/>
        <v>5.6432060185185179E-3</v>
      </c>
      <c r="N21" s="13">
        <v>0.55922453703703712</v>
      </c>
      <c r="O21" s="14">
        <f t="shared" si="1"/>
        <v>0.14235836937690799</v>
      </c>
      <c r="P21" s="13">
        <v>7.329861111111112E-2</v>
      </c>
      <c r="Q21" s="13">
        <v>0.19299768518518517</v>
      </c>
      <c r="R21" s="13"/>
      <c r="S21" s="13">
        <v>2.5578703703703704E-2</v>
      </c>
      <c r="T21" s="13">
        <v>2.0601851851851853E-3</v>
      </c>
      <c r="U21" s="13">
        <v>0.19773148148148151</v>
      </c>
      <c r="V21" s="13">
        <v>2.2476851851851852E-2</v>
      </c>
      <c r="W21" s="13">
        <v>2.390046296296296E-2</v>
      </c>
      <c r="X21" s="13"/>
      <c r="Y21" s="13">
        <v>1.8518518518518517E-2</v>
      </c>
    </row>
    <row r="22" spans="1:25" ht="15" customHeight="1" x14ac:dyDescent="0.25">
      <c r="A22" s="15" t="s">
        <v>120</v>
      </c>
      <c r="B22" s="16" t="s">
        <v>558</v>
      </c>
      <c r="C22" s="16" t="s">
        <v>327</v>
      </c>
      <c r="D22" s="15" t="s">
        <v>233</v>
      </c>
      <c r="E22" s="15" t="s">
        <v>31</v>
      </c>
      <c r="F22" s="16" t="s">
        <v>32</v>
      </c>
      <c r="G22" s="16" t="s">
        <v>106</v>
      </c>
      <c r="H22" s="15" t="s">
        <v>328</v>
      </c>
      <c r="I22" s="16">
        <v>16</v>
      </c>
      <c r="J22" s="16">
        <v>597</v>
      </c>
      <c r="K22" s="17">
        <v>3.8137731481481483</v>
      </c>
      <c r="L22" s="17">
        <v>1.7357407407407408</v>
      </c>
      <c r="M22" s="17">
        <f t="shared" si="0"/>
        <v>2.9074421296296296E-3</v>
      </c>
      <c r="N22" s="17">
        <v>0.80677083333333333</v>
      </c>
      <c r="O22" s="18">
        <f t="shared" si="1"/>
        <v>0.21154137962429101</v>
      </c>
      <c r="P22" s="17">
        <v>0.1247337962962963</v>
      </c>
      <c r="Q22" s="17">
        <v>0.19605324074074074</v>
      </c>
      <c r="R22" s="17"/>
      <c r="S22" s="17">
        <v>5.37037037037037E-3</v>
      </c>
      <c r="T22" s="17"/>
      <c r="U22" s="17">
        <v>0.20001157407407405</v>
      </c>
      <c r="V22" s="17">
        <v>0.14849537037037036</v>
      </c>
      <c r="W22" s="17">
        <v>5.9444444444444439E-2</v>
      </c>
      <c r="X22" s="17"/>
      <c r="Y22" s="17">
        <v>7.2581018518518517E-2</v>
      </c>
    </row>
    <row r="23" spans="1:25" ht="15" customHeight="1" x14ac:dyDescent="0.25">
      <c r="A23" s="11" t="s">
        <v>46</v>
      </c>
      <c r="B23" s="12" t="s">
        <v>507</v>
      </c>
      <c r="C23" s="12" t="s">
        <v>327</v>
      </c>
      <c r="D23" s="11" t="s">
        <v>100</v>
      </c>
      <c r="E23" s="11" t="s">
        <v>31</v>
      </c>
      <c r="F23" s="12" t="s">
        <v>32</v>
      </c>
      <c r="G23" s="12" t="s">
        <v>33</v>
      </c>
      <c r="H23" s="11" t="s">
        <v>328</v>
      </c>
      <c r="I23" s="12">
        <v>16</v>
      </c>
      <c r="J23" s="12">
        <v>511</v>
      </c>
      <c r="K23" s="13">
        <v>3.938171296296296</v>
      </c>
      <c r="L23" s="13">
        <v>2.6158564814814818</v>
      </c>
      <c r="M23" s="13">
        <f t="shared" si="0"/>
        <v>5.1190972222222228E-3</v>
      </c>
      <c r="N23" s="13">
        <v>0.5355671296296296</v>
      </c>
      <c r="O23" s="14">
        <f t="shared" si="1"/>
        <v>0.13599386348006501</v>
      </c>
      <c r="P23" s="13">
        <v>4.1412037037037039E-2</v>
      </c>
      <c r="Q23" s="13">
        <v>0.21318287037037034</v>
      </c>
      <c r="R23" s="13"/>
      <c r="S23" s="13">
        <v>1.7905092592592591E-2</v>
      </c>
      <c r="T23" s="13"/>
      <c r="U23" s="13">
        <v>0.19696759259259258</v>
      </c>
      <c r="V23" s="13">
        <v>2.5231481481481485E-3</v>
      </c>
      <c r="W23" s="13">
        <v>3.0613425925925926E-2</v>
      </c>
      <c r="X23" s="13"/>
      <c r="Y23" s="13">
        <v>3.1921296296296302E-2</v>
      </c>
    </row>
    <row r="24" spans="1:25" ht="15" customHeight="1" x14ac:dyDescent="0.25">
      <c r="A24" s="15" t="s">
        <v>287</v>
      </c>
      <c r="B24" s="16" t="s">
        <v>542</v>
      </c>
      <c r="C24" s="16" t="s">
        <v>327</v>
      </c>
      <c r="D24" s="15" t="s">
        <v>104</v>
      </c>
      <c r="E24" s="15" t="s">
        <v>31</v>
      </c>
      <c r="F24" s="16" t="s">
        <v>105</v>
      </c>
      <c r="G24" s="16" t="s">
        <v>106</v>
      </c>
      <c r="H24" s="15" t="s">
        <v>328</v>
      </c>
      <c r="I24" s="16">
        <v>14</v>
      </c>
      <c r="J24" s="16">
        <v>72</v>
      </c>
      <c r="K24" s="17">
        <v>2.8712731481481479</v>
      </c>
      <c r="L24" s="17">
        <v>1.3533796296296294</v>
      </c>
      <c r="M24" s="17">
        <f t="shared" si="0"/>
        <v>1.8796944444444446E-2</v>
      </c>
      <c r="N24" s="17">
        <v>1.8890624999999999</v>
      </c>
      <c r="O24" s="18">
        <f t="shared" si="1"/>
        <v>0.65791807415409698</v>
      </c>
      <c r="P24" s="17">
        <v>0.23050925925925927</v>
      </c>
      <c r="Q24" s="17">
        <v>0.23585648148148147</v>
      </c>
      <c r="R24" s="17">
        <v>1.5081018518518518E-2</v>
      </c>
      <c r="S24" s="17"/>
      <c r="T24" s="17">
        <v>1.576388888888889E-2</v>
      </c>
      <c r="U24" s="17">
        <v>0.18054398148148149</v>
      </c>
      <c r="V24" s="17">
        <v>7.2685185185185186E-2</v>
      </c>
      <c r="W24" s="17">
        <v>1.3576388888888888E-2</v>
      </c>
      <c r="X24" s="17"/>
      <c r="Y24" s="17">
        <v>1.125</v>
      </c>
    </row>
    <row r="25" spans="1:25" ht="15" customHeight="1" x14ac:dyDescent="0.25">
      <c r="A25" s="11" t="s">
        <v>499</v>
      </c>
      <c r="B25" s="12" t="s">
        <v>517</v>
      </c>
      <c r="C25" s="12" t="s">
        <v>327</v>
      </c>
      <c r="D25" s="11" t="s">
        <v>146</v>
      </c>
      <c r="E25" s="11" t="s">
        <v>79</v>
      </c>
      <c r="F25" s="12" t="s">
        <v>147</v>
      </c>
      <c r="G25" s="12" t="s">
        <v>106</v>
      </c>
      <c r="H25" s="11" t="s">
        <v>328</v>
      </c>
      <c r="I25" s="12">
        <v>16</v>
      </c>
      <c r="J25" s="12">
        <v>185</v>
      </c>
      <c r="K25" s="13">
        <v>3.6265046296296299</v>
      </c>
      <c r="L25" s="13">
        <v>0.80563657407407419</v>
      </c>
      <c r="M25" s="13">
        <f t="shared" si="0"/>
        <v>4.3547916666666665E-3</v>
      </c>
      <c r="N25" s="13">
        <v>0.90858796296296285</v>
      </c>
      <c r="O25" s="14">
        <f t="shared" si="1"/>
        <v>0.25054096320173602</v>
      </c>
      <c r="P25" s="13">
        <v>0.13598379629629631</v>
      </c>
      <c r="Q25" s="13">
        <v>0.22409722222222223</v>
      </c>
      <c r="R25" s="13">
        <v>5.8275462962962966E-2</v>
      </c>
      <c r="S25" s="13">
        <v>0.16347222222222224</v>
      </c>
      <c r="T25" s="13">
        <v>1.6203703703703703E-4</v>
      </c>
      <c r="U25" s="13">
        <v>0.20128472222222224</v>
      </c>
      <c r="V25" s="13">
        <v>1.6331018518518516E-2</v>
      </c>
      <c r="W25" s="13">
        <v>1.6064814814814813E-2</v>
      </c>
      <c r="X25" s="13"/>
      <c r="Y25" s="13">
        <v>9.2442129629629624E-2</v>
      </c>
    </row>
    <row r="26" spans="1:25" ht="15" customHeight="1" x14ac:dyDescent="0.25">
      <c r="A26" s="15" t="s">
        <v>647</v>
      </c>
      <c r="B26" s="16" t="s">
        <v>648</v>
      </c>
      <c r="C26" s="16" t="s">
        <v>327</v>
      </c>
      <c r="D26" s="15" t="s">
        <v>233</v>
      </c>
      <c r="E26" s="15" t="s">
        <v>31</v>
      </c>
      <c r="F26" s="16" t="s">
        <v>32</v>
      </c>
      <c r="G26" s="16" t="s">
        <v>106</v>
      </c>
      <c r="H26" s="15" t="s">
        <v>328</v>
      </c>
      <c r="I26" s="16">
        <v>16</v>
      </c>
      <c r="J26" s="16">
        <v>468</v>
      </c>
      <c r="K26" s="17">
        <v>3.7658217592592589</v>
      </c>
      <c r="L26" s="17">
        <v>1.7146874999999999</v>
      </c>
      <c r="M26" s="17">
        <f t="shared" si="0"/>
        <v>3.6638657407407405E-3</v>
      </c>
      <c r="N26" s="17">
        <v>0.70890046296296305</v>
      </c>
      <c r="O26" s="18">
        <f t="shared" si="1"/>
        <v>0.18824588848899901</v>
      </c>
      <c r="P26" s="17">
        <v>0.11562500000000001</v>
      </c>
      <c r="Q26" s="17">
        <v>0.18401620370370367</v>
      </c>
      <c r="R26" s="17">
        <v>1.3541666666666667E-3</v>
      </c>
      <c r="S26" s="17">
        <v>0.11589120370370372</v>
      </c>
      <c r="T26" s="17">
        <v>7.4768518518518517E-3</v>
      </c>
      <c r="U26" s="17">
        <v>0.19434027777777779</v>
      </c>
      <c r="V26" s="17">
        <v>4.7280092592592589E-2</v>
      </c>
      <c r="W26" s="17">
        <v>1.8055555555555557E-3</v>
      </c>
      <c r="X26" s="17"/>
      <c r="Y26" s="17">
        <v>4.103009259259259E-2</v>
      </c>
    </row>
    <row r="27" spans="1:25" ht="15" customHeight="1" x14ac:dyDescent="0.25">
      <c r="A27" s="11" t="s">
        <v>649</v>
      </c>
      <c r="B27" s="12" t="s">
        <v>650</v>
      </c>
      <c r="C27" s="12" t="s">
        <v>327</v>
      </c>
      <c r="D27" s="11" t="s">
        <v>104</v>
      </c>
      <c r="E27" s="11" t="s">
        <v>31</v>
      </c>
      <c r="F27" s="12" t="s">
        <v>105</v>
      </c>
      <c r="G27" s="12" t="s">
        <v>106</v>
      </c>
      <c r="H27" s="11" t="s">
        <v>328</v>
      </c>
      <c r="I27" s="12">
        <v>15</v>
      </c>
      <c r="J27" s="12">
        <v>137</v>
      </c>
      <c r="K27" s="13">
        <v>3.5774305555555559</v>
      </c>
      <c r="L27" s="13">
        <v>2.1715972222222222</v>
      </c>
      <c r="M27" s="13">
        <f t="shared" si="0"/>
        <v>1.5851076388888889E-2</v>
      </c>
      <c r="N27" s="13">
        <v>1.9366087962962963</v>
      </c>
      <c r="O27" s="14">
        <f t="shared" si="1"/>
        <v>0.54134070982561699</v>
      </c>
      <c r="P27" s="13">
        <v>7.644675925925927E-2</v>
      </c>
      <c r="Q27" s="13">
        <v>0.18986111111111109</v>
      </c>
      <c r="R27" s="13"/>
      <c r="S27" s="13">
        <v>3.9328703703703699E-2</v>
      </c>
      <c r="T27" s="13"/>
      <c r="U27" s="13">
        <v>0.19748842592592591</v>
      </c>
      <c r="V27" s="13">
        <v>1.0821759259259258E-2</v>
      </c>
      <c r="W27" s="13">
        <v>0.17366898148148149</v>
      </c>
      <c r="X27" s="13"/>
      <c r="Y27" s="13">
        <v>1.2489583333333329</v>
      </c>
    </row>
    <row r="28" spans="1:25" ht="15" customHeight="1" x14ac:dyDescent="0.25">
      <c r="A28" s="15" t="s">
        <v>651</v>
      </c>
      <c r="B28" s="16" t="s">
        <v>652</v>
      </c>
      <c r="C28" s="16" t="s">
        <v>607</v>
      </c>
      <c r="D28" s="15" t="s">
        <v>100</v>
      </c>
      <c r="E28" s="15" t="s">
        <v>31</v>
      </c>
      <c r="F28" s="16" t="s">
        <v>32</v>
      </c>
      <c r="G28" s="16" t="s">
        <v>33</v>
      </c>
      <c r="H28" s="15" t="s">
        <v>328</v>
      </c>
      <c r="I28" s="16">
        <v>11</v>
      </c>
      <c r="J28" s="16">
        <v>260</v>
      </c>
      <c r="K28" s="17">
        <v>2.6086226851851855</v>
      </c>
      <c r="L28" s="17">
        <v>1.8560532407407409</v>
      </c>
      <c r="M28" s="17">
        <f t="shared" si="0"/>
        <v>7.1386689814814811E-3</v>
      </c>
      <c r="N28" s="17">
        <v>0.50531249999999994</v>
      </c>
      <c r="O28" s="18">
        <f t="shared" si="1"/>
        <v>0.19370854315948299</v>
      </c>
      <c r="P28" s="17">
        <v>7.3090277777777782E-2</v>
      </c>
      <c r="Q28" s="17">
        <v>0.16041666666666668</v>
      </c>
      <c r="R28" s="17"/>
      <c r="S28" s="17">
        <v>6.7002314814814806E-2</v>
      </c>
      <c r="T28" s="17"/>
      <c r="U28" s="17">
        <v>0.15457175925925926</v>
      </c>
      <c r="V28" s="17">
        <v>2.673611111111111E-2</v>
      </c>
      <c r="W28" s="17">
        <v>5.4861111111111117E-3</v>
      </c>
      <c r="X28" s="17"/>
      <c r="Y28" s="17">
        <v>1.773148148148148E-2</v>
      </c>
    </row>
    <row r="29" spans="1:25" ht="15" customHeight="1" x14ac:dyDescent="0.25">
      <c r="A29" s="11" t="s">
        <v>246</v>
      </c>
      <c r="B29" s="12" t="s">
        <v>568</v>
      </c>
      <c r="C29" s="12" t="s">
        <v>327</v>
      </c>
      <c r="D29" s="11" t="s">
        <v>233</v>
      </c>
      <c r="E29" s="11" t="s">
        <v>31</v>
      </c>
      <c r="F29" s="12" t="s">
        <v>32</v>
      </c>
      <c r="G29" s="12" t="s">
        <v>106</v>
      </c>
      <c r="H29" s="11" t="s">
        <v>328</v>
      </c>
      <c r="I29" s="12">
        <v>12</v>
      </c>
      <c r="J29" s="12">
        <v>451</v>
      </c>
      <c r="K29" s="13">
        <v>3.3754976851851857</v>
      </c>
      <c r="L29" s="13">
        <v>1.5644097222222222</v>
      </c>
      <c r="M29" s="13">
        <f t="shared" si="0"/>
        <v>3.4687615740740742E-3</v>
      </c>
      <c r="N29" s="13">
        <v>0.60000000000000009</v>
      </c>
      <c r="O29" s="14">
        <f t="shared" si="1"/>
        <v>0.17775156612708001</v>
      </c>
      <c r="P29" s="13">
        <v>8.5219907407407411E-2</v>
      </c>
      <c r="Q29" s="13">
        <v>0.16952546296296298</v>
      </c>
      <c r="R29" s="13">
        <v>3.2754629629629631E-3</v>
      </c>
      <c r="S29" s="13">
        <v>2.7881944444444442E-2</v>
      </c>
      <c r="T29" s="13">
        <v>2.1990740740740742E-3</v>
      </c>
      <c r="U29" s="13">
        <v>0.15565972222222224</v>
      </c>
      <c r="V29" s="13">
        <v>0.10076388888888889</v>
      </c>
      <c r="W29" s="13">
        <v>1.5162037037037036E-3</v>
      </c>
      <c r="X29" s="13"/>
      <c r="Y29" s="13">
        <v>5.3935185185185183E-2</v>
      </c>
    </row>
    <row r="30" spans="1:25" ht="15" customHeight="1" x14ac:dyDescent="0.25">
      <c r="A30" s="15" t="s">
        <v>50</v>
      </c>
      <c r="B30" s="16" t="s">
        <v>538</v>
      </c>
      <c r="C30" s="16" t="s">
        <v>327</v>
      </c>
      <c r="D30" s="15" t="s">
        <v>100</v>
      </c>
      <c r="E30" s="15" t="s">
        <v>31</v>
      </c>
      <c r="F30" s="16" t="s">
        <v>32</v>
      </c>
      <c r="G30" s="16" t="s">
        <v>33</v>
      </c>
      <c r="H30" s="15" t="s">
        <v>328</v>
      </c>
      <c r="I30" s="16">
        <v>16</v>
      </c>
      <c r="J30" s="16">
        <v>78</v>
      </c>
      <c r="K30" s="17">
        <v>3.2276736111111108</v>
      </c>
      <c r="L30" s="17">
        <v>0.45917824074074076</v>
      </c>
      <c r="M30" s="17">
        <f t="shared" si="0"/>
        <v>5.886898148148148E-3</v>
      </c>
      <c r="N30" s="17">
        <v>2.8312500000000003</v>
      </c>
      <c r="O30" s="18">
        <f t="shared" si="1"/>
        <v>0.87717977129210301</v>
      </c>
      <c r="P30" s="17">
        <v>0.21567129629629628</v>
      </c>
      <c r="Q30" s="17">
        <v>0.14755787037037035</v>
      </c>
      <c r="R30" s="17"/>
      <c r="S30" s="17">
        <v>4.8032407407407407E-3</v>
      </c>
      <c r="T30" s="17"/>
      <c r="U30" s="17">
        <v>0.16671296296296295</v>
      </c>
      <c r="V30" s="17">
        <v>3.0902777777777776E-2</v>
      </c>
      <c r="W30" s="17">
        <v>1.1134259259259259E-2</v>
      </c>
      <c r="X30" s="17"/>
      <c r="Y30" s="17">
        <v>2.2544328703703704</v>
      </c>
    </row>
    <row r="31" spans="1:25" ht="15" customHeight="1" x14ac:dyDescent="0.25">
      <c r="A31" s="11" t="s">
        <v>242</v>
      </c>
      <c r="B31" s="12" t="s">
        <v>603</v>
      </c>
      <c r="C31" s="12" t="s">
        <v>327</v>
      </c>
      <c r="D31" s="11" t="s">
        <v>233</v>
      </c>
      <c r="E31" s="11" t="s">
        <v>31</v>
      </c>
      <c r="F31" s="12" t="s">
        <v>32</v>
      </c>
      <c r="G31" s="12" t="s">
        <v>106</v>
      </c>
      <c r="H31" s="11" t="s">
        <v>328</v>
      </c>
      <c r="I31" s="12">
        <v>15</v>
      </c>
      <c r="J31" s="12">
        <v>412</v>
      </c>
      <c r="K31" s="13">
        <v>3.8716550925925932</v>
      </c>
      <c r="L31" s="13">
        <v>2.4536805555555552</v>
      </c>
      <c r="M31" s="13">
        <f t="shared" si="0"/>
        <v>5.9555324074074076E-3</v>
      </c>
      <c r="N31" s="13">
        <v>0.25055555555555553</v>
      </c>
      <c r="O31" s="14">
        <f t="shared" si="1"/>
        <v>6.4715360630891103E-2</v>
      </c>
      <c r="P31" s="13"/>
      <c r="Q31" s="13">
        <v>5.2974537037037035E-2</v>
      </c>
      <c r="R31" s="13"/>
      <c r="S31" s="13">
        <v>3.5219907407407408E-2</v>
      </c>
      <c r="T31" s="13"/>
      <c r="U31" s="13">
        <v>8.3865740740740741E-2</v>
      </c>
      <c r="V31" s="13">
        <v>3.2060185185185186E-3</v>
      </c>
      <c r="W31" s="13">
        <v>2.9641203703703701E-2</v>
      </c>
      <c r="X31" s="13"/>
      <c r="Y31" s="13">
        <v>4.3877314814814813E-2</v>
      </c>
    </row>
    <row r="32" spans="1:25" ht="15" customHeight="1" x14ac:dyDescent="0.25">
      <c r="A32" s="15" t="s">
        <v>289</v>
      </c>
      <c r="B32" s="16" t="s">
        <v>559</v>
      </c>
      <c r="C32" s="16" t="s">
        <v>327</v>
      </c>
      <c r="D32" s="15" t="s">
        <v>104</v>
      </c>
      <c r="E32" s="15" t="s">
        <v>31</v>
      </c>
      <c r="F32" s="16" t="s">
        <v>105</v>
      </c>
      <c r="G32" s="16" t="s">
        <v>106</v>
      </c>
      <c r="H32" s="15" t="s">
        <v>328</v>
      </c>
      <c r="I32" s="16">
        <v>16</v>
      </c>
      <c r="J32" s="16">
        <v>156</v>
      </c>
      <c r="K32" s="17">
        <v>3.6472337962962968</v>
      </c>
      <c r="L32" s="17">
        <v>2.1154166666666665</v>
      </c>
      <c r="M32" s="17">
        <f t="shared" si="0"/>
        <v>1.3560358796296296E-2</v>
      </c>
      <c r="N32" s="17">
        <v>1.9593055555555556</v>
      </c>
      <c r="O32" s="18">
        <f t="shared" si="1"/>
        <v>0.53720316957613101</v>
      </c>
      <c r="P32" s="17">
        <v>0.15980324074074076</v>
      </c>
      <c r="Q32" s="17">
        <v>0.19193287037037041</v>
      </c>
      <c r="R32" s="17">
        <v>2.9386574074074075E-2</v>
      </c>
      <c r="S32" s="17">
        <v>1.9027777777777779E-2</v>
      </c>
      <c r="T32" s="17"/>
      <c r="U32" s="17">
        <v>0.21320601851851848</v>
      </c>
      <c r="V32" s="17">
        <v>0.17122685185185182</v>
      </c>
      <c r="W32" s="17">
        <v>0.19055555555555553</v>
      </c>
      <c r="X32" s="17"/>
      <c r="Y32" s="17">
        <v>0.98280092592592605</v>
      </c>
    </row>
    <row r="33" spans="1:25" ht="15" customHeight="1" x14ac:dyDescent="0.25">
      <c r="A33" s="11" t="s">
        <v>252</v>
      </c>
      <c r="B33" s="12" t="s">
        <v>553</v>
      </c>
      <c r="C33" s="12" t="s">
        <v>327</v>
      </c>
      <c r="D33" s="11" t="s">
        <v>78</v>
      </c>
      <c r="E33" s="11" t="s">
        <v>79</v>
      </c>
      <c r="F33" s="12" t="s">
        <v>80</v>
      </c>
      <c r="G33" s="12" t="s">
        <v>81</v>
      </c>
      <c r="H33" s="11" t="s">
        <v>330</v>
      </c>
      <c r="I33" s="12">
        <v>14</v>
      </c>
      <c r="J33" s="12">
        <v>6</v>
      </c>
      <c r="K33" s="13">
        <v>4.2203703703703708</v>
      </c>
      <c r="L33" s="13">
        <v>0.2854976851851852</v>
      </c>
      <c r="M33" s="13">
        <f t="shared" si="0"/>
        <v>4.7582951388888892E-2</v>
      </c>
      <c r="N33" s="13">
        <v>0.14456018518518518</v>
      </c>
      <c r="O33" s="14">
        <f t="shared" si="1"/>
        <v>3.4252961825361999E-2</v>
      </c>
      <c r="P33" s="13"/>
      <c r="Q33" s="13">
        <v>3.6458333333333334E-3</v>
      </c>
      <c r="R33" s="13"/>
      <c r="S33" s="13"/>
      <c r="T33" s="13">
        <v>9.6307870370370377E-2</v>
      </c>
      <c r="U33" s="13"/>
      <c r="V33" s="13">
        <v>2.8819444444444444E-3</v>
      </c>
      <c r="W33" s="13">
        <v>4.1354166666666664E-2</v>
      </c>
      <c r="X33" s="13"/>
      <c r="Y33" s="13"/>
    </row>
    <row r="34" spans="1:25" ht="15" customHeight="1" x14ac:dyDescent="0.25">
      <c r="A34" s="15" t="s">
        <v>500</v>
      </c>
      <c r="B34" s="16" t="s">
        <v>518</v>
      </c>
      <c r="C34" s="16" t="s">
        <v>327</v>
      </c>
      <c r="D34" s="15" t="s">
        <v>274</v>
      </c>
      <c r="E34" s="15" t="s">
        <v>79</v>
      </c>
      <c r="F34" s="16" t="s">
        <v>147</v>
      </c>
      <c r="G34" s="16" t="s">
        <v>33</v>
      </c>
      <c r="H34" s="15" t="s">
        <v>328</v>
      </c>
      <c r="I34" s="16">
        <v>16</v>
      </c>
      <c r="J34" s="16">
        <v>292</v>
      </c>
      <c r="K34" s="17">
        <v>4.0258564814814815</v>
      </c>
      <c r="L34" s="17">
        <v>1.1602314814814814</v>
      </c>
      <c r="M34" s="17">
        <f t="shared" si="0"/>
        <v>3.9733912037037038E-3</v>
      </c>
      <c r="N34" s="17">
        <v>0.50480324074074079</v>
      </c>
      <c r="O34" s="18">
        <f t="shared" si="1"/>
        <v>0.12539027237130401</v>
      </c>
      <c r="P34" s="17">
        <v>2.2303240740740738E-2</v>
      </c>
      <c r="Q34" s="17">
        <v>0.19388888888888892</v>
      </c>
      <c r="R34" s="17"/>
      <c r="S34" s="17">
        <v>5.9375000000000004E-2</v>
      </c>
      <c r="T34" s="17">
        <v>5.3819444444444444E-3</v>
      </c>
      <c r="U34" s="17">
        <v>0.21488425925925927</v>
      </c>
      <c r="V34" s="17">
        <v>4.1203703703703706E-3</v>
      </c>
      <c r="W34" s="17">
        <v>4.5601851851851845E-3</v>
      </c>
      <c r="X34" s="17"/>
      <c r="Y34" s="17"/>
    </row>
    <row r="35" spans="1:25" ht="15" customHeight="1" x14ac:dyDescent="0.25">
      <c r="A35" s="11" t="s">
        <v>653</v>
      </c>
      <c r="B35" s="12" t="s">
        <v>654</v>
      </c>
      <c r="C35" s="12" t="s">
        <v>607</v>
      </c>
      <c r="D35" s="11" t="s">
        <v>100</v>
      </c>
      <c r="E35" s="11" t="s">
        <v>31</v>
      </c>
      <c r="F35" s="12" t="s">
        <v>32</v>
      </c>
      <c r="G35" s="12" t="s">
        <v>33</v>
      </c>
      <c r="H35" s="11" t="s">
        <v>328</v>
      </c>
      <c r="I35" s="12">
        <v>16</v>
      </c>
      <c r="J35" s="12">
        <v>430</v>
      </c>
      <c r="K35" s="13">
        <v>3.8220254629629631</v>
      </c>
      <c r="L35" s="13">
        <v>2.71681712962963</v>
      </c>
      <c r="M35" s="13">
        <f t="shared" ref="M35:M66" si="2">IFERROR(L35/J35,0)</f>
        <v>6.3181828703703698E-3</v>
      </c>
      <c r="N35" s="13">
        <v>0.66651620370370368</v>
      </c>
      <c r="O35" s="14">
        <f t="shared" ref="O35:O66" si="3">IFERROR(N35/K35,0)</f>
        <v>0.17438821644767299</v>
      </c>
      <c r="P35" s="13">
        <v>0.11429398148148148</v>
      </c>
      <c r="Q35" s="13">
        <v>0.21168981481481478</v>
      </c>
      <c r="R35" s="13"/>
      <c r="S35" s="13">
        <v>3.2534722222222222E-2</v>
      </c>
      <c r="T35" s="13">
        <v>2.7962962962962964E-2</v>
      </c>
      <c r="U35" s="13">
        <v>0.21313657407407405</v>
      </c>
      <c r="V35" s="13">
        <v>1.241898148148148E-2</v>
      </c>
      <c r="W35" s="13">
        <v>3.5104166666666665E-2</v>
      </c>
      <c r="X35" s="13"/>
      <c r="Y35" s="13">
        <v>1.8425925925925925E-2</v>
      </c>
    </row>
    <row r="36" spans="1:25" ht="15" customHeight="1" x14ac:dyDescent="0.25">
      <c r="A36" s="15" t="s">
        <v>52</v>
      </c>
      <c r="B36" s="16" t="s">
        <v>509</v>
      </c>
      <c r="C36" s="16" t="s">
        <v>327</v>
      </c>
      <c r="D36" s="15" t="s">
        <v>100</v>
      </c>
      <c r="E36" s="15" t="s">
        <v>31</v>
      </c>
      <c r="F36" s="16" t="s">
        <v>32</v>
      </c>
      <c r="G36" s="16" t="s">
        <v>33</v>
      </c>
      <c r="H36" s="15" t="s">
        <v>328</v>
      </c>
      <c r="I36" s="16">
        <v>16</v>
      </c>
      <c r="J36" s="16">
        <v>66</v>
      </c>
      <c r="K36" s="17">
        <v>3.426574074074074</v>
      </c>
      <c r="L36" s="17">
        <v>0.41209490740740734</v>
      </c>
      <c r="M36" s="17">
        <f t="shared" si="2"/>
        <v>6.2438657407407408E-3</v>
      </c>
      <c r="N36" s="17">
        <v>3.0744675925925922</v>
      </c>
      <c r="O36" s="18">
        <f t="shared" si="3"/>
        <v>0.89724241359742696</v>
      </c>
      <c r="P36" s="17">
        <v>6.6157407407407401E-2</v>
      </c>
      <c r="Q36" s="17">
        <v>0.19840277777777782</v>
      </c>
      <c r="R36" s="17"/>
      <c r="S36" s="17">
        <v>3.0277777777777778E-2</v>
      </c>
      <c r="T36" s="17"/>
      <c r="U36" s="17">
        <v>0.19733796296296299</v>
      </c>
      <c r="V36" s="17">
        <v>1.3865740740740743E-2</v>
      </c>
      <c r="W36" s="17">
        <v>2.1180555555555553E-2</v>
      </c>
      <c r="X36" s="17"/>
      <c r="Y36" s="17">
        <v>2.5472222222222221</v>
      </c>
    </row>
    <row r="37" spans="1:25" ht="15" customHeight="1" x14ac:dyDescent="0.25">
      <c r="A37" s="11" t="s">
        <v>164</v>
      </c>
      <c r="B37" s="12" t="s">
        <v>519</v>
      </c>
      <c r="C37" s="12" t="s">
        <v>327</v>
      </c>
      <c r="D37" s="11" t="s">
        <v>146</v>
      </c>
      <c r="E37" s="11" t="s">
        <v>79</v>
      </c>
      <c r="F37" s="12" t="s">
        <v>147</v>
      </c>
      <c r="G37" s="12" t="s">
        <v>106</v>
      </c>
      <c r="H37" s="11" t="s">
        <v>328</v>
      </c>
      <c r="I37" s="12">
        <v>13</v>
      </c>
      <c r="J37" s="12">
        <v>321</v>
      </c>
      <c r="K37" s="13">
        <v>3.399085648148148</v>
      </c>
      <c r="L37" s="13">
        <v>0.80966435185185193</v>
      </c>
      <c r="M37" s="13">
        <f t="shared" si="2"/>
        <v>2.5223148148148149E-3</v>
      </c>
      <c r="N37" s="13">
        <v>0.42663194444444441</v>
      </c>
      <c r="O37" s="14">
        <f t="shared" si="3"/>
        <v>0.125513737694982</v>
      </c>
      <c r="P37" s="13">
        <v>2.9930555555555557E-2</v>
      </c>
      <c r="Q37" s="13">
        <v>0.15901620370370367</v>
      </c>
      <c r="R37" s="13">
        <v>6.5972222222222222E-3</v>
      </c>
      <c r="S37" s="13">
        <v>4.6759259259259264E-2</v>
      </c>
      <c r="T37" s="13">
        <v>1.0416666666666666E-4</v>
      </c>
      <c r="U37" s="13">
        <v>0.1723726851851852</v>
      </c>
      <c r="V37" s="13">
        <v>5.0231481481481472E-3</v>
      </c>
      <c r="W37" s="13">
        <v>4.9305555555555561E-3</v>
      </c>
      <c r="X37" s="13"/>
      <c r="Y37" s="13">
        <v>1.0648148148148149E-3</v>
      </c>
    </row>
    <row r="38" spans="1:25" ht="15" customHeight="1" x14ac:dyDescent="0.25">
      <c r="A38" s="15" t="s">
        <v>655</v>
      </c>
      <c r="B38" s="16" t="s">
        <v>656</v>
      </c>
      <c r="C38" s="16" t="s">
        <v>607</v>
      </c>
      <c r="D38" s="15" t="s">
        <v>100</v>
      </c>
      <c r="E38" s="15" t="s">
        <v>31</v>
      </c>
      <c r="F38" s="16" t="s">
        <v>32</v>
      </c>
      <c r="G38" s="16" t="s">
        <v>33</v>
      </c>
      <c r="H38" s="15" t="s">
        <v>328</v>
      </c>
      <c r="I38" s="16">
        <v>16</v>
      </c>
      <c r="J38" s="16">
        <v>431</v>
      </c>
      <c r="K38" s="17">
        <v>3.8917476851851851</v>
      </c>
      <c r="L38" s="17">
        <v>2.440266203703704</v>
      </c>
      <c r="M38" s="17">
        <f t="shared" si="2"/>
        <v>5.6618749999999994E-3</v>
      </c>
      <c r="N38" s="17">
        <v>0.60461805555555537</v>
      </c>
      <c r="O38" s="18">
        <f t="shared" si="3"/>
        <v>0.155359006920508</v>
      </c>
      <c r="P38" s="17">
        <v>7.4606481481481496E-2</v>
      </c>
      <c r="Q38" s="17">
        <v>0.23254629629629633</v>
      </c>
      <c r="R38" s="17"/>
      <c r="S38" s="17">
        <v>5.0127314814814812E-2</v>
      </c>
      <c r="T38" s="17">
        <v>3.0092592592592593E-3</v>
      </c>
      <c r="U38" s="17">
        <v>0.18381944444444442</v>
      </c>
      <c r="V38" s="17">
        <v>4.2708333333333322E-3</v>
      </c>
      <c r="W38" s="17">
        <v>3.0370370370370374E-2</v>
      </c>
      <c r="X38" s="17"/>
      <c r="Y38" s="17">
        <v>2.523148148148148E-2</v>
      </c>
    </row>
    <row r="39" spans="1:25" ht="15" customHeight="1" x14ac:dyDescent="0.25">
      <c r="A39" s="11" t="s">
        <v>657</v>
      </c>
      <c r="B39" s="12" t="s">
        <v>658</v>
      </c>
      <c r="C39" s="12" t="s">
        <v>327</v>
      </c>
      <c r="D39" s="11" t="s">
        <v>274</v>
      </c>
      <c r="E39" s="11" t="s">
        <v>79</v>
      </c>
      <c r="F39" s="12" t="s">
        <v>147</v>
      </c>
      <c r="G39" s="12" t="s">
        <v>33</v>
      </c>
      <c r="H39" s="11" t="s">
        <v>328</v>
      </c>
      <c r="I39" s="12">
        <v>16</v>
      </c>
      <c r="J39" s="12">
        <v>255</v>
      </c>
      <c r="K39" s="13">
        <v>3.859212962962963</v>
      </c>
      <c r="L39" s="13">
        <v>0.96192129629629619</v>
      </c>
      <c r="M39" s="13">
        <f t="shared" si="2"/>
        <v>3.7722453703703707E-3</v>
      </c>
      <c r="N39" s="13">
        <v>0.62471064814814814</v>
      </c>
      <c r="O39" s="14">
        <f t="shared" si="3"/>
        <v>0.161875142456124</v>
      </c>
      <c r="P39" s="13">
        <v>7.6736111111111102E-2</v>
      </c>
      <c r="Q39" s="13">
        <v>0.17717592592592596</v>
      </c>
      <c r="R39" s="13"/>
      <c r="S39" s="13">
        <v>4.1956018518518517E-2</v>
      </c>
      <c r="T39" s="13">
        <v>8.7962962962962979E-2</v>
      </c>
      <c r="U39" s="13">
        <v>0.21292824074074074</v>
      </c>
      <c r="V39" s="13">
        <v>2.3379629629629636E-3</v>
      </c>
      <c r="W39" s="13">
        <v>1.1458333333333333E-2</v>
      </c>
      <c r="X39" s="13"/>
      <c r="Y39" s="13">
        <v>1.8171296296296297E-3</v>
      </c>
    </row>
    <row r="40" spans="1:25" ht="15" customHeight="1" x14ac:dyDescent="0.25">
      <c r="A40" s="15" t="s">
        <v>166</v>
      </c>
      <c r="B40" s="16" t="s">
        <v>167</v>
      </c>
      <c r="C40" s="16" t="s">
        <v>327</v>
      </c>
      <c r="D40" s="15" t="s">
        <v>146</v>
      </c>
      <c r="E40" s="15" t="s">
        <v>79</v>
      </c>
      <c r="F40" s="16" t="s">
        <v>147</v>
      </c>
      <c r="G40" s="16" t="s">
        <v>106</v>
      </c>
      <c r="H40" s="15" t="s">
        <v>328</v>
      </c>
      <c r="I40" s="16">
        <v>16</v>
      </c>
      <c r="J40" s="16">
        <v>281</v>
      </c>
      <c r="K40" s="17">
        <v>3.586423611111111</v>
      </c>
      <c r="L40" s="17">
        <v>0.75655092592592577</v>
      </c>
      <c r="M40" s="17">
        <f t="shared" si="2"/>
        <v>2.6923495370370369E-3</v>
      </c>
      <c r="N40" s="17">
        <v>0.60263888888888895</v>
      </c>
      <c r="O40" s="18">
        <f t="shared" si="3"/>
        <v>0.16803338206391799</v>
      </c>
      <c r="P40" s="17">
        <v>7.4606481481481482E-2</v>
      </c>
      <c r="Q40" s="17">
        <v>0.17173611111111109</v>
      </c>
      <c r="R40" s="17">
        <v>1.7280092592592593E-2</v>
      </c>
      <c r="S40" s="17">
        <v>8.3229166666666674E-2</v>
      </c>
      <c r="T40" s="17">
        <v>4.340277777777778E-3</v>
      </c>
      <c r="U40" s="17">
        <v>0.17825231481481479</v>
      </c>
      <c r="V40" s="17">
        <v>1.9328703703703702E-2</v>
      </c>
      <c r="W40" s="17">
        <v>3.3449074074074069E-2</v>
      </c>
      <c r="X40" s="17"/>
      <c r="Y40" s="17">
        <v>1.9930555555555556E-2</v>
      </c>
    </row>
    <row r="41" spans="1:25" ht="15" customHeight="1" x14ac:dyDescent="0.25">
      <c r="A41" s="11" t="s">
        <v>659</v>
      </c>
      <c r="B41" s="12" t="s">
        <v>660</v>
      </c>
      <c r="C41" s="12" t="s">
        <v>327</v>
      </c>
      <c r="D41" s="11" t="s">
        <v>100</v>
      </c>
      <c r="E41" s="11" t="s">
        <v>31</v>
      </c>
      <c r="F41" s="12" t="s">
        <v>32</v>
      </c>
      <c r="G41" s="12" t="s">
        <v>33</v>
      </c>
      <c r="H41" s="11" t="s">
        <v>328</v>
      </c>
      <c r="I41" s="12">
        <v>16</v>
      </c>
      <c r="J41" s="12">
        <v>96</v>
      </c>
      <c r="K41" s="13">
        <v>3.3259837962962955</v>
      </c>
      <c r="L41" s="13">
        <v>0.51902777777777775</v>
      </c>
      <c r="M41" s="13">
        <f t="shared" si="2"/>
        <v>5.4065393518518516E-3</v>
      </c>
      <c r="N41" s="13">
        <v>2.7517824074074073</v>
      </c>
      <c r="O41" s="14">
        <f t="shared" si="3"/>
        <v>0.82735893376020098</v>
      </c>
      <c r="P41" s="13">
        <v>0.22878472222222221</v>
      </c>
      <c r="Q41" s="13">
        <v>0.19089120370370374</v>
      </c>
      <c r="R41" s="13"/>
      <c r="S41" s="13">
        <v>3.0995370370370371E-2</v>
      </c>
      <c r="T41" s="13">
        <v>8.1018518518518516E-5</v>
      </c>
      <c r="U41" s="13">
        <v>0.18973379629629628</v>
      </c>
      <c r="V41" s="13">
        <v>9.2002314814814828E-2</v>
      </c>
      <c r="W41" s="13">
        <v>4.5717592592592598E-3</v>
      </c>
      <c r="X41" s="13"/>
      <c r="Y41" s="13">
        <v>2.0145486111111111</v>
      </c>
    </row>
    <row r="42" spans="1:25" ht="15" customHeight="1" x14ac:dyDescent="0.25">
      <c r="A42" s="15" t="s">
        <v>254</v>
      </c>
      <c r="B42" s="16" t="s">
        <v>528</v>
      </c>
      <c r="C42" s="16" t="s">
        <v>327</v>
      </c>
      <c r="D42" s="15" t="s">
        <v>233</v>
      </c>
      <c r="E42" s="15" t="s">
        <v>31</v>
      </c>
      <c r="F42" s="16" t="s">
        <v>32</v>
      </c>
      <c r="G42" s="16" t="s">
        <v>106</v>
      </c>
      <c r="H42" s="15" t="s">
        <v>328</v>
      </c>
      <c r="I42" s="16">
        <v>16</v>
      </c>
      <c r="J42" s="16">
        <v>347</v>
      </c>
      <c r="K42" s="17">
        <v>3.935162037037037</v>
      </c>
      <c r="L42" s="17">
        <v>1.6668634259259261</v>
      </c>
      <c r="M42" s="17">
        <f t="shared" si="2"/>
        <v>4.8036458333333334E-3</v>
      </c>
      <c r="N42" s="17">
        <v>0.92322916666666677</v>
      </c>
      <c r="O42" s="18">
        <f t="shared" si="3"/>
        <v>0.23461020358943299</v>
      </c>
      <c r="P42" s="17">
        <v>0.24622685185185184</v>
      </c>
      <c r="Q42" s="17">
        <v>0.18677083333333336</v>
      </c>
      <c r="R42" s="17">
        <v>1.724537037037037E-3</v>
      </c>
      <c r="S42" s="17">
        <v>9.4687499999999994E-2</v>
      </c>
      <c r="T42" s="17">
        <v>7.4305555555555557E-3</v>
      </c>
      <c r="U42" s="17">
        <v>0.20438657407407407</v>
      </c>
      <c r="V42" s="17">
        <v>0.11759259259259261</v>
      </c>
      <c r="W42" s="17">
        <v>2.1238425925925931E-2</v>
      </c>
      <c r="X42" s="17"/>
      <c r="Y42" s="17">
        <v>4.2743055555555555E-2</v>
      </c>
    </row>
    <row r="43" spans="1:25" ht="15" customHeight="1" x14ac:dyDescent="0.25">
      <c r="A43" s="11" t="s">
        <v>201</v>
      </c>
      <c r="B43" s="12" t="s">
        <v>545</v>
      </c>
      <c r="C43" s="12" t="s">
        <v>327</v>
      </c>
      <c r="D43" s="11" t="s">
        <v>601</v>
      </c>
      <c r="E43" s="11" t="s">
        <v>31</v>
      </c>
      <c r="F43" s="12" t="s">
        <v>600</v>
      </c>
      <c r="G43" s="12" t="s">
        <v>33</v>
      </c>
      <c r="H43" s="11" t="s">
        <v>328</v>
      </c>
      <c r="I43" s="12">
        <v>16</v>
      </c>
      <c r="J43" s="12">
        <v>410</v>
      </c>
      <c r="K43" s="13">
        <v>3.6904166666666667</v>
      </c>
      <c r="L43" s="13">
        <v>1.1146759259259258</v>
      </c>
      <c r="M43" s="13">
        <f t="shared" si="2"/>
        <v>2.7187268518518519E-3</v>
      </c>
      <c r="N43" s="13">
        <v>0.90834490740740748</v>
      </c>
      <c r="O43" s="14">
        <f t="shared" si="3"/>
        <v>0.24613613839649701</v>
      </c>
      <c r="P43" s="13">
        <v>0.15931712962962963</v>
      </c>
      <c r="Q43" s="13">
        <v>0.25377314814814811</v>
      </c>
      <c r="R43" s="13">
        <v>0.13837962962962963</v>
      </c>
      <c r="S43" s="13">
        <v>1.5300925925925926E-2</v>
      </c>
      <c r="T43" s="13"/>
      <c r="U43" s="13">
        <v>0.19215277777777778</v>
      </c>
      <c r="V43" s="13">
        <v>4.7881944444444442E-2</v>
      </c>
      <c r="W43" s="13">
        <v>0.10148148148148149</v>
      </c>
      <c r="X43" s="13"/>
      <c r="Y43" s="13"/>
    </row>
    <row r="44" spans="1:25" ht="15" customHeight="1" x14ac:dyDescent="0.25">
      <c r="A44" s="15" t="s">
        <v>168</v>
      </c>
      <c r="B44" s="16" t="s">
        <v>520</v>
      </c>
      <c r="C44" s="16" t="s">
        <v>327</v>
      </c>
      <c r="D44" s="15" t="s">
        <v>274</v>
      </c>
      <c r="E44" s="15" t="s">
        <v>79</v>
      </c>
      <c r="F44" s="16" t="s">
        <v>147</v>
      </c>
      <c r="G44" s="16" t="s">
        <v>33</v>
      </c>
      <c r="H44" s="15" t="s">
        <v>328</v>
      </c>
      <c r="I44" s="16">
        <v>16</v>
      </c>
      <c r="J44" s="16">
        <v>264</v>
      </c>
      <c r="K44" s="17">
        <v>4.0103472222222223</v>
      </c>
      <c r="L44" s="17">
        <v>0.79327546296296303</v>
      </c>
      <c r="M44" s="17">
        <f t="shared" si="2"/>
        <v>3.0048263888888889E-3</v>
      </c>
      <c r="N44" s="17">
        <v>0.6887037037037036</v>
      </c>
      <c r="O44" s="18">
        <f t="shared" si="3"/>
        <v>0.17173168943762401</v>
      </c>
      <c r="P44" s="17">
        <v>0.11541666666666665</v>
      </c>
      <c r="Q44" s="17">
        <v>0.18578703703703706</v>
      </c>
      <c r="R44" s="17">
        <v>1.4837962962962963E-2</v>
      </c>
      <c r="S44" s="17">
        <v>8.8113425925925928E-2</v>
      </c>
      <c r="T44" s="17">
        <v>5.7662037037037039E-2</v>
      </c>
      <c r="U44" s="17">
        <v>0.21738425925925925</v>
      </c>
      <c r="V44" s="17">
        <v>3.1018518518518526E-3</v>
      </c>
      <c r="W44" s="17">
        <v>5.1504629629629626E-3</v>
      </c>
      <c r="X44" s="17"/>
      <c r="Y44" s="17"/>
    </row>
    <row r="45" spans="1:25" ht="15" customHeight="1" x14ac:dyDescent="0.25">
      <c r="A45" s="11" t="s">
        <v>170</v>
      </c>
      <c r="B45" s="12" t="s">
        <v>521</v>
      </c>
      <c r="C45" s="12" t="s">
        <v>327</v>
      </c>
      <c r="D45" s="11" t="s">
        <v>146</v>
      </c>
      <c r="E45" s="11" t="s">
        <v>79</v>
      </c>
      <c r="F45" s="12" t="s">
        <v>147</v>
      </c>
      <c r="G45" s="12" t="s">
        <v>106</v>
      </c>
      <c r="H45" s="11" t="s">
        <v>328</v>
      </c>
      <c r="I45" s="12">
        <v>16</v>
      </c>
      <c r="J45" s="12">
        <v>252</v>
      </c>
      <c r="K45" s="13">
        <v>3.904560185185185</v>
      </c>
      <c r="L45" s="13">
        <v>1.2471875000000001</v>
      </c>
      <c r="M45" s="13">
        <f t="shared" si="2"/>
        <v>4.9491550925925927E-3</v>
      </c>
      <c r="N45" s="13">
        <v>0.64454861111111117</v>
      </c>
      <c r="O45" s="14">
        <f t="shared" si="3"/>
        <v>0.16507585503654901</v>
      </c>
      <c r="P45" s="13">
        <v>7.7986111111111117E-2</v>
      </c>
      <c r="Q45" s="13">
        <v>0.23780092592592594</v>
      </c>
      <c r="R45" s="13"/>
      <c r="S45" s="13">
        <v>7.5972222222222233E-2</v>
      </c>
      <c r="T45" s="13"/>
      <c r="U45" s="13">
        <v>0.22208333333333338</v>
      </c>
      <c r="V45" s="13">
        <v>4.0625000000000001E-3</v>
      </c>
      <c r="W45" s="13">
        <v>1.9664351851851853E-2</v>
      </c>
      <c r="X45" s="13"/>
      <c r="Y45" s="13">
        <v>6.3310185185185188E-3</v>
      </c>
    </row>
    <row r="46" spans="1:25" ht="15" customHeight="1" x14ac:dyDescent="0.25">
      <c r="A46" s="15" t="s">
        <v>293</v>
      </c>
      <c r="B46" s="16" t="s">
        <v>543</v>
      </c>
      <c r="C46" s="16" t="s">
        <v>327</v>
      </c>
      <c r="D46" s="15" t="s">
        <v>104</v>
      </c>
      <c r="E46" s="15" t="s">
        <v>31</v>
      </c>
      <c r="F46" s="16" t="s">
        <v>600</v>
      </c>
      <c r="G46" s="16" t="s">
        <v>106</v>
      </c>
      <c r="H46" s="15" t="s">
        <v>328</v>
      </c>
      <c r="I46" s="16">
        <v>15</v>
      </c>
      <c r="J46" s="16">
        <v>467</v>
      </c>
      <c r="K46" s="17">
        <v>3.5007986111111107</v>
      </c>
      <c r="L46" s="17">
        <v>1.1569097222222222</v>
      </c>
      <c r="M46" s="17">
        <f t="shared" si="2"/>
        <v>2.4773263888888887E-3</v>
      </c>
      <c r="N46" s="17">
        <v>1.8034027777777777</v>
      </c>
      <c r="O46" s="18">
        <f t="shared" si="3"/>
        <v>0.51514039455283001</v>
      </c>
      <c r="P46" s="17">
        <v>0.15585648148148146</v>
      </c>
      <c r="Q46" s="17">
        <v>0.26898148148148149</v>
      </c>
      <c r="R46" s="17"/>
      <c r="S46" s="17"/>
      <c r="T46" s="17">
        <v>1.1342592592592592E-2</v>
      </c>
      <c r="U46" s="17">
        <v>0.18336805555555555</v>
      </c>
      <c r="V46" s="17">
        <v>8.1168981481481481E-2</v>
      </c>
      <c r="W46" s="17">
        <v>3.5185185185185189E-3</v>
      </c>
      <c r="X46" s="17"/>
      <c r="Y46" s="17">
        <v>1.0990277777777777</v>
      </c>
    </row>
    <row r="47" spans="1:25" ht="15" customHeight="1" x14ac:dyDescent="0.25">
      <c r="A47" s="11" t="s">
        <v>606</v>
      </c>
      <c r="B47" s="12" t="s">
        <v>633</v>
      </c>
      <c r="C47" s="12" t="s">
        <v>327</v>
      </c>
      <c r="D47" s="11" t="s">
        <v>146</v>
      </c>
      <c r="E47" s="11" t="s">
        <v>79</v>
      </c>
      <c r="F47" s="12" t="s">
        <v>147</v>
      </c>
      <c r="G47" s="12" t="s">
        <v>106</v>
      </c>
      <c r="H47" s="11" t="s">
        <v>328</v>
      </c>
      <c r="I47" s="12">
        <v>15</v>
      </c>
      <c r="J47" s="12">
        <v>147</v>
      </c>
      <c r="K47" s="13">
        <v>3.711238425925925</v>
      </c>
      <c r="L47" s="13">
        <v>0.86553240740740722</v>
      </c>
      <c r="M47" s="13">
        <f t="shared" si="2"/>
        <v>5.887974537037037E-3</v>
      </c>
      <c r="N47" s="13">
        <v>1.0923148148148147</v>
      </c>
      <c r="O47" s="14">
        <f t="shared" si="3"/>
        <v>0.29432623007568998</v>
      </c>
      <c r="P47" s="13">
        <v>0.22921296296296298</v>
      </c>
      <c r="Q47" s="13">
        <v>0.2054398148148148</v>
      </c>
      <c r="R47" s="13"/>
      <c r="S47" s="13">
        <v>5.5844907407407406E-2</v>
      </c>
      <c r="T47" s="13">
        <v>1.6203703703703703E-4</v>
      </c>
      <c r="U47" s="13">
        <v>0.20549768518518516</v>
      </c>
      <c r="V47" s="13">
        <v>3.4942129629629629E-2</v>
      </c>
      <c r="W47" s="13">
        <v>0.29542824074074076</v>
      </c>
      <c r="X47" s="13"/>
      <c r="Y47" s="13">
        <v>6.519675925925926E-2</v>
      </c>
    </row>
    <row r="48" spans="1:25" ht="15" customHeight="1" x14ac:dyDescent="0.25">
      <c r="A48" s="15" t="s">
        <v>612</v>
      </c>
      <c r="B48" s="16" t="s">
        <v>634</v>
      </c>
      <c r="C48" s="16" t="s">
        <v>327</v>
      </c>
      <c r="D48" s="15" t="s">
        <v>601</v>
      </c>
      <c r="E48" s="15" t="s">
        <v>31</v>
      </c>
      <c r="F48" s="16" t="s">
        <v>105</v>
      </c>
      <c r="G48" s="16" t="s">
        <v>33</v>
      </c>
      <c r="H48" s="15" t="s">
        <v>328</v>
      </c>
      <c r="I48" s="16">
        <v>14</v>
      </c>
      <c r="J48" s="16">
        <v>59</v>
      </c>
      <c r="K48" s="17">
        <v>2.6184837962962964</v>
      </c>
      <c r="L48" s="17">
        <v>1.1231365740740737</v>
      </c>
      <c r="M48" s="17">
        <f t="shared" si="2"/>
        <v>1.9036215277777779E-2</v>
      </c>
      <c r="N48" s="17">
        <v>2.1825347222222224</v>
      </c>
      <c r="O48" s="18">
        <f t="shared" si="3"/>
        <v>0.83351087576302696</v>
      </c>
      <c r="P48" s="17">
        <v>0.21715277777777778</v>
      </c>
      <c r="Q48" s="17">
        <v>0.21140046296296297</v>
      </c>
      <c r="R48" s="17"/>
      <c r="S48" s="17">
        <v>7.7013888888888896E-2</v>
      </c>
      <c r="T48" s="17"/>
      <c r="U48" s="17">
        <v>0.15846064814814814</v>
      </c>
      <c r="V48" s="17">
        <v>0.30313657407407413</v>
      </c>
      <c r="W48" s="17">
        <v>0.84596064814814809</v>
      </c>
      <c r="X48" s="17"/>
      <c r="Y48" s="17">
        <v>0.36940972222222218</v>
      </c>
    </row>
    <row r="49" spans="1:25" ht="15" customHeight="1" x14ac:dyDescent="0.25">
      <c r="A49" s="11" t="s">
        <v>258</v>
      </c>
      <c r="B49" s="12" t="s">
        <v>554</v>
      </c>
      <c r="C49" s="12" t="s">
        <v>327</v>
      </c>
      <c r="D49" s="11" t="s">
        <v>233</v>
      </c>
      <c r="E49" s="11" t="s">
        <v>31</v>
      </c>
      <c r="F49" s="12" t="s">
        <v>32</v>
      </c>
      <c r="G49" s="12" t="s">
        <v>106</v>
      </c>
      <c r="H49" s="11" t="s">
        <v>328</v>
      </c>
      <c r="I49" s="12">
        <v>14</v>
      </c>
      <c r="J49" s="12">
        <v>24</v>
      </c>
      <c r="K49" s="13">
        <v>2.8373842592592591</v>
      </c>
      <c r="L49" s="13">
        <v>0.17631944444444445</v>
      </c>
      <c r="M49" s="13">
        <f t="shared" si="2"/>
        <v>7.3466435185185188E-3</v>
      </c>
      <c r="N49" s="13">
        <v>2.6161226851851853</v>
      </c>
      <c r="O49" s="14">
        <f t="shared" si="3"/>
        <v>0.92201917193555005</v>
      </c>
      <c r="P49" s="13"/>
      <c r="Q49" s="13"/>
      <c r="R49" s="13"/>
      <c r="S49" s="13"/>
      <c r="T49" s="13"/>
      <c r="U49" s="13">
        <v>0.14935185185185185</v>
      </c>
      <c r="V49" s="13">
        <v>8.9074074074074056E-2</v>
      </c>
      <c r="W49" s="13"/>
      <c r="X49" s="13"/>
      <c r="Y49" s="13">
        <v>2.3776967592592593</v>
      </c>
    </row>
    <row r="50" spans="1:25" ht="15" customHeight="1" x14ac:dyDescent="0.25">
      <c r="A50" s="15" t="s">
        <v>661</v>
      </c>
      <c r="B50" s="16" t="s">
        <v>662</v>
      </c>
      <c r="C50" s="16" t="s">
        <v>607</v>
      </c>
      <c r="D50" s="15" t="s">
        <v>100</v>
      </c>
      <c r="E50" s="15" t="s">
        <v>31</v>
      </c>
      <c r="F50" s="16" t="s">
        <v>32</v>
      </c>
      <c r="G50" s="16" t="s">
        <v>33</v>
      </c>
      <c r="H50" s="15" t="s">
        <v>328</v>
      </c>
      <c r="I50" s="16">
        <v>16</v>
      </c>
      <c r="J50" s="16">
        <v>432</v>
      </c>
      <c r="K50" s="17">
        <v>3.8638425925925923</v>
      </c>
      <c r="L50" s="17">
        <v>2.5645486111111109</v>
      </c>
      <c r="M50" s="17">
        <f t="shared" si="2"/>
        <v>5.9364583333333327E-3</v>
      </c>
      <c r="N50" s="17">
        <v>0.74646990740740737</v>
      </c>
      <c r="O50" s="18">
        <f t="shared" si="3"/>
        <v>0.19319366395475601</v>
      </c>
      <c r="P50" s="17">
        <v>8.3935185185185182E-2</v>
      </c>
      <c r="Q50" s="17">
        <v>0.2230671296296296</v>
      </c>
      <c r="R50" s="17"/>
      <c r="S50" s="17">
        <v>4.4814814814814814E-2</v>
      </c>
      <c r="T50" s="17">
        <v>4.6412037037037038E-3</v>
      </c>
      <c r="U50" s="17">
        <v>0.2227314814814815</v>
      </c>
      <c r="V50" s="17">
        <v>9.0624999999999983E-2</v>
      </c>
      <c r="W50" s="17">
        <v>4.6493055555555551E-2</v>
      </c>
      <c r="X50" s="17"/>
      <c r="Y50" s="17">
        <v>2.9270833333333333E-2</v>
      </c>
    </row>
    <row r="51" spans="1:25" ht="15" customHeight="1" x14ac:dyDescent="0.25">
      <c r="A51" s="11" t="s">
        <v>663</v>
      </c>
      <c r="B51" s="12" t="s">
        <v>664</v>
      </c>
      <c r="C51" s="12" t="s">
        <v>327</v>
      </c>
      <c r="D51" s="11" t="s">
        <v>233</v>
      </c>
      <c r="E51" s="11" t="s">
        <v>31</v>
      </c>
      <c r="F51" s="12" t="s">
        <v>32</v>
      </c>
      <c r="G51" s="12" t="s">
        <v>106</v>
      </c>
      <c r="H51" s="11" t="s">
        <v>328</v>
      </c>
      <c r="I51" s="12">
        <v>15</v>
      </c>
      <c r="J51" s="12">
        <v>281</v>
      </c>
      <c r="K51" s="13">
        <v>3.3482754629629623</v>
      </c>
      <c r="L51" s="13">
        <v>2.0576041666666667</v>
      </c>
      <c r="M51" s="13">
        <f t="shared" si="2"/>
        <v>7.322430555555556E-3</v>
      </c>
      <c r="N51" s="13">
        <v>0.4689120370370371</v>
      </c>
      <c r="O51" s="14">
        <f t="shared" si="3"/>
        <v>0.14004583619953601</v>
      </c>
      <c r="P51" s="13">
        <v>6.653935185185185E-2</v>
      </c>
      <c r="Q51" s="13">
        <v>0.16505787037037037</v>
      </c>
      <c r="R51" s="13">
        <v>7.9861111111111116E-4</v>
      </c>
      <c r="S51" s="13">
        <v>6.3657407407407404E-3</v>
      </c>
      <c r="T51" s="13">
        <v>6.8287037037037036E-4</v>
      </c>
      <c r="U51" s="13">
        <v>0.18057870370370371</v>
      </c>
      <c r="V51" s="13">
        <v>1.7233796296296299E-2</v>
      </c>
      <c r="W51" s="13">
        <v>8.1597222222222227E-3</v>
      </c>
      <c r="X51" s="13"/>
      <c r="Y51" s="13">
        <v>2.3379629629629632E-2</v>
      </c>
    </row>
    <row r="52" spans="1:25" ht="15" customHeight="1" x14ac:dyDescent="0.25">
      <c r="A52" s="15" t="s">
        <v>203</v>
      </c>
      <c r="B52" s="16" t="s">
        <v>565</v>
      </c>
      <c r="C52" s="16" t="s">
        <v>327</v>
      </c>
      <c r="D52" s="15" t="s">
        <v>601</v>
      </c>
      <c r="E52" s="15" t="s">
        <v>31</v>
      </c>
      <c r="F52" s="16" t="s">
        <v>105</v>
      </c>
      <c r="G52" s="16" t="s">
        <v>33</v>
      </c>
      <c r="H52" s="15" t="s">
        <v>328</v>
      </c>
      <c r="I52" s="16">
        <v>8</v>
      </c>
      <c r="J52" s="16">
        <v>39</v>
      </c>
      <c r="K52" s="17">
        <v>1.6623032407407408</v>
      </c>
      <c r="L52" s="17">
        <v>0.57450231481481473</v>
      </c>
      <c r="M52" s="17">
        <f t="shared" si="2"/>
        <v>1.4730833333333332E-2</v>
      </c>
      <c r="N52" s="17">
        <v>1.3369328703703705</v>
      </c>
      <c r="O52" s="18">
        <f t="shared" si="3"/>
        <v>0.80426533354685503</v>
      </c>
      <c r="P52" s="17">
        <v>3.0914351851851853E-2</v>
      </c>
      <c r="Q52" s="17">
        <v>0.13866898148148149</v>
      </c>
      <c r="R52" s="17">
        <v>5.6597222222222222E-3</v>
      </c>
      <c r="S52" s="17">
        <v>7.1527777777777779E-3</v>
      </c>
      <c r="T52" s="17"/>
      <c r="U52" s="17">
        <v>0.11201388888888889</v>
      </c>
      <c r="V52" s="17">
        <v>8.6458333333333318E-3</v>
      </c>
      <c r="W52" s="17">
        <v>0.82057870370370367</v>
      </c>
      <c r="X52" s="17"/>
      <c r="Y52" s="17">
        <v>0.21329861111111109</v>
      </c>
    </row>
    <row r="53" spans="1:25" ht="15" customHeight="1" x14ac:dyDescent="0.25">
      <c r="A53" s="11" t="s">
        <v>665</v>
      </c>
      <c r="B53" s="12" t="s">
        <v>666</v>
      </c>
      <c r="C53" s="12" t="s">
        <v>607</v>
      </c>
      <c r="D53" s="11" t="s">
        <v>100</v>
      </c>
      <c r="E53" s="11" t="s">
        <v>31</v>
      </c>
      <c r="F53" s="12" t="s">
        <v>32</v>
      </c>
      <c r="G53" s="12" t="s">
        <v>33</v>
      </c>
      <c r="H53" s="11" t="s">
        <v>328</v>
      </c>
      <c r="I53" s="12">
        <v>16</v>
      </c>
      <c r="J53" s="12">
        <v>567</v>
      </c>
      <c r="K53" s="13">
        <v>3.933958333333333</v>
      </c>
      <c r="L53" s="13">
        <v>2.8707523148148146</v>
      </c>
      <c r="M53" s="13">
        <f t="shared" si="2"/>
        <v>5.063055555555555E-3</v>
      </c>
      <c r="N53" s="13">
        <v>0.49273148148148149</v>
      </c>
      <c r="O53" s="14">
        <f t="shared" si="3"/>
        <v>0.12525081348891101</v>
      </c>
      <c r="P53" s="13">
        <v>6.6435185185185191E-3</v>
      </c>
      <c r="Q53" s="13">
        <v>0.16820601851851852</v>
      </c>
      <c r="R53" s="13"/>
      <c r="S53" s="13">
        <v>2.7546296296296294E-3</v>
      </c>
      <c r="T53" s="13">
        <v>3.6087962962962961E-2</v>
      </c>
      <c r="U53" s="13">
        <v>0.19148148148148147</v>
      </c>
      <c r="V53" s="13">
        <v>2.0624999999999998E-2</v>
      </c>
      <c r="W53" s="13">
        <v>3.5486111111111107E-2</v>
      </c>
      <c r="X53" s="13"/>
      <c r="Y53" s="13">
        <v>3.0069444444444447E-2</v>
      </c>
    </row>
    <row r="54" spans="1:25" ht="15" customHeight="1" x14ac:dyDescent="0.25">
      <c r="A54" s="15" t="s">
        <v>128</v>
      </c>
      <c r="B54" s="16" t="s">
        <v>555</v>
      </c>
      <c r="C54" s="16" t="s">
        <v>327</v>
      </c>
      <c r="D54" s="15" t="s">
        <v>233</v>
      </c>
      <c r="E54" s="15" t="s">
        <v>31</v>
      </c>
      <c r="F54" s="16" t="s">
        <v>32</v>
      </c>
      <c r="G54" s="16" t="s">
        <v>106</v>
      </c>
      <c r="H54" s="15" t="s">
        <v>328</v>
      </c>
      <c r="I54" s="16">
        <v>16</v>
      </c>
      <c r="J54" s="16">
        <v>483</v>
      </c>
      <c r="K54" s="17">
        <v>3.6845023148148148</v>
      </c>
      <c r="L54" s="17">
        <v>1.8692245370370368</v>
      </c>
      <c r="M54" s="17">
        <f t="shared" si="2"/>
        <v>3.8700347222222222E-3</v>
      </c>
      <c r="N54" s="17">
        <v>0.8355555555555555</v>
      </c>
      <c r="O54" s="18">
        <f t="shared" si="3"/>
        <v>0.226775690218979</v>
      </c>
      <c r="P54" s="17">
        <v>0.23503472222222224</v>
      </c>
      <c r="Q54" s="17">
        <v>0.25166666666666665</v>
      </c>
      <c r="R54" s="17"/>
      <c r="S54" s="17">
        <v>3.142361111111111E-2</v>
      </c>
      <c r="T54" s="17"/>
      <c r="U54" s="17">
        <v>0.23954861111111109</v>
      </c>
      <c r="V54" s="17">
        <v>5.7280092592592584E-2</v>
      </c>
      <c r="W54" s="17">
        <v>1.4270833333333332E-2</v>
      </c>
      <c r="X54" s="17"/>
      <c r="Y54" s="17">
        <v>5.8217592592592592E-3</v>
      </c>
    </row>
    <row r="55" spans="1:25" ht="15" customHeight="1" x14ac:dyDescent="0.25">
      <c r="A55" s="11" t="s">
        <v>178</v>
      </c>
      <c r="B55" s="12" t="s">
        <v>522</v>
      </c>
      <c r="C55" s="12" t="s">
        <v>327</v>
      </c>
      <c r="D55" s="11" t="s">
        <v>146</v>
      </c>
      <c r="E55" s="11" t="s">
        <v>79</v>
      </c>
      <c r="F55" s="12" t="s">
        <v>147</v>
      </c>
      <c r="G55" s="12" t="s">
        <v>106</v>
      </c>
      <c r="H55" s="11" t="s">
        <v>328</v>
      </c>
      <c r="I55" s="12">
        <v>15</v>
      </c>
      <c r="J55" s="12">
        <v>210</v>
      </c>
      <c r="K55" s="13">
        <v>3.5851736111111108</v>
      </c>
      <c r="L55" s="13">
        <v>1.0427662037037035</v>
      </c>
      <c r="M55" s="13">
        <f t="shared" si="2"/>
        <v>4.9655555555555555E-3</v>
      </c>
      <c r="N55" s="13">
        <v>0.54038194444444443</v>
      </c>
      <c r="O55" s="14">
        <f t="shared" si="3"/>
        <v>0.15072685539403199</v>
      </c>
      <c r="P55" s="13">
        <v>4.7071759259259258E-2</v>
      </c>
      <c r="Q55" s="13">
        <v>0.19390046296296298</v>
      </c>
      <c r="R55" s="13">
        <v>1.3703703703703702E-2</v>
      </c>
      <c r="S55" s="13">
        <v>4.988425925925926E-2</v>
      </c>
      <c r="T55" s="13">
        <v>3.3564814814814818E-4</v>
      </c>
      <c r="U55" s="13">
        <v>0.1973611111111111</v>
      </c>
      <c r="V55" s="13">
        <v>1.3761574074074074E-2</v>
      </c>
      <c r="W55" s="13">
        <v>2.2141203703703701E-2</v>
      </c>
      <c r="X55" s="13"/>
      <c r="Y55" s="13">
        <v>1.6550925925925926E-3</v>
      </c>
    </row>
    <row r="56" spans="1:25" ht="15" customHeight="1" x14ac:dyDescent="0.25">
      <c r="A56" s="15" t="s">
        <v>266</v>
      </c>
      <c r="B56" s="16" t="s">
        <v>531</v>
      </c>
      <c r="C56" s="16" t="s">
        <v>327</v>
      </c>
      <c r="D56" s="15" t="s">
        <v>233</v>
      </c>
      <c r="E56" s="15" t="s">
        <v>31</v>
      </c>
      <c r="F56" s="16" t="s">
        <v>32</v>
      </c>
      <c r="G56" s="16" t="s">
        <v>106</v>
      </c>
      <c r="H56" s="15" t="s">
        <v>328</v>
      </c>
      <c r="I56" s="16">
        <v>16</v>
      </c>
      <c r="J56" s="16">
        <v>18</v>
      </c>
      <c r="K56" s="17">
        <v>3.4432060185185192</v>
      </c>
      <c r="L56" s="17">
        <v>0.1210185185185185</v>
      </c>
      <c r="M56" s="17">
        <f t="shared" si="2"/>
        <v>6.7232523148148147E-3</v>
      </c>
      <c r="N56" s="17">
        <v>3.285300925925926</v>
      </c>
      <c r="O56" s="18">
        <f t="shared" si="3"/>
        <v>0.95414009741405703</v>
      </c>
      <c r="P56" s="17">
        <v>2.3842592592592591E-3</v>
      </c>
      <c r="Q56" s="17">
        <v>0.19766203703703705</v>
      </c>
      <c r="R56" s="17"/>
      <c r="S56" s="17">
        <v>1.3773148148148149E-2</v>
      </c>
      <c r="T56" s="17"/>
      <c r="U56" s="17">
        <v>0.17907407407407405</v>
      </c>
      <c r="V56" s="17">
        <v>9.872685185185184E-3</v>
      </c>
      <c r="W56" s="17">
        <v>3.0092592592592595E-4</v>
      </c>
      <c r="X56" s="17"/>
      <c r="Y56" s="17">
        <v>2.8822337962962958</v>
      </c>
    </row>
    <row r="57" spans="1:25" ht="15" customHeight="1" x14ac:dyDescent="0.25">
      <c r="A57" s="11" t="s">
        <v>297</v>
      </c>
      <c r="B57" s="12" t="s">
        <v>667</v>
      </c>
      <c r="C57" s="12" t="s">
        <v>327</v>
      </c>
      <c r="D57" s="11" t="s">
        <v>104</v>
      </c>
      <c r="E57" s="11" t="s">
        <v>31</v>
      </c>
      <c r="F57" s="12" t="s">
        <v>105</v>
      </c>
      <c r="G57" s="12" t="s">
        <v>106</v>
      </c>
      <c r="H57" s="11" t="s">
        <v>328</v>
      </c>
      <c r="I57" s="12">
        <v>16</v>
      </c>
      <c r="J57" s="12">
        <v>179</v>
      </c>
      <c r="K57" s="13">
        <v>3.4481250000000006</v>
      </c>
      <c r="L57" s="13">
        <v>2.3000000000000003</v>
      </c>
      <c r="M57" s="13">
        <f t="shared" si="2"/>
        <v>1.2849166666666665E-2</v>
      </c>
      <c r="N57" s="13">
        <v>2.0860185185185185</v>
      </c>
      <c r="O57" s="14">
        <f t="shared" si="3"/>
        <v>0.60497183788827802</v>
      </c>
      <c r="P57" s="13">
        <v>0.26841435185185181</v>
      </c>
      <c r="Q57" s="13">
        <v>0.24592592592592596</v>
      </c>
      <c r="R57" s="13"/>
      <c r="S57" s="13">
        <v>1.1377314814814816E-2</v>
      </c>
      <c r="T57" s="13"/>
      <c r="U57" s="13">
        <v>0.18083333333333335</v>
      </c>
      <c r="V57" s="13">
        <v>6.6203703703703695E-2</v>
      </c>
      <c r="W57" s="13">
        <v>4.6759259259259254E-3</v>
      </c>
      <c r="X57" s="13"/>
      <c r="Y57" s="13">
        <v>1.3085069444444444</v>
      </c>
    </row>
    <row r="58" spans="1:25" ht="15" customHeight="1" x14ac:dyDescent="0.25">
      <c r="A58" s="15" t="s">
        <v>207</v>
      </c>
      <c r="B58" s="16" t="s">
        <v>566</v>
      </c>
      <c r="C58" s="16" t="s">
        <v>327</v>
      </c>
      <c r="D58" s="15" t="s">
        <v>274</v>
      </c>
      <c r="E58" s="15" t="s">
        <v>79</v>
      </c>
      <c r="F58" s="16" t="s">
        <v>147</v>
      </c>
      <c r="G58" s="16" t="s">
        <v>33</v>
      </c>
      <c r="H58" s="15" t="s">
        <v>328</v>
      </c>
      <c r="I58" s="16">
        <v>16</v>
      </c>
      <c r="J58" s="16">
        <v>266</v>
      </c>
      <c r="K58" s="17">
        <v>3.8984375000000004</v>
      </c>
      <c r="L58" s="17">
        <v>1.0282523148148148</v>
      </c>
      <c r="M58" s="17">
        <f t="shared" si="2"/>
        <v>3.8656134259259256E-3</v>
      </c>
      <c r="N58" s="17">
        <v>0.53280092592592598</v>
      </c>
      <c r="O58" s="18">
        <f t="shared" si="3"/>
        <v>0.13667037779262201</v>
      </c>
      <c r="P58" s="17">
        <v>5.7812500000000003E-2</v>
      </c>
      <c r="Q58" s="17">
        <v>0.19674768518518521</v>
      </c>
      <c r="R58" s="17"/>
      <c r="S58" s="17">
        <v>2.5115740740740741E-2</v>
      </c>
      <c r="T58" s="17">
        <v>3.0451388888888889E-2</v>
      </c>
      <c r="U58" s="17">
        <v>0.2005439814814815</v>
      </c>
      <c r="V58" s="17">
        <v>1.4467592592592592E-3</v>
      </c>
      <c r="W58" s="17">
        <v>1.9004629629629628E-2</v>
      </c>
      <c r="X58" s="17"/>
      <c r="Y58" s="17"/>
    </row>
    <row r="59" spans="1:25" ht="15" customHeight="1" x14ac:dyDescent="0.25">
      <c r="A59" s="11" t="s">
        <v>614</v>
      </c>
      <c r="B59" s="12" t="s">
        <v>635</v>
      </c>
      <c r="C59" s="12" t="s">
        <v>327</v>
      </c>
      <c r="D59" s="11" t="s">
        <v>601</v>
      </c>
      <c r="E59" s="11" t="s">
        <v>31</v>
      </c>
      <c r="F59" s="12" t="s">
        <v>105</v>
      </c>
      <c r="G59" s="12" t="s">
        <v>33</v>
      </c>
      <c r="H59" s="11" t="s">
        <v>328</v>
      </c>
      <c r="I59" s="12">
        <v>15</v>
      </c>
      <c r="J59" s="12">
        <v>115</v>
      </c>
      <c r="K59" s="13">
        <v>3.0215972222222223</v>
      </c>
      <c r="L59" s="13">
        <v>1.4433796296296297</v>
      </c>
      <c r="M59" s="13">
        <f t="shared" si="2"/>
        <v>1.2551122685185184E-2</v>
      </c>
      <c r="N59" s="13">
        <v>2.2074189814814811</v>
      </c>
      <c r="O59" s="14">
        <f t="shared" si="3"/>
        <v>0.73054706472692699</v>
      </c>
      <c r="P59" s="13">
        <v>8.2800925925925931E-2</v>
      </c>
      <c r="Q59" s="13">
        <v>0.17806712962962962</v>
      </c>
      <c r="R59" s="13"/>
      <c r="S59" s="13">
        <v>2.0821759259259259E-2</v>
      </c>
      <c r="T59" s="13">
        <v>1.8518518518518518E-4</v>
      </c>
      <c r="U59" s="13">
        <v>0.20670138888888889</v>
      </c>
      <c r="V59" s="13">
        <v>0.21099537037037036</v>
      </c>
      <c r="W59" s="13">
        <v>1.0470833333333334</v>
      </c>
      <c r="X59" s="13"/>
      <c r="Y59" s="13">
        <v>0.46076388888888897</v>
      </c>
    </row>
    <row r="60" spans="1:25" ht="15" customHeight="1" x14ac:dyDescent="0.25">
      <c r="A60" s="15" t="s">
        <v>180</v>
      </c>
      <c r="B60" s="16" t="s">
        <v>523</v>
      </c>
      <c r="C60" s="16" t="s">
        <v>327</v>
      </c>
      <c r="D60" s="15" t="s">
        <v>146</v>
      </c>
      <c r="E60" s="15" t="s">
        <v>79</v>
      </c>
      <c r="F60" s="16" t="s">
        <v>147</v>
      </c>
      <c r="G60" s="16" t="s">
        <v>106</v>
      </c>
      <c r="H60" s="15" t="s">
        <v>328</v>
      </c>
      <c r="I60" s="16">
        <v>16</v>
      </c>
      <c r="J60" s="16">
        <v>229</v>
      </c>
      <c r="K60" s="17">
        <v>4.1420601851851853</v>
      </c>
      <c r="L60" s="17">
        <v>1.1315740740740741</v>
      </c>
      <c r="M60" s="17">
        <f t="shared" si="2"/>
        <v>4.941365740740741E-3</v>
      </c>
      <c r="N60" s="17">
        <v>0.64377314814814823</v>
      </c>
      <c r="O60" s="18">
        <f t="shared" si="3"/>
        <v>0.15542341718034799</v>
      </c>
      <c r="P60" s="17">
        <v>7.4988425925925931E-2</v>
      </c>
      <c r="Q60" s="17">
        <v>0.20957175925925928</v>
      </c>
      <c r="R60" s="17"/>
      <c r="S60" s="17">
        <v>8.278935185185185E-2</v>
      </c>
      <c r="T60" s="17"/>
      <c r="U60" s="17">
        <v>0.20934027777777781</v>
      </c>
      <c r="V60" s="17">
        <v>4.2939814814814811E-3</v>
      </c>
      <c r="W60" s="17">
        <v>1.4675925925925924E-2</v>
      </c>
      <c r="X60" s="17"/>
      <c r="Y60" s="17">
        <v>4.7685185185185178E-2</v>
      </c>
    </row>
    <row r="61" spans="1:25" ht="15" customHeight="1" x14ac:dyDescent="0.25">
      <c r="A61" s="11" t="s">
        <v>615</v>
      </c>
      <c r="B61" s="12" t="s">
        <v>636</v>
      </c>
      <c r="C61" s="12" t="s">
        <v>327</v>
      </c>
      <c r="D61" s="11" t="s">
        <v>601</v>
      </c>
      <c r="E61" s="11" t="s">
        <v>31</v>
      </c>
      <c r="F61" s="12" t="s">
        <v>105</v>
      </c>
      <c r="G61" s="12" t="s">
        <v>33</v>
      </c>
      <c r="H61" s="11" t="s">
        <v>328</v>
      </c>
      <c r="I61" s="12">
        <v>13</v>
      </c>
      <c r="J61" s="12">
        <v>82</v>
      </c>
      <c r="K61" s="13">
        <v>2.8618865740740738</v>
      </c>
      <c r="L61" s="13">
        <v>1.2100578703703704</v>
      </c>
      <c r="M61" s="13">
        <f t="shared" si="2"/>
        <v>1.4756805555555556E-2</v>
      </c>
      <c r="N61" s="13">
        <v>2.2973148148148148</v>
      </c>
      <c r="O61" s="14">
        <f t="shared" si="3"/>
        <v>0.80272741611294696</v>
      </c>
      <c r="P61" s="13">
        <v>3.6712962962962968E-2</v>
      </c>
      <c r="Q61" s="13">
        <v>0.16914351851851853</v>
      </c>
      <c r="R61" s="13"/>
      <c r="S61" s="13">
        <v>3.4884259259259261E-2</v>
      </c>
      <c r="T61" s="13"/>
      <c r="U61" s="13">
        <v>0.14660879629629631</v>
      </c>
      <c r="V61" s="13">
        <v>4.1273148148148156E-2</v>
      </c>
      <c r="W61" s="13">
        <v>1.3571643518518519</v>
      </c>
      <c r="X61" s="13"/>
      <c r="Y61" s="13">
        <v>0.5115277777777778</v>
      </c>
    </row>
    <row r="62" spans="1:25" ht="15" customHeight="1" x14ac:dyDescent="0.25">
      <c r="A62" s="15" t="s">
        <v>616</v>
      </c>
      <c r="B62" s="16" t="s">
        <v>637</v>
      </c>
      <c r="C62" s="16" t="s">
        <v>327</v>
      </c>
      <c r="D62" s="15" t="s">
        <v>601</v>
      </c>
      <c r="E62" s="15" t="s">
        <v>31</v>
      </c>
      <c r="F62" s="16" t="s">
        <v>105</v>
      </c>
      <c r="G62" s="16" t="s">
        <v>33</v>
      </c>
      <c r="H62" s="15" t="s">
        <v>328</v>
      </c>
      <c r="I62" s="16">
        <v>16</v>
      </c>
      <c r="J62" s="16">
        <v>65</v>
      </c>
      <c r="K62" s="17">
        <v>3.0057407407407402</v>
      </c>
      <c r="L62" s="17">
        <v>0.96906249999999994</v>
      </c>
      <c r="M62" s="17">
        <f t="shared" si="2"/>
        <v>1.4908657407407407E-2</v>
      </c>
      <c r="N62" s="17">
        <v>2.3748148148148145</v>
      </c>
      <c r="O62" s="18">
        <f t="shared" si="3"/>
        <v>0.79009303185262802</v>
      </c>
      <c r="P62" s="17">
        <v>5.677083333333334E-2</v>
      </c>
      <c r="Q62" s="17">
        <v>0.18041666666666664</v>
      </c>
      <c r="R62" s="17"/>
      <c r="S62" s="17">
        <v>4.5034722222222219E-2</v>
      </c>
      <c r="T62" s="17">
        <v>6.9444444444444444E-5</v>
      </c>
      <c r="U62" s="17">
        <v>0.19730324074074071</v>
      </c>
      <c r="V62" s="17">
        <v>1.6458333333333335E-2</v>
      </c>
      <c r="W62" s="17">
        <v>1.4260185185185186</v>
      </c>
      <c r="X62" s="17"/>
      <c r="Y62" s="17">
        <v>0.45273148148148151</v>
      </c>
    </row>
    <row r="63" spans="1:25" ht="15" customHeight="1" x14ac:dyDescent="0.25">
      <c r="A63" s="11" t="s">
        <v>209</v>
      </c>
      <c r="B63" s="12" t="s">
        <v>567</v>
      </c>
      <c r="C63" s="12" t="s">
        <v>327</v>
      </c>
      <c r="D63" s="11" t="s">
        <v>601</v>
      </c>
      <c r="E63" s="11" t="s">
        <v>31</v>
      </c>
      <c r="F63" s="12" t="s">
        <v>105</v>
      </c>
      <c r="G63" s="12" t="s">
        <v>33</v>
      </c>
      <c r="H63" s="11" t="s">
        <v>328</v>
      </c>
      <c r="I63" s="12">
        <v>16</v>
      </c>
      <c r="J63" s="12">
        <v>79</v>
      </c>
      <c r="K63" s="13">
        <v>3.3857291666666662</v>
      </c>
      <c r="L63" s="13">
        <v>1.3028009259259261</v>
      </c>
      <c r="M63" s="13">
        <f t="shared" si="2"/>
        <v>1.6491145833333335E-2</v>
      </c>
      <c r="N63" s="13">
        <v>2.4484953703703702</v>
      </c>
      <c r="O63" s="14">
        <f t="shared" si="3"/>
        <v>0.72318110806865699</v>
      </c>
      <c r="P63" s="13">
        <v>4.1458333333333326E-2</v>
      </c>
      <c r="Q63" s="13">
        <v>0.13045138888888891</v>
      </c>
      <c r="R63" s="13">
        <v>2.2280092592592591E-2</v>
      </c>
      <c r="S63" s="13">
        <v>3.8842592592592588E-2</v>
      </c>
      <c r="T63" s="13"/>
      <c r="U63" s="13">
        <v>0.17099537037037038</v>
      </c>
      <c r="V63" s="13">
        <v>0.12524305555555554</v>
      </c>
      <c r="W63" s="13">
        <v>1.5545833333333332</v>
      </c>
      <c r="X63" s="13"/>
      <c r="Y63" s="13">
        <v>0.36464120370370373</v>
      </c>
    </row>
    <row r="64" spans="1:25" ht="15" customHeight="1" x14ac:dyDescent="0.25">
      <c r="A64" s="15" t="s">
        <v>60</v>
      </c>
      <c r="B64" s="16" t="s">
        <v>510</v>
      </c>
      <c r="C64" s="16" t="s">
        <v>327</v>
      </c>
      <c r="D64" s="15" t="s">
        <v>100</v>
      </c>
      <c r="E64" s="15" t="s">
        <v>31</v>
      </c>
      <c r="F64" s="16" t="s">
        <v>32</v>
      </c>
      <c r="G64" s="16" t="s">
        <v>33</v>
      </c>
      <c r="H64" s="15" t="s">
        <v>328</v>
      </c>
      <c r="I64" s="16">
        <v>16</v>
      </c>
      <c r="J64" s="16">
        <v>576</v>
      </c>
      <c r="K64" s="17">
        <v>4.1114930555555551</v>
      </c>
      <c r="L64" s="17">
        <v>2.9895370370370373</v>
      </c>
      <c r="M64" s="17">
        <f t="shared" si="2"/>
        <v>5.1901736111111107E-3</v>
      </c>
      <c r="N64" s="17">
        <v>0.5562962962962964</v>
      </c>
      <c r="O64" s="18">
        <f t="shared" si="3"/>
        <v>0.13530274495894201</v>
      </c>
      <c r="P64" s="17">
        <v>2.7361111111111114E-2</v>
      </c>
      <c r="Q64" s="17">
        <v>0.21034722222222224</v>
      </c>
      <c r="R64" s="17"/>
      <c r="S64" s="17">
        <v>2.8217592592592593E-2</v>
      </c>
      <c r="T64" s="17">
        <v>3.2523148148148148E-2</v>
      </c>
      <c r="U64" s="17">
        <v>0.18479166666666669</v>
      </c>
      <c r="V64" s="17">
        <v>3.1828703703703706E-3</v>
      </c>
      <c r="W64" s="17">
        <v>2.842592592592592E-2</v>
      </c>
      <c r="X64" s="17"/>
      <c r="Y64" s="17">
        <v>4.0138888888888891E-2</v>
      </c>
    </row>
    <row r="65" spans="1:25" ht="15" customHeight="1" x14ac:dyDescent="0.25">
      <c r="A65" s="11" t="s">
        <v>132</v>
      </c>
      <c r="B65" s="12" t="s">
        <v>512</v>
      </c>
      <c r="C65" s="12" t="s">
        <v>327</v>
      </c>
      <c r="D65" s="11" t="s">
        <v>104</v>
      </c>
      <c r="E65" s="11" t="s">
        <v>31</v>
      </c>
      <c r="F65" s="12" t="s">
        <v>105</v>
      </c>
      <c r="G65" s="12" t="s">
        <v>106</v>
      </c>
      <c r="H65" s="11" t="s">
        <v>328</v>
      </c>
      <c r="I65" s="12">
        <v>16</v>
      </c>
      <c r="J65" s="12">
        <v>160</v>
      </c>
      <c r="K65" s="13">
        <v>3.7378125</v>
      </c>
      <c r="L65" s="13">
        <v>2.429097222222222</v>
      </c>
      <c r="M65" s="13">
        <f t="shared" si="2"/>
        <v>1.5181851851851851E-2</v>
      </c>
      <c r="N65" s="13">
        <v>1.9407175925925924</v>
      </c>
      <c r="O65" s="14">
        <f t="shared" si="3"/>
        <v>0.51921213078307005</v>
      </c>
      <c r="P65" s="13">
        <v>7.5694444444444453E-2</v>
      </c>
      <c r="Q65" s="13">
        <v>0.2318634259259259</v>
      </c>
      <c r="R65" s="13">
        <v>1.545138888888889E-2</v>
      </c>
      <c r="S65" s="13">
        <v>5.0578703703703706E-3</v>
      </c>
      <c r="T65" s="13">
        <v>1.9016203703703705E-2</v>
      </c>
      <c r="U65" s="13">
        <v>0.2023611111111111</v>
      </c>
      <c r="V65" s="13">
        <v>0.12877314814814814</v>
      </c>
      <c r="W65" s="13">
        <v>8.217592592592593E-2</v>
      </c>
      <c r="X65" s="13"/>
      <c r="Y65" s="13">
        <v>1.1802199074074073</v>
      </c>
    </row>
    <row r="66" spans="1:25" ht="15" customHeight="1" x14ac:dyDescent="0.25">
      <c r="A66" s="15" t="s">
        <v>134</v>
      </c>
      <c r="B66" s="16" t="s">
        <v>560</v>
      </c>
      <c r="C66" s="16" t="s">
        <v>327</v>
      </c>
      <c r="D66" s="15" t="s">
        <v>104</v>
      </c>
      <c r="E66" s="15" t="s">
        <v>31</v>
      </c>
      <c r="F66" s="16" t="s">
        <v>105</v>
      </c>
      <c r="G66" s="16" t="s">
        <v>106</v>
      </c>
      <c r="H66" s="15" t="s">
        <v>328</v>
      </c>
      <c r="I66" s="16">
        <v>15</v>
      </c>
      <c r="J66" s="16">
        <v>169</v>
      </c>
      <c r="K66" s="17">
        <v>3.4578703703703697</v>
      </c>
      <c r="L66" s="17">
        <v>2.2530324074074075</v>
      </c>
      <c r="M66" s="17">
        <f t="shared" si="2"/>
        <v>1.3331550925925926E-2</v>
      </c>
      <c r="N66" s="17">
        <v>1.6170949074074072</v>
      </c>
      <c r="O66" s="18">
        <f t="shared" si="3"/>
        <v>0.467656312759406</v>
      </c>
      <c r="P66" s="17">
        <v>0.1074537037037037</v>
      </c>
      <c r="Q66" s="17">
        <v>0.14578703703703702</v>
      </c>
      <c r="R66" s="17">
        <v>3.8078703703703703E-3</v>
      </c>
      <c r="S66" s="17">
        <v>3.2777777777777781E-2</v>
      </c>
      <c r="T66" s="17">
        <v>2.9398148148148148E-3</v>
      </c>
      <c r="U66" s="17">
        <v>0.17526620370370372</v>
      </c>
      <c r="V66" s="17">
        <v>0.11375000000000002</v>
      </c>
      <c r="W66" s="17">
        <v>5.7453703703703694E-2</v>
      </c>
      <c r="X66" s="17"/>
      <c r="Y66" s="17">
        <v>0.97146990740740746</v>
      </c>
    </row>
    <row r="67" spans="1:25" ht="15" customHeight="1" x14ac:dyDescent="0.25">
      <c r="A67" s="11" t="s">
        <v>211</v>
      </c>
      <c r="B67" s="12" t="s">
        <v>546</v>
      </c>
      <c r="C67" s="12" t="s">
        <v>327</v>
      </c>
      <c r="D67" s="11" t="s">
        <v>104</v>
      </c>
      <c r="E67" s="11" t="s">
        <v>31</v>
      </c>
      <c r="F67" s="12" t="s">
        <v>105</v>
      </c>
      <c r="G67" s="12" t="s">
        <v>106</v>
      </c>
      <c r="H67" s="11" t="s">
        <v>328</v>
      </c>
      <c r="I67" s="12">
        <v>15</v>
      </c>
      <c r="J67" s="12">
        <v>106</v>
      </c>
      <c r="K67" s="13">
        <v>3.1538194444444443</v>
      </c>
      <c r="L67" s="13">
        <v>2.0524074074074075</v>
      </c>
      <c r="M67" s="13">
        <f t="shared" ref="M67:M98" si="4">IFERROR(L67/J67,0)</f>
        <v>1.9362337962962963E-2</v>
      </c>
      <c r="N67" s="13">
        <v>1.3120717592592592</v>
      </c>
      <c r="O67" s="14">
        <f t="shared" ref="O67:O98" si="5">IFERROR(N67/K67,0)</f>
        <v>0.41602627619362198</v>
      </c>
      <c r="P67" s="13">
        <v>3.065972222222222E-2</v>
      </c>
      <c r="Q67" s="13">
        <v>0.1804398148148148</v>
      </c>
      <c r="R67" s="13">
        <v>0.15793981481481481</v>
      </c>
      <c r="S67" s="13"/>
      <c r="T67" s="13"/>
      <c r="U67" s="13">
        <v>0.1496527777777778</v>
      </c>
      <c r="V67" s="13">
        <v>2.9351851851851848E-2</v>
      </c>
      <c r="W67" s="13">
        <v>7.5937500000000005E-2</v>
      </c>
      <c r="X67" s="13"/>
      <c r="Y67" s="13">
        <v>0.68800925925925926</v>
      </c>
    </row>
    <row r="68" spans="1:25" ht="15" customHeight="1" x14ac:dyDescent="0.25">
      <c r="A68" s="15" t="s">
        <v>617</v>
      </c>
      <c r="B68" s="16" t="s">
        <v>638</v>
      </c>
      <c r="C68" s="16" t="s">
        <v>327</v>
      </c>
      <c r="D68" s="15" t="s">
        <v>601</v>
      </c>
      <c r="E68" s="15" t="s">
        <v>31</v>
      </c>
      <c r="F68" s="16" t="s">
        <v>105</v>
      </c>
      <c r="G68" s="16" t="s">
        <v>33</v>
      </c>
      <c r="H68" s="15" t="s">
        <v>328</v>
      </c>
      <c r="I68" s="16">
        <v>14</v>
      </c>
      <c r="J68" s="16">
        <v>75</v>
      </c>
      <c r="K68" s="17">
        <v>2.8886458333333329</v>
      </c>
      <c r="L68" s="17">
        <v>1.1928356481481481</v>
      </c>
      <c r="M68" s="17">
        <f t="shared" si="4"/>
        <v>1.5904479166666666E-2</v>
      </c>
      <c r="N68" s="17">
        <v>2.0800231481481481</v>
      </c>
      <c r="O68" s="18">
        <f t="shared" si="5"/>
        <v>0.72006859551484703</v>
      </c>
      <c r="P68" s="17">
        <v>0.10542824074074074</v>
      </c>
      <c r="Q68" s="17">
        <v>0.19409722222222225</v>
      </c>
      <c r="R68" s="17"/>
      <c r="S68" s="17">
        <v>5.9490740740740733E-2</v>
      </c>
      <c r="T68" s="17"/>
      <c r="U68" s="17">
        <v>0.16725694444444444</v>
      </c>
      <c r="V68" s="17">
        <v>0.10104166666666664</v>
      </c>
      <c r="W68" s="17">
        <v>1.0438425925925927</v>
      </c>
      <c r="X68" s="17"/>
      <c r="Y68" s="17">
        <v>0.40886574074074078</v>
      </c>
    </row>
    <row r="69" spans="1:25" ht="15" customHeight="1" x14ac:dyDescent="0.25">
      <c r="A69" s="11" t="s">
        <v>136</v>
      </c>
      <c r="B69" s="12" t="s">
        <v>561</v>
      </c>
      <c r="C69" s="12" t="s">
        <v>327</v>
      </c>
      <c r="D69" s="11" t="s">
        <v>104</v>
      </c>
      <c r="E69" s="11" t="s">
        <v>31</v>
      </c>
      <c r="F69" s="12" t="s">
        <v>105</v>
      </c>
      <c r="G69" s="12" t="s">
        <v>106</v>
      </c>
      <c r="H69" s="11" t="s">
        <v>328</v>
      </c>
      <c r="I69" s="12">
        <v>7</v>
      </c>
      <c r="J69" s="12">
        <v>90</v>
      </c>
      <c r="K69" s="13">
        <v>1.7867129629629628</v>
      </c>
      <c r="L69" s="13">
        <v>1.3613194444444443</v>
      </c>
      <c r="M69" s="13">
        <f t="shared" si="4"/>
        <v>1.5125775462962962E-2</v>
      </c>
      <c r="N69" s="13">
        <v>0.83833333333333337</v>
      </c>
      <c r="O69" s="14">
        <f t="shared" si="5"/>
        <v>0.46920425983986702</v>
      </c>
      <c r="P69" s="13">
        <v>5.5659722222222222E-2</v>
      </c>
      <c r="Q69" s="13">
        <v>0.13309027777777777</v>
      </c>
      <c r="R69" s="13"/>
      <c r="S69" s="13">
        <v>9.7685185185185184E-3</v>
      </c>
      <c r="T69" s="13"/>
      <c r="U69" s="13">
        <v>0.10483796296296295</v>
      </c>
      <c r="V69" s="13">
        <v>2.9583333333333333E-2</v>
      </c>
      <c r="W69" s="13">
        <v>7.245370370370369E-3</v>
      </c>
      <c r="X69" s="13"/>
      <c r="Y69" s="13">
        <v>0.49811342592592595</v>
      </c>
    </row>
    <row r="70" spans="1:25" ht="15" customHeight="1" x14ac:dyDescent="0.25">
      <c r="A70" s="15" t="s">
        <v>618</v>
      </c>
      <c r="B70" s="16" t="s">
        <v>639</v>
      </c>
      <c r="C70" s="16" t="s">
        <v>327</v>
      </c>
      <c r="D70" s="15" t="s">
        <v>601</v>
      </c>
      <c r="E70" s="15" t="s">
        <v>31</v>
      </c>
      <c r="F70" s="16" t="s">
        <v>105</v>
      </c>
      <c r="G70" s="16" t="s">
        <v>33</v>
      </c>
      <c r="H70" s="15" t="s">
        <v>328</v>
      </c>
      <c r="I70" s="16">
        <v>15</v>
      </c>
      <c r="J70" s="16">
        <v>83</v>
      </c>
      <c r="K70" s="17">
        <v>2.7821180555555558</v>
      </c>
      <c r="L70" s="17">
        <v>1.3007754629629631</v>
      </c>
      <c r="M70" s="17">
        <f t="shared" si="4"/>
        <v>1.567199074074074E-2</v>
      </c>
      <c r="N70" s="17">
        <v>2.1001273148148147</v>
      </c>
      <c r="O70" s="18">
        <f t="shared" si="5"/>
        <v>0.75486635465418594</v>
      </c>
      <c r="P70" s="17">
        <v>7.8680555555555559E-2</v>
      </c>
      <c r="Q70" s="17">
        <v>0.22945601851851852</v>
      </c>
      <c r="R70" s="17"/>
      <c r="S70" s="17">
        <v>2.4699074074074075E-2</v>
      </c>
      <c r="T70" s="17"/>
      <c r="U70" s="17">
        <v>0.19466435185185182</v>
      </c>
      <c r="V70" s="17">
        <v>5.9571759259259262E-2</v>
      </c>
      <c r="W70" s="17">
        <v>1.2175810185185187</v>
      </c>
      <c r="X70" s="17"/>
      <c r="Y70" s="17">
        <v>0.29546296296296298</v>
      </c>
    </row>
    <row r="71" spans="1:25" ht="15" customHeight="1" x14ac:dyDescent="0.25">
      <c r="A71" s="11" t="s">
        <v>501</v>
      </c>
      <c r="B71" s="12" t="s">
        <v>524</v>
      </c>
      <c r="C71" s="12" t="s">
        <v>327</v>
      </c>
      <c r="D71" s="11" t="s">
        <v>274</v>
      </c>
      <c r="E71" s="11" t="s">
        <v>79</v>
      </c>
      <c r="F71" s="12" t="s">
        <v>147</v>
      </c>
      <c r="G71" s="12" t="s">
        <v>33</v>
      </c>
      <c r="H71" s="11" t="s">
        <v>328</v>
      </c>
      <c r="I71" s="12">
        <v>15</v>
      </c>
      <c r="J71" s="12">
        <v>288</v>
      </c>
      <c r="K71" s="13">
        <v>3.880798611111111</v>
      </c>
      <c r="L71" s="13">
        <v>0.97493055555555563</v>
      </c>
      <c r="M71" s="13">
        <f t="shared" si="4"/>
        <v>3.3851736111111109E-3</v>
      </c>
      <c r="N71" s="13">
        <v>0.51233796296296286</v>
      </c>
      <c r="O71" s="14">
        <f t="shared" si="5"/>
        <v>0.132018693651376</v>
      </c>
      <c r="P71" s="13">
        <v>3.4178240740740738E-2</v>
      </c>
      <c r="Q71" s="13">
        <v>0.20634259259259258</v>
      </c>
      <c r="R71" s="13"/>
      <c r="S71" s="13">
        <v>3.1956018518518516E-2</v>
      </c>
      <c r="T71" s="13">
        <v>1.7407407407407406E-2</v>
      </c>
      <c r="U71" s="13">
        <v>0.20052083333333334</v>
      </c>
      <c r="V71" s="13">
        <v>1.5127314814814814E-2</v>
      </c>
      <c r="W71" s="13">
        <v>5.5902777777777782E-3</v>
      </c>
      <c r="X71" s="13"/>
      <c r="Y71" s="13"/>
    </row>
    <row r="72" spans="1:25" ht="15" customHeight="1" x14ac:dyDescent="0.25">
      <c r="A72" s="15" t="s">
        <v>213</v>
      </c>
      <c r="B72" s="16" t="s">
        <v>572</v>
      </c>
      <c r="C72" s="16" t="s">
        <v>327</v>
      </c>
      <c r="D72" s="15" t="s">
        <v>601</v>
      </c>
      <c r="E72" s="15" t="s">
        <v>31</v>
      </c>
      <c r="F72" s="16" t="s">
        <v>105</v>
      </c>
      <c r="G72" s="16" t="s">
        <v>33</v>
      </c>
      <c r="H72" s="15" t="s">
        <v>328</v>
      </c>
      <c r="I72" s="16">
        <v>16</v>
      </c>
      <c r="J72" s="16">
        <v>88</v>
      </c>
      <c r="K72" s="17">
        <v>3.5567245370370375</v>
      </c>
      <c r="L72" s="17">
        <v>1.5002430555555557</v>
      </c>
      <c r="M72" s="17">
        <f t="shared" si="4"/>
        <v>1.7048217592592591E-2</v>
      </c>
      <c r="N72" s="17">
        <v>2.8680439814814815</v>
      </c>
      <c r="O72" s="18">
        <f t="shared" si="5"/>
        <v>0.80637225391391498</v>
      </c>
      <c r="P72" s="17">
        <v>0.15656249999999999</v>
      </c>
      <c r="Q72" s="17">
        <v>0.22843750000000002</v>
      </c>
      <c r="R72" s="17"/>
      <c r="S72" s="17">
        <v>2.4976851851851854E-2</v>
      </c>
      <c r="T72" s="17"/>
      <c r="U72" s="17">
        <v>0.19222222222222224</v>
      </c>
      <c r="V72" s="17">
        <v>7.4259259259259247E-2</v>
      </c>
      <c r="W72" s="17">
        <v>1.6814467592592595</v>
      </c>
      <c r="X72" s="17"/>
      <c r="Y72" s="17">
        <v>0.51012731481481488</v>
      </c>
    </row>
    <row r="73" spans="1:25" ht="15" customHeight="1" x14ac:dyDescent="0.25">
      <c r="A73" s="11" t="s">
        <v>215</v>
      </c>
      <c r="B73" s="12" t="s">
        <v>547</v>
      </c>
      <c r="C73" s="12" t="s">
        <v>327</v>
      </c>
      <c r="D73" s="11" t="s">
        <v>601</v>
      </c>
      <c r="E73" s="11" t="s">
        <v>31</v>
      </c>
      <c r="F73" s="12" t="s">
        <v>105</v>
      </c>
      <c r="G73" s="12" t="s">
        <v>33</v>
      </c>
      <c r="H73" s="11" t="s">
        <v>328</v>
      </c>
      <c r="I73" s="12">
        <v>4</v>
      </c>
      <c r="J73" s="12">
        <v>45</v>
      </c>
      <c r="K73" s="13">
        <v>0.94490740740740753</v>
      </c>
      <c r="L73" s="13">
        <v>0.66074074074074085</v>
      </c>
      <c r="M73" s="13">
        <f t="shared" si="4"/>
        <v>1.4683125E-2</v>
      </c>
      <c r="N73" s="13">
        <v>0.53284722222222225</v>
      </c>
      <c r="O73" s="14">
        <f t="shared" si="5"/>
        <v>0.56391474767270899</v>
      </c>
      <c r="P73" s="13">
        <v>2.7361111111111114E-2</v>
      </c>
      <c r="Q73" s="13">
        <v>8.1724537037037026E-2</v>
      </c>
      <c r="R73" s="13">
        <v>1.2962962962962964E-2</v>
      </c>
      <c r="S73" s="13">
        <v>1.4074074074074074E-2</v>
      </c>
      <c r="T73" s="13">
        <v>1.1018518518518518E-2</v>
      </c>
      <c r="U73" s="13">
        <v>7.2164351851851855E-2</v>
      </c>
      <c r="V73" s="13">
        <v>1.6516203703703703E-2</v>
      </c>
      <c r="W73" s="13">
        <v>5.6168981481481486E-2</v>
      </c>
      <c r="X73" s="13"/>
      <c r="Y73" s="13">
        <v>0.24085648148148148</v>
      </c>
    </row>
    <row r="74" spans="1:25" ht="15" customHeight="1" x14ac:dyDescent="0.25">
      <c r="A74" s="15" t="s">
        <v>619</v>
      </c>
      <c r="B74" s="16" t="s">
        <v>640</v>
      </c>
      <c r="C74" s="16" t="s">
        <v>327</v>
      </c>
      <c r="D74" s="15" t="s">
        <v>601</v>
      </c>
      <c r="E74" s="15" t="s">
        <v>31</v>
      </c>
      <c r="F74" s="16" t="s">
        <v>105</v>
      </c>
      <c r="G74" s="16" t="s">
        <v>33</v>
      </c>
      <c r="H74" s="15" t="s">
        <v>328</v>
      </c>
      <c r="I74" s="16">
        <v>12</v>
      </c>
      <c r="J74" s="16">
        <v>77</v>
      </c>
      <c r="K74" s="17">
        <v>2.428935185185185</v>
      </c>
      <c r="L74" s="17">
        <v>1.087800925925926</v>
      </c>
      <c r="M74" s="17">
        <f t="shared" si="4"/>
        <v>1.4127280092592592E-2</v>
      </c>
      <c r="N74" s="17">
        <v>1.805289351851852</v>
      </c>
      <c r="O74" s="18">
        <f t="shared" si="5"/>
        <v>0.74324311445725699</v>
      </c>
      <c r="P74" s="17">
        <v>5.7962962962962966E-2</v>
      </c>
      <c r="Q74" s="17">
        <v>0.10868055555555556</v>
      </c>
      <c r="R74" s="17"/>
      <c r="S74" s="17">
        <v>3.6458333333333336E-2</v>
      </c>
      <c r="T74" s="17"/>
      <c r="U74" s="17">
        <v>0.11026620370370371</v>
      </c>
      <c r="V74" s="17">
        <v>8.5625000000000007E-2</v>
      </c>
      <c r="W74" s="17">
        <v>0.89858796296296295</v>
      </c>
      <c r="X74" s="17"/>
      <c r="Y74" s="17">
        <v>0.50769675925925928</v>
      </c>
    </row>
    <row r="75" spans="1:25" ht="15" customHeight="1" x14ac:dyDescent="0.25">
      <c r="A75" s="11" t="s">
        <v>668</v>
      </c>
      <c r="B75" s="12" t="s">
        <v>669</v>
      </c>
      <c r="C75" s="12" t="s">
        <v>327</v>
      </c>
      <c r="D75" s="11" t="s">
        <v>233</v>
      </c>
      <c r="E75" s="11" t="s">
        <v>31</v>
      </c>
      <c r="F75" s="12" t="s">
        <v>32</v>
      </c>
      <c r="G75" s="12" t="s">
        <v>106</v>
      </c>
      <c r="H75" s="11" t="s">
        <v>328</v>
      </c>
      <c r="I75" s="12">
        <v>15</v>
      </c>
      <c r="J75" s="12">
        <v>448</v>
      </c>
      <c r="K75" s="13">
        <v>3.5532523148148152</v>
      </c>
      <c r="L75" s="13">
        <v>1.7444675925925925</v>
      </c>
      <c r="M75" s="13">
        <f t="shared" si="4"/>
        <v>3.8939004629629627E-3</v>
      </c>
      <c r="N75" s="13">
        <v>0.71075231481481493</v>
      </c>
      <c r="O75" s="14">
        <f t="shared" si="5"/>
        <v>0.20002866440174499</v>
      </c>
      <c r="P75" s="13">
        <v>8.0474537037037039E-2</v>
      </c>
      <c r="Q75" s="13">
        <v>0.20818287037037034</v>
      </c>
      <c r="R75" s="13"/>
      <c r="S75" s="13">
        <v>1.9409722222222224E-2</v>
      </c>
      <c r="T75" s="13"/>
      <c r="U75" s="13">
        <v>0.14796296296296296</v>
      </c>
      <c r="V75" s="13">
        <v>0.12109953703703705</v>
      </c>
      <c r="W75" s="13">
        <v>5.5000000000000007E-2</v>
      </c>
      <c r="X75" s="13"/>
      <c r="Y75" s="13">
        <v>7.8530092592592582E-2</v>
      </c>
    </row>
    <row r="76" spans="1:25" ht="15" customHeight="1" x14ac:dyDescent="0.25">
      <c r="A76" s="15" t="s">
        <v>744</v>
      </c>
      <c r="B76" s="16" t="s">
        <v>670</v>
      </c>
      <c r="C76" s="16" t="s">
        <v>607</v>
      </c>
      <c r="D76" s="15" t="s">
        <v>100</v>
      </c>
      <c r="E76" s="15" t="s">
        <v>31</v>
      </c>
      <c r="F76" s="16" t="s">
        <v>32</v>
      </c>
      <c r="G76" s="16" t="s">
        <v>33</v>
      </c>
      <c r="H76" s="15" t="s">
        <v>328</v>
      </c>
      <c r="I76" s="16">
        <v>12</v>
      </c>
      <c r="J76" s="16">
        <v>354</v>
      </c>
      <c r="K76" s="17">
        <v>3.0904050925925928</v>
      </c>
      <c r="L76" s="17">
        <v>1.8252314814814816</v>
      </c>
      <c r="M76" s="17">
        <f t="shared" si="4"/>
        <v>5.156018518518519E-3</v>
      </c>
      <c r="N76" s="17">
        <v>0.72189814814814812</v>
      </c>
      <c r="O76" s="18">
        <f t="shared" si="5"/>
        <v>0.233593372557685</v>
      </c>
      <c r="P76" s="17">
        <v>0.26092592592592595</v>
      </c>
      <c r="Q76" s="17">
        <v>0.15201388888888889</v>
      </c>
      <c r="R76" s="17"/>
      <c r="S76" s="17">
        <v>1.6909722222222222E-2</v>
      </c>
      <c r="T76" s="17">
        <v>3.4826388888888893E-2</v>
      </c>
      <c r="U76" s="17">
        <v>0.15436342592592595</v>
      </c>
      <c r="V76" s="17">
        <v>4.2129629629629626E-3</v>
      </c>
      <c r="W76" s="17">
        <v>7.1296296296296302E-2</v>
      </c>
      <c r="X76" s="17"/>
      <c r="Y76" s="17">
        <v>2.7141203703703702E-2</v>
      </c>
    </row>
    <row r="77" spans="1:25" ht="15" customHeight="1" x14ac:dyDescent="0.25">
      <c r="A77" s="11" t="s">
        <v>219</v>
      </c>
      <c r="B77" s="12" t="s">
        <v>548</v>
      </c>
      <c r="C77" s="12" t="s">
        <v>327</v>
      </c>
      <c r="D77" s="11" t="s">
        <v>104</v>
      </c>
      <c r="E77" s="11" t="s">
        <v>31</v>
      </c>
      <c r="F77" s="12" t="s">
        <v>105</v>
      </c>
      <c r="G77" s="12" t="s">
        <v>106</v>
      </c>
      <c r="H77" s="11" t="s">
        <v>328</v>
      </c>
      <c r="I77" s="12">
        <v>15</v>
      </c>
      <c r="J77" s="12">
        <v>121</v>
      </c>
      <c r="K77" s="13">
        <v>3.201377314814815</v>
      </c>
      <c r="L77" s="13">
        <v>1.6253240740740738</v>
      </c>
      <c r="M77" s="13">
        <f t="shared" si="4"/>
        <v>1.3432430555555555E-2</v>
      </c>
      <c r="N77" s="13">
        <v>1.8974884259259261</v>
      </c>
      <c r="O77" s="14">
        <f t="shared" si="5"/>
        <v>0.59271002425894503</v>
      </c>
      <c r="P77" s="13">
        <v>0.18703703703703706</v>
      </c>
      <c r="Q77" s="13">
        <v>0.21886574074074075</v>
      </c>
      <c r="R77" s="13">
        <v>0.1001736111111111</v>
      </c>
      <c r="S77" s="13">
        <v>2.7662037037037041E-2</v>
      </c>
      <c r="T77" s="13"/>
      <c r="U77" s="13">
        <v>0.19144675925925925</v>
      </c>
      <c r="V77" s="13">
        <v>0.1623148148148148</v>
      </c>
      <c r="W77" s="13">
        <v>4.3738425925925924E-2</v>
      </c>
      <c r="X77" s="13"/>
      <c r="Y77" s="13">
        <v>0.96200231481481491</v>
      </c>
    </row>
    <row r="78" spans="1:25" ht="15" customHeight="1" x14ac:dyDescent="0.25">
      <c r="A78" s="15" t="s">
        <v>305</v>
      </c>
      <c r="B78" s="16" t="s">
        <v>306</v>
      </c>
      <c r="C78" s="16" t="s">
        <v>327</v>
      </c>
      <c r="D78" s="15" t="s">
        <v>100</v>
      </c>
      <c r="E78" s="15" t="s">
        <v>31</v>
      </c>
      <c r="F78" s="16" t="s">
        <v>32</v>
      </c>
      <c r="G78" s="16" t="s">
        <v>33</v>
      </c>
      <c r="H78" s="15" t="s">
        <v>328</v>
      </c>
      <c r="I78" s="16">
        <v>16</v>
      </c>
      <c r="J78" s="16">
        <v>609</v>
      </c>
      <c r="K78" s="17">
        <v>3.9041666666666668</v>
      </c>
      <c r="L78" s="17">
        <v>2.5313078703703704</v>
      </c>
      <c r="M78" s="17">
        <f t="shared" si="4"/>
        <v>4.1565046296296298E-3</v>
      </c>
      <c r="N78" s="17">
        <v>0.82853009259259247</v>
      </c>
      <c r="O78" s="18">
        <f t="shared" si="5"/>
        <v>0.21221688604292699</v>
      </c>
      <c r="P78" s="17">
        <v>0.25099537037037034</v>
      </c>
      <c r="Q78" s="17">
        <v>0.22554398148148153</v>
      </c>
      <c r="R78" s="17"/>
      <c r="S78" s="17">
        <v>4.4374999999999998E-2</v>
      </c>
      <c r="T78" s="17">
        <v>3.6689814814814814E-3</v>
      </c>
      <c r="U78" s="17">
        <v>0.23903935185185185</v>
      </c>
      <c r="V78" s="17">
        <v>4.0972222222222217E-3</v>
      </c>
      <c r="W78" s="17">
        <v>1.9363425925925926E-2</v>
      </c>
      <c r="X78" s="17"/>
      <c r="Y78" s="17">
        <v>4.1435185185185186E-2</v>
      </c>
    </row>
    <row r="79" spans="1:25" ht="15" customHeight="1" x14ac:dyDescent="0.25">
      <c r="A79" s="11" t="s">
        <v>620</v>
      </c>
      <c r="B79" s="12" t="s">
        <v>641</v>
      </c>
      <c r="C79" s="12" t="s">
        <v>327</v>
      </c>
      <c r="D79" s="11" t="s">
        <v>601</v>
      </c>
      <c r="E79" s="11" t="s">
        <v>31</v>
      </c>
      <c r="F79" s="12" t="s">
        <v>105</v>
      </c>
      <c r="G79" s="12" t="s">
        <v>33</v>
      </c>
      <c r="H79" s="11" t="s">
        <v>328</v>
      </c>
      <c r="I79" s="12">
        <v>16</v>
      </c>
      <c r="J79" s="12">
        <v>100</v>
      </c>
      <c r="K79" s="13">
        <v>3.3303124999999998</v>
      </c>
      <c r="L79" s="13">
        <v>1.5673263888888889</v>
      </c>
      <c r="M79" s="13">
        <f t="shared" si="4"/>
        <v>1.5673263888888889E-2</v>
      </c>
      <c r="N79" s="13">
        <v>2.5115393518518521</v>
      </c>
      <c r="O79" s="14">
        <f t="shared" si="5"/>
        <v>0.75414524968808605</v>
      </c>
      <c r="P79" s="13">
        <v>0.11489583333333335</v>
      </c>
      <c r="Q79" s="13">
        <v>0.20759259259259261</v>
      </c>
      <c r="R79" s="13"/>
      <c r="S79" s="13">
        <v>1.4907407407407407E-2</v>
      </c>
      <c r="T79" s="13"/>
      <c r="U79" s="13">
        <v>0.17130787037037037</v>
      </c>
      <c r="V79" s="13">
        <v>0.14996527777777779</v>
      </c>
      <c r="W79" s="13">
        <v>1.5139351851851852</v>
      </c>
      <c r="X79" s="13"/>
      <c r="Y79" s="13">
        <v>0.33893518518518517</v>
      </c>
    </row>
    <row r="80" spans="1:25" ht="15" customHeight="1" x14ac:dyDescent="0.25">
      <c r="A80" s="15" t="s">
        <v>138</v>
      </c>
      <c r="B80" s="16" t="s">
        <v>556</v>
      </c>
      <c r="C80" s="16" t="s">
        <v>327</v>
      </c>
      <c r="D80" s="15" t="s">
        <v>104</v>
      </c>
      <c r="E80" s="15" t="s">
        <v>31</v>
      </c>
      <c r="F80" s="16" t="s">
        <v>105</v>
      </c>
      <c r="G80" s="16" t="s">
        <v>106</v>
      </c>
      <c r="H80" s="15" t="s">
        <v>328</v>
      </c>
      <c r="I80" s="16">
        <v>16</v>
      </c>
      <c r="J80" s="16">
        <v>211</v>
      </c>
      <c r="K80" s="17">
        <v>3.6674884259259257</v>
      </c>
      <c r="L80" s="17">
        <v>2.459328703703703</v>
      </c>
      <c r="M80" s="17">
        <f t="shared" si="4"/>
        <v>1.1655590277777779E-2</v>
      </c>
      <c r="N80" s="17">
        <v>1.8170717592592593</v>
      </c>
      <c r="O80" s="18">
        <f t="shared" si="5"/>
        <v>0.49545398600692397</v>
      </c>
      <c r="P80" s="17">
        <v>0.18827546296296296</v>
      </c>
      <c r="Q80" s="17">
        <v>0.24987268518518516</v>
      </c>
      <c r="R80" s="17">
        <v>9.780092592592592E-3</v>
      </c>
      <c r="S80" s="17">
        <v>2.7870370370370368E-2</v>
      </c>
      <c r="T80" s="17">
        <v>3.75462962962963E-2</v>
      </c>
      <c r="U80" s="17">
        <v>0.24784722222222222</v>
      </c>
      <c r="V80" s="17">
        <v>0.12684027777777779</v>
      </c>
      <c r="W80" s="17">
        <v>5.4050925925925919E-2</v>
      </c>
      <c r="X80" s="17"/>
      <c r="Y80" s="17">
        <v>0.87480324074074067</v>
      </c>
    </row>
    <row r="81" spans="1:25" ht="15" customHeight="1" x14ac:dyDescent="0.25">
      <c r="A81" s="11" t="s">
        <v>278</v>
      </c>
      <c r="B81" s="12" t="s">
        <v>533</v>
      </c>
      <c r="C81" s="12" t="s">
        <v>327</v>
      </c>
      <c r="D81" s="11" t="s">
        <v>233</v>
      </c>
      <c r="E81" s="11" t="s">
        <v>31</v>
      </c>
      <c r="F81" s="12" t="s">
        <v>32</v>
      </c>
      <c r="G81" s="12" t="s">
        <v>106</v>
      </c>
      <c r="H81" s="11" t="s">
        <v>328</v>
      </c>
      <c r="I81" s="12">
        <v>16</v>
      </c>
      <c r="J81" s="12">
        <v>347</v>
      </c>
      <c r="K81" s="13">
        <v>4.0018865740740734</v>
      </c>
      <c r="L81" s="13">
        <v>2.1164004629629627</v>
      </c>
      <c r="M81" s="13">
        <f t="shared" si="4"/>
        <v>6.0991319444444452E-3</v>
      </c>
      <c r="N81" s="13">
        <v>0.58921296296296299</v>
      </c>
      <c r="O81" s="14">
        <f t="shared" si="5"/>
        <v>0.14723379887379501</v>
      </c>
      <c r="P81" s="13">
        <v>6.1689814814814808E-2</v>
      </c>
      <c r="Q81" s="13">
        <v>0.2169791666666667</v>
      </c>
      <c r="R81" s="13">
        <v>8.4027777777777781E-3</v>
      </c>
      <c r="S81" s="13">
        <v>4.9594907407407407E-2</v>
      </c>
      <c r="T81" s="13"/>
      <c r="U81" s="13">
        <v>0.21504629629629626</v>
      </c>
      <c r="V81" s="13">
        <v>3.5208333333333341E-2</v>
      </c>
      <c r="W81" s="13">
        <v>2.2453703703703707E-3</v>
      </c>
      <c r="X81" s="13"/>
      <c r="Y81" s="13"/>
    </row>
    <row r="82" spans="1:25" ht="15" customHeight="1" x14ac:dyDescent="0.25">
      <c r="A82" s="15" t="s">
        <v>671</v>
      </c>
      <c r="B82" s="16" t="s">
        <v>672</v>
      </c>
      <c r="C82" s="16" t="s">
        <v>327</v>
      </c>
      <c r="D82" s="15" t="s">
        <v>601</v>
      </c>
      <c r="E82" s="15" t="s">
        <v>31</v>
      </c>
      <c r="F82" s="16" t="s">
        <v>105</v>
      </c>
      <c r="G82" s="16" t="s">
        <v>33</v>
      </c>
      <c r="H82" s="15" t="s">
        <v>328</v>
      </c>
      <c r="I82" s="16">
        <v>1</v>
      </c>
      <c r="J82" s="16">
        <v>11</v>
      </c>
      <c r="K82" s="17">
        <v>0.26732638888888888</v>
      </c>
      <c r="L82" s="17">
        <v>5.5243055555555552E-2</v>
      </c>
      <c r="M82" s="17">
        <f t="shared" si="4"/>
        <v>5.0220949074074074E-3</v>
      </c>
      <c r="N82" s="17">
        <v>0.12956018518518519</v>
      </c>
      <c r="O82" s="18">
        <f t="shared" si="5"/>
        <v>0.48465168636619499</v>
      </c>
      <c r="P82" s="17">
        <v>9.2592592592592588E-5</v>
      </c>
      <c r="Q82" s="17">
        <v>1.5995370370370372E-2</v>
      </c>
      <c r="R82" s="17">
        <v>1.1574074074074075E-4</v>
      </c>
      <c r="S82" s="17">
        <v>1.9409722222222221E-2</v>
      </c>
      <c r="T82" s="17">
        <v>1.6319444444444445E-3</v>
      </c>
      <c r="U82" s="17">
        <v>1.9502314814814816E-2</v>
      </c>
      <c r="V82" s="17">
        <v>1.1111111111111111E-3</v>
      </c>
      <c r="W82" s="17">
        <v>0.01</v>
      </c>
      <c r="X82" s="17"/>
      <c r="Y82" s="17">
        <v>6.1701388888888889E-2</v>
      </c>
    </row>
    <row r="83" spans="1:25" ht="15" customHeight="1" x14ac:dyDescent="0.25">
      <c r="A83" s="11" t="s">
        <v>313</v>
      </c>
      <c r="B83" s="12" t="s">
        <v>511</v>
      </c>
      <c r="C83" s="12" t="s">
        <v>327</v>
      </c>
      <c r="D83" s="11" t="s">
        <v>78</v>
      </c>
      <c r="E83" s="11" t="s">
        <v>79</v>
      </c>
      <c r="F83" s="12" t="s">
        <v>80</v>
      </c>
      <c r="G83" s="12" t="s">
        <v>81</v>
      </c>
      <c r="H83" s="11" t="s">
        <v>330</v>
      </c>
      <c r="I83" s="12">
        <v>16</v>
      </c>
      <c r="J83" s="12">
        <v>22</v>
      </c>
      <c r="K83" s="13">
        <v>3.7298842592592596</v>
      </c>
      <c r="L83" s="13">
        <v>9.7118055555555569E-2</v>
      </c>
      <c r="M83" s="13">
        <f t="shared" si="4"/>
        <v>4.4144560185185181E-3</v>
      </c>
      <c r="N83" s="13">
        <v>0.51324074074074078</v>
      </c>
      <c r="O83" s="14">
        <f t="shared" si="5"/>
        <v>0.137602323575228</v>
      </c>
      <c r="P83" s="13">
        <v>7.6817129629629624E-2</v>
      </c>
      <c r="Q83" s="13">
        <v>0.26175925925925925</v>
      </c>
      <c r="R83" s="13"/>
      <c r="S83" s="13">
        <v>1.0300925925925926E-3</v>
      </c>
      <c r="T83" s="13"/>
      <c r="U83" s="13">
        <v>0.12900462962962964</v>
      </c>
      <c r="V83" s="13">
        <v>4.3402777777777771E-3</v>
      </c>
      <c r="W83" s="13">
        <v>1.5046296296296294E-3</v>
      </c>
      <c r="X83" s="13"/>
      <c r="Y83" s="13">
        <v>3.8726851851851853E-2</v>
      </c>
    </row>
    <row r="84" spans="1:25" ht="15" customHeight="1" x14ac:dyDescent="0.25">
      <c r="A84" s="15" t="s">
        <v>673</v>
      </c>
      <c r="B84" s="16" t="s">
        <v>674</v>
      </c>
      <c r="C84" s="16" t="s">
        <v>327</v>
      </c>
      <c r="D84" s="15" t="s">
        <v>104</v>
      </c>
      <c r="E84" s="15" t="s">
        <v>31</v>
      </c>
      <c r="F84" s="16" t="s">
        <v>105</v>
      </c>
      <c r="G84" s="16" t="s">
        <v>106</v>
      </c>
      <c r="H84" s="15" t="s">
        <v>328</v>
      </c>
      <c r="I84" s="16">
        <v>16</v>
      </c>
      <c r="J84" s="16">
        <v>159</v>
      </c>
      <c r="K84" s="17">
        <v>3.7773263888888891</v>
      </c>
      <c r="L84" s="17">
        <v>2.2029166666666669</v>
      </c>
      <c r="M84" s="17">
        <f t="shared" si="4"/>
        <v>1.3854826388888889E-2</v>
      </c>
      <c r="N84" s="17">
        <v>2.3079166666666668</v>
      </c>
      <c r="O84" s="18">
        <f t="shared" si="5"/>
        <v>0.61099212222048604</v>
      </c>
      <c r="P84" s="17">
        <v>7.0011574074074073E-2</v>
      </c>
      <c r="Q84" s="17">
        <v>0.22696759259259258</v>
      </c>
      <c r="R84" s="17"/>
      <c r="S84" s="17">
        <v>3.5578703703703703E-2</v>
      </c>
      <c r="T84" s="17"/>
      <c r="U84" s="17">
        <v>0.21162037037037035</v>
      </c>
      <c r="V84" s="17">
        <v>1.9074074074074073E-2</v>
      </c>
      <c r="W84" s="17">
        <v>3.4606481481481481E-2</v>
      </c>
      <c r="X84" s="17"/>
      <c r="Y84" s="17">
        <v>1.7100578703703702</v>
      </c>
    </row>
    <row r="85" spans="1:25" ht="15" customHeight="1" x14ac:dyDescent="0.25">
      <c r="A85" s="11" t="s">
        <v>225</v>
      </c>
      <c r="B85" s="12" t="s">
        <v>549</v>
      </c>
      <c r="C85" s="12" t="s">
        <v>327</v>
      </c>
      <c r="D85" s="11" t="s">
        <v>601</v>
      </c>
      <c r="E85" s="11" t="s">
        <v>31</v>
      </c>
      <c r="F85" s="12" t="s">
        <v>105</v>
      </c>
      <c r="G85" s="12" t="s">
        <v>33</v>
      </c>
      <c r="H85" s="11" t="s">
        <v>328</v>
      </c>
      <c r="I85" s="12">
        <v>16</v>
      </c>
      <c r="J85" s="12">
        <v>108</v>
      </c>
      <c r="K85" s="13">
        <v>3.3484953703703697</v>
      </c>
      <c r="L85" s="13">
        <v>1.8464814814814818</v>
      </c>
      <c r="M85" s="13">
        <f t="shared" si="4"/>
        <v>1.709704861111111E-2</v>
      </c>
      <c r="N85" s="13">
        <v>1.8767708333333335</v>
      </c>
      <c r="O85" s="14">
        <f t="shared" si="5"/>
        <v>0.56048183609277302</v>
      </c>
      <c r="P85" s="13">
        <v>6.5173611111111113E-2</v>
      </c>
      <c r="Q85" s="13">
        <v>0.15214120370370371</v>
      </c>
      <c r="R85" s="13">
        <v>1.4814814814814814E-3</v>
      </c>
      <c r="S85" s="13">
        <v>1.1805555555555555E-2</v>
      </c>
      <c r="T85" s="13">
        <v>5.7870370370370373E-5</v>
      </c>
      <c r="U85" s="13">
        <v>0.14563657407407407</v>
      </c>
      <c r="V85" s="13">
        <v>1.0914351851851852E-2</v>
      </c>
      <c r="W85" s="13">
        <v>1.284039351851852</v>
      </c>
      <c r="X85" s="13"/>
      <c r="Y85" s="13">
        <v>0.20530092592592591</v>
      </c>
    </row>
    <row r="86" spans="1:25" ht="15" customHeight="1" x14ac:dyDescent="0.25">
      <c r="A86" s="15" t="s">
        <v>280</v>
      </c>
      <c r="B86" s="16" t="s">
        <v>534</v>
      </c>
      <c r="C86" s="16" t="s">
        <v>327</v>
      </c>
      <c r="D86" s="15" t="s">
        <v>233</v>
      </c>
      <c r="E86" s="15" t="s">
        <v>31</v>
      </c>
      <c r="F86" s="16" t="s">
        <v>32</v>
      </c>
      <c r="G86" s="16" t="s">
        <v>106</v>
      </c>
      <c r="H86" s="15" t="s">
        <v>328</v>
      </c>
      <c r="I86" s="16">
        <v>14</v>
      </c>
      <c r="J86" s="16">
        <v>394</v>
      </c>
      <c r="K86" s="17">
        <v>3.0174074074074069</v>
      </c>
      <c r="L86" s="17">
        <v>1.3762384259259259</v>
      </c>
      <c r="M86" s="17">
        <f t="shared" si="4"/>
        <v>3.4929861111111108E-3</v>
      </c>
      <c r="N86" s="17">
        <v>0.52059027777777767</v>
      </c>
      <c r="O86" s="18">
        <f t="shared" si="5"/>
        <v>0.17252899840432101</v>
      </c>
      <c r="P86" s="17">
        <v>5.4895833333333324E-2</v>
      </c>
      <c r="Q86" s="17">
        <v>0.20640046296296294</v>
      </c>
      <c r="R86" s="17"/>
      <c r="S86" s="17">
        <v>2.3703703703703703E-2</v>
      </c>
      <c r="T86" s="17"/>
      <c r="U86" s="17">
        <v>0.15177083333333333</v>
      </c>
      <c r="V86" s="17">
        <v>1.6458333333333332E-2</v>
      </c>
      <c r="W86" s="17">
        <v>1.5509259259259261E-3</v>
      </c>
      <c r="X86" s="17"/>
      <c r="Y86" s="17">
        <v>6.5752314814814819E-2</v>
      </c>
    </row>
    <row r="87" spans="1:25" ht="15" customHeight="1" x14ac:dyDescent="0.25">
      <c r="A87" s="11" t="s">
        <v>299</v>
      </c>
      <c r="B87" s="12" t="s">
        <v>571</v>
      </c>
      <c r="C87" s="12" t="s">
        <v>327</v>
      </c>
      <c r="D87" s="11" t="s">
        <v>104</v>
      </c>
      <c r="E87" s="11" t="s">
        <v>31</v>
      </c>
      <c r="F87" s="12" t="s">
        <v>105</v>
      </c>
      <c r="G87" s="12" t="s">
        <v>106</v>
      </c>
      <c r="H87" s="11" t="s">
        <v>328</v>
      </c>
      <c r="I87" s="12">
        <v>16</v>
      </c>
      <c r="J87" s="12">
        <v>146</v>
      </c>
      <c r="K87" s="13">
        <v>3.8080092592592591</v>
      </c>
      <c r="L87" s="13">
        <v>2.5941435185185187</v>
      </c>
      <c r="M87" s="13">
        <f t="shared" si="4"/>
        <v>1.7768101851851851E-2</v>
      </c>
      <c r="N87" s="13">
        <v>1.7986921296296297</v>
      </c>
      <c r="O87" s="14">
        <f t="shared" si="5"/>
        <v>0.47234447375779598</v>
      </c>
      <c r="P87" s="13">
        <v>5.7847222222222223E-2</v>
      </c>
      <c r="Q87" s="13">
        <v>0.20645833333333333</v>
      </c>
      <c r="R87" s="13"/>
      <c r="S87" s="13"/>
      <c r="T87" s="13"/>
      <c r="U87" s="13">
        <v>0.18178240740740745</v>
      </c>
      <c r="V87" s="13">
        <v>2.7696759259259261E-2</v>
      </c>
      <c r="W87" s="13">
        <v>0.14057870370370371</v>
      </c>
      <c r="X87" s="13"/>
      <c r="Y87" s="13">
        <v>1.1842592592592591</v>
      </c>
    </row>
    <row r="88" spans="1:25" ht="15" customHeight="1" x14ac:dyDescent="0.25">
      <c r="A88" s="15" t="s">
        <v>227</v>
      </c>
      <c r="B88" s="16" t="s">
        <v>557</v>
      </c>
      <c r="C88" s="16" t="s">
        <v>327</v>
      </c>
      <c r="D88" s="15" t="s">
        <v>146</v>
      </c>
      <c r="E88" s="15" t="s">
        <v>79</v>
      </c>
      <c r="F88" s="16" t="s">
        <v>147</v>
      </c>
      <c r="G88" s="16" t="s">
        <v>106</v>
      </c>
      <c r="H88" s="15" t="s">
        <v>328</v>
      </c>
      <c r="I88" s="16">
        <v>16</v>
      </c>
      <c r="J88" s="16">
        <v>177</v>
      </c>
      <c r="K88" s="17">
        <v>4.0536458333333325</v>
      </c>
      <c r="L88" s="17">
        <v>1.0011689814814813</v>
      </c>
      <c r="M88" s="17">
        <f t="shared" si="4"/>
        <v>5.6563194444444447E-3</v>
      </c>
      <c r="N88" s="17">
        <v>0.68791666666666673</v>
      </c>
      <c r="O88" s="18">
        <f t="shared" si="5"/>
        <v>0.169703199280483</v>
      </c>
      <c r="P88" s="17">
        <v>9.9710648148148159E-2</v>
      </c>
      <c r="Q88" s="17">
        <v>0.17831018518518521</v>
      </c>
      <c r="R88" s="17">
        <v>6.236111111111111E-2</v>
      </c>
      <c r="S88" s="17">
        <v>0.10230324074074075</v>
      </c>
      <c r="T88" s="17">
        <v>1.9201388888888889E-2</v>
      </c>
      <c r="U88" s="17">
        <v>0.20414351851851853</v>
      </c>
      <c r="V88" s="17">
        <v>4.3518518518518524E-3</v>
      </c>
      <c r="W88" s="17">
        <v>1.6435185185185185E-2</v>
      </c>
      <c r="X88" s="17"/>
      <c r="Y88" s="17"/>
    </row>
    <row r="89" spans="1:25" ht="15" customHeight="1" x14ac:dyDescent="0.25">
      <c r="A89" s="11" t="s">
        <v>282</v>
      </c>
      <c r="B89" s="12" t="s">
        <v>535</v>
      </c>
      <c r="C89" s="12" t="s">
        <v>327</v>
      </c>
      <c r="D89" s="11" t="s">
        <v>233</v>
      </c>
      <c r="E89" s="11" t="s">
        <v>31</v>
      </c>
      <c r="F89" s="12" t="s">
        <v>32</v>
      </c>
      <c r="G89" s="12" t="s">
        <v>106</v>
      </c>
      <c r="H89" s="11" t="s">
        <v>328</v>
      </c>
      <c r="I89" s="12">
        <v>15</v>
      </c>
      <c r="J89" s="12">
        <v>622</v>
      </c>
      <c r="K89" s="13">
        <v>3.3748379629629621</v>
      </c>
      <c r="L89" s="13">
        <v>1.4467013888888891</v>
      </c>
      <c r="M89" s="13">
        <f t="shared" si="4"/>
        <v>2.3258912037037037E-3</v>
      </c>
      <c r="N89" s="13">
        <v>0.59340277777777772</v>
      </c>
      <c r="O89" s="14">
        <f t="shared" si="5"/>
        <v>0.17583148710843499</v>
      </c>
      <c r="P89" s="13">
        <v>7.8402777777777766E-2</v>
      </c>
      <c r="Q89" s="13">
        <v>0.21223379629629632</v>
      </c>
      <c r="R89" s="13">
        <v>9.8958333333333329E-3</v>
      </c>
      <c r="S89" s="13">
        <v>2.672453703703704E-2</v>
      </c>
      <c r="T89" s="13"/>
      <c r="U89" s="13">
        <v>0.1878009259259259</v>
      </c>
      <c r="V89" s="13">
        <v>3.4108796296296297E-2</v>
      </c>
      <c r="W89" s="13">
        <v>2.1296296296296298E-3</v>
      </c>
      <c r="X89" s="13"/>
      <c r="Y89" s="13">
        <v>4.2094907407407407E-2</v>
      </c>
    </row>
    <row r="90" spans="1:25" ht="15" customHeight="1" x14ac:dyDescent="0.25">
      <c r="A90" s="15" t="s">
        <v>675</v>
      </c>
      <c r="B90" s="16" t="s">
        <v>676</v>
      </c>
      <c r="C90" s="16" t="s">
        <v>327</v>
      </c>
      <c r="D90" s="15" t="s">
        <v>104</v>
      </c>
      <c r="E90" s="15" t="s">
        <v>31</v>
      </c>
      <c r="F90" s="16" t="s">
        <v>105</v>
      </c>
      <c r="G90" s="16" t="s">
        <v>106</v>
      </c>
      <c r="H90" s="15" t="s">
        <v>328</v>
      </c>
      <c r="I90" s="16">
        <v>16</v>
      </c>
      <c r="J90" s="16">
        <v>124</v>
      </c>
      <c r="K90" s="17">
        <v>3.7869675925925921</v>
      </c>
      <c r="L90" s="17">
        <v>2.6720717592592593</v>
      </c>
      <c r="M90" s="17">
        <f t="shared" si="4"/>
        <v>2.1548969907407407E-2</v>
      </c>
      <c r="N90" s="17">
        <v>1.676238425925926</v>
      </c>
      <c r="O90" s="18">
        <f t="shared" si="5"/>
        <v>0.44263342237327102</v>
      </c>
      <c r="P90" s="17">
        <v>2.1597222222222223E-2</v>
      </c>
      <c r="Q90" s="17">
        <v>0.20962962962962958</v>
      </c>
      <c r="R90" s="17"/>
      <c r="S90" s="17">
        <v>3.7141203703703704E-2</v>
      </c>
      <c r="T90" s="17"/>
      <c r="U90" s="17">
        <v>0.17565972222222226</v>
      </c>
      <c r="V90" s="17">
        <v>4.3171296296296298E-2</v>
      </c>
      <c r="W90" s="17">
        <v>1.6712962962962964E-2</v>
      </c>
      <c r="X90" s="17"/>
      <c r="Y90" s="17">
        <v>1.1722685185185184</v>
      </c>
    </row>
    <row r="91" spans="1:25" ht="15" customHeight="1" x14ac:dyDescent="0.25">
      <c r="A91" s="11" t="s">
        <v>677</v>
      </c>
      <c r="B91" s="12" t="s">
        <v>678</v>
      </c>
      <c r="C91" s="12" t="s">
        <v>327</v>
      </c>
      <c r="D91" s="11" t="s">
        <v>274</v>
      </c>
      <c r="E91" s="11" t="s">
        <v>79</v>
      </c>
      <c r="F91" s="12" t="s">
        <v>147</v>
      </c>
      <c r="G91" s="12" t="s">
        <v>33</v>
      </c>
      <c r="H91" s="11" t="s">
        <v>328</v>
      </c>
      <c r="I91" s="12">
        <v>15</v>
      </c>
      <c r="J91" s="12">
        <v>290</v>
      </c>
      <c r="K91" s="13">
        <v>3.6478703703703701</v>
      </c>
      <c r="L91" s="13">
        <v>0.92605324074074069</v>
      </c>
      <c r="M91" s="13">
        <f t="shared" si="4"/>
        <v>3.1932870370370366E-3</v>
      </c>
      <c r="N91" s="13">
        <v>0.51570601851851849</v>
      </c>
      <c r="O91" s="14">
        <f t="shared" si="5"/>
        <v>0.141371804959769</v>
      </c>
      <c r="P91" s="13">
        <v>4.4861111111111109E-2</v>
      </c>
      <c r="Q91" s="13">
        <v>0.20554398148148148</v>
      </c>
      <c r="R91" s="13">
        <v>3.0902777777777777E-3</v>
      </c>
      <c r="S91" s="13">
        <v>3.4351851851851849E-2</v>
      </c>
      <c r="T91" s="13">
        <v>9.432870370370371E-3</v>
      </c>
      <c r="U91" s="13">
        <v>0.1972800925925926</v>
      </c>
      <c r="V91" s="13">
        <v>7.2222222222222219E-3</v>
      </c>
      <c r="W91" s="13">
        <v>1.2199074074074074E-2</v>
      </c>
      <c r="X91" s="13"/>
      <c r="Y91" s="13">
        <v>1.3888888888888889E-3</v>
      </c>
    </row>
    <row r="92" spans="1:25" ht="15" customHeight="1" x14ac:dyDescent="0.25">
      <c r="A92" s="15" t="s">
        <v>679</v>
      </c>
      <c r="B92" s="16" t="s">
        <v>680</v>
      </c>
      <c r="C92" s="16" t="s">
        <v>327</v>
      </c>
      <c r="D92" s="15" t="s">
        <v>274</v>
      </c>
      <c r="E92" s="15" t="s">
        <v>79</v>
      </c>
      <c r="F92" s="16" t="s">
        <v>147</v>
      </c>
      <c r="G92" s="16" t="s">
        <v>33</v>
      </c>
      <c r="H92" s="15" t="s">
        <v>328</v>
      </c>
      <c r="I92" s="16">
        <v>5</v>
      </c>
      <c r="J92" s="16">
        <v>95</v>
      </c>
      <c r="K92" s="17">
        <v>1.2823148148148149</v>
      </c>
      <c r="L92" s="17">
        <v>0.26538194444444446</v>
      </c>
      <c r="M92" s="17">
        <f t="shared" si="4"/>
        <v>2.7934953703703702E-3</v>
      </c>
      <c r="N92" s="17">
        <v>0.26217592592592592</v>
      </c>
      <c r="O92" s="18">
        <f t="shared" si="5"/>
        <v>0.20445519532096201</v>
      </c>
      <c r="P92" s="17">
        <v>2.9490740740740738E-2</v>
      </c>
      <c r="Q92" s="17">
        <v>0.10355324074074074</v>
      </c>
      <c r="R92" s="17"/>
      <c r="S92" s="17">
        <v>7.2465277777777781E-2</v>
      </c>
      <c r="T92" s="17"/>
      <c r="U92" s="17">
        <v>4.4780092592592594E-2</v>
      </c>
      <c r="V92" s="17">
        <v>4.7453703703703709E-4</v>
      </c>
      <c r="W92" s="17">
        <v>1.0277777777777778E-2</v>
      </c>
      <c r="X92" s="17"/>
      <c r="Y92" s="17">
        <v>8.9120370370370373E-4</v>
      </c>
    </row>
    <row r="93" spans="1:25" ht="15" customHeight="1" x14ac:dyDescent="0.25">
      <c r="A93" s="11" t="s">
        <v>148</v>
      </c>
      <c r="B93" s="12" t="s">
        <v>513</v>
      </c>
      <c r="C93" s="12" t="s">
        <v>327</v>
      </c>
      <c r="D93" s="11" t="s">
        <v>104</v>
      </c>
      <c r="E93" s="11" t="s">
        <v>31</v>
      </c>
      <c r="F93" s="12" t="s">
        <v>105</v>
      </c>
      <c r="G93" s="12" t="s">
        <v>106</v>
      </c>
      <c r="H93" s="11" t="s">
        <v>328</v>
      </c>
      <c r="I93" s="12">
        <v>15</v>
      </c>
      <c r="J93" s="12">
        <v>131</v>
      </c>
      <c r="K93" s="13">
        <v>3.3202430555555562</v>
      </c>
      <c r="L93" s="13">
        <v>2.1173842592592593</v>
      </c>
      <c r="M93" s="13">
        <f t="shared" si="4"/>
        <v>1.6163240740740738E-2</v>
      </c>
      <c r="N93" s="13">
        <v>1.8757407407407409</v>
      </c>
      <c r="O93" s="14">
        <f t="shared" si="5"/>
        <v>0.56494079178998102</v>
      </c>
      <c r="P93" s="13">
        <v>8.3298611111111101E-2</v>
      </c>
      <c r="Q93" s="13">
        <v>0.18873842592592593</v>
      </c>
      <c r="R93" s="13"/>
      <c r="S93" s="13">
        <v>2.9201388888888891E-2</v>
      </c>
      <c r="T93" s="13"/>
      <c r="U93" s="13">
        <v>0.16625000000000004</v>
      </c>
      <c r="V93" s="13">
        <v>0.1670949074074074</v>
      </c>
      <c r="W93" s="13">
        <v>2.9907407407407403E-2</v>
      </c>
      <c r="X93" s="13"/>
      <c r="Y93" s="13">
        <v>1.2111689814814814</v>
      </c>
    </row>
    <row r="94" spans="1:25" ht="15" customHeight="1" x14ac:dyDescent="0.25">
      <c r="A94" s="15" t="s">
        <v>82</v>
      </c>
      <c r="B94" s="16" t="s">
        <v>83</v>
      </c>
      <c r="C94" s="16" t="s">
        <v>327</v>
      </c>
      <c r="D94" s="15" t="s">
        <v>78</v>
      </c>
      <c r="E94" s="15" t="s">
        <v>79</v>
      </c>
      <c r="F94" s="16" t="s">
        <v>80</v>
      </c>
      <c r="G94" s="16" t="s">
        <v>81</v>
      </c>
      <c r="H94" s="15" t="s">
        <v>330</v>
      </c>
      <c r="I94" s="16">
        <v>13</v>
      </c>
      <c r="J94" s="16">
        <v>0</v>
      </c>
      <c r="K94" s="17">
        <v>2.0995601851851853</v>
      </c>
      <c r="L94" s="17">
        <v>0</v>
      </c>
      <c r="M94" s="17">
        <f t="shared" si="4"/>
        <v>0</v>
      </c>
      <c r="N94" s="17">
        <v>1.5318287037037039</v>
      </c>
      <c r="O94" s="18">
        <f t="shared" si="5"/>
        <v>0.72959504305355005</v>
      </c>
      <c r="P94" s="17"/>
      <c r="Q94" s="17"/>
      <c r="R94" s="17"/>
      <c r="S94" s="17"/>
      <c r="T94" s="17">
        <v>0.20010416666666667</v>
      </c>
      <c r="U94" s="17">
        <v>0.22218749999999998</v>
      </c>
      <c r="V94" s="17">
        <v>1.1094097222222221</v>
      </c>
      <c r="W94" s="17"/>
      <c r="X94" s="17"/>
      <c r="Y94" s="17"/>
    </row>
    <row r="95" spans="1:25" ht="15" customHeight="1" x14ac:dyDescent="0.25">
      <c r="A95" s="11" t="s">
        <v>493</v>
      </c>
      <c r="B95" s="12" t="s">
        <v>569</v>
      </c>
      <c r="C95" s="12" t="s">
        <v>327</v>
      </c>
      <c r="D95" s="11" t="s">
        <v>104</v>
      </c>
      <c r="E95" s="11" t="s">
        <v>31</v>
      </c>
      <c r="F95" s="12" t="s">
        <v>105</v>
      </c>
      <c r="G95" s="12" t="s">
        <v>106</v>
      </c>
      <c r="H95" s="11" t="s">
        <v>328</v>
      </c>
      <c r="I95" s="12">
        <v>9</v>
      </c>
      <c r="J95" s="12">
        <v>142</v>
      </c>
      <c r="K95" s="13">
        <v>2.1986342592592591</v>
      </c>
      <c r="L95" s="13">
        <v>1.5698958333333335</v>
      </c>
      <c r="M95" s="13">
        <f t="shared" si="4"/>
        <v>1.1055601851851851E-2</v>
      </c>
      <c r="N95" s="13">
        <v>0.98940972222222223</v>
      </c>
      <c r="O95" s="14">
        <f t="shared" si="5"/>
        <v>0.450011054842548</v>
      </c>
      <c r="P95" s="13">
        <v>9.4016203703703713E-2</v>
      </c>
      <c r="Q95" s="13">
        <v>0.14082175925925924</v>
      </c>
      <c r="R95" s="13">
        <v>4.8124999999999994E-2</v>
      </c>
      <c r="S95" s="13">
        <v>1.4016203703703704E-2</v>
      </c>
      <c r="T95" s="13">
        <v>3.3981481481481481E-2</v>
      </c>
      <c r="U95" s="13">
        <v>0.11842592592592592</v>
      </c>
      <c r="V95" s="13">
        <v>4.5023148148148149E-3</v>
      </c>
      <c r="W95" s="13">
        <v>3.1273148148148147E-2</v>
      </c>
      <c r="X95" s="13"/>
      <c r="Y95" s="13">
        <v>0.50229166666666669</v>
      </c>
    </row>
    <row r="96" spans="1:25" ht="15" customHeight="1" x14ac:dyDescent="0.25">
      <c r="A96" s="15" t="s">
        <v>307</v>
      </c>
      <c r="B96" s="16" t="s">
        <v>308</v>
      </c>
      <c r="C96" s="16" t="s">
        <v>327</v>
      </c>
      <c r="D96" s="15" t="s">
        <v>78</v>
      </c>
      <c r="E96" s="15" t="s">
        <v>79</v>
      </c>
      <c r="F96" s="16" t="s">
        <v>80</v>
      </c>
      <c r="G96" s="16" t="s">
        <v>81</v>
      </c>
      <c r="H96" s="15" t="s">
        <v>330</v>
      </c>
      <c r="I96" s="16">
        <v>13</v>
      </c>
      <c r="J96" s="16">
        <v>0</v>
      </c>
      <c r="K96" s="17">
        <v>4.0142476851851852</v>
      </c>
      <c r="L96" s="17">
        <v>0</v>
      </c>
      <c r="M96" s="17">
        <f t="shared" si="4"/>
        <v>0</v>
      </c>
      <c r="N96" s="17">
        <v>1.1589120370370369</v>
      </c>
      <c r="O96" s="18">
        <f t="shared" si="5"/>
        <v>0.288699683707627</v>
      </c>
      <c r="P96" s="17">
        <v>3.3449074074074076E-3</v>
      </c>
      <c r="Q96" s="17"/>
      <c r="R96" s="17"/>
      <c r="S96" s="17"/>
      <c r="T96" s="17">
        <v>0.28643518518518513</v>
      </c>
      <c r="U96" s="17">
        <v>0.19157407407407406</v>
      </c>
      <c r="V96" s="17">
        <v>2.7662037037037039E-3</v>
      </c>
      <c r="W96" s="17">
        <v>0.49298611111111112</v>
      </c>
      <c r="X96" s="17"/>
      <c r="Y96" s="17">
        <v>0.1425925925925926</v>
      </c>
    </row>
    <row r="97" spans="1:25" ht="15" customHeight="1" x14ac:dyDescent="0.25">
      <c r="A97" s="11" t="s">
        <v>38</v>
      </c>
      <c r="B97" s="12" t="s">
        <v>536</v>
      </c>
      <c r="C97" s="12" t="s">
        <v>327</v>
      </c>
      <c r="D97" s="11" t="s">
        <v>100</v>
      </c>
      <c r="E97" s="11" t="s">
        <v>31</v>
      </c>
      <c r="F97" s="12" t="s">
        <v>32</v>
      </c>
      <c r="G97" s="12" t="s">
        <v>33</v>
      </c>
      <c r="H97" s="11" t="s">
        <v>328</v>
      </c>
      <c r="I97" s="12">
        <v>8</v>
      </c>
      <c r="J97" s="12">
        <v>35</v>
      </c>
      <c r="K97" s="13">
        <v>1.6950694444444447</v>
      </c>
      <c r="L97" s="13">
        <v>0.32055555555555559</v>
      </c>
      <c r="M97" s="13">
        <f t="shared" si="4"/>
        <v>9.1587268518518519E-3</v>
      </c>
      <c r="N97" s="13">
        <v>1.3694907407407406</v>
      </c>
      <c r="O97" s="14">
        <f t="shared" si="5"/>
        <v>0.80792603820995001</v>
      </c>
      <c r="P97" s="13">
        <v>6.744212962962963E-2</v>
      </c>
      <c r="Q97" s="13">
        <v>6.7245370370370372E-2</v>
      </c>
      <c r="R97" s="13"/>
      <c r="S97" s="13"/>
      <c r="T97" s="13">
        <v>1.1759259259259259E-2</v>
      </c>
      <c r="U97" s="13">
        <v>0.12771990740740741</v>
      </c>
      <c r="V97" s="13">
        <v>1.2812500000000001E-2</v>
      </c>
      <c r="W97" s="13"/>
      <c r="X97" s="13"/>
      <c r="Y97" s="13">
        <v>1.0825115740740741</v>
      </c>
    </row>
    <row r="98" spans="1:25" ht="15" customHeight="1" x14ac:dyDescent="0.25">
      <c r="A98" s="15" t="s">
        <v>681</v>
      </c>
      <c r="B98" s="16" t="s">
        <v>682</v>
      </c>
      <c r="C98" s="16" t="s">
        <v>327</v>
      </c>
      <c r="D98" s="15" t="s">
        <v>601</v>
      </c>
      <c r="E98" s="15" t="s">
        <v>31</v>
      </c>
      <c r="F98" s="16" t="s">
        <v>105</v>
      </c>
      <c r="G98" s="16" t="s">
        <v>33</v>
      </c>
      <c r="H98" s="15" t="s">
        <v>328</v>
      </c>
      <c r="I98" s="16">
        <v>13</v>
      </c>
      <c r="J98" s="16">
        <v>55</v>
      </c>
      <c r="K98" s="17">
        <v>2.7139930555555556</v>
      </c>
      <c r="L98" s="17">
        <v>1.3061342592592591</v>
      </c>
      <c r="M98" s="17">
        <f t="shared" si="4"/>
        <v>2.3747893518518522E-2</v>
      </c>
      <c r="N98" s="17">
        <v>2.0412731481481483</v>
      </c>
      <c r="O98" s="18">
        <f t="shared" si="5"/>
        <v>0.75212909774019299</v>
      </c>
      <c r="P98" s="17">
        <v>6.3356481481481472E-2</v>
      </c>
      <c r="Q98" s="17">
        <v>0.17910879629629628</v>
      </c>
      <c r="R98" s="17"/>
      <c r="S98" s="17">
        <v>4.0300925925925928E-2</v>
      </c>
      <c r="T98" s="17"/>
      <c r="U98" s="17">
        <v>0.16310185185185183</v>
      </c>
      <c r="V98" s="17">
        <v>1.1006944444444444E-2</v>
      </c>
      <c r="W98" s="17">
        <v>1.0630902777777778</v>
      </c>
      <c r="X98" s="17"/>
      <c r="Y98" s="17">
        <v>0.52130787037037041</v>
      </c>
    </row>
    <row r="99" spans="1:25" ht="15" customHeight="1" x14ac:dyDescent="0.25">
      <c r="A99" s="11" t="s">
        <v>156</v>
      </c>
      <c r="B99" s="12" t="s">
        <v>516</v>
      </c>
      <c r="C99" s="12" t="s">
        <v>327</v>
      </c>
      <c r="D99" s="11" t="s">
        <v>146</v>
      </c>
      <c r="E99" s="11" t="s">
        <v>79</v>
      </c>
      <c r="F99" s="12" t="s">
        <v>147</v>
      </c>
      <c r="G99" s="12" t="s">
        <v>106</v>
      </c>
      <c r="H99" s="11" t="s">
        <v>328</v>
      </c>
      <c r="I99" s="12">
        <v>14</v>
      </c>
      <c r="J99" s="12">
        <v>277</v>
      </c>
      <c r="K99" s="13">
        <v>3.35837962962963</v>
      </c>
      <c r="L99" s="13">
        <v>0.7468055555555555</v>
      </c>
      <c r="M99" s="13">
        <f t="shared" ref="M99:M116" si="6">IFERROR(L99/J99,0)</f>
        <v>2.6960532407407406E-3</v>
      </c>
      <c r="N99" s="13">
        <v>0.56407407407407395</v>
      </c>
      <c r="O99" s="14">
        <f t="shared" ref="O99:O116" si="7">IFERROR(N99/K99,0)</f>
        <v>0.16796018803159601</v>
      </c>
      <c r="P99" s="13">
        <v>2.9351851851851851E-2</v>
      </c>
      <c r="Q99" s="13">
        <v>0.15988425925925925</v>
      </c>
      <c r="R99" s="13">
        <v>1.2812500000000001E-2</v>
      </c>
      <c r="S99" s="13">
        <v>8.4247685185185175E-2</v>
      </c>
      <c r="T99" s="13">
        <v>1.1574074074074075E-4</v>
      </c>
      <c r="U99" s="13">
        <v>0.18030092592592592</v>
      </c>
      <c r="V99" s="13">
        <v>8.5300925925925933E-2</v>
      </c>
      <c r="W99" s="13">
        <v>1.1597222222222222E-2</v>
      </c>
      <c r="X99" s="13"/>
      <c r="Y99" s="13">
        <v>3.4722222222222222E-5</v>
      </c>
    </row>
    <row r="100" spans="1:25" ht="15" customHeight="1" x14ac:dyDescent="0.25">
      <c r="A100" s="15" t="s">
        <v>609</v>
      </c>
      <c r="B100" s="16" t="s">
        <v>632</v>
      </c>
      <c r="C100" s="16" t="s">
        <v>327</v>
      </c>
      <c r="D100" s="15" t="s">
        <v>601</v>
      </c>
      <c r="E100" s="15" t="s">
        <v>31</v>
      </c>
      <c r="F100" s="16" t="s">
        <v>105</v>
      </c>
      <c r="G100" s="16" t="s">
        <v>33</v>
      </c>
      <c r="H100" s="15" t="s">
        <v>328</v>
      </c>
      <c r="I100" s="16">
        <v>12</v>
      </c>
      <c r="J100" s="16">
        <v>66</v>
      </c>
      <c r="K100" s="17">
        <v>2.251203703703704</v>
      </c>
      <c r="L100" s="17">
        <v>1.1114814814814815</v>
      </c>
      <c r="M100" s="17">
        <f t="shared" si="6"/>
        <v>1.6840624999999998E-2</v>
      </c>
      <c r="N100" s="17">
        <v>1.8919560185185187</v>
      </c>
      <c r="O100" s="18">
        <f t="shared" si="7"/>
        <v>0.84041973429852301</v>
      </c>
      <c r="P100" s="17">
        <v>0.22734953703703703</v>
      </c>
      <c r="Q100" s="17">
        <v>0.16832175925925927</v>
      </c>
      <c r="R100" s="17"/>
      <c r="S100" s="17">
        <v>4.5138888888888887E-4</v>
      </c>
      <c r="T100" s="17"/>
      <c r="U100" s="17">
        <v>0.12913194444444442</v>
      </c>
      <c r="V100" s="17">
        <v>3.9236111111111104E-3</v>
      </c>
      <c r="W100" s="17">
        <v>1.0159606481481482</v>
      </c>
      <c r="X100" s="17"/>
      <c r="Y100" s="17">
        <v>0.34681712962962957</v>
      </c>
    </row>
    <row r="101" spans="1:25" ht="15" customHeight="1" x14ac:dyDescent="0.25">
      <c r="A101" s="11" t="s">
        <v>497</v>
      </c>
      <c r="B101" s="12" t="s">
        <v>498</v>
      </c>
      <c r="C101" s="12" t="s">
        <v>327</v>
      </c>
      <c r="D101" s="11" t="s">
        <v>78</v>
      </c>
      <c r="E101" s="11" t="s">
        <v>79</v>
      </c>
      <c r="F101" s="12" t="s">
        <v>80</v>
      </c>
      <c r="G101" s="12" t="s">
        <v>81</v>
      </c>
      <c r="H101" s="11" t="s">
        <v>330</v>
      </c>
      <c r="I101" s="12">
        <v>13</v>
      </c>
      <c r="J101" s="12">
        <v>3</v>
      </c>
      <c r="K101" s="13">
        <v>4.1229976851851848</v>
      </c>
      <c r="L101" s="13">
        <v>4.431712962962963E-2</v>
      </c>
      <c r="M101" s="13">
        <f t="shared" si="6"/>
        <v>1.4772372685185187E-2</v>
      </c>
      <c r="N101" s="13">
        <v>0.90199074074074059</v>
      </c>
      <c r="O101" s="14">
        <f t="shared" si="7"/>
        <v>0.218770615366045</v>
      </c>
      <c r="P101" s="13">
        <v>2.0393518518518519E-2</v>
      </c>
      <c r="Q101" s="13">
        <v>0.15146990740740743</v>
      </c>
      <c r="R101" s="13"/>
      <c r="S101" s="13">
        <v>4.6064814814814814E-3</v>
      </c>
      <c r="T101" s="13"/>
      <c r="U101" s="13">
        <v>0.55074074074074075</v>
      </c>
      <c r="V101" s="13">
        <v>2.2847222222222224E-2</v>
      </c>
      <c r="W101" s="13"/>
      <c r="X101" s="13"/>
      <c r="Y101" s="13">
        <v>0.1511689814814815</v>
      </c>
    </row>
    <row r="102" spans="1:25" ht="15" customHeight="1" x14ac:dyDescent="0.25">
      <c r="A102" s="15" t="s">
        <v>309</v>
      </c>
      <c r="B102" s="16" t="s">
        <v>310</v>
      </c>
      <c r="C102" s="16" t="s">
        <v>327</v>
      </c>
      <c r="D102" s="15" t="s">
        <v>78</v>
      </c>
      <c r="E102" s="15" t="s">
        <v>79</v>
      </c>
      <c r="F102" s="16" t="s">
        <v>80</v>
      </c>
      <c r="G102" s="16" t="s">
        <v>81</v>
      </c>
      <c r="H102" s="15" t="s">
        <v>330</v>
      </c>
      <c r="I102" s="16">
        <v>13</v>
      </c>
      <c r="J102" s="16">
        <v>6</v>
      </c>
      <c r="K102" s="17">
        <v>4.1689004629629629</v>
      </c>
      <c r="L102" s="17">
        <v>7.8831018518518522E-2</v>
      </c>
      <c r="M102" s="17">
        <f t="shared" si="6"/>
        <v>1.3138506944444444E-2</v>
      </c>
      <c r="N102" s="17">
        <v>0.90622685185185181</v>
      </c>
      <c r="O102" s="18">
        <f t="shared" si="7"/>
        <v>0.21737790573387</v>
      </c>
      <c r="P102" s="17">
        <v>9.9814814814814828E-2</v>
      </c>
      <c r="Q102" s="17">
        <v>0.51399305555555552</v>
      </c>
      <c r="R102" s="17"/>
      <c r="S102" s="17"/>
      <c r="T102" s="17"/>
      <c r="U102" s="17">
        <v>9.6886574074074069E-2</v>
      </c>
      <c r="V102" s="17">
        <v>1.269675925925926E-2</v>
      </c>
      <c r="W102" s="17">
        <v>5.8564814814814816E-3</v>
      </c>
      <c r="X102" s="17"/>
      <c r="Y102" s="17">
        <v>0.1766898148148148</v>
      </c>
    </row>
    <row r="103" spans="1:25" ht="15" customHeight="1" x14ac:dyDescent="0.25">
      <c r="A103" s="11" t="s">
        <v>48</v>
      </c>
      <c r="B103" s="12" t="s">
        <v>508</v>
      </c>
      <c r="C103" s="12" t="s">
        <v>327</v>
      </c>
      <c r="D103" s="11" t="s">
        <v>100</v>
      </c>
      <c r="E103" s="11" t="s">
        <v>31</v>
      </c>
      <c r="F103" s="12" t="s">
        <v>32</v>
      </c>
      <c r="G103" s="12" t="s">
        <v>33</v>
      </c>
      <c r="H103" s="11" t="s">
        <v>328</v>
      </c>
      <c r="I103" s="12">
        <v>14</v>
      </c>
      <c r="J103" s="12">
        <v>468</v>
      </c>
      <c r="K103" s="13">
        <v>3.4302777777777784</v>
      </c>
      <c r="L103" s="13">
        <v>2.062013888888889</v>
      </c>
      <c r="M103" s="13">
        <f t="shared" si="6"/>
        <v>4.4060069444444442E-3</v>
      </c>
      <c r="N103" s="13">
        <v>0.83084490740740735</v>
      </c>
      <c r="O103" s="14">
        <f t="shared" si="7"/>
        <v>0.242209220719626</v>
      </c>
      <c r="P103" s="13">
        <v>7.4722222222222218E-2</v>
      </c>
      <c r="Q103" s="13">
        <v>0.1670601851851852</v>
      </c>
      <c r="R103" s="13"/>
      <c r="S103" s="13">
        <v>4.1921296296296297E-2</v>
      </c>
      <c r="T103" s="13">
        <v>0.03</v>
      </c>
      <c r="U103" s="13">
        <v>0.18223379629629627</v>
      </c>
      <c r="V103" s="13">
        <v>6.0879629629629617E-3</v>
      </c>
      <c r="W103" s="13">
        <v>1.699074074074074E-2</v>
      </c>
      <c r="X103" s="13"/>
      <c r="Y103" s="13">
        <v>0.31090277777777775</v>
      </c>
    </row>
    <row r="104" spans="1:25" ht="15" customHeight="1" x14ac:dyDescent="0.25">
      <c r="A104" s="15" t="s">
        <v>248</v>
      </c>
      <c r="B104" s="16" t="s">
        <v>249</v>
      </c>
      <c r="C104" s="16" t="s">
        <v>327</v>
      </c>
      <c r="D104" s="15" t="s">
        <v>78</v>
      </c>
      <c r="E104" s="15" t="s">
        <v>79</v>
      </c>
      <c r="F104" s="16" t="s">
        <v>80</v>
      </c>
      <c r="G104" s="16" t="s">
        <v>81</v>
      </c>
      <c r="H104" s="15" t="s">
        <v>330</v>
      </c>
      <c r="I104" s="16">
        <v>12</v>
      </c>
      <c r="J104" s="16">
        <v>2</v>
      </c>
      <c r="K104" s="17">
        <v>3.4</v>
      </c>
      <c r="L104" s="17">
        <v>7.4560185185185188E-2</v>
      </c>
      <c r="M104" s="17">
        <f t="shared" si="6"/>
        <v>3.7280092592592594E-2</v>
      </c>
      <c r="N104" s="17">
        <v>0.27057870370370368</v>
      </c>
      <c r="O104" s="18">
        <f t="shared" si="7"/>
        <v>7.9581971677559898E-2</v>
      </c>
      <c r="P104" s="17">
        <v>2.8935185185185184E-4</v>
      </c>
      <c r="Q104" s="17">
        <v>1.3668981481481482E-2</v>
      </c>
      <c r="R104" s="17"/>
      <c r="S104" s="17"/>
      <c r="T104" s="17"/>
      <c r="U104" s="17"/>
      <c r="V104" s="17">
        <v>1.6435185185185188E-3</v>
      </c>
      <c r="W104" s="17">
        <v>0.24196759259259257</v>
      </c>
      <c r="X104" s="17"/>
      <c r="Y104" s="17">
        <v>1.2418981481481482E-2</v>
      </c>
    </row>
    <row r="105" spans="1:25" ht="15" customHeight="1" x14ac:dyDescent="0.25">
      <c r="A105" s="11" t="s">
        <v>90</v>
      </c>
      <c r="B105" s="12" t="s">
        <v>91</v>
      </c>
      <c r="C105" s="12" t="s">
        <v>327</v>
      </c>
      <c r="D105" s="11" t="s">
        <v>78</v>
      </c>
      <c r="E105" s="11" t="s">
        <v>79</v>
      </c>
      <c r="F105" s="12" t="s">
        <v>80</v>
      </c>
      <c r="G105" s="12" t="s">
        <v>81</v>
      </c>
      <c r="H105" s="11" t="s">
        <v>330</v>
      </c>
      <c r="I105" s="12">
        <v>1</v>
      </c>
      <c r="J105" s="12">
        <v>0</v>
      </c>
      <c r="K105" s="13">
        <v>0.3513310185185185</v>
      </c>
      <c r="L105" s="13">
        <v>0</v>
      </c>
      <c r="M105" s="13">
        <f t="shared" si="6"/>
        <v>0</v>
      </c>
      <c r="N105" s="13">
        <v>3.0833333333333334E-2</v>
      </c>
      <c r="O105" s="14">
        <f t="shared" si="7"/>
        <v>8.7761489046285598E-2</v>
      </c>
      <c r="P105" s="13">
        <v>1.1134259259259259E-2</v>
      </c>
      <c r="Q105" s="13">
        <v>9.3749999999999997E-3</v>
      </c>
      <c r="R105" s="13"/>
      <c r="S105" s="13"/>
      <c r="T105" s="13">
        <v>9.8726851851851857E-3</v>
      </c>
      <c r="U105" s="13"/>
      <c r="V105" s="13">
        <v>1.6203703703703703E-4</v>
      </c>
      <c r="W105" s="13">
        <v>2.6620370370370372E-4</v>
      </c>
      <c r="X105" s="13"/>
      <c r="Y105" s="13"/>
    </row>
    <row r="106" spans="1:25" ht="15" customHeight="1" x14ac:dyDescent="0.25">
      <c r="A106" s="15" t="s">
        <v>92</v>
      </c>
      <c r="B106" s="16" t="s">
        <v>93</v>
      </c>
      <c r="C106" s="16" t="s">
        <v>327</v>
      </c>
      <c r="D106" s="15" t="s">
        <v>78</v>
      </c>
      <c r="E106" s="15" t="s">
        <v>79</v>
      </c>
      <c r="F106" s="16" t="s">
        <v>80</v>
      </c>
      <c r="G106" s="16" t="s">
        <v>81</v>
      </c>
      <c r="H106" s="15" t="s">
        <v>330</v>
      </c>
      <c r="I106" s="16">
        <v>12</v>
      </c>
      <c r="J106" s="16">
        <v>1</v>
      </c>
      <c r="K106" s="17">
        <v>3.2958449074074072</v>
      </c>
      <c r="L106" s="17">
        <v>2.6990740740740742E-2</v>
      </c>
      <c r="M106" s="17">
        <f t="shared" si="6"/>
        <v>2.6990740740740742E-2</v>
      </c>
      <c r="N106" s="17">
        <v>1.9693865740740739</v>
      </c>
      <c r="O106" s="18">
        <f t="shared" si="7"/>
        <v>0.59753617946277804</v>
      </c>
      <c r="P106" s="17">
        <v>1.3912037037037037E-2</v>
      </c>
      <c r="Q106" s="17">
        <v>0.84528935185185183</v>
      </c>
      <c r="R106" s="17"/>
      <c r="S106" s="17"/>
      <c r="T106" s="17">
        <v>2.5763888888888888E-2</v>
      </c>
      <c r="U106" s="17">
        <v>0.20254629629629628</v>
      </c>
      <c r="V106" s="17">
        <v>0.63807870370370368</v>
      </c>
      <c r="W106" s="17">
        <v>0.24347222222222223</v>
      </c>
      <c r="X106" s="17"/>
      <c r="Y106" s="17"/>
    </row>
    <row r="107" spans="1:25" ht="15" customHeight="1" x14ac:dyDescent="0.25">
      <c r="A107" s="11" t="s">
        <v>94</v>
      </c>
      <c r="B107" s="12" t="s">
        <v>95</v>
      </c>
      <c r="C107" s="12" t="s">
        <v>327</v>
      </c>
      <c r="D107" s="11" t="s">
        <v>78</v>
      </c>
      <c r="E107" s="11" t="s">
        <v>79</v>
      </c>
      <c r="F107" s="12" t="s">
        <v>80</v>
      </c>
      <c r="G107" s="12" t="s">
        <v>81</v>
      </c>
      <c r="H107" s="11" t="s">
        <v>330</v>
      </c>
      <c r="I107" s="12">
        <v>13</v>
      </c>
      <c r="J107" s="12">
        <v>0</v>
      </c>
      <c r="K107" s="13">
        <v>4.0651273148148155</v>
      </c>
      <c r="L107" s="13">
        <v>0</v>
      </c>
      <c r="M107" s="13">
        <f t="shared" si="6"/>
        <v>0</v>
      </c>
      <c r="N107" s="13">
        <v>1.3889467592592595</v>
      </c>
      <c r="O107" s="14">
        <f t="shared" si="7"/>
        <v>0.34167361848604999</v>
      </c>
      <c r="P107" s="13">
        <v>4.763888888888889E-2</v>
      </c>
      <c r="Q107" s="13">
        <v>0.15449074074074073</v>
      </c>
      <c r="R107" s="13"/>
      <c r="S107" s="13"/>
      <c r="T107" s="13">
        <v>1.0669907407407406</v>
      </c>
      <c r="U107" s="13">
        <v>9.1180555555555542E-2</v>
      </c>
      <c r="V107" s="13">
        <v>2.6620370370370372E-4</v>
      </c>
      <c r="W107" s="13">
        <v>2.8252314814814817E-2</v>
      </c>
      <c r="X107" s="13"/>
      <c r="Y107" s="13"/>
    </row>
    <row r="108" spans="1:25" ht="15" customHeight="1" x14ac:dyDescent="0.25">
      <c r="A108" s="15" t="s">
        <v>256</v>
      </c>
      <c r="B108" s="16" t="s">
        <v>529</v>
      </c>
      <c r="C108" s="16" t="s">
        <v>327</v>
      </c>
      <c r="D108" s="15" t="s">
        <v>233</v>
      </c>
      <c r="E108" s="15" t="s">
        <v>31</v>
      </c>
      <c r="F108" s="16" t="s">
        <v>32</v>
      </c>
      <c r="G108" s="16" t="s">
        <v>106</v>
      </c>
      <c r="H108" s="15" t="s">
        <v>328</v>
      </c>
      <c r="I108" s="16">
        <v>15</v>
      </c>
      <c r="J108" s="16">
        <v>302</v>
      </c>
      <c r="K108" s="17">
        <v>3.4928356481481484</v>
      </c>
      <c r="L108" s="17">
        <v>1.6971990740740741</v>
      </c>
      <c r="M108" s="17">
        <f t="shared" si="6"/>
        <v>5.6198611111111111E-3</v>
      </c>
      <c r="N108" s="17">
        <v>0.73297453703703719</v>
      </c>
      <c r="O108" s="18">
        <f t="shared" si="7"/>
        <v>0.20985085210798601</v>
      </c>
      <c r="P108" s="17">
        <v>0.16760416666666669</v>
      </c>
      <c r="Q108" s="17">
        <v>0.22557870370370375</v>
      </c>
      <c r="R108" s="17"/>
      <c r="S108" s="17"/>
      <c r="T108" s="17">
        <v>4.6180555555555558E-3</v>
      </c>
      <c r="U108" s="17">
        <v>0.22951388888888888</v>
      </c>
      <c r="V108" s="17">
        <v>1.0428240740740743E-2</v>
      </c>
      <c r="W108" s="17">
        <v>8.1840277777777762E-2</v>
      </c>
      <c r="X108" s="17"/>
      <c r="Y108" s="17">
        <v>1.2499999999999999E-2</v>
      </c>
    </row>
    <row r="109" spans="1:25" ht="15" customHeight="1" x14ac:dyDescent="0.25">
      <c r="A109" s="11" t="s">
        <v>264</v>
      </c>
      <c r="B109" s="12" t="s">
        <v>530</v>
      </c>
      <c r="C109" s="12" t="s">
        <v>327</v>
      </c>
      <c r="D109" s="11" t="s">
        <v>78</v>
      </c>
      <c r="E109" s="11" t="s">
        <v>79</v>
      </c>
      <c r="F109" s="12" t="s">
        <v>80</v>
      </c>
      <c r="G109" s="12" t="s">
        <v>106</v>
      </c>
      <c r="H109" s="11" t="s">
        <v>330</v>
      </c>
      <c r="I109" s="12">
        <v>12</v>
      </c>
      <c r="J109" s="12">
        <v>6</v>
      </c>
      <c r="K109" s="13">
        <v>3.6420833333333333</v>
      </c>
      <c r="L109" s="13">
        <v>7.8900462962962964E-2</v>
      </c>
      <c r="M109" s="13">
        <f t="shared" si="6"/>
        <v>1.3150081018518518E-2</v>
      </c>
      <c r="N109" s="13">
        <v>1.3152662037037035</v>
      </c>
      <c r="O109" s="14">
        <f t="shared" si="7"/>
        <v>0.36113017834216798</v>
      </c>
      <c r="P109" s="13">
        <v>8.1018518518518516E-5</v>
      </c>
      <c r="Q109" s="13">
        <v>9.3287037037037036E-3</v>
      </c>
      <c r="R109" s="13"/>
      <c r="S109" s="13"/>
      <c r="T109" s="13">
        <v>2.2465277777777778E-2</v>
      </c>
      <c r="U109" s="13">
        <v>4.130787037037037E-2</v>
      </c>
      <c r="V109" s="13">
        <v>1.3055555555555556E-2</v>
      </c>
      <c r="W109" s="13">
        <v>0.43599537037037039</v>
      </c>
      <c r="X109" s="13"/>
      <c r="Y109" s="13">
        <v>5.3009259259259259E-3</v>
      </c>
    </row>
    <row r="110" spans="1:25" ht="15" customHeight="1" x14ac:dyDescent="0.25">
      <c r="A110" s="15" t="s">
        <v>96</v>
      </c>
      <c r="B110" s="16" t="s">
        <v>97</v>
      </c>
      <c r="C110" s="16" t="s">
        <v>327</v>
      </c>
      <c r="D110" s="15" t="s">
        <v>78</v>
      </c>
      <c r="E110" s="15" t="s">
        <v>79</v>
      </c>
      <c r="F110" s="16" t="s">
        <v>80</v>
      </c>
      <c r="G110" s="16" t="s">
        <v>81</v>
      </c>
      <c r="H110" s="15" t="s">
        <v>330</v>
      </c>
      <c r="I110" s="16">
        <v>13</v>
      </c>
      <c r="J110" s="16">
        <v>3</v>
      </c>
      <c r="K110" s="17">
        <v>4.0310532407407402</v>
      </c>
      <c r="L110" s="17">
        <v>4.0185185185185185E-2</v>
      </c>
      <c r="M110" s="17">
        <f t="shared" si="6"/>
        <v>1.3395057870370371E-2</v>
      </c>
      <c r="N110" s="17">
        <v>1.4479745370370369</v>
      </c>
      <c r="O110" s="18">
        <f t="shared" si="7"/>
        <v>0.359205014313073</v>
      </c>
      <c r="P110" s="17">
        <v>0.39606481481481487</v>
      </c>
      <c r="Q110" s="17">
        <v>0.6461689814814815</v>
      </c>
      <c r="R110" s="17"/>
      <c r="S110" s="17"/>
      <c r="T110" s="17"/>
      <c r="U110" s="17">
        <v>0.14018518518518516</v>
      </c>
      <c r="V110" s="17">
        <v>6.006944444444445E-3</v>
      </c>
      <c r="W110" s="17">
        <v>3.1192129629629629E-2</v>
      </c>
      <c r="X110" s="17"/>
      <c r="Y110" s="17">
        <v>0.2280092592592593</v>
      </c>
    </row>
    <row r="111" spans="1:25" ht="15" customHeight="1" x14ac:dyDescent="0.25">
      <c r="A111" s="11" t="s">
        <v>276</v>
      </c>
      <c r="B111" s="12" t="s">
        <v>532</v>
      </c>
      <c r="C111" s="12" t="s">
        <v>327</v>
      </c>
      <c r="D111" s="11" t="s">
        <v>233</v>
      </c>
      <c r="E111" s="11" t="s">
        <v>31</v>
      </c>
      <c r="F111" s="12" t="s">
        <v>32</v>
      </c>
      <c r="G111" s="12" t="s">
        <v>106</v>
      </c>
      <c r="H111" s="11" t="s">
        <v>328</v>
      </c>
      <c r="I111" s="12">
        <v>15</v>
      </c>
      <c r="J111" s="12">
        <v>530</v>
      </c>
      <c r="K111" s="13">
        <v>3.6312037037037039</v>
      </c>
      <c r="L111" s="13">
        <v>1.5991550925925926</v>
      </c>
      <c r="M111" s="13">
        <f t="shared" si="6"/>
        <v>3.0172685185185185E-3</v>
      </c>
      <c r="N111" s="13">
        <v>0.80964120370370374</v>
      </c>
      <c r="O111" s="14">
        <f t="shared" si="7"/>
        <v>0.222967718081444</v>
      </c>
      <c r="P111" s="13">
        <v>0.19494212962962965</v>
      </c>
      <c r="Q111" s="13">
        <v>0.16626157407407408</v>
      </c>
      <c r="R111" s="13"/>
      <c r="S111" s="13">
        <v>9.2129629629629627E-3</v>
      </c>
      <c r="T111" s="13"/>
      <c r="U111" s="13">
        <v>0.1667939814814815</v>
      </c>
      <c r="V111" s="13">
        <v>0.22370370370370374</v>
      </c>
      <c r="W111" s="13">
        <v>5.6249999999999998E-3</v>
      </c>
      <c r="X111" s="13"/>
      <c r="Y111" s="13">
        <v>4.3009259259259261E-2</v>
      </c>
    </row>
    <row r="112" spans="1:25" ht="15" customHeight="1" x14ac:dyDescent="0.25">
      <c r="A112" s="15" t="s">
        <v>70</v>
      </c>
      <c r="B112" s="16" t="s">
        <v>71</v>
      </c>
      <c r="C112" s="16" t="s">
        <v>327</v>
      </c>
      <c r="D112" s="15" t="s">
        <v>78</v>
      </c>
      <c r="E112" s="15" t="s">
        <v>79</v>
      </c>
      <c r="F112" s="16" t="s">
        <v>80</v>
      </c>
      <c r="G112" s="16" t="s">
        <v>33</v>
      </c>
      <c r="H112" s="15" t="s">
        <v>330</v>
      </c>
      <c r="I112" s="16">
        <v>13</v>
      </c>
      <c r="J112" s="16">
        <v>2</v>
      </c>
      <c r="K112" s="17">
        <v>4.0618749999999997</v>
      </c>
      <c r="L112" s="17">
        <v>5.2488425925925931E-2</v>
      </c>
      <c r="M112" s="17">
        <f t="shared" si="6"/>
        <v>2.6244212962962962E-2</v>
      </c>
      <c r="N112" s="17">
        <v>1.2674074074074073</v>
      </c>
      <c r="O112" s="18">
        <f t="shared" si="7"/>
        <v>0.312025211855955</v>
      </c>
      <c r="P112" s="17">
        <v>4.6608796296296294E-2</v>
      </c>
      <c r="Q112" s="17">
        <v>0.54048611111111111</v>
      </c>
      <c r="R112" s="17"/>
      <c r="S112" s="17">
        <v>4.0219907407407406E-2</v>
      </c>
      <c r="T112" s="17">
        <v>0.2016087962962963</v>
      </c>
      <c r="U112" s="17">
        <v>0.15513888888888888</v>
      </c>
      <c r="V112" s="17">
        <v>8.8043981481481473E-2</v>
      </c>
      <c r="W112" s="17">
        <v>2.1342592592592597E-2</v>
      </c>
      <c r="X112" s="17"/>
      <c r="Y112" s="17">
        <v>0.17377314814814815</v>
      </c>
    </row>
    <row r="113" spans="1:25" ht="15" customHeight="1" x14ac:dyDescent="0.25">
      <c r="A113" s="11" t="s">
        <v>683</v>
      </c>
      <c r="B113" s="12" t="s">
        <v>684</v>
      </c>
      <c r="C113" s="12" t="s">
        <v>327</v>
      </c>
      <c r="D113" s="11" t="s">
        <v>233</v>
      </c>
      <c r="E113" s="11" t="s">
        <v>31</v>
      </c>
      <c r="F113" s="12" t="s">
        <v>32</v>
      </c>
      <c r="G113" s="12" t="s">
        <v>106</v>
      </c>
      <c r="H113" s="11" t="s">
        <v>328</v>
      </c>
      <c r="I113" s="12">
        <v>12</v>
      </c>
      <c r="J113" s="12">
        <v>316</v>
      </c>
      <c r="K113" s="13">
        <v>2.8676620370370371</v>
      </c>
      <c r="L113" s="13">
        <v>1.4812847222222223</v>
      </c>
      <c r="M113" s="13">
        <f t="shared" si="6"/>
        <v>4.6876041666666672E-3</v>
      </c>
      <c r="N113" s="13">
        <v>0.5626620370370371</v>
      </c>
      <c r="O113" s="14">
        <f t="shared" si="7"/>
        <v>0.19620932654197901</v>
      </c>
      <c r="P113" s="13">
        <v>8.6331018518518515E-2</v>
      </c>
      <c r="Q113" s="13">
        <v>0.17018518518518519</v>
      </c>
      <c r="R113" s="13"/>
      <c r="S113" s="13">
        <v>2.2835648148148147E-2</v>
      </c>
      <c r="T113" s="13">
        <v>7.1180555555555554E-3</v>
      </c>
      <c r="U113" s="13">
        <v>0.12554398148148146</v>
      </c>
      <c r="V113" s="13">
        <v>2.6041666666666671E-2</v>
      </c>
      <c r="W113" s="13">
        <v>0.11053240740740741</v>
      </c>
      <c r="X113" s="13"/>
      <c r="Y113" s="13">
        <v>1.3993055555555557E-2</v>
      </c>
    </row>
    <row r="114" spans="1:25" ht="15" customHeight="1" x14ac:dyDescent="0.25">
      <c r="A114" s="15" t="s">
        <v>146</v>
      </c>
      <c r="B114" s="16" t="s">
        <v>743</v>
      </c>
      <c r="C114" s="16" t="s">
        <v>327</v>
      </c>
      <c r="D114" s="15" t="s">
        <v>146</v>
      </c>
      <c r="E114" s="15" t="s">
        <v>79</v>
      </c>
      <c r="F114" s="16" t="s">
        <v>147</v>
      </c>
      <c r="G114" s="16" t="s">
        <v>106</v>
      </c>
      <c r="H114" s="15">
        <v>599</v>
      </c>
      <c r="I114" s="16">
        <v>1</v>
      </c>
      <c r="J114" s="16">
        <v>0</v>
      </c>
      <c r="K114" s="17"/>
      <c r="L114" s="17"/>
      <c r="M114" s="17">
        <f>IFERROR(L114/J114,0)</f>
        <v>0</v>
      </c>
      <c r="N114" s="17"/>
      <c r="O114" s="18">
        <f>IFERROR(N114/K114,0)</f>
        <v>0</v>
      </c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5" customHeight="1" x14ac:dyDescent="0.25">
      <c r="A115" s="11" t="s">
        <v>233</v>
      </c>
      <c r="B115" s="12" t="s">
        <v>745</v>
      </c>
      <c r="C115" s="12" t="s">
        <v>327</v>
      </c>
      <c r="D115" s="11" t="s">
        <v>233</v>
      </c>
      <c r="E115" s="11" t="s">
        <v>31</v>
      </c>
      <c r="F115" s="12" t="s">
        <v>32</v>
      </c>
      <c r="G115" s="12" t="s">
        <v>106</v>
      </c>
      <c r="H115" s="11">
        <v>599</v>
      </c>
      <c r="I115" s="12">
        <v>2</v>
      </c>
      <c r="J115" s="12">
        <v>0</v>
      </c>
      <c r="K115" s="13">
        <v>1.6898148148148148E-3</v>
      </c>
      <c r="L115" s="13">
        <v>0</v>
      </c>
      <c r="M115" s="13">
        <f>IFERROR(L115/J115,0)</f>
        <v>0</v>
      </c>
      <c r="N115" s="13">
        <v>1.6898148148148148E-3</v>
      </c>
      <c r="O115" s="14">
        <f>IFERROR(N115/K115,0)</f>
        <v>1</v>
      </c>
      <c r="P115" s="13"/>
      <c r="Q115" s="13"/>
      <c r="R115" s="13"/>
      <c r="S115" s="13"/>
      <c r="T115" s="13"/>
      <c r="U115" s="13"/>
      <c r="V115" s="13">
        <v>8.6805555555555551E-4</v>
      </c>
      <c r="W115" s="13">
        <v>8.2175925925925927E-4</v>
      </c>
      <c r="X115" s="13"/>
      <c r="Y115" s="13"/>
    </row>
    <row r="116" spans="1:25" ht="15" customHeight="1" x14ac:dyDescent="0.25">
      <c r="A116" s="15" t="s">
        <v>598</v>
      </c>
      <c r="B116" s="16" t="s">
        <v>598</v>
      </c>
      <c r="C116" s="16" t="s">
        <v>327</v>
      </c>
      <c r="D116" s="15" t="s">
        <v>284</v>
      </c>
      <c r="E116" s="15"/>
      <c r="F116" s="16"/>
      <c r="G116" s="16"/>
      <c r="H116" s="15"/>
      <c r="I116" s="16">
        <v>5</v>
      </c>
      <c r="J116" s="16">
        <v>89</v>
      </c>
      <c r="K116" s="17">
        <v>0</v>
      </c>
      <c r="L116" s="17">
        <v>1.0300925925925924E-3</v>
      </c>
      <c r="M116" s="17">
        <f t="shared" si="6"/>
        <v>1.1574074074074073E-5</v>
      </c>
      <c r="N116" s="17">
        <v>0</v>
      </c>
      <c r="O116" s="18">
        <f t="shared" si="7"/>
        <v>0</v>
      </c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</sheetData>
  <autoFilter ref="A2:Y116" xr:uid="{00000000-0009-0000-0000-000001000000}"/>
  <mergeCells count="3">
    <mergeCell ref="A1:H1"/>
    <mergeCell ref="I1:O1"/>
    <mergeCell ref="P1:Y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0C3E-FA62-46FF-874B-1D06B7FE65C1}">
  <dimension ref="A1:W1582"/>
  <sheetViews>
    <sheetView showGridLines="0" zoomScaleNormal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8.7109375" defaultRowHeight="15" x14ac:dyDescent="0.25"/>
  <cols>
    <col min="1" max="1" width="10.7109375" bestFit="1" customWidth="1"/>
    <col min="2" max="2" width="47.5703125" bestFit="1" customWidth="1"/>
    <col min="3" max="3" width="19.85546875" bestFit="1" customWidth="1"/>
    <col min="4" max="4" width="35" bestFit="1" customWidth="1"/>
    <col min="5" max="5" width="11.85546875" bestFit="1" customWidth="1"/>
    <col min="6" max="6" width="12" customWidth="1"/>
    <col min="7" max="7" width="15.140625" bestFit="1" customWidth="1"/>
    <col min="8" max="8" width="19.42578125" bestFit="1" customWidth="1"/>
    <col min="9" max="9" width="18.85546875" bestFit="1" customWidth="1"/>
    <col min="10" max="10" width="9.5703125" bestFit="1" customWidth="1"/>
    <col min="11" max="11" width="20.42578125" bestFit="1" customWidth="1"/>
    <col min="12" max="12" width="19" bestFit="1" customWidth="1"/>
    <col min="13" max="13" width="24.140625" bestFit="1" customWidth="1"/>
    <col min="14" max="14" width="12.42578125" bestFit="1" customWidth="1"/>
    <col min="15" max="15" width="13.140625" bestFit="1" customWidth="1"/>
    <col min="16" max="16" width="11.5703125" bestFit="1" customWidth="1"/>
    <col min="17" max="17" width="12.85546875" bestFit="1" customWidth="1"/>
    <col min="18" max="18" width="13.28515625" bestFit="1" customWidth="1"/>
    <col min="19" max="19" width="13" bestFit="1" customWidth="1"/>
    <col min="20" max="20" width="11.42578125" bestFit="1" customWidth="1"/>
    <col min="21" max="21" width="13.42578125" bestFit="1" customWidth="1"/>
    <col min="22" max="22" width="11.42578125" bestFit="1" customWidth="1"/>
    <col min="23" max="23" width="12.28515625" bestFit="1" customWidth="1"/>
  </cols>
  <sheetData>
    <row r="1" spans="1:23" ht="21.75" customHeight="1" x14ac:dyDescent="0.25">
      <c r="A1" s="99" t="s">
        <v>331</v>
      </c>
      <c r="B1" s="99"/>
      <c r="C1" s="99"/>
      <c r="D1" s="99"/>
      <c r="E1" s="99"/>
      <c r="F1" s="99"/>
      <c r="G1" s="99"/>
      <c r="H1" s="7"/>
      <c r="I1" s="7"/>
      <c r="J1" s="7"/>
    </row>
    <row r="2" spans="1:23" ht="30" customHeight="1" x14ac:dyDescent="0.25">
      <c r="A2" s="8" t="s">
        <v>8</v>
      </c>
      <c r="B2" s="8" t="s">
        <v>322</v>
      </c>
      <c r="C2" s="8" t="s">
        <v>323</v>
      </c>
      <c r="D2" s="8" t="s">
        <v>11</v>
      </c>
      <c r="E2" s="8" t="s">
        <v>13</v>
      </c>
      <c r="F2" s="8" t="s">
        <v>14</v>
      </c>
      <c r="G2" s="9" t="s">
        <v>3</v>
      </c>
      <c r="H2" s="9" t="s">
        <v>15</v>
      </c>
      <c r="I2" s="9" t="s">
        <v>16</v>
      </c>
      <c r="J2" s="9" t="s">
        <v>17</v>
      </c>
      <c r="K2" s="9" t="s">
        <v>5</v>
      </c>
      <c r="L2" s="9" t="s">
        <v>6</v>
      </c>
      <c r="M2" s="9" t="s">
        <v>332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</row>
    <row r="3" spans="1:23" ht="15" customHeight="1" x14ac:dyDescent="0.25">
      <c r="A3" s="19">
        <v>46235</v>
      </c>
      <c r="B3" s="11" t="s">
        <v>186</v>
      </c>
      <c r="C3" s="12" t="s">
        <v>562</v>
      </c>
      <c r="D3" s="11" t="s">
        <v>78</v>
      </c>
      <c r="E3" s="12" t="s">
        <v>80</v>
      </c>
      <c r="F3" s="12" t="s">
        <v>33</v>
      </c>
      <c r="G3" s="12">
        <v>0</v>
      </c>
      <c r="H3" s="13">
        <v>0.25207175925925923</v>
      </c>
      <c r="I3" s="13">
        <v>0</v>
      </c>
      <c r="J3" s="13">
        <v>0</v>
      </c>
      <c r="K3" s="13">
        <v>4.5925925925925926E-2</v>
      </c>
      <c r="L3" s="14">
        <v>0.1821938564672391</v>
      </c>
      <c r="M3" s="12" t="s">
        <v>334</v>
      </c>
      <c r="N3" s="13">
        <v>1.8749999999999999E-2</v>
      </c>
      <c r="O3" s="13">
        <v>7.951388888888888E-3</v>
      </c>
      <c r="P3" s="13"/>
      <c r="Q3" s="13"/>
      <c r="R3" s="13"/>
      <c r="S3" s="13">
        <v>1.474537037037037E-2</v>
      </c>
      <c r="T3" s="13">
        <v>4.4791666666666669E-3</v>
      </c>
      <c r="U3" s="13"/>
      <c r="V3" s="13"/>
      <c r="W3" s="13"/>
    </row>
    <row r="4" spans="1:23" ht="15" customHeight="1" x14ac:dyDescent="0.25">
      <c r="A4" s="20">
        <v>46235</v>
      </c>
      <c r="B4" s="15" t="s">
        <v>643</v>
      </c>
      <c r="C4" s="16" t="s">
        <v>644</v>
      </c>
      <c r="D4" s="15" t="s">
        <v>233</v>
      </c>
      <c r="E4" s="16" t="s">
        <v>32</v>
      </c>
      <c r="F4" s="16" t="s">
        <v>106</v>
      </c>
      <c r="G4" s="16">
        <v>12</v>
      </c>
      <c r="H4" s="17">
        <v>0.25457175925925923</v>
      </c>
      <c r="I4" s="17">
        <v>0.11768518518518518</v>
      </c>
      <c r="J4" s="17">
        <v>9.8070987654320999E-3</v>
      </c>
      <c r="K4" s="17">
        <v>3.9803240740740743E-2</v>
      </c>
      <c r="L4" s="18">
        <v>0.15635371675380769</v>
      </c>
      <c r="M4" s="16" t="s">
        <v>334</v>
      </c>
      <c r="N4" s="17">
        <v>7.9398148148148145E-3</v>
      </c>
      <c r="O4" s="17">
        <v>1.3622685185185186E-2</v>
      </c>
      <c r="P4" s="17"/>
      <c r="Q4" s="17"/>
      <c r="R4" s="17"/>
      <c r="S4" s="17">
        <v>1.4317129629629629E-2</v>
      </c>
      <c r="T4" s="17">
        <v>3.2407407407407406E-3</v>
      </c>
      <c r="U4" s="17">
        <v>6.8287037037037036E-4</v>
      </c>
      <c r="V4" s="17"/>
      <c r="W4" s="17"/>
    </row>
    <row r="5" spans="1:23" ht="15" customHeight="1" x14ac:dyDescent="0.25">
      <c r="A5" s="19">
        <v>46235</v>
      </c>
      <c r="B5" s="11" t="s">
        <v>193</v>
      </c>
      <c r="C5" s="12" t="s">
        <v>563</v>
      </c>
      <c r="D5" s="11" t="s">
        <v>274</v>
      </c>
      <c r="E5" s="12" t="s">
        <v>147</v>
      </c>
      <c r="F5" s="12" t="s">
        <v>33</v>
      </c>
      <c r="G5" s="12">
        <v>8</v>
      </c>
      <c r="H5" s="13">
        <v>0.25750000000000001</v>
      </c>
      <c r="I5" s="13">
        <v>2.6770833333333334E-2</v>
      </c>
      <c r="J5" s="13">
        <v>3.3463541666666667E-3</v>
      </c>
      <c r="K5" s="13">
        <v>3.2025462962962964E-2</v>
      </c>
      <c r="L5" s="14">
        <v>0.12437072995325422</v>
      </c>
      <c r="M5" s="12" t="s">
        <v>334</v>
      </c>
      <c r="N5" s="13">
        <v>3.3564814814814816E-3</v>
      </c>
      <c r="O5" s="13">
        <v>1.3831018518518519E-2</v>
      </c>
      <c r="P5" s="13"/>
      <c r="Q5" s="13"/>
      <c r="R5" s="13"/>
      <c r="S5" s="13">
        <v>1.4340277777777778E-2</v>
      </c>
      <c r="T5" s="13">
        <v>1.3888888888888889E-4</v>
      </c>
      <c r="U5" s="13">
        <v>3.3564814814814812E-4</v>
      </c>
      <c r="V5" s="13"/>
      <c r="W5" s="13"/>
    </row>
    <row r="6" spans="1:23" ht="15" customHeight="1" x14ac:dyDescent="0.25">
      <c r="A6" s="20">
        <v>46235</v>
      </c>
      <c r="B6" s="15" t="s">
        <v>231</v>
      </c>
      <c r="C6" s="16" t="s">
        <v>525</v>
      </c>
      <c r="D6" s="15" t="s">
        <v>233</v>
      </c>
      <c r="E6" s="16" t="s">
        <v>32</v>
      </c>
      <c r="F6" s="16" t="s">
        <v>106</v>
      </c>
      <c r="G6" s="16">
        <v>23</v>
      </c>
      <c r="H6" s="17">
        <v>0.25962962962962965</v>
      </c>
      <c r="I6" s="17">
        <v>8.9826388888888886E-2</v>
      </c>
      <c r="J6" s="17">
        <v>3.9054951690821252E-3</v>
      </c>
      <c r="K6" s="17">
        <v>5.7037037037037039E-2</v>
      </c>
      <c r="L6" s="18">
        <v>0.21968616262482168</v>
      </c>
      <c r="M6" s="16" t="s">
        <v>334</v>
      </c>
      <c r="N6" s="17"/>
      <c r="O6" s="17">
        <v>1.53125E-2</v>
      </c>
      <c r="P6" s="17"/>
      <c r="Q6" s="17"/>
      <c r="R6" s="17"/>
      <c r="S6" s="17">
        <v>1.480324074074074E-2</v>
      </c>
      <c r="T6" s="17">
        <v>1.4421296296296297E-2</v>
      </c>
      <c r="U6" s="17">
        <v>4.1666666666666669E-4</v>
      </c>
      <c r="V6" s="17"/>
      <c r="W6" s="17">
        <v>1.2048611111111111E-2</v>
      </c>
    </row>
    <row r="7" spans="1:23" ht="15" customHeight="1" x14ac:dyDescent="0.25">
      <c r="A7" s="19">
        <v>46235</v>
      </c>
      <c r="B7" s="11" t="s">
        <v>234</v>
      </c>
      <c r="C7" s="12" t="s">
        <v>550</v>
      </c>
      <c r="D7" s="11" t="s">
        <v>233</v>
      </c>
      <c r="E7" s="12" t="s">
        <v>32</v>
      </c>
      <c r="F7" s="12" t="s">
        <v>106</v>
      </c>
      <c r="G7" s="12">
        <v>23</v>
      </c>
      <c r="H7" s="13">
        <v>0.27071759259259259</v>
      </c>
      <c r="I7" s="13">
        <v>5.9143518518518519E-2</v>
      </c>
      <c r="J7" s="13">
        <v>2.5714573268921094E-3</v>
      </c>
      <c r="K7" s="13">
        <v>4.3402777777777776E-2</v>
      </c>
      <c r="L7" s="14">
        <v>0.16032492518170158</v>
      </c>
      <c r="M7" s="12" t="s">
        <v>334</v>
      </c>
      <c r="N7" s="13">
        <v>7.3379629629629628E-3</v>
      </c>
      <c r="O7" s="13">
        <v>7.1296296296296299E-3</v>
      </c>
      <c r="P7" s="13"/>
      <c r="Q7" s="13"/>
      <c r="R7" s="13">
        <v>7.6504629629629631E-3</v>
      </c>
      <c r="S7" s="13">
        <v>1.494212962962963E-2</v>
      </c>
      <c r="T7" s="13">
        <v>5.5439814814814813E-3</v>
      </c>
      <c r="U7" s="13">
        <v>2.3148148148148149E-4</v>
      </c>
      <c r="V7" s="13"/>
      <c r="W7" s="13"/>
    </row>
    <row r="8" spans="1:23" ht="15" customHeight="1" x14ac:dyDescent="0.25">
      <c r="A8" s="20">
        <v>46235</v>
      </c>
      <c r="B8" s="15" t="s">
        <v>34</v>
      </c>
      <c r="C8" s="16" t="s">
        <v>505</v>
      </c>
      <c r="D8" s="15" t="s">
        <v>233</v>
      </c>
      <c r="E8" s="16" t="s">
        <v>32</v>
      </c>
      <c r="F8" s="16" t="s">
        <v>106</v>
      </c>
      <c r="G8" s="16">
        <v>24</v>
      </c>
      <c r="H8" s="17">
        <v>0.25571759259259258</v>
      </c>
      <c r="I8" s="17">
        <v>7.8842592592592589E-2</v>
      </c>
      <c r="J8" s="17">
        <v>3.2851080246913576E-3</v>
      </c>
      <c r="K8" s="17">
        <v>3.9421296296296295E-2</v>
      </c>
      <c r="L8" s="18">
        <v>0.1541595003168281</v>
      </c>
      <c r="M8" s="16" t="s">
        <v>334</v>
      </c>
      <c r="N8" s="17">
        <v>3.2870370370370371E-3</v>
      </c>
      <c r="O8" s="17">
        <v>1.3287037037037036E-2</v>
      </c>
      <c r="P8" s="17"/>
      <c r="Q8" s="17"/>
      <c r="R8" s="17"/>
      <c r="S8" s="17">
        <v>1.3715277777777778E-2</v>
      </c>
      <c r="T8" s="17">
        <v>6.9675925925925929E-3</v>
      </c>
      <c r="U8" s="17">
        <v>2.1643518518518518E-3</v>
      </c>
      <c r="V8" s="17"/>
      <c r="W8" s="17"/>
    </row>
    <row r="9" spans="1:23" ht="15" customHeight="1" x14ac:dyDescent="0.25">
      <c r="A9" s="19">
        <v>46235</v>
      </c>
      <c r="B9" s="11" t="s">
        <v>236</v>
      </c>
      <c r="C9" s="12" t="s">
        <v>551</v>
      </c>
      <c r="D9" s="11" t="s">
        <v>233</v>
      </c>
      <c r="E9" s="12" t="s">
        <v>32</v>
      </c>
      <c r="F9" s="12" t="s">
        <v>106</v>
      </c>
      <c r="G9" s="12">
        <v>3</v>
      </c>
      <c r="H9" s="13">
        <v>0.14228009259259258</v>
      </c>
      <c r="I9" s="13">
        <v>1.3587962962962963E-2</v>
      </c>
      <c r="J9" s="13">
        <v>4.529320987654321E-3</v>
      </c>
      <c r="K9" s="13">
        <v>0.10108796296296296</v>
      </c>
      <c r="L9" s="14">
        <v>0.71048564223541855</v>
      </c>
      <c r="M9" s="12" t="s">
        <v>334</v>
      </c>
      <c r="N9" s="13">
        <v>5.6018518518518518E-3</v>
      </c>
      <c r="O9" s="13">
        <v>1.2002314814814815E-2</v>
      </c>
      <c r="P9" s="13"/>
      <c r="Q9" s="13"/>
      <c r="R9" s="13"/>
      <c r="S9" s="13"/>
      <c r="T9" s="13">
        <v>4.3749999999999997E-2</v>
      </c>
      <c r="U9" s="13">
        <v>3.2407407407407406E-4</v>
      </c>
      <c r="V9" s="13"/>
      <c r="W9" s="13">
        <v>3.9409722222222221E-2</v>
      </c>
    </row>
    <row r="10" spans="1:23" ht="15" customHeight="1" x14ac:dyDescent="0.25">
      <c r="A10" s="20">
        <v>46235</v>
      </c>
      <c r="B10" s="15" t="s">
        <v>238</v>
      </c>
      <c r="C10" s="16" t="s">
        <v>526</v>
      </c>
      <c r="D10" s="15" t="s">
        <v>233</v>
      </c>
      <c r="E10" s="16" t="s">
        <v>32</v>
      </c>
      <c r="F10" s="16" t="s">
        <v>106</v>
      </c>
      <c r="G10" s="16">
        <v>3</v>
      </c>
      <c r="H10" s="17">
        <v>0.22598379629629631</v>
      </c>
      <c r="I10" s="17">
        <v>7.7546296296296295E-3</v>
      </c>
      <c r="J10" s="17">
        <v>2.5848765432098767E-3</v>
      </c>
      <c r="K10" s="17">
        <v>0.20126157407407408</v>
      </c>
      <c r="L10" s="18">
        <v>0.8906017925736236</v>
      </c>
      <c r="M10" s="16" t="s">
        <v>334</v>
      </c>
      <c r="N10" s="17"/>
      <c r="O10" s="17">
        <v>5.9606481481481481E-3</v>
      </c>
      <c r="P10" s="17"/>
      <c r="Q10" s="17"/>
      <c r="R10" s="17"/>
      <c r="S10" s="17">
        <v>1.2893518518518518E-2</v>
      </c>
      <c r="T10" s="17">
        <v>4.861111111111111E-4</v>
      </c>
      <c r="U10" s="17"/>
      <c r="V10" s="17"/>
      <c r="W10" s="17">
        <v>0.1819212962962963</v>
      </c>
    </row>
    <row r="11" spans="1:23" ht="15" customHeight="1" x14ac:dyDescent="0.25">
      <c r="A11" s="19">
        <v>46235</v>
      </c>
      <c r="B11" s="11" t="s">
        <v>608</v>
      </c>
      <c r="C11" s="12" t="s">
        <v>631</v>
      </c>
      <c r="D11" s="11" t="s">
        <v>601</v>
      </c>
      <c r="E11" s="12" t="s">
        <v>105</v>
      </c>
      <c r="F11" s="12" t="s">
        <v>33</v>
      </c>
      <c r="G11" s="12">
        <v>8</v>
      </c>
      <c r="H11" s="13">
        <v>0.25012731481481482</v>
      </c>
      <c r="I11" s="13">
        <v>5.7731481481481481E-2</v>
      </c>
      <c r="J11" s="13">
        <v>7.2164351851851851E-3</v>
      </c>
      <c r="K11" s="13">
        <v>0.12460648148148148</v>
      </c>
      <c r="L11" s="14">
        <v>0.49817222710656611</v>
      </c>
      <c r="M11" s="12" t="s">
        <v>334</v>
      </c>
      <c r="N11" s="13"/>
      <c r="O11" s="13">
        <v>1.5081018518518518E-2</v>
      </c>
      <c r="P11" s="13"/>
      <c r="Q11" s="13">
        <v>2.1631944444444443E-2</v>
      </c>
      <c r="R11" s="13"/>
      <c r="S11" s="13">
        <v>1.4016203703703704E-2</v>
      </c>
      <c r="T11" s="13">
        <v>4.6296296296296298E-4</v>
      </c>
      <c r="U11" s="13">
        <v>2.5046296296296296E-2</v>
      </c>
      <c r="V11" s="13"/>
      <c r="W11" s="13">
        <v>4.8368055555555553E-2</v>
      </c>
    </row>
    <row r="12" spans="1:23" ht="15" customHeight="1" x14ac:dyDescent="0.25">
      <c r="A12" s="20">
        <v>46235</v>
      </c>
      <c r="B12" s="15" t="s">
        <v>197</v>
      </c>
      <c r="C12" s="16" t="s">
        <v>564</v>
      </c>
      <c r="D12" s="15" t="s">
        <v>601</v>
      </c>
      <c r="E12" s="16" t="s">
        <v>105</v>
      </c>
      <c r="F12" s="16" t="s">
        <v>33</v>
      </c>
      <c r="G12" s="16">
        <v>7</v>
      </c>
      <c r="H12" s="17">
        <v>0.24979166666666666</v>
      </c>
      <c r="I12" s="17">
        <v>3.5069444444444445E-2</v>
      </c>
      <c r="J12" s="17">
        <v>5.0099206349206345E-3</v>
      </c>
      <c r="K12" s="17">
        <v>0.11475694444444444</v>
      </c>
      <c r="L12" s="18">
        <v>0.45941061996107868</v>
      </c>
      <c r="M12" s="16" t="s">
        <v>334</v>
      </c>
      <c r="N12" s="17">
        <v>8.6921296296296295E-3</v>
      </c>
      <c r="O12" s="17">
        <v>1.96875E-2</v>
      </c>
      <c r="P12" s="17"/>
      <c r="Q12" s="17">
        <v>1.7974537037037035E-2</v>
      </c>
      <c r="R12" s="17"/>
      <c r="S12" s="17">
        <v>4.3159722222222224E-2</v>
      </c>
      <c r="T12" s="17">
        <v>1.7361111111111112E-4</v>
      </c>
      <c r="U12" s="17">
        <v>1.6898148148148148E-3</v>
      </c>
      <c r="V12" s="17"/>
      <c r="W12" s="17">
        <v>2.3356481481481482E-2</v>
      </c>
    </row>
    <row r="13" spans="1:23" ht="15" customHeight="1" x14ac:dyDescent="0.25">
      <c r="A13" s="19">
        <v>46235</v>
      </c>
      <c r="B13" s="11" t="s">
        <v>150</v>
      </c>
      <c r="C13" s="12" t="s">
        <v>514</v>
      </c>
      <c r="D13" s="11" t="s">
        <v>146</v>
      </c>
      <c r="E13" s="12" t="s">
        <v>147</v>
      </c>
      <c r="F13" s="12" t="s">
        <v>106</v>
      </c>
      <c r="G13" s="12">
        <v>19</v>
      </c>
      <c r="H13" s="13">
        <v>0.26445601851851852</v>
      </c>
      <c r="I13" s="13">
        <v>2.9166666666666667E-2</v>
      </c>
      <c r="J13" s="13">
        <v>1.5350877192982454E-3</v>
      </c>
      <c r="K13" s="13">
        <v>4.6377314814814816E-2</v>
      </c>
      <c r="L13" s="14">
        <v>0.17536872510831983</v>
      </c>
      <c r="M13" s="12" t="s">
        <v>334</v>
      </c>
      <c r="N13" s="13">
        <v>5.2546296296296299E-3</v>
      </c>
      <c r="O13" s="13">
        <v>1.4768518518518519E-2</v>
      </c>
      <c r="P13" s="13"/>
      <c r="Q13" s="13">
        <v>9.9421296296296289E-3</v>
      </c>
      <c r="R13" s="13"/>
      <c r="S13" s="13">
        <v>1.6018518518518519E-2</v>
      </c>
      <c r="T13" s="13">
        <v>1.1574074074074075E-4</v>
      </c>
      <c r="U13" s="13">
        <v>4.6296296296296294E-5</v>
      </c>
      <c r="V13" s="13"/>
      <c r="W13" s="13">
        <v>2.199074074074074E-4</v>
      </c>
    </row>
    <row r="14" spans="1:23" ht="15" customHeight="1" x14ac:dyDescent="0.25">
      <c r="A14" s="20">
        <v>46235</v>
      </c>
      <c r="B14" s="15" t="s">
        <v>154</v>
      </c>
      <c r="C14" s="16" t="s">
        <v>515</v>
      </c>
      <c r="D14" s="15" t="s">
        <v>146</v>
      </c>
      <c r="E14" s="16" t="s">
        <v>147</v>
      </c>
      <c r="F14" s="16" t="s">
        <v>106</v>
      </c>
      <c r="G14" s="16">
        <v>19</v>
      </c>
      <c r="H14" s="17">
        <v>0.26240740740740742</v>
      </c>
      <c r="I14" s="17">
        <v>3.1678240740740743E-2</v>
      </c>
      <c r="J14" s="17">
        <v>1.667275828460039E-3</v>
      </c>
      <c r="K14" s="17">
        <v>5.8379629629629629E-2</v>
      </c>
      <c r="L14" s="18">
        <v>0.22247706422018348</v>
      </c>
      <c r="M14" s="16" t="s">
        <v>334</v>
      </c>
      <c r="N14" s="17">
        <v>2.627314814814815E-3</v>
      </c>
      <c r="O14" s="17">
        <v>1.0868055555555556E-2</v>
      </c>
      <c r="P14" s="17"/>
      <c r="Q14" s="17">
        <v>2.9305555555555557E-2</v>
      </c>
      <c r="R14" s="17"/>
      <c r="S14" s="17">
        <v>1.443287037037037E-2</v>
      </c>
      <c r="T14" s="17">
        <v>1.6203703703703703E-4</v>
      </c>
      <c r="U14" s="17">
        <v>9.0277777777777774E-4</v>
      </c>
      <c r="V14" s="17"/>
      <c r="W14" s="17"/>
    </row>
    <row r="15" spans="1:23" ht="15" customHeight="1" x14ac:dyDescent="0.25">
      <c r="A15" s="19">
        <v>46235</v>
      </c>
      <c r="B15" s="11" t="s">
        <v>112</v>
      </c>
      <c r="C15" s="12" t="s">
        <v>570</v>
      </c>
      <c r="D15" s="11" t="s">
        <v>104</v>
      </c>
      <c r="E15" s="12" t="s">
        <v>105</v>
      </c>
      <c r="F15" s="12" t="s">
        <v>106</v>
      </c>
      <c r="G15" s="12">
        <v>7</v>
      </c>
      <c r="H15" s="13">
        <v>0.23166666666666666</v>
      </c>
      <c r="I15" s="13">
        <v>0.12538194444444445</v>
      </c>
      <c r="J15" s="13">
        <v>1.7911706349206351E-2</v>
      </c>
      <c r="K15" s="13">
        <v>0.10849537037037037</v>
      </c>
      <c r="L15" s="14">
        <v>0.46832533972821744</v>
      </c>
      <c r="M15" s="12" t="s">
        <v>334</v>
      </c>
      <c r="N15" s="13">
        <v>3.3553240740740738E-2</v>
      </c>
      <c r="O15" s="13">
        <v>1.6354166666666666E-2</v>
      </c>
      <c r="P15" s="13"/>
      <c r="Q15" s="13"/>
      <c r="R15" s="13"/>
      <c r="S15" s="13">
        <v>1.3865740740740741E-2</v>
      </c>
      <c r="T15" s="13">
        <v>2.0833333333333335E-4</v>
      </c>
      <c r="U15" s="13">
        <v>9.8495370370370369E-3</v>
      </c>
      <c r="V15" s="13"/>
      <c r="W15" s="13">
        <v>3.4664351851851849E-2</v>
      </c>
    </row>
    <row r="16" spans="1:23" ht="15" customHeight="1" x14ac:dyDescent="0.25">
      <c r="A16" s="20">
        <v>46235</v>
      </c>
      <c r="B16" s="15" t="s">
        <v>42</v>
      </c>
      <c r="C16" s="16" t="s">
        <v>537</v>
      </c>
      <c r="D16" s="15" t="s">
        <v>104</v>
      </c>
      <c r="E16" s="16" t="s">
        <v>105</v>
      </c>
      <c r="F16" s="16" t="s">
        <v>106</v>
      </c>
      <c r="G16" s="16">
        <v>19</v>
      </c>
      <c r="H16" s="17">
        <v>0.25931712962962961</v>
      </c>
      <c r="I16" s="17">
        <v>0.19207175925925926</v>
      </c>
      <c r="J16" s="17">
        <v>1.0109039961013646E-2</v>
      </c>
      <c r="K16" s="17">
        <v>6.9826388888888882E-2</v>
      </c>
      <c r="L16" s="18">
        <v>0.2692702521758536</v>
      </c>
      <c r="M16" s="16" t="s">
        <v>334</v>
      </c>
      <c r="N16" s="17">
        <v>1.4560185185185185E-2</v>
      </c>
      <c r="O16" s="17">
        <v>1.3900462962962963E-2</v>
      </c>
      <c r="P16" s="17"/>
      <c r="Q16" s="17"/>
      <c r="R16" s="17">
        <v>4.6296296296296294E-5</v>
      </c>
      <c r="S16" s="17">
        <v>1.3391203703703704E-2</v>
      </c>
      <c r="T16" s="17">
        <v>9.837962962962962E-4</v>
      </c>
      <c r="U16" s="17">
        <v>1.4583333333333334E-3</v>
      </c>
      <c r="V16" s="17"/>
      <c r="W16" s="17">
        <v>2.5474537037037039E-2</v>
      </c>
    </row>
    <row r="17" spans="1:23" ht="15" customHeight="1" x14ac:dyDescent="0.25">
      <c r="A17" s="19">
        <v>46235</v>
      </c>
      <c r="B17" s="11" t="s">
        <v>114</v>
      </c>
      <c r="C17" s="12" t="s">
        <v>541</v>
      </c>
      <c r="D17" s="11" t="s">
        <v>104</v>
      </c>
      <c r="E17" s="12" t="s">
        <v>105</v>
      </c>
      <c r="F17" s="12" t="s">
        <v>106</v>
      </c>
      <c r="G17" s="12">
        <v>16</v>
      </c>
      <c r="H17" s="13">
        <v>0.27681712962962962</v>
      </c>
      <c r="I17" s="13">
        <v>0.13174768518518518</v>
      </c>
      <c r="J17" s="13">
        <v>8.2342303240740735E-3</v>
      </c>
      <c r="K17" s="13">
        <v>0.12961805555555556</v>
      </c>
      <c r="L17" s="14">
        <v>0.46824434502655016</v>
      </c>
      <c r="M17" s="12" t="s">
        <v>334</v>
      </c>
      <c r="N17" s="13">
        <v>1.1770833333333333E-2</v>
      </c>
      <c r="O17" s="13">
        <v>1.4872685185185185E-2</v>
      </c>
      <c r="P17" s="13"/>
      <c r="Q17" s="13"/>
      <c r="R17" s="13"/>
      <c r="S17" s="13">
        <v>1.4953703703703703E-2</v>
      </c>
      <c r="T17" s="13">
        <v>7.2824074074074069E-2</v>
      </c>
      <c r="U17" s="13">
        <v>1.0763888888888889E-3</v>
      </c>
      <c r="V17" s="13"/>
      <c r="W17" s="13">
        <v>1.412037037037037E-2</v>
      </c>
    </row>
    <row r="18" spans="1:23" ht="15" customHeight="1" x14ac:dyDescent="0.25">
      <c r="A18" s="20">
        <v>46235</v>
      </c>
      <c r="B18" s="15" t="s">
        <v>44</v>
      </c>
      <c r="C18" s="16" t="s">
        <v>506</v>
      </c>
      <c r="D18" s="15" t="s">
        <v>100</v>
      </c>
      <c r="E18" s="16" t="s">
        <v>32</v>
      </c>
      <c r="F18" s="16" t="s">
        <v>33</v>
      </c>
      <c r="G18" s="16">
        <v>17</v>
      </c>
      <c r="H18" s="17">
        <v>0.24781249999999999</v>
      </c>
      <c r="I18" s="17">
        <v>0.10821759259259259</v>
      </c>
      <c r="J18" s="17">
        <v>6.3657407407407404E-3</v>
      </c>
      <c r="K18" s="17">
        <v>2.9930555555555554E-2</v>
      </c>
      <c r="L18" s="18">
        <v>0.1207790388118257</v>
      </c>
      <c r="M18" s="16" t="s">
        <v>334</v>
      </c>
      <c r="N18" s="17"/>
      <c r="O18" s="17">
        <v>7.0717592592592594E-3</v>
      </c>
      <c r="P18" s="17"/>
      <c r="Q18" s="17"/>
      <c r="R18" s="17">
        <v>7.0949074074074074E-3</v>
      </c>
      <c r="S18" s="17">
        <v>1.4212962962962964E-2</v>
      </c>
      <c r="T18" s="17">
        <v>5.2083333333333333E-4</v>
      </c>
      <c r="U18" s="17">
        <v>9.6064814814814819E-4</v>
      </c>
      <c r="V18" s="17"/>
      <c r="W18" s="17"/>
    </row>
    <row r="19" spans="1:23" ht="15" customHeight="1" x14ac:dyDescent="0.25">
      <c r="A19" s="19">
        <v>46235</v>
      </c>
      <c r="B19" s="11" t="s">
        <v>240</v>
      </c>
      <c r="C19" s="12" t="s">
        <v>527</v>
      </c>
      <c r="D19" s="11" t="s">
        <v>233</v>
      </c>
      <c r="E19" s="12" t="s">
        <v>32</v>
      </c>
      <c r="F19" s="12" t="s">
        <v>106</v>
      </c>
      <c r="G19" s="12">
        <v>2</v>
      </c>
      <c r="H19" s="13">
        <v>0.21841435185185185</v>
      </c>
      <c r="I19" s="13">
        <v>9.8842592592592593E-3</v>
      </c>
      <c r="J19" s="13">
        <v>4.9421296296296297E-3</v>
      </c>
      <c r="K19" s="13">
        <v>0.19186342592592592</v>
      </c>
      <c r="L19" s="14">
        <v>0.87843781463621429</v>
      </c>
      <c r="M19" s="12" t="s">
        <v>334</v>
      </c>
      <c r="N19" s="13">
        <v>1.5509259259259259E-2</v>
      </c>
      <c r="O19" s="13">
        <v>1.3287037037037036E-2</v>
      </c>
      <c r="P19" s="13"/>
      <c r="Q19" s="13"/>
      <c r="R19" s="13"/>
      <c r="S19" s="13">
        <v>1.3935185185185186E-2</v>
      </c>
      <c r="T19" s="13">
        <v>5.3240740740740744E-4</v>
      </c>
      <c r="U19" s="13"/>
      <c r="V19" s="13"/>
      <c r="W19" s="13">
        <v>0.14859953703703704</v>
      </c>
    </row>
    <row r="20" spans="1:23" ht="15" customHeight="1" x14ac:dyDescent="0.25">
      <c r="A20" s="20">
        <v>46235</v>
      </c>
      <c r="B20" s="15" t="s">
        <v>160</v>
      </c>
      <c r="C20" s="16" t="s">
        <v>544</v>
      </c>
      <c r="D20" s="15" t="s">
        <v>146</v>
      </c>
      <c r="E20" s="16" t="s">
        <v>147</v>
      </c>
      <c r="F20" s="16" t="s">
        <v>106</v>
      </c>
      <c r="G20" s="16">
        <v>13</v>
      </c>
      <c r="H20" s="17">
        <v>0.25754629629629627</v>
      </c>
      <c r="I20" s="17">
        <v>9.6874999999999999E-3</v>
      </c>
      <c r="J20" s="17">
        <v>7.4519230769230771E-4</v>
      </c>
      <c r="K20" s="17">
        <v>5.9363425925925924E-2</v>
      </c>
      <c r="L20" s="18">
        <v>0.23049613517886033</v>
      </c>
      <c r="M20" s="16" t="s">
        <v>334</v>
      </c>
      <c r="N20" s="17">
        <v>7.6620370370370366E-3</v>
      </c>
      <c r="O20" s="17">
        <v>1.4548611111111111E-2</v>
      </c>
      <c r="P20" s="17"/>
      <c r="Q20" s="17">
        <v>1.6145833333333335E-2</v>
      </c>
      <c r="R20" s="17"/>
      <c r="S20" s="17">
        <v>1.4861111111111111E-2</v>
      </c>
      <c r="T20" s="17">
        <v>8.1018518518518516E-5</v>
      </c>
      <c r="U20" s="17">
        <v>5.6944444444444447E-3</v>
      </c>
      <c r="V20" s="17"/>
      <c r="W20" s="17"/>
    </row>
    <row r="21" spans="1:23" ht="15" customHeight="1" x14ac:dyDescent="0.25">
      <c r="A21" s="19">
        <v>46235</v>
      </c>
      <c r="B21" s="11" t="s">
        <v>645</v>
      </c>
      <c r="C21" s="12" t="s">
        <v>646</v>
      </c>
      <c r="D21" s="11" t="s">
        <v>100</v>
      </c>
      <c r="E21" s="12" t="s">
        <v>32</v>
      </c>
      <c r="F21" s="12" t="s">
        <v>33</v>
      </c>
      <c r="G21" s="12">
        <v>14</v>
      </c>
      <c r="H21" s="13">
        <v>0.23895833333333333</v>
      </c>
      <c r="I21" s="13">
        <v>5.8483796296296298E-2</v>
      </c>
      <c r="J21" s="13">
        <v>4.177414021164021E-3</v>
      </c>
      <c r="K21" s="13">
        <v>2.8680555555555556E-2</v>
      </c>
      <c r="L21" s="14">
        <v>0.12002324905550713</v>
      </c>
      <c r="M21" s="12" t="s">
        <v>334</v>
      </c>
      <c r="N21" s="13">
        <v>7.8009259259259256E-3</v>
      </c>
      <c r="O21" s="13">
        <v>1.4282407407407407E-2</v>
      </c>
      <c r="P21" s="13"/>
      <c r="Q21" s="13"/>
      <c r="R21" s="13"/>
      <c r="S21" s="13"/>
      <c r="T21" s="13">
        <v>7.1759259259259259E-4</v>
      </c>
      <c r="U21" s="13">
        <v>8.7962962962962962E-4</v>
      </c>
      <c r="V21" s="13"/>
      <c r="W21" s="13">
        <v>4.9421296296296297E-3</v>
      </c>
    </row>
    <row r="22" spans="1:23" ht="15" customHeight="1" x14ac:dyDescent="0.25">
      <c r="A22" s="20">
        <v>46235</v>
      </c>
      <c r="B22" s="15" t="s">
        <v>120</v>
      </c>
      <c r="C22" s="16" t="s">
        <v>558</v>
      </c>
      <c r="D22" s="15" t="s">
        <v>233</v>
      </c>
      <c r="E22" s="16" t="s">
        <v>32</v>
      </c>
      <c r="F22" s="16" t="s">
        <v>106</v>
      </c>
      <c r="G22" s="16">
        <v>19</v>
      </c>
      <c r="H22" s="17">
        <v>0.26371527777777776</v>
      </c>
      <c r="I22" s="17">
        <v>7.4618055555555562E-2</v>
      </c>
      <c r="J22" s="17">
        <v>3.9272660818713452E-3</v>
      </c>
      <c r="K22" s="17">
        <v>5.8541666666666665E-2</v>
      </c>
      <c r="L22" s="18">
        <v>0.22198815009874917</v>
      </c>
      <c r="M22" s="16" t="s">
        <v>334</v>
      </c>
      <c r="N22" s="17">
        <v>1.1076388888888889E-2</v>
      </c>
      <c r="O22" s="17">
        <v>1.3842592592592592E-2</v>
      </c>
      <c r="P22" s="17"/>
      <c r="Q22" s="17"/>
      <c r="R22" s="17"/>
      <c r="S22" s="17">
        <v>1.462962962962963E-2</v>
      </c>
      <c r="T22" s="17">
        <v>1.7384259259259259E-2</v>
      </c>
      <c r="U22" s="17">
        <v>1.5393518518518519E-3</v>
      </c>
      <c r="V22" s="17"/>
      <c r="W22" s="17">
        <v>6.9444444444444444E-5</v>
      </c>
    </row>
    <row r="23" spans="1:23" ht="15" customHeight="1" x14ac:dyDescent="0.25">
      <c r="A23" s="19">
        <v>46235</v>
      </c>
      <c r="B23" s="11" t="s">
        <v>46</v>
      </c>
      <c r="C23" s="12" t="s">
        <v>507</v>
      </c>
      <c r="D23" s="11" t="s">
        <v>100</v>
      </c>
      <c r="E23" s="12" t="s">
        <v>32</v>
      </c>
      <c r="F23" s="12" t="s">
        <v>33</v>
      </c>
      <c r="G23" s="12">
        <v>17</v>
      </c>
      <c r="H23" s="13">
        <v>0.25762731481481482</v>
      </c>
      <c r="I23" s="13">
        <v>9.4918981481481479E-2</v>
      </c>
      <c r="J23" s="13">
        <v>5.5834694989106756E-3</v>
      </c>
      <c r="K23" s="13">
        <v>3.2650462962962964E-2</v>
      </c>
      <c r="L23" s="14">
        <v>0.12673525315602677</v>
      </c>
      <c r="M23" s="12" t="s">
        <v>334</v>
      </c>
      <c r="N23" s="13">
        <v>1.6087962962962963E-3</v>
      </c>
      <c r="O23" s="13">
        <v>1.4016203703703704E-2</v>
      </c>
      <c r="P23" s="13"/>
      <c r="Q23" s="13"/>
      <c r="R23" s="13"/>
      <c r="S23" s="13">
        <v>1.4502314814814815E-2</v>
      </c>
      <c r="T23" s="13">
        <v>1.5046296296296297E-4</v>
      </c>
      <c r="U23" s="13">
        <v>7.9861111111111116E-4</v>
      </c>
      <c r="V23" s="13"/>
      <c r="W23" s="13">
        <v>1.5625000000000001E-3</v>
      </c>
    </row>
    <row r="24" spans="1:23" ht="15" customHeight="1" x14ac:dyDescent="0.25">
      <c r="A24" s="20">
        <v>46235</v>
      </c>
      <c r="B24" s="15" t="s">
        <v>287</v>
      </c>
      <c r="C24" s="16" t="s">
        <v>542</v>
      </c>
      <c r="D24" s="15" t="s">
        <v>104</v>
      </c>
      <c r="E24" s="16" t="s">
        <v>105</v>
      </c>
      <c r="F24" s="16" t="s">
        <v>106</v>
      </c>
      <c r="G24" s="16">
        <v>10</v>
      </c>
      <c r="H24" s="17">
        <v>0.24667824074074074</v>
      </c>
      <c r="I24" s="17">
        <v>9.8680555555555549E-2</v>
      </c>
      <c r="J24" s="17">
        <v>9.8680555555555553E-3</v>
      </c>
      <c r="K24" s="17">
        <v>0.11300925925925925</v>
      </c>
      <c r="L24" s="18">
        <v>0.45812414958006853</v>
      </c>
      <c r="M24" s="16" t="s">
        <v>334</v>
      </c>
      <c r="N24" s="17">
        <v>2.0219907407407409E-2</v>
      </c>
      <c r="O24" s="17">
        <v>2.0937500000000001E-2</v>
      </c>
      <c r="P24" s="17"/>
      <c r="Q24" s="17"/>
      <c r="R24" s="17"/>
      <c r="S24" s="17">
        <v>1.7534722222222222E-2</v>
      </c>
      <c r="T24" s="17">
        <v>1.6435185185185185E-3</v>
      </c>
      <c r="U24" s="17">
        <v>4.0393518518518521E-3</v>
      </c>
      <c r="V24" s="17"/>
      <c r="W24" s="17">
        <v>4.8622685185185185E-2</v>
      </c>
    </row>
    <row r="25" spans="1:23" ht="15" customHeight="1" x14ac:dyDescent="0.25">
      <c r="A25" s="19">
        <v>46235</v>
      </c>
      <c r="B25" s="11" t="s">
        <v>499</v>
      </c>
      <c r="C25" s="12" t="s">
        <v>517</v>
      </c>
      <c r="D25" s="11" t="s">
        <v>146</v>
      </c>
      <c r="E25" s="12" t="s">
        <v>147</v>
      </c>
      <c r="F25" s="12" t="s">
        <v>106</v>
      </c>
      <c r="G25" s="12">
        <v>9</v>
      </c>
      <c r="H25" s="13">
        <v>0.26329861111111114</v>
      </c>
      <c r="I25" s="13">
        <v>5.1967592592592593E-2</v>
      </c>
      <c r="J25" s="13">
        <v>5.7741769547325107E-3</v>
      </c>
      <c r="K25" s="13">
        <v>6.9143518518518521E-2</v>
      </c>
      <c r="L25" s="14">
        <v>0.26260494966811726</v>
      </c>
      <c r="M25" s="12" t="s">
        <v>334</v>
      </c>
      <c r="N25" s="13">
        <v>9.0393518518518522E-3</v>
      </c>
      <c r="O25" s="13">
        <v>1.4340277777777778E-2</v>
      </c>
      <c r="P25" s="13">
        <v>1.7013888888888888E-3</v>
      </c>
      <c r="Q25" s="13">
        <v>2.7488425925925927E-2</v>
      </c>
      <c r="R25" s="13"/>
      <c r="S25" s="13">
        <v>1.3773148148148149E-2</v>
      </c>
      <c r="T25" s="13">
        <v>9.4907407407407408E-4</v>
      </c>
      <c r="U25" s="13">
        <v>1.8171296296296297E-3</v>
      </c>
      <c r="V25" s="13"/>
      <c r="W25" s="13"/>
    </row>
    <row r="26" spans="1:23" ht="15" customHeight="1" x14ac:dyDescent="0.25">
      <c r="A26" s="20">
        <v>46235</v>
      </c>
      <c r="B26" s="15" t="s">
        <v>647</v>
      </c>
      <c r="C26" s="16" t="s">
        <v>648</v>
      </c>
      <c r="D26" s="15" t="s">
        <v>233</v>
      </c>
      <c r="E26" s="16" t="s">
        <v>32</v>
      </c>
      <c r="F26" s="16" t="s">
        <v>106</v>
      </c>
      <c r="G26" s="16">
        <v>29</v>
      </c>
      <c r="H26" s="17">
        <v>0.26295138888888892</v>
      </c>
      <c r="I26" s="17">
        <v>9.7453703703703709E-2</v>
      </c>
      <c r="J26" s="17">
        <v>3.3604725415070243E-3</v>
      </c>
      <c r="K26" s="17">
        <v>2.6875E-2</v>
      </c>
      <c r="L26" s="18">
        <v>0.10220520269378054</v>
      </c>
      <c r="M26" s="16" t="s">
        <v>334</v>
      </c>
      <c r="N26" s="17">
        <v>4.5949074074074078E-3</v>
      </c>
      <c r="O26" s="17">
        <v>7.1064814814814819E-3</v>
      </c>
      <c r="P26" s="17"/>
      <c r="Q26" s="17">
        <v>7.407407407407407E-4</v>
      </c>
      <c r="R26" s="17"/>
      <c r="S26" s="17">
        <v>1.4027777777777778E-2</v>
      </c>
      <c r="T26" s="17">
        <v>8.1018518518518516E-5</v>
      </c>
      <c r="U26" s="17">
        <v>3.1250000000000001E-4</v>
      </c>
      <c r="V26" s="17"/>
      <c r="W26" s="17"/>
    </row>
    <row r="27" spans="1:23" ht="15" customHeight="1" x14ac:dyDescent="0.25">
      <c r="A27" s="19">
        <v>46235</v>
      </c>
      <c r="B27" s="11" t="s">
        <v>649</v>
      </c>
      <c r="C27" s="12" t="s">
        <v>650</v>
      </c>
      <c r="D27" s="11" t="s">
        <v>104</v>
      </c>
      <c r="E27" s="12" t="s">
        <v>105</v>
      </c>
      <c r="F27" s="12" t="s">
        <v>106</v>
      </c>
      <c r="G27" s="12">
        <v>7</v>
      </c>
      <c r="H27" s="13">
        <v>0.26298611111111109</v>
      </c>
      <c r="I27" s="13">
        <v>0.16091435185185185</v>
      </c>
      <c r="J27" s="13">
        <v>2.298776455026455E-2</v>
      </c>
      <c r="K27" s="13">
        <v>0.10422453703703703</v>
      </c>
      <c r="L27" s="14">
        <v>0.39631194437109407</v>
      </c>
      <c r="M27" s="12" t="s">
        <v>334</v>
      </c>
      <c r="N27" s="13">
        <v>4.2592592592592595E-3</v>
      </c>
      <c r="O27" s="13">
        <v>1.3842592592592592E-2</v>
      </c>
      <c r="P27" s="13"/>
      <c r="Q27" s="13"/>
      <c r="R27" s="13"/>
      <c r="S27" s="13">
        <v>1.4525462962962962E-2</v>
      </c>
      <c r="T27" s="13">
        <v>5.7870370370370373E-5</v>
      </c>
      <c r="U27" s="13">
        <v>1.8831018518518518E-2</v>
      </c>
      <c r="V27" s="13"/>
      <c r="W27" s="13">
        <v>5.2708333333333336E-2</v>
      </c>
    </row>
    <row r="28" spans="1:23" ht="15" customHeight="1" x14ac:dyDescent="0.25">
      <c r="A28" s="20">
        <v>46235</v>
      </c>
      <c r="B28" s="15" t="s">
        <v>651</v>
      </c>
      <c r="C28" s="16" t="s">
        <v>652</v>
      </c>
      <c r="D28" s="15" t="s">
        <v>100</v>
      </c>
      <c r="E28" s="16" t="s">
        <v>32</v>
      </c>
      <c r="F28" s="16" t="s">
        <v>33</v>
      </c>
      <c r="G28" s="16">
        <v>12</v>
      </c>
      <c r="H28" s="17">
        <v>0.24902777777777776</v>
      </c>
      <c r="I28" s="17">
        <v>0.11121527777777777</v>
      </c>
      <c r="J28" s="17">
        <v>9.2679398148148157E-3</v>
      </c>
      <c r="K28" s="17">
        <v>3.9004629629629632E-2</v>
      </c>
      <c r="L28" s="18">
        <v>0.15662762595277932</v>
      </c>
      <c r="M28" s="16" t="s">
        <v>334</v>
      </c>
      <c r="N28" s="17">
        <v>4.6412037037037038E-3</v>
      </c>
      <c r="O28" s="17">
        <v>1.9050925925925926E-2</v>
      </c>
      <c r="P28" s="17"/>
      <c r="Q28" s="17"/>
      <c r="R28" s="17"/>
      <c r="S28" s="17">
        <v>1.4490740740740742E-2</v>
      </c>
      <c r="T28" s="17">
        <v>2.5462962962962961E-4</v>
      </c>
      <c r="U28" s="17">
        <v>3.2407407407407406E-4</v>
      </c>
      <c r="V28" s="17"/>
      <c r="W28" s="17"/>
    </row>
    <row r="29" spans="1:23" ht="15" customHeight="1" x14ac:dyDescent="0.25">
      <c r="A29" s="19">
        <v>46235</v>
      </c>
      <c r="B29" s="11" t="s">
        <v>246</v>
      </c>
      <c r="C29" s="12" t="s">
        <v>568</v>
      </c>
      <c r="D29" s="11" t="s">
        <v>233</v>
      </c>
      <c r="E29" s="12" t="s">
        <v>32</v>
      </c>
      <c r="F29" s="12" t="s">
        <v>106</v>
      </c>
      <c r="G29" s="12">
        <v>19</v>
      </c>
      <c r="H29" s="13">
        <v>0.26370370370370372</v>
      </c>
      <c r="I29" s="13">
        <v>6.2511574074074081E-2</v>
      </c>
      <c r="J29" s="13">
        <v>3.2900828460038986E-3</v>
      </c>
      <c r="K29" s="13">
        <v>6.3715277777777773E-2</v>
      </c>
      <c r="L29" s="14">
        <v>0.24161692415730338</v>
      </c>
      <c r="M29" s="12" t="s">
        <v>334</v>
      </c>
      <c r="N29" s="13">
        <v>1.6770833333333332E-2</v>
      </c>
      <c r="O29" s="13">
        <v>1.6342592592592593E-2</v>
      </c>
      <c r="P29" s="13"/>
      <c r="Q29" s="13"/>
      <c r="R29" s="13"/>
      <c r="S29" s="13">
        <v>1.7002314814814814E-2</v>
      </c>
      <c r="T29" s="13">
        <v>1.3599537037037037E-2</v>
      </c>
      <c r="U29" s="13"/>
      <c r="V29" s="13"/>
      <c r="W29" s="13"/>
    </row>
    <row r="30" spans="1:23" ht="15" customHeight="1" x14ac:dyDescent="0.25">
      <c r="A30" s="20">
        <v>46235</v>
      </c>
      <c r="B30" s="15" t="s">
        <v>50</v>
      </c>
      <c r="C30" s="16" t="s">
        <v>538</v>
      </c>
      <c r="D30" s="15" t="s">
        <v>100</v>
      </c>
      <c r="E30" s="16" t="s">
        <v>32</v>
      </c>
      <c r="F30" s="16" t="s">
        <v>33</v>
      </c>
      <c r="G30" s="16">
        <v>0</v>
      </c>
      <c r="H30" s="17">
        <v>0.1411226851851852</v>
      </c>
      <c r="I30" s="17">
        <v>0</v>
      </c>
      <c r="J30" s="17">
        <v>0</v>
      </c>
      <c r="K30" s="17">
        <v>0.1411226851851852</v>
      </c>
      <c r="L30" s="18">
        <v>1</v>
      </c>
      <c r="M30" s="16" t="s">
        <v>334</v>
      </c>
      <c r="N30" s="17">
        <v>1.4189814814814815E-2</v>
      </c>
      <c r="O30" s="17">
        <v>7.7199074074074071E-3</v>
      </c>
      <c r="P30" s="17"/>
      <c r="Q30" s="17">
        <v>4.8032407407407407E-3</v>
      </c>
      <c r="R30" s="17"/>
      <c r="S30" s="17">
        <v>6.0416666666666665E-3</v>
      </c>
      <c r="T30" s="17">
        <v>4.0509259259259258E-4</v>
      </c>
      <c r="U30" s="17"/>
      <c r="V30" s="17"/>
      <c r="W30" s="17">
        <v>0.10796296296296297</v>
      </c>
    </row>
    <row r="31" spans="1:23" ht="15" customHeight="1" x14ac:dyDescent="0.25">
      <c r="A31" s="19">
        <v>46235</v>
      </c>
      <c r="B31" s="11" t="s">
        <v>242</v>
      </c>
      <c r="C31" s="12" t="s">
        <v>603</v>
      </c>
      <c r="D31" s="11" t="s">
        <v>233</v>
      </c>
      <c r="E31" s="12" t="s">
        <v>32</v>
      </c>
      <c r="F31" s="12" t="s">
        <v>106</v>
      </c>
      <c r="G31" s="12">
        <v>24</v>
      </c>
      <c r="H31" s="13">
        <v>0.26293981481481482</v>
      </c>
      <c r="I31" s="13">
        <v>9.7673611111111114E-2</v>
      </c>
      <c r="J31" s="13">
        <v>4.0697337962962961E-3</v>
      </c>
      <c r="K31" s="13">
        <v>1.8518518518518519E-3</v>
      </c>
      <c r="L31" s="14">
        <v>7.0428734923848931E-3</v>
      </c>
      <c r="M31" s="12" t="s">
        <v>334</v>
      </c>
      <c r="N31" s="13"/>
      <c r="O31" s="13"/>
      <c r="P31" s="13"/>
      <c r="Q31" s="13"/>
      <c r="R31" s="13"/>
      <c r="S31" s="13"/>
      <c r="T31" s="13">
        <v>9.2592592592592588E-5</v>
      </c>
      <c r="U31" s="13">
        <v>1.6782407407407408E-3</v>
      </c>
      <c r="V31" s="13"/>
      <c r="W31" s="13">
        <v>1.1574074074074073E-5</v>
      </c>
    </row>
    <row r="32" spans="1:23" ht="15" customHeight="1" x14ac:dyDescent="0.25">
      <c r="A32" s="20">
        <v>46235</v>
      </c>
      <c r="B32" s="15" t="s">
        <v>289</v>
      </c>
      <c r="C32" s="16" t="s">
        <v>559</v>
      </c>
      <c r="D32" s="15" t="s">
        <v>104</v>
      </c>
      <c r="E32" s="16" t="s">
        <v>105</v>
      </c>
      <c r="F32" s="16" t="s">
        <v>106</v>
      </c>
      <c r="G32" s="16">
        <v>16</v>
      </c>
      <c r="H32" s="17">
        <v>0.2585648148148148</v>
      </c>
      <c r="I32" s="17">
        <v>0.18454861111111112</v>
      </c>
      <c r="J32" s="17">
        <v>1.1534288194444445E-2</v>
      </c>
      <c r="K32" s="17">
        <v>8.0497685185185186E-2</v>
      </c>
      <c r="L32" s="18">
        <v>0.31132497761862132</v>
      </c>
      <c r="M32" s="16" t="s">
        <v>334</v>
      </c>
      <c r="N32" s="17">
        <v>2.193287037037037E-2</v>
      </c>
      <c r="O32" s="17">
        <v>9.9652777777777778E-3</v>
      </c>
      <c r="P32" s="17"/>
      <c r="Q32" s="17"/>
      <c r="R32" s="17"/>
      <c r="S32" s="17">
        <v>1.4212962962962964E-2</v>
      </c>
      <c r="T32" s="17">
        <v>9.2592592592592588E-5</v>
      </c>
      <c r="U32" s="17">
        <v>1.037037037037037E-2</v>
      </c>
      <c r="V32" s="17"/>
      <c r="W32" s="17">
        <v>2.388888888888889E-2</v>
      </c>
    </row>
    <row r="33" spans="1:23" ht="15" customHeight="1" x14ac:dyDescent="0.25">
      <c r="A33" s="19">
        <v>46235</v>
      </c>
      <c r="B33" s="11" t="s">
        <v>252</v>
      </c>
      <c r="C33" s="12" t="s">
        <v>553</v>
      </c>
      <c r="D33" s="11" t="s">
        <v>78</v>
      </c>
      <c r="E33" s="12" t="s">
        <v>80</v>
      </c>
      <c r="F33" s="12" t="s">
        <v>81</v>
      </c>
      <c r="G33" s="12">
        <v>0</v>
      </c>
      <c r="H33" s="13">
        <v>1.3541666666666667E-3</v>
      </c>
      <c r="I33" s="13">
        <v>0</v>
      </c>
      <c r="J33" s="13">
        <v>0</v>
      </c>
      <c r="K33" s="13">
        <v>0</v>
      </c>
      <c r="L33" s="14">
        <v>0</v>
      </c>
      <c r="M33" s="12" t="s">
        <v>333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5" customHeight="1" x14ac:dyDescent="0.25">
      <c r="A34" s="20">
        <v>46235</v>
      </c>
      <c r="B34" s="15" t="s">
        <v>500</v>
      </c>
      <c r="C34" s="16" t="s">
        <v>518</v>
      </c>
      <c r="D34" s="15" t="s">
        <v>274</v>
      </c>
      <c r="E34" s="16" t="s">
        <v>147</v>
      </c>
      <c r="F34" s="16" t="s">
        <v>33</v>
      </c>
      <c r="G34" s="16">
        <v>12</v>
      </c>
      <c r="H34" s="17">
        <v>0.26288194444444446</v>
      </c>
      <c r="I34" s="17">
        <v>3.6585648148148145E-2</v>
      </c>
      <c r="J34" s="17">
        <v>3.0488040123456792E-3</v>
      </c>
      <c r="K34" s="17">
        <v>3.0266203703703705E-2</v>
      </c>
      <c r="L34" s="18">
        <v>0.11513230308633822</v>
      </c>
      <c r="M34" s="16" t="s">
        <v>334</v>
      </c>
      <c r="N34" s="17">
        <v>1.5162037037037036E-3</v>
      </c>
      <c r="O34" s="17">
        <v>1.3981481481481482E-2</v>
      </c>
      <c r="P34" s="17"/>
      <c r="Q34" s="17"/>
      <c r="R34" s="17"/>
      <c r="S34" s="17">
        <v>1.3981481481481482E-2</v>
      </c>
      <c r="T34" s="17">
        <v>1.7361111111111112E-4</v>
      </c>
      <c r="U34" s="17">
        <v>6.018518518518519E-4</v>
      </c>
      <c r="V34" s="17"/>
      <c r="W34" s="17"/>
    </row>
    <row r="35" spans="1:23" ht="15" customHeight="1" x14ac:dyDescent="0.25">
      <c r="A35" s="19">
        <v>46235</v>
      </c>
      <c r="B35" s="11" t="s">
        <v>653</v>
      </c>
      <c r="C35" s="12" t="s">
        <v>654</v>
      </c>
      <c r="D35" s="11" t="s">
        <v>100</v>
      </c>
      <c r="E35" s="12" t="s">
        <v>32</v>
      </c>
      <c r="F35" s="12" t="s">
        <v>33</v>
      </c>
      <c r="G35" s="12">
        <v>11</v>
      </c>
      <c r="H35" s="13">
        <v>0.25890046296296299</v>
      </c>
      <c r="I35" s="13">
        <v>0.18156249999999999</v>
      </c>
      <c r="J35" s="13">
        <v>1.6505681818181819E-2</v>
      </c>
      <c r="K35" s="13">
        <v>3.6145833333333335E-2</v>
      </c>
      <c r="L35" s="14">
        <v>0.13961285707899326</v>
      </c>
      <c r="M35" s="12" t="s">
        <v>334</v>
      </c>
      <c r="N35" s="13">
        <v>5.0462962962962961E-3</v>
      </c>
      <c r="O35" s="13">
        <v>1.474537037037037E-2</v>
      </c>
      <c r="P35" s="13"/>
      <c r="Q35" s="13"/>
      <c r="R35" s="13"/>
      <c r="S35" s="13">
        <v>1.4016203703703704E-2</v>
      </c>
      <c r="T35" s="13">
        <v>7.291666666666667E-4</v>
      </c>
      <c r="U35" s="13">
        <v>1.5740740740740741E-3</v>
      </c>
      <c r="V35" s="13"/>
      <c r="W35" s="13"/>
    </row>
    <row r="36" spans="1:23" ht="15" customHeight="1" x14ac:dyDescent="0.25">
      <c r="A36" s="20">
        <v>46235</v>
      </c>
      <c r="B36" s="15" t="s">
        <v>52</v>
      </c>
      <c r="C36" s="16" t="s">
        <v>509</v>
      </c>
      <c r="D36" s="15" t="s">
        <v>100</v>
      </c>
      <c r="E36" s="16" t="s">
        <v>32</v>
      </c>
      <c r="F36" s="16" t="s">
        <v>33</v>
      </c>
      <c r="G36" s="16">
        <v>0</v>
      </c>
      <c r="H36" s="17">
        <v>0.16879629629629631</v>
      </c>
      <c r="I36" s="17">
        <v>0</v>
      </c>
      <c r="J36" s="17">
        <v>0</v>
      </c>
      <c r="K36" s="17">
        <v>0.16879629629629631</v>
      </c>
      <c r="L36" s="18">
        <v>1</v>
      </c>
      <c r="M36" s="16" t="s">
        <v>334</v>
      </c>
      <c r="N36" s="17"/>
      <c r="O36" s="17">
        <v>1.3912037037037037E-2</v>
      </c>
      <c r="P36" s="17"/>
      <c r="Q36" s="17"/>
      <c r="R36" s="17"/>
      <c r="S36" s="17">
        <v>1.4131944444444445E-2</v>
      </c>
      <c r="T36" s="17">
        <v>4.861111111111111E-4</v>
      </c>
      <c r="U36" s="17"/>
      <c r="V36" s="17"/>
      <c r="W36" s="17">
        <v>0.14026620370370371</v>
      </c>
    </row>
    <row r="37" spans="1:23" ht="15" customHeight="1" x14ac:dyDescent="0.25">
      <c r="A37" s="19">
        <v>46235</v>
      </c>
      <c r="B37" s="11" t="s">
        <v>164</v>
      </c>
      <c r="C37" s="12" t="s">
        <v>519</v>
      </c>
      <c r="D37" s="11" t="s">
        <v>146</v>
      </c>
      <c r="E37" s="12" t="s">
        <v>147</v>
      </c>
      <c r="F37" s="12" t="s">
        <v>106</v>
      </c>
      <c r="G37" s="12">
        <v>14</v>
      </c>
      <c r="H37" s="13">
        <v>0.26445601851851852</v>
      </c>
      <c r="I37" s="13">
        <v>3.574074074074074E-2</v>
      </c>
      <c r="J37" s="13">
        <v>2.5529100529100529E-3</v>
      </c>
      <c r="K37" s="13">
        <v>4.7523148148148148E-2</v>
      </c>
      <c r="L37" s="14">
        <v>0.17970151866602477</v>
      </c>
      <c r="M37" s="12" t="s">
        <v>334</v>
      </c>
      <c r="N37" s="13"/>
      <c r="O37" s="13">
        <v>1.8113425925925925E-2</v>
      </c>
      <c r="P37" s="13"/>
      <c r="Q37" s="13">
        <v>1.3344907407407408E-2</v>
      </c>
      <c r="R37" s="13"/>
      <c r="S37" s="13">
        <v>1.5474537037037037E-2</v>
      </c>
      <c r="T37" s="13">
        <v>1.5046296296296297E-4</v>
      </c>
      <c r="U37" s="13">
        <v>4.1666666666666669E-4</v>
      </c>
      <c r="V37" s="13"/>
      <c r="W37" s="13"/>
    </row>
    <row r="38" spans="1:23" ht="15" customHeight="1" x14ac:dyDescent="0.25">
      <c r="A38" s="20">
        <v>46235</v>
      </c>
      <c r="B38" s="15" t="s">
        <v>655</v>
      </c>
      <c r="C38" s="16" t="s">
        <v>656</v>
      </c>
      <c r="D38" s="15" t="s">
        <v>100</v>
      </c>
      <c r="E38" s="16" t="s">
        <v>32</v>
      </c>
      <c r="F38" s="16" t="s">
        <v>33</v>
      </c>
      <c r="G38" s="16">
        <v>16</v>
      </c>
      <c r="H38" s="17">
        <v>0.25579861111111113</v>
      </c>
      <c r="I38" s="17">
        <v>7.6817129629629624E-2</v>
      </c>
      <c r="J38" s="17">
        <v>4.8010706018518515E-3</v>
      </c>
      <c r="K38" s="17">
        <v>3.8124999999999999E-2</v>
      </c>
      <c r="L38" s="18">
        <v>0.14904302972716166</v>
      </c>
      <c r="M38" s="16" t="s">
        <v>334</v>
      </c>
      <c r="N38" s="17">
        <v>7.0949074074074074E-3</v>
      </c>
      <c r="O38" s="17">
        <v>1.443287037037037E-2</v>
      </c>
      <c r="P38" s="17"/>
      <c r="Q38" s="17"/>
      <c r="R38" s="17"/>
      <c r="S38" s="17">
        <v>1.3923611111111111E-2</v>
      </c>
      <c r="T38" s="17">
        <v>1.5625000000000001E-3</v>
      </c>
      <c r="U38" s="17">
        <v>1.0995370370370371E-3</v>
      </c>
      <c r="V38" s="17"/>
      <c r="W38" s="17"/>
    </row>
    <row r="39" spans="1:23" ht="15" customHeight="1" x14ac:dyDescent="0.25">
      <c r="A39" s="19">
        <v>46235</v>
      </c>
      <c r="B39" s="11" t="s">
        <v>657</v>
      </c>
      <c r="C39" s="12" t="s">
        <v>658</v>
      </c>
      <c r="D39" s="11" t="s">
        <v>274</v>
      </c>
      <c r="E39" s="12" t="s">
        <v>147</v>
      </c>
      <c r="F39" s="12" t="s">
        <v>33</v>
      </c>
      <c r="G39" s="12">
        <v>12</v>
      </c>
      <c r="H39" s="13">
        <v>0.25413194444444442</v>
      </c>
      <c r="I39" s="13">
        <v>3.4652777777777775E-2</v>
      </c>
      <c r="J39" s="13">
        <v>2.8877314814814816E-3</v>
      </c>
      <c r="K39" s="13">
        <v>3.5104166666666665E-2</v>
      </c>
      <c r="L39" s="14">
        <v>0.13813362481213282</v>
      </c>
      <c r="M39" s="12" t="s">
        <v>334</v>
      </c>
      <c r="N39" s="13">
        <v>7.8240740740740736E-3</v>
      </c>
      <c r="O39" s="13">
        <v>1.4108796296296296E-2</v>
      </c>
      <c r="P39" s="13"/>
      <c r="Q39" s="13"/>
      <c r="R39" s="13">
        <v>1.5509259259259259E-3</v>
      </c>
      <c r="S39" s="13">
        <v>1.0578703703703703E-2</v>
      </c>
      <c r="T39" s="13">
        <v>5.4398148148148144E-4</v>
      </c>
      <c r="U39" s="13">
        <v>4.861111111111111E-4</v>
      </c>
      <c r="V39" s="13"/>
      <c r="W39" s="13"/>
    </row>
    <row r="40" spans="1:23" ht="15" customHeight="1" x14ac:dyDescent="0.25">
      <c r="A40" s="20">
        <v>46235</v>
      </c>
      <c r="B40" s="15" t="s">
        <v>166</v>
      </c>
      <c r="C40" s="16" t="s">
        <v>167</v>
      </c>
      <c r="D40" s="15" t="s">
        <v>146</v>
      </c>
      <c r="E40" s="16" t="s">
        <v>147</v>
      </c>
      <c r="F40" s="16" t="s">
        <v>106</v>
      </c>
      <c r="G40" s="16">
        <v>17</v>
      </c>
      <c r="H40" s="17">
        <v>0.2573611111111111</v>
      </c>
      <c r="I40" s="17">
        <v>3.5937499999999997E-2</v>
      </c>
      <c r="J40" s="17">
        <v>2.1139705882352944E-3</v>
      </c>
      <c r="K40" s="17">
        <v>4.6192129629629632E-2</v>
      </c>
      <c r="L40" s="18">
        <v>0.17948372009354199</v>
      </c>
      <c r="M40" s="16" t="s">
        <v>334</v>
      </c>
      <c r="N40" s="17">
        <v>7.2569444444444443E-3</v>
      </c>
      <c r="O40" s="17">
        <v>1.3530092592592592E-2</v>
      </c>
      <c r="P40" s="17"/>
      <c r="Q40" s="17">
        <v>1.1076388888888889E-2</v>
      </c>
      <c r="R40" s="17"/>
      <c r="S40" s="17">
        <v>1.4085648148148147E-2</v>
      </c>
      <c r="T40" s="17">
        <v>1.3888888888888889E-4</v>
      </c>
      <c r="U40" s="17">
        <v>9.2592592592592588E-5</v>
      </c>
      <c r="V40" s="17"/>
      <c r="W40" s="17"/>
    </row>
    <row r="41" spans="1:23" ht="15" customHeight="1" x14ac:dyDescent="0.25">
      <c r="A41" s="19">
        <v>46235</v>
      </c>
      <c r="B41" s="11" t="s">
        <v>659</v>
      </c>
      <c r="C41" s="12" t="s">
        <v>660</v>
      </c>
      <c r="D41" s="11" t="s">
        <v>100</v>
      </c>
      <c r="E41" s="12" t="s">
        <v>32</v>
      </c>
      <c r="F41" s="12" t="s">
        <v>33</v>
      </c>
      <c r="G41" s="12">
        <v>21</v>
      </c>
      <c r="H41" s="13">
        <v>0.25342592592592594</v>
      </c>
      <c r="I41" s="13">
        <v>9.0300925925925923E-2</v>
      </c>
      <c r="J41" s="13">
        <v>4.3000440917107582E-3</v>
      </c>
      <c r="K41" s="13">
        <v>4.2094907407407407E-2</v>
      </c>
      <c r="L41" s="14">
        <v>0.16610339788089148</v>
      </c>
      <c r="M41" s="12" t="s">
        <v>334</v>
      </c>
      <c r="N41" s="13">
        <v>8.2523148148148148E-3</v>
      </c>
      <c r="O41" s="13">
        <v>1.5358796296296296E-2</v>
      </c>
      <c r="P41" s="13"/>
      <c r="Q41" s="13">
        <v>3.7268518518518519E-3</v>
      </c>
      <c r="R41" s="13"/>
      <c r="S41" s="13">
        <v>1.2777777777777779E-2</v>
      </c>
      <c r="T41" s="13">
        <v>7.0601851851851847E-4</v>
      </c>
      <c r="U41" s="13">
        <v>1.2152777777777778E-3</v>
      </c>
      <c r="V41" s="13"/>
      <c r="W41" s="13"/>
    </row>
    <row r="42" spans="1:23" ht="15" customHeight="1" x14ac:dyDescent="0.25">
      <c r="A42" s="20">
        <v>46235</v>
      </c>
      <c r="B42" s="15" t="s">
        <v>254</v>
      </c>
      <c r="C42" s="16" t="s">
        <v>528</v>
      </c>
      <c r="D42" s="15" t="s">
        <v>233</v>
      </c>
      <c r="E42" s="16" t="s">
        <v>32</v>
      </c>
      <c r="F42" s="16" t="s">
        <v>106</v>
      </c>
      <c r="G42" s="16">
        <v>16</v>
      </c>
      <c r="H42" s="17">
        <v>0.26457175925925924</v>
      </c>
      <c r="I42" s="17">
        <v>0.10538194444444444</v>
      </c>
      <c r="J42" s="17">
        <v>6.5863715277777778E-3</v>
      </c>
      <c r="K42" s="17">
        <v>6.3101851851851853E-2</v>
      </c>
      <c r="L42" s="18">
        <v>0.23850562141825976</v>
      </c>
      <c r="M42" s="16" t="s">
        <v>334</v>
      </c>
      <c r="N42" s="17">
        <v>2.1412037037037038E-2</v>
      </c>
      <c r="O42" s="17">
        <v>1.4189814814814815E-2</v>
      </c>
      <c r="P42" s="17"/>
      <c r="Q42" s="17">
        <v>2.4305555555555556E-3</v>
      </c>
      <c r="R42" s="17"/>
      <c r="S42" s="17">
        <v>1.2685185185185185E-2</v>
      </c>
      <c r="T42" s="17">
        <v>1.1597222222222222E-2</v>
      </c>
      <c r="U42" s="17">
        <v>7.5231481481481482E-4</v>
      </c>
      <c r="V42" s="17"/>
      <c r="W42" s="17"/>
    </row>
    <row r="43" spans="1:23" ht="15" customHeight="1" x14ac:dyDescent="0.25">
      <c r="A43" s="19">
        <v>46235</v>
      </c>
      <c r="B43" s="11" t="s">
        <v>201</v>
      </c>
      <c r="C43" s="12" t="s">
        <v>545</v>
      </c>
      <c r="D43" s="11" t="s">
        <v>601</v>
      </c>
      <c r="E43" s="12" t="s">
        <v>600</v>
      </c>
      <c r="F43" s="12" t="s">
        <v>33</v>
      </c>
      <c r="G43" s="12">
        <v>18</v>
      </c>
      <c r="H43" s="13">
        <v>0.25240740740740741</v>
      </c>
      <c r="I43" s="13">
        <v>5.4976851851851853E-2</v>
      </c>
      <c r="J43" s="13">
        <v>3.0542695473251033E-3</v>
      </c>
      <c r="K43" s="13">
        <v>8.0231481481481487E-2</v>
      </c>
      <c r="L43" s="14">
        <v>0.31786500366837855</v>
      </c>
      <c r="M43" s="12" t="s">
        <v>334</v>
      </c>
      <c r="N43" s="13">
        <v>4.4432870370370373E-2</v>
      </c>
      <c r="O43" s="13">
        <v>1.0243055555555556E-2</v>
      </c>
      <c r="P43" s="13"/>
      <c r="Q43" s="13">
        <v>3.7268518518518519E-3</v>
      </c>
      <c r="R43" s="13"/>
      <c r="S43" s="13">
        <v>2.0219907407407409E-2</v>
      </c>
      <c r="T43" s="13">
        <v>1.4583333333333334E-3</v>
      </c>
      <c r="U43" s="13">
        <v>1.5046296296296297E-4</v>
      </c>
      <c r="V43" s="13"/>
      <c r="W43" s="13"/>
    </row>
    <row r="44" spans="1:23" ht="15" customHeight="1" x14ac:dyDescent="0.25">
      <c r="A44" s="20">
        <v>46235</v>
      </c>
      <c r="B44" s="15" t="s">
        <v>168</v>
      </c>
      <c r="C44" s="16" t="s">
        <v>520</v>
      </c>
      <c r="D44" s="15" t="s">
        <v>274</v>
      </c>
      <c r="E44" s="16" t="s">
        <v>147</v>
      </c>
      <c r="F44" s="16" t="s">
        <v>33</v>
      </c>
      <c r="G44" s="16">
        <v>10</v>
      </c>
      <c r="H44" s="17">
        <v>0.26148148148148148</v>
      </c>
      <c r="I44" s="17">
        <v>2.4652777777777777E-2</v>
      </c>
      <c r="J44" s="17">
        <v>2.4652777777777776E-3</v>
      </c>
      <c r="K44" s="17">
        <v>4.0833333333333333E-2</v>
      </c>
      <c r="L44" s="18">
        <v>0.15616147308781869</v>
      </c>
      <c r="M44" s="16" t="s">
        <v>334</v>
      </c>
      <c r="N44" s="17">
        <v>1.0960648148148148E-2</v>
      </c>
      <c r="O44" s="17">
        <v>1.5486111111111112E-2</v>
      </c>
      <c r="P44" s="17"/>
      <c r="Q44" s="17"/>
      <c r="R44" s="17"/>
      <c r="S44" s="17">
        <v>1.3784722222222223E-2</v>
      </c>
      <c r="T44" s="17">
        <v>1.5046296296296297E-4</v>
      </c>
      <c r="U44" s="17">
        <v>1.3888888888888889E-4</v>
      </c>
      <c r="V44" s="17"/>
      <c r="W44" s="17"/>
    </row>
    <row r="45" spans="1:23" ht="15" customHeight="1" x14ac:dyDescent="0.25">
      <c r="A45" s="19">
        <v>46235</v>
      </c>
      <c r="B45" s="11" t="s">
        <v>170</v>
      </c>
      <c r="C45" s="12" t="s">
        <v>521</v>
      </c>
      <c r="D45" s="11" t="s">
        <v>146</v>
      </c>
      <c r="E45" s="12" t="s">
        <v>147</v>
      </c>
      <c r="F45" s="12" t="s">
        <v>106</v>
      </c>
      <c r="G45" s="12">
        <v>10</v>
      </c>
      <c r="H45" s="13">
        <v>0.25469907407407405</v>
      </c>
      <c r="I45" s="13">
        <v>3.8217592592592595E-2</v>
      </c>
      <c r="J45" s="13">
        <v>3.8217592592592591E-3</v>
      </c>
      <c r="K45" s="13">
        <v>5.7210648148148149E-2</v>
      </c>
      <c r="L45" s="14">
        <v>0.22462055802962827</v>
      </c>
      <c r="M45" s="12" t="s">
        <v>334</v>
      </c>
      <c r="N45" s="13"/>
      <c r="O45" s="13">
        <v>1.4479166666666666E-2</v>
      </c>
      <c r="P45" s="13"/>
      <c r="Q45" s="13">
        <v>2.6909722222222224E-2</v>
      </c>
      <c r="R45" s="13"/>
      <c r="S45" s="13">
        <v>1.3842592592592592E-2</v>
      </c>
      <c r="T45" s="13">
        <v>1.1574074074074075E-4</v>
      </c>
      <c r="U45" s="13">
        <v>1.7708333333333332E-3</v>
      </c>
      <c r="V45" s="13"/>
      <c r="W45" s="13"/>
    </row>
    <row r="46" spans="1:23" ht="15" customHeight="1" x14ac:dyDescent="0.25">
      <c r="A46" s="20">
        <v>46235</v>
      </c>
      <c r="B46" s="15" t="s">
        <v>293</v>
      </c>
      <c r="C46" s="16" t="s">
        <v>543</v>
      </c>
      <c r="D46" s="15" t="s">
        <v>104</v>
      </c>
      <c r="E46" s="16" t="s">
        <v>600</v>
      </c>
      <c r="F46" s="16" t="s">
        <v>106</v>
      </c>
      <c r="G46" s="16">
        <v>22</v>
      </c>
      <c r="H46" s="17">
        <v>0.25930555555555557</v>
      </c>
      <c r="I46" s="17">
        <v>4.521990740740741E-2</v>
      </c>
      <c r="J46" s="17">
        <v>2.0554503367003368E-3</v>
      </c>
      <c r="K46" s="17">
        <v>0.10219907407407407</v>
      </c>
      <c r="L46" s="18">
        <v>0.39412604891983577</v>
      </c>
      <c r="M46" s="16" t="s">
        <v>334</v>
      </c>
      <c r="N46" s="17">
        <v>1.7164351851851851E-2</v>
      </c>
      <c r="O46" s="17">
        <v>2.6643518518518518E-2</v>
      </c>
      <c r="P46" s="17"/>
      <c r="Q46" s="17"/>
      <c r="R46" s="17"/>
      <c r="S46" s="17">
        <v>1.4050925925925927E-2</v>
      </c>
      <c r="T46" s="17">
        <v>1.3402777777777777E-2</v>
      </c>
      <c r="U46" s="17">
        <v>2.199074074074074E-4</v>
      </c>
      <c r="V46" s="17"/>
      <c r="W46" s="17">
        <v>3.0694444444444444E-2</v>
      </c>
    </row>
    <row r="47" spans="1:23" ht="15" customHeight="1" x14ac:dyDescent="0.25">
      <c r="A47" s="19">
        <v>46235</v>
      </c>
      <c r="B47" s="11" t="s">
        <v>606</v>
      </c>
      <c r="C47" s="12" t="s">
        <v>633</v>
      </c>
      <c r="D47" s="11" t="s">
        <v>146</v>
      </c>
      <c r="E47" s="12" t="s">
        <v>147</v>
      </c>
      <c r="F47" s="12" t="s">
        <v>106</v>
      </c>
      <c r="G47" s="12">
        <v>10</v>
      </c>
      <c r="H47" s="13">
        <v>0.26535879629629627</v>
      </c>
      <c r="I47" s="13">
        <v>2.420138888888889E-2</v>
      </c>
      <c r="J47" s="13">
        <v>2.4201388888888888E-3</v>
      </c>
      <c r="K47" s="13">
        <v>5.6284722222222222E-2</v>
      </c>
      <c r="L47" s="14">
        <v>0.2121079949404632</v>
      </c>
      <c r="M47" s="12" t="s">
        <v>334</v>
      </c>
      <c r="N47" s="13">
        <v>4.0625000000000001E-3</v>
      </c>
      <c r="O47" s="13">
        <v>1.4027777777777778E-2</v>
      </c>
      <c r="P47" s="13"/>
      <c r="Q47" s="13">
        <v>1.5625E-2</v>
      </c>
      <c r="R47" s="13"/>
      <c r="S47" s="13">
        <v>1.4282407407407407E-2</v>
      </c>
      <c r="T47" s="13">
        <v>4.0972222222222226E-3</v>
      </c>
      <c r="U47" s="13">
        <v>4.0740740740740737E-3</v>
      </c>
      <c r="V47" s="13"/>
      <c r="W47" s="13"/>
    </row>
    <row r="48" spans="1:23" ht="15" customHeight="1" x14ac:dyDescent="0.25">
      <c r="A48" s="20">
        <v>46235</v>
      </c>
      <c r="B48" s="15" t="s">
        <v>612</v>
      </c>
      <c r="C48" s="16" t="s">
        <v>634</v>
      </c>
      <c r="D48" s="15" t="s">
        <v>601</v>
      </c>
      <c r="E48" s="16" t="s">
        <v>105</v>
      </c>
      <c r="F48" s="16" t="s">
        <v>33</v>
      </c>
      <c r="G48" s="16">
        <v>2</v>
      </c>
      <c r="H48" s="17">
        <v>0.17953703703703705</v>
      </c>
      <c r="I48" s="17">
        <v>0.12479166666666666</v>
      </c>
      <c r="J48" s="17">
        <v>6.2395833333333331E-2</v>
      </c>
      <c r="K48" s="17">
        <v>0.13241898148148148</v>
      </c>
      <c r="L48" s="18">
        <v>0.73755801959773082</v>
      </c>
      <c r="M48" s="16" t="s">
        <v>334</v>
      </c>
      <c r="N48" s="17">
        <v>2.1412037037037038E-2</v>
      </c>
      <c r="O48" s="17">
        <v>1.0821759259259258E-2</v>
      </c>
      <c r="P48" s="17"/>
      <c r="Q48" s="17"/>
      <c r="R48" s="17"/>
      <c r="S48" s="17">
        <v>1.7511574074074075E-2</v>
      </c>
      <c r="T48" s="17">
        <v>5.7870370370370367E-4</v>
      </c>
      <c r="U48" s="17"/>
      <c r="V48" s="17"/>
      <c r="W48" s="17">
        <v>8.2094907407407408E-2</v>
      </c>
    </row>
    <row r="49" spans="1:23" ht="15" customHeight="1" x14ac:dyDescent="0.25">
      <c r="A49" s="19">
        <v>46235</v>
      </c>
      <c r="B49" s="11" t="s">
        <v>258</v>
      </c>
      <c r="C49" s="12" t="s">
        <v>554</v>
      </c>
      <c r="D49" s="11" t="s">
        <v>233</v>
      </c>
      <c r="E49" s="12" t="s">
        <v>32</v>
      </c>
      <c r="F49" s="12" t="s">
        <v>106</v>
      </c>
      <c r="G49" s="12">
        <v>1</v>
      </c>
      <c r="H49" s="13">
        <v>0.20333333333333334</v>
      </c>
      <c r="I49" s="13">
        <v>5.9722222222222225E-3</v>
      </c>
      <c r="J49" s="13">
        <v>5.9722222222222225E-3</v>
      </c>
      <c r="K49" s="13">
        <v>0.18802083333333333</v>
      </c>
      <c r="L49" s="14">
        <v>0.92469262295081966</v>
      </c>
      <c r="M49" s="12" t="s">
        <v>334</v>
      </c>
      <c r="N49" s="13"/>
      <c r="O49" s="13"/>
      <c r="P49" s="13"/>
      <c r="Q49" s="13"/>
      <c r="R49" s="13"/>
      <c r="S49" s="13"/>
      <c r="T49" s="13">
        <v>4.3703703703703703E-2</v>
      </c>
      <c r="U49" s="13"/>
      <c r="V49" s="13"/>
      <c r="W49" s="13">
        <v>0.14431712962962964</v>
      </c>
    </row>
    <row r="50" spans="1:23" ht="15" customHeight="1" x14ac:dyDescent="0.25">
      <c r="A50" s="20">
        <v>46235</v>
      </c>
      <c r="B50" s="15" t="s">
        <v>661</v>
      </c>
      <c r="C50" s="16" t="s">
        <v>662</v>
      </c>
      <c r="D50" s="15" t="s">
        <v>100</v>
      </c>
      <c r="E50" s="16" t="s">
        <v>32</v>
      </c>
      <c r="F50" s="16" t="s">
        <v>33</v>
      </c>
      <c r="G50" s="16">
        <v>11</v>
      </c>
      <c r="H50" s="17">
        <v>0.26231481481481483</v>
      </c>
      <c r="I50" s="17">
        <v>0.1404050925925926</v>
      </c>
      <c r="J50" s="17">
        <v>1.2764099326599327E-2</v>
      </c>
      <c r="K50" s="17">
        <v>3.0034722222222223E-2</v>
      </c>
      <c r="L50" s="18">
        <v>0.11449876456053654</v>
      </c>
      <c r="M50" s="16" t="s">
        <v>334</v>
      </c>
      <c r="N50" s="17"/>
      <c r="O50" s="17">
        <v>1.4004629629629629E-2</v>
      </c>
      <c r="P50" s="17"/>
      <c r="Q50" s="17"/>
      <c r="R50" s="17"/>
      <c r="S50" s="17">
        <v>1.4351851851851852E-2</v>
      </c>
      <c r="T50" s="17">
        <v>7.5231481481481482E-4</v>
      </c>
      <c r="U50" s="17">
        <v>9.0277777777777774E-4</v>
      </c>
      <c r="V50" s="17"/>
      <c r="W50" s="17"/>
    </row>
    <row r="51" spans="1:23" ht="15" customHeight="1" x14ac:dyDescent="0.25">
      <c r="A51" s="19">
        <v>46235</v>
      </c>
      <c r="B51" s="11" t="s">
        <v>663</v>
      </c>
      <c r="C51" s="12" t="s">
        <v>664</v>
      </c>
      <c r="D51" s="11" t="s">
        <v>233</v>
      </c>
      <c r="E51" s="12" t="s">
        <v>32</v>
      </c>
      <c r="F51" s="12" t="s">
        <v>106</v>
      </c>
      <c r="G51" s="12">
        <v>15</v>
      </c>
      <c r="H51" s="13">
        <v>0.24864583333333334</v>
      </c>
      <c r="I51" s="13">
        <v>0.1162037037037037</v>
      </c>
      <c r="J51" s="13">
        <v>7.7469135802469141E-3</v>
      </c>
      <c r="K51" s="13">
        <v>4.0937500000000002E-2</v>
      </c>
      <c r="L51" s="14">
        <v>0.16464180980310011</v>
      </c>
      <c r="M51" s="12" t="s">
        <v>334</v>
      </c>
      <c r="N51" s="13">
        <v>1.1574074074074075E-4</v>
      </c>
      <c r="O51" s="13">
        <v>1.2893518518518518E-2</v>
      </c>
      <c r="P51" s="13"/>
      <c r="Q51" s="13"/>
      <c r="R51" s="13"/>
      <c r="S51" s="13">
        <v>1.7361111111111112E-2</v>
      </c>
      <c r="T51" s="13">
        <v>5.7870370370370373E-5</v>
      </c>
      <c r="U51" s="13">
        <v>9.6064814814814819E-4</v>
      </c>
      <c r="V51" s="13"/>
      <c r="W51" s="13">
        <v>9.525462962962963E-3</v>
      </c>
    </row>
    <row r="52" spans="1:23" ht="15" customHeight="1" x14ac:dyDescent="0.25">
      <c r="A52" s="20">
        <v>46235</v>
      </c>
      <c r="B52" s="15" t="s">
        <v>203</v>
      </c>
      <c r="C52" s="16" t="s">
        <v>565</v>
      </c>
      <c r="D52" s="15" t="s">
        <v>601</v>
      </c>
      <c r="E52" s="16" t="s">
        <v>105</v>
      </c>
      <c r="F52" s="16" t="s">
        <v>33</v>
      </c>
      <c r="G52" s="16">
        <v>6</v>
      </c>
      <c r="H52" s="17">
        <v>0.19097222222222221</v>
      </c>
      <c r="I52" s="17">
        <v>5.3113425925925925E-2</v>
      </c>
      <c r="J52" s="17">
        <v>8.8522376543209887E-3</v>
      </c>
      <c r="K52" s="17">
        <v>8.9317129629629635E-2</v>
      </c>
      <c r="L52" s="18">
        <v>0.46769696969696972</v>
      </c>
      <c r="M52" s="16" t="s">
        <v>334</v>
      </c>
      <c r="N52" s="17">
        <v>2.8009259259259259E-3</v>
      </c>
      <c r="O52" s="17">
        <v>8.6689814814814806E-3</v>
      </c>
      <c r="P52" s="17"/>
      <c r="Q52" s="17">
        <v>7.1527777777777779E-3</v>
      </c>
      <c r="R52" s="17"/>
      <c r="S52" s="17">
        <v>1.6087962962962964E-2</v>
      </c>
      <c r="T52" s="17">
        <v>2.6620370370370372E-4</v>
      </c>
      <c r="U52" s="17"/>
      <c r="V52" s="17"/>
      <c r="W52" s="17">
        <v>5.4340277777777779E-2</v>
      </c>
    </row>
    <row r="53" spans="1:23" ht="15" customHeight="1" x14ac:dyDescent="0.25">
      <c r="A53" s="19">
        <v>46235</v>
      </c>
      <c r="B53" s="11" t="s">
        <v>665</v>
      </c>
      <c r="C53" s="12" t="s">
        <v>666</v>
      </c>
      <c r="D53" s="11" t="s">
        <v>100</v>
      </c>
      <c r="E53" s="12" t="s">
        <v>32</v>
      </c>
      <c r="F53" s="12" t="s">
        <v>33</v>
      </c>
      <c r="G53" s="12">
        <v>16</v>
      </c>
      <c r="H53" s="13">
        <v>0.26341435185185186</v>
      </c>
      <c r="I53" s="13">
        <v>8.0844907407407407E-2</v>
      </c>
      <c r="J53" s="13">
        <v>5.0528067129629629E-3</v>
      </c>
      <c r="K53" s="13">
        <v>3.0138888888888889E-2</v>
      </c>
      <c r="L53" s="14">
        <v>0.11441627488026715</v>
      </c>
      <c r="M53" s="12" t="s">
        <v>334</v>
      </c>
      <c r="N53" s="13"/>
      <c r="O53" s="13">
        <v>1.375E-2</v>
      </c>
      <c r="P53" s="13"/>
      <c r="Q53" s="13"/>
      <c r="R53" s="13"/>
      <c r="S53" s="13">
        <v>1.412037037037037E-2</v>
      </c>
      <c r="T53" s="13">
        <v>1.6203703703703703E-4</v>
      </c>
      <c r="U53" s="13">
        <v>1.9675925925925924E-3</v>
      </c>
      <c r="V53" s="13"/>
      <c r="W53" s="13"/>
    </row>
    <row r="54" spans="1:23" ht="15" customHeight="1" x14ac:dyDescent="0.25">
      <c r="A54" s="20">
        <v>46235</v>
      </c>
      <c r="B54" s="15" t="s">
        <v>128</v>
      </c>
      <c r="C54" s="16" t="s">
        <v>555</v>
      </c>
      <c r="D54" s="15" t="s">
        <v>233</v>
      </c>
      <c r="E54" s="16" t="s">
        <v>32</v>
      </c>
      <c r="F54" s="16" t="s">
        <v>106</v>
      </c>
      <c r="G54" s="16">
        <v>16</v>
      </c>
      <c r="H54" s="17">
        <v>0.24840277777777778</v>
      </c>
      <c r="I54" s="17">
        <v>6.2789351851851846E-2</v>
      </c>
      <c r="J54" s="17">
        <v>3.9243344907407404E-3</v>
      </c>
      <c r="K54" s="17">
        <v>5.9699074074074071E-2</v>
      </c>
      <c r="L54" s="18">
        <v>0.24033174913801136</v>
      </c>
      <c r="M54" s="16" t="s">
        <v>334</v>
      </c>
      <c r="N54" s="17">
        <v>1.9930555555555556E-2</v>
      </c>
      <c r="O54" s="17">
        <v>1.4201388888888888E-2</v>
      </c>
      <c r="P54" s="17"/>
      <c r="Q54" s="17"/>
      <c r="R54" s="17"/>
      <c r="S54" s="17">
        <v>1.4502314814814815E-2</v>
      </c>
      <c r="T54" s="17">
        <v>2.3263888888888887E-3</v>
      </c>
      <c r="U54" s="17">
        <v>2.8935185185185184E-3</v>
      </c>
      <c r="V54" s="17"/>
      <c r="W54" s="17">
        <v>5.8217592592592592E-3</v>
      </c>
    </row>
    <row r="55" spans="1:23" ht="15" customHeight="1" x14ac:dyDescent="0.25">
      <c r="A55" s="19">
        <v>46235</v>
      </c>
      <c r="B55" s="11" t="s">
        <v>178</v>
      </c>
      <c r="C55" s="12" t="s">
        <v>522</v>
      </c>
      <c r="D55" s="11" t="s">
        <v>146</v>
      </c>
      <c r="E55" s="12" t="s">
        <v>147</v>
      </c>
      <c r="F55" s="12" t="s">
        <v>106</v>
      </c>
      <c r="G55" s="12">
        <v>9</v>
      </c>
      <c r="H55" s="13">
        <v>0.26554398148148151</v>
      </c>
      <c r="I55" s="13">
        <v>4.2719907407407408E-2</v>
      </c>
      <c r="J55" s="13">
        <v>4.7466563786008227E-3</v>
      </c>
      <c r="K55" s="13">
        <v>5.3564814814814815E-2</v>
      </c>
      <c r="L55" s="14">
        <v>0.20171729939415073</v>
      </c>
      <c r="M55" s="12" t="s">
        <v>334</v>
      </c>
      <c r="N55" s="13">
        <v>4.8611111111111112E-3</v>
      </c>
      <c r="O55" s="13">
        <v>1.3726851851851851E-2</v>
      </c>
      <c r="P55" s="13"/>
      <c r="Q55" s="13">
        <v>1.7118055555555556E-2</v>
      </c>
      <c r="R55" s="13"/>
      <c r="S55" s="13">
        <v>1.3159722222222222E-2</v>
      </c>
      <c r="T55" s="13">
        <v>1.1574074074074075E-4</v>
      </c>
      <c r="U55" s="13">
        <v>4.4675925925925924E-3</v>
      </c>
      <c r="V55" s="13"/>
      <c r="W55" s="13"/>
    </row>
    <row r="56" spans="1:23" ht="15" customHeight="1" x14ac:dyDescent="0.25">
      <c r="A56" s="20">
        <v>46235</v>
      </c>
      <c r="B56" s="15" t="s">
        <v>266</v>
      </c>
      <c r="C56" s="16" t="s">
        <v>531</v>
      </c>
      <c r="D56" s="15" t="s">
        <v>233</v>
      </c>
      <c r="E56" s="16" t="s">
        <v>32</v>
      </c>
      <c r="F56" s="16" t="s">
        <v>106</v>
      </c>
      <c r="G56" s="16">
        <v>0</v>
      </c>
      <c r="H56" s="17">
        <v>0.24414351851851851</v>
      </c>
      <c r="I56" s="17">
        <v>0</v>
      </c>
      <c r="J56" s="17">
        <v>0</v>
      </c>
      <c r="K56" s="17">
        <v>0.24414351851851851</v>
      </c>
      <c r="L56" s="18">
        <v>1</v>
      </c>
      <c r="M56" s="16" t="s">
        <v>334</v>
      </c>
      <c r="N56" s="17"/>
      <c r="O56" s="17">
        <v>1.3993055555555555E-2</v>
      </c>
      <c r="P56" s="17"/>
      <c r="Q56" s="17"/>
      <c r="R56" s="17"/>
      <c r="S56" s="17">
        <v>8.472222222222223E-3</v>
      </c>
      <c r="T56" s="17">
        <v>5.0925925925925921E-4</v>
      </c>
      <c r="U56" s="17"/>
      <c r="V56" s="17"/>
      <c r="W56" s="17">
        <v>0.22116898148148148</v>
      </c>
    </row>
    <row r="57" spans="1:23" ht="15" customHeight="1" x14ac:dyDescent="0.25">
      <c r="A57" s="19">
        <v>46235</v>
      </c>
      <c r="B57" s="11" t="s">
        <v>297</v>
      </c>
      <c r="C57" s="12" t="s">
        <v>667</v>
      </c>
      <c r="D57" s="11" t="s">
        <v>104</v>
      </c>
      <c r="E57" s="12" t="s">
        <v>105</v>
      </c>
      <c r="F57" s="12" t="s">
        <v>106</v>
      </c>
      <c r="G57" s="12">
        <v>20</v>
      </c>
      <c r="H57" s="13">
        <v>0.25236111111111109</v>
      </c>
      <c r="I57" s="13">
        <v>0.19547453703703704</v>
      </c>
      <c r="J57" s="13">
        <v>9.7737268518518529E-3</v>
      </c>
      <c r="K57" s="13">
        <v>8.1956018518518525E-2</v>
      </c>
      <c r="L57" s="14">
        <v>0.32475692533480094</v>
      </c>
      <c r="M57" s="12" t="s">
        <v>334</v>
      </c>
      <c r="N57" s="13">
        <v>2.1643518518518517E-2</v>
      </c>
      <c r="O57" s="13">
        <v>1.8356481481481481E-2</v>
      </c>
      <c r="P57" s="13"/>
      <c r="Q57" s="13">
        <v>8.9930555555555562E-3</v>
      </c>
      <c r="R57" s="13"/>
      <c r="S57" s="13">
        <v>1.4722222222222222E-2</v>
      </c>
      <c r="T57" s="13">
        <v>4.0740740740740737E-3</v>
      </c>
      <c r="U57" s="13">
        <v>5.7870370370370373E-5</v>
      </c>
      <c r="V57" s="13"/>
      <c r="W57" s="13">
        <v>1.4108796296296296E-2</v>
      </c>
    </row>
    <row r="58" spans="1:23" ht="15" customHeight="1" x14ac:dyDescent="0.25">
      <c r="A58" s="20">
        <v>46235</v>
      </c>
      <c r="B58" s="15" t="s">
        <v>207</v>
      </c>
      <c r="C58" s="16" t="s">
        <v>566</v>
      </c>
      <c r="D58" s="15" t="s">
        <v>274</v>
      </c>
      <c r="E58" s="16" t="s">
        <v>147</v>
      </c>
      <c r="F58" s="16" t="s">
        <v>33</v>
      </c>
      <c r="G58" s="16">
        <v>6</v>
      </c>
      <c r="H58" s="17">
        <v>0.25765046296296296</v>
      </c>
      <c r="I58" s="17">
        <v>1.863425925925926E-2</v>
      </c>
      <c r="J58" s="17">
        <v>3.1057098765432094E-3</v>
      </c>
      <c r="K58" s="17">
        <v>3.7199074074074072E-2</v>
      </c>
      <c r="L58" s="18">
        <v>0.14437806028480302</v>
      </c>
      <c r="M58" s="16" t="s">
        <v>334</v>
      </c>
      <c r="N58" s="17">
        <v>6.6203703703703702E-3</v>
      </c>
      <c r="O58" s="17">
        <v>1.5393518518518518E-2</v>
      </c>
      <c r="P58" s="17"/>
      <c r="Q58" s="17"/>
      <c r="R58" s="17"/>
      <c r="S58" s="17">
        <v>1.4456018518518519E-2</v>
      </c>
      <c r="T58" s="17">
        <v>6.9444444444444444E-5</v>
      </c>
      <c r="U58" s="17">
        <v>6.3657407407407413E-4</v>
      </c>
      <c r="V58" s="17"/>
      <c r="W58" s="17"/>
    </row>
    <row r="59" spans="1:23" ht="15" customHeight="1" x14ac:dyDescent="0.25">
      <c r="A59" s="19">
        <v>46235</v>
      </c>
      <c r="B59" s="11" t="s">
        <v>614</v>
      </c>
      <c r="C59" s="12" t="s">
        <v>635</v>
      </c>
      <c r="D59" s="11" t="s">
        <v>601</v>
      </c>
      <c r="E59" s="12" t="s">
        <v>105</v>
      </c>
      <c r="F59" s="12" t="s">
        <v>33</v>
      </c>
      <c r="G59" s="12">
        <v>5</v>
      </c>
      <c r="H59" s="13">
        <v>0.23787037037037037</v>
      </c>
      <c r="I59" s="13">
        <v>4.6458333333333331E-2</v>
      </c>
      <c r="J59" s="13">
        <v>9.2916666666666668E-3</v>
      </c>
      <c r="K59" s="13">
        <v>0.1363425925925926</v>
      </c>
      <c r="L59" s="14">
        <v>0.57318022576878158</v>
      </c>
      <c r="M59" s="12" t="s">
        <v>334</v>
      </c>
      <c r="N59" s="13">
        <v>1.9583333333333335E-2</v>
      </c>
      <c r="O59" s="13">
        <v>1.800925925925926E-2</v>
      </c>
      <c r="P59" s="13"/>
      <c r="Q59" s="13">
        <v>3.8541666666666668E-3</v>
      </c>
      <c r="R59" s="13">
        <v>1.8518518518518518E-4</v>
      </c>
      <c r="S59" s="13">
        <v>1.3726851851851851E-2</v>
      </c>
      <c r="T59" s="13">
        <v>2.3032407407407407E-3</v>
      </c>
      <c r="U59" s="13"/>
      <c r="V59" s="13"/>
      <c r="W59" s="13">
        <v>7.8680555555555559E-2</v>
      </c>
    </row>
    <row r="60" spans="1:23" ht="15" customHeight="1" x14ac:dyDescent="0.25">
      <c r="A60" s="20">
        <v>46235</v>
      </c>
      <c r="B60" s="15" t="s">
        <v>180</v>
      </c>
      <c r="C60" s="16" t="s">
        <v>523</v>
      </c>
      <c r="D60" s="15" t="s">
        <v>146</v>
      </c>
      <c r="E60" s="16" t="s">
        <v>147</v>
      </c>
      <c r="F60" s="16" t="s">
        <v>106</v>
      </c>
      <c r="G60" s="16">
        <v>7</v>
      </c>
      <c r="H60" s="17">
        <v>0.26173611111111111</v>
      </c>
      <c r="I60" s="17">
        <v>5.4351851851851853E-2</v>
      </c>
      <c r="J60" s="17">
        <v>7.7645502645502648E-3</v>
      </c>
      <c r="K60" s="17">
        <v>6.0949074074074072E-2</v>
      </c>
      <c r="L60" s="18">
        <v>0.23286459715220659</v>
      </c>
      <c r="M60" s="16" t="s">
        <v>334</v>
      </c>
      <c r="N60" s="17">
        <v>7.951388888888888E-3</v>
      </c>
      <c r="O60" s="17">
        <v>1.5578703703703704E-2</v>
      </c>
      <c r="P60" s="17"/>
      <c r="Q60" s="17">
        <v>1.954861111111111E-2</v>
      </c>
      <c r="R60" s="17"/>
      <c r="S60" s="17">
        <v>1.40625E-2</v>
      </c>
      <c r="T60" s="17">
        <v>1.0416666666666667E-4</v>
      </c>
      <c r="U60" s="17">
        <v>3.5879629629629629E-3</v>
      </c>
      <c r="V60" s="17"/>
      <c r="W60" s="17"/>
    </row>
    <row r="61" spans="1:23" ht="15" customHeight="1" x14ac:dyDescent="0.25">
      <c r="A61" s="19">
        <v>46235</v>
      </c>
      <c r="B61" s="11" t="s">
        <v>615</v>
      </c>
      <c r="C61" s="12" t="s">
        <v>636</v>
      </c>
      <c r="D61" s="11" t="s">
        <v>601</v>
      </c>
      <c r="E61" s="12" t="s">
        <v>105</v>
      </c>
      <c r="F61" s="12" t="s">
        <v>33</v>
      </c>
      <c r="G61" s="12">
        <v>6</v>
      </c>
      <c r="H61" s="13">
        <v>0.24677083333333333</v>
      </c>
      <c r="I61" s="13">
        <v>5.8935185185185188E-2</v>
      </c>
      <c r="J61" s="13">
        <v>9.8225308641975307E-3</v>
      </c>
      <c r="K61" s="13">
        <v>0.13737268518518519</v>
      </c>
      <c r="L61" s="14">
        <v>0.55668120632240514</v>
      </c>
      <c r="M61" s="12" t="s">
        <v>334</v>
      </c>
      <c r="N61" s="13">
        <v>4.8958333333333336E-3</v>
      </c>
      <c r="O61" s="13">
        <v>1.2106481481481482E-2</v>
      </c>
      <c r="P61" s="13"/>
      <c r="Q61" s="13">
        <v>3.6111111111111109E-3</v>
      </c>
      <c r="R61" s="13"/>
      <c r="S61" s="13">
        <v>1.2222222222222223E-2</v>
      </c>
      <c r="T61" s="13">
        <v>1.3194444444444445E-3</v>
      </c>
      <c r="U61" s="13"/>
      <c r="V61" s="13"/>
      <c r="W61" s="13">
        <v>0.1032175925925926</v>
      </c>
    </row>
    <row r="62" spans="1:23" ht="15" customHeight="1" x14ac:dyDescent="0.25">
      <c r="A62" s="20">
        <v>46235</v>
      </c>
      <c r="B62" s="15" t="s">
        <v>616</v>
      </c>
      <c r="C62" s="16" t="s">
        <v>637</v>
      </c>
      <c r="D62" s="15" t="s">
        <v>601</v>
      </c>
      <c r="E62" s="16" t="s">
        <v>105</v>
      </c>
      <c r="F62" s="16" t="s">
        <v>33</v>
      </c>
      <c r="G62" s="16">
        <v>4</v>
      </c>
      <c r="H62" s="17">
        <v>0.19175925925925927</v>
      </c>
      <c r="I62" s="17">
        <v>4.5868055555555558E-2</v>
      </c>
      <c r="J62" s="17">
        <v>1.1467013888888889E-2</v>
      </c>
      <c r="K62" s="17">
        <v>9.1030092592592593E-2</v>
      </c>
      <c r="L62" s="18">
        <v>0.47471028488652822</v>
      </c>
      <c r="M62" s="16" t="s">
        <v>334</v>
      </c>
      <c r="N62" s="17">
        <v>2.1990740740740742E-3</v>
      </c>
      <c r="O62" s="17">
        <v>7.2453703703703708E-3</v>
      </c>
      <c r="P62" s="17"/>
      <c r="Q62" s="17">
        <v>1.5601851851851851E-2</v>
      </c>
      <c r="R62" s="17">
        <v>6.9444444444444444E-5</v>
      </c>
      <c r="S62" s="17">
        <v>8.8541666666666664E-3</v>
      </c>
      <c r="T62" s="17">
        <v>1.7939814814814815E-3</v>
      </c>
      <c r="U62" s="17"/>
      <c r="V62" s="17"/>
      <c r="W62" s="17">
        <v>5.5266203703703706E-2</v>
      </c>
    </row>
    <row r="63" spans="1:23" ht="15" customHeight="1" x14ac:dyDescent="0.25">
      <c r="A63" s="19">
        <v>46235</v>
      </c>
      <c r="B63" s="11" t="s">
        <v>209</v>
      </c>
      <c r="C63" s="12" t="s">
        <v>567</v>
      </c>
      <c r="D63" s="11" t="s">
        <v>601</v>
      </c>
      <c r="E63" s="12" t="s">
        <v>105</v>
      </c>
      <c r="F63" s="12" t="s">
        <v>33</v>
      </c>
      <c r="G63" s="12">
        <v>7</v>
      </c>
      <c r="H63" s="13">
        <v>0.25184027777777779</v>
      </c>
      <c r="I63" s="13">
        <v>9.9398148148148152E-2</v>
      </c>
      <c r="J63" s="13">
        <v>1.419973544973545E-2</v>
      </c>
      <c r="K63" s="13">
        <v>0.11092592592592593</v>
      </c>
      <c r="L63" s="14">
        <v>0.44046141826370699</v>
      </c>
      <c r="M63" s="12" t="s">
        <v>334</v>
      </c>
      <c r="N63" s="13"/>
      <c r="O63" s="13">
        <v>7.905092592592592E-3</v>
      </c>
      <c r="P63" s="13"/>
      <c r="Q63" s="13">
        <v>3.1203703703703702E-2</v>
      </c>
      <c r="R63" s="13"/>
      <c r="S63" s="13">
        <v>1.1828703703703704E-2</v>
      </c>
      <c r="T63" s="13">
        <v>1.0810185185185185E-2</v>
      </c>
      <c r="U63" s="13">
        <v>2.4756944444444446E-2</v>
      </c>
      <c r="V63" s="13"/>
      <c r="W63" s="13">
        <v>2.4421296296296295E-2</v>
      </c>
    </row>
    <row r="64" spans="1:23" ht="15" customHeight="1" x14ac:dyDescent="0.25">
      <c r="A64" s="20">
        <v>46235</v>
      </c>
      <c r="B64" s="15" t="s">
        <v>60</v>
      </c>
      <c r="C64" s="16" t="s">
        <v>510</v>
      </c>
      <c r="D64" s="15" t="s">
        <v>100</v>
      </c>
      <c r="E64" s="16" t="s">
        <v>32</v>
      </c>
      <c r="F64" s="16" t="s">
        <v>33</v>
      </c>
      <c r="G64" s="16">
        <v>19</v>
      </c>
      <c r="H64" s="17">
        <v>0.26268518518518519</v>
      </c>
      <c r="I64" s="17">
        <v>9.9826388888888895E-2</v>
      </c>
      <c r="J64" s="17">
        <v>5.2540204678362575E-3</v>
      </c>
      <c r="K64" s="17">
        <v>3.8113425925925926E-2</v>
      </c>
      <c r="L64" s="18">
        <v>0.14509164610504052</v>
      </c>
      <c r="M64" s="16" t="s">
        <v>334</v>
      </c>
      <c r="N64" s="17">
        <v>9.7222222222222219E-4</v>
      </c>
      <c r="O64" s="17">
        <v>1.4108796296296296E-2</v>
      </c>
      <c r="P64" s="17"/>
      <c r="Q64" s="17">
        <v>7.4189814814814813E-3</v>
      </c>
      <c r="R64" s="17"/>
      <c r="S64" s="17">
        <v>1.4224537037037037E-2</v>
      </c>
      <c r="T64" s="17">
        <v>8.1018518518518516E-5</v>
      </c>
      <c r="U64" s="17"/>
      <c r="V64" s="17"/>
      <c r="W64" s="17">
        <v>1.2731481481481483E-3</v>
      </c>
    </row>
    <row r="65" spans="1:23" ht="15" customHeight="1" x14ac:dyDescent="0.25">
      <c r="A65" s="19">
        <v>46235</v>
      </c>
      <c r="B65" s="11" t="s">
        <v>132</v>
      </c>
      <c r="C65" s="12" t="s">
        <v>512</v>
      </c>
      <c r="D65" s="11" t="s">
        <v>104</v>
      </c>
      <c r="E65" s="12" t="s">
        <v>105</v>
      </c>
      <c r="F65" s="12" t="s">
        <v>106</v>
      </c>
      <c r="G65" s="12">
        <v>14</v>
      </c>
      <c r="H65" s="13">
        <v>0.2590972222222222</v>
      </c>
      <c r="I65" s="13">
        <v>0.22620370370370371</v>
      </c>
      <c r="J65" s="13">
        <v>1.6157407407407409E-2</v>
      </c>
      <c r="K65" s="13">
        <v>5.8321759259259261E-2</v>
      </c>
      <c r="L65" s="14">
        <v>0.22509604216921289</v>
      </c>
      <c r="M65" s="12" t="s">
        <v>334</v>
      </c>
      <c r="N65" s="13">
        <v>6.145833333333333E-3</v>
      </c>
      <c r="O65" s="13">
        <v>1.5324074074074073E-2</v>
      </c>
      <c r="P65" s="13"/>
      <c r="Q65" s="13"/>
      <c r="R65" s="13"/>
      <c r="S65" s="13">
        <v>1.4421296296296297E-2</v>
      </c>
      <c r="T65" s="13">
        <v>1.2152777777777778E-3</v>
      </c>
      <c r="U65" s="13">
        <v>7.6273148148148151E-3</v>
      </c>
      <c r="V65" s="13"/>
      <c r="W65" s="13">
        <v>1.357638888888889E-2</v>
      </c>
    </row>
    <row r="66" spans="1:23" ht="15" customHeight="1" x14ac:dyDescent="0.25">
      <c r="A66" s="20">
        <v>46235</v>
      </c>
      <c r="B66" s="15" t="s">
        <v>134</v>
      </c>
      <c r="C66" s="16" t="s">
        <v>560</v>
      </c>
      <c r="D66" s="15" t="s">
        <v>104</v>
      </c>
      <c r="E66" s="16" t="s">
        <v>105</v>
      </c>
      <c r="F66" s="16" t="s">
        <v>106</v>
      </c>
      <c r="G66" s="16">
        <v>16</v>
      </c>
      <c r="H66" s="17">
        <v>0.26656249999999998</v>
      </c>
      <c r="I66" s="17">
        <v>0.21751157407407407</v>
      </c>
      <c r="J66" s="17">
        <v>1.3594473379629629E-2</v>
      </c>
      <c r="K66" s="17">
        <v>5.752314814814815E-2</v>
      </c>
      <c r="L66" s="18">
        <v>0.21579610090747253</v>
      </c>
      <c r="M66" s="16" t="s">
        <v>334</v>
      </c>
      <c r="N66" s="17">
        <v>2.8124999999999999E-3</v>
      </c>
      <c r="O66" s="17">
        <v>1.5625E-2</v>
      </c>
      <c r="P66" s="17"/>
      <c r="Q66" s="17"/>
      <c r="R66" s="17"/>
      <c r="S66" s="17">
        <v>1.3194444444444444E-2</v>
      </c>
      <c r="T66" s="17">
        <v>1.1574074074074075E-4</v>
      </c>
      <c r="U66" s="17">
        <v>1.0694444444444444E-2</v>
      </c>
      <c r="V66" s="17"/>
      <c r="W66" s="17">
        <v>1.5069444444444444E-2</v>
      </c>
    </row>
    <row r="67" spans="1:23" ht="15" customHeight="1" x14ac:dyDescent="0.25">
      <c r="A67" s="19">
        <v>46235</v>
      </c>
      <c r="B67" s="11" t="s">
        <v>211</v>
      </c>
      <c r="C67" s="12" t="s">
        <v>546</v>
      </c>
      <c r="D67" s="11" t="s">
        <v>104</v>
      </c>
      <c r="E67" s="12" t="s">
        <v>105</v>
      </c>
      <c r="F67" s="12" t="s">
        <v>106</v>
      </c>
      <c r="G67" s="12">
        <v>11</v>
      </c>
      <c r="H67" s="13">
        <v>0.26543981481481482</v>
      </c>
      <c r="I67" s="13">
        <v>0.14582175925925925</v>
      </c>
      <c r="J67" s="13">
        <v>1.3256523569023567E-2</v>
      </c>
      <c r="K67" s="13">
        <v>6.4004629629629634E-2</v>
      </c>
      <c r="L67" s="14">
        <v>0.24112671143280717</v>
      </c>
      <c r="M67" s="12" t="s">
        <v>334</v>
      </c>
      <c r="N67" s="13"/>
      <c r="O67" s="13">
        <v>1.7222222222222222E-2</v>
      </c>
      <c r="P67" s="13">
        <v>2.0590277777777777E-2</v>
      </c>
      <c r="Q67" s="13"/>
      <c r="R67" s="13"/>
      <c r="S67" s="13">
        <v>1.3252314814814814E-2</v>
      </c>
      <c r="T67" s="13">
        <v>1.0416666666666667E-4</v>
      </c>
      <c r="U67" s="13">
        <v>1.269675925925926E-2</v>
      </c>
      <c r="V67" s="13"/>
      <c r="W67" s="13">
        <v>1.3888888888888889E-4</v>
      </c>
    </row>
    <row r="68" spans="1:23" ht="15" customHeight="1" x14ac:dyDescent="0.25">
      <c r="A68" s="20">
        <v>46235</v>
      </c>
      <c r="B68" s="15" t="s">
        <v>617</v>
      </c>
      <c r="C68" s="16" t="s">
        <v>638</v>
      </c>
      <c r="D68" s="15" t="s">
        <v>601</v>
      </c>
      <c r="E68" s="16" t="s">
        <v>105</v>
      </c>
      <c r="F68" s="16" t="s">
        <v>33</v>
      </c>
      <c r="G68" s="16">
        <v>6</v>
      </c>
      <c r="H68" s="17">
        <v>0.25104166666666666</v>
      </c>
      <c r="I68" s="17">
        <v>6.5439814814814812E-2</v>
      </c>
      <c r="J68" s="17">
        <v>1.0906635802469136E-2</v>
      </c>
      <c r="K68" s="17">
        <v>0.11375</v>
      </c>
      <c r="L68" s="18">
        <v>0.45311203319502075</v>
      </c>
      <c r="M68" s="16" t="s">
        <v>334</v>
      </c>
      <c r="N68" s="17">
        <v>4.9537037037037041E-3</v>
      </c>
      <c r="O68" s="17">
        <v>1.8229166666666668E-2</v>
      </c>
      <c r="P68" s="17"/>
      <c r="Q68" s="17">
        <v>3.5763888888888889E-3</v>
      </c>
      <c r="R68" s="17"/>
      <c r="S68" s="17">
        <v>1.5833333333333335E-2</v>
      </c>
      <c r="T68" s="17">
        <v>3.8425925925925928E-3</v>
      </c>
      <c r="U68" s="17">
        <v>1.724537037037037E-3</v>
      </c>
      <c r="V68" s="17"/>
      <c r="W68" s="17">
        <v>6.5590277777777775E-2</v>
      </c>
    </row>
    <row r="69" spans="1:23" ht="15" customHeight="1" x14ac:dyDescent="0.25">
      <c r="A69" s="19">
        <v>46235</v>
      </c>
      <c r="B69" s="11" t="s">
        <v>136</v>
      </c>
      <c r="C69" s="12" t="s">
        <v>561</v>
      </c>
      <c r="D69" s="11" t="s">
        <v>104</v>
      </c>
      <c r="E69" s="12" t="s">
        <v>105</v>
      </c>
      <c r="F69" s="12" t="s">
        <v>106</v>
      </c>
      <c r="G69" s="12">
        <v>17</v>
      </c>
      <c r="H69" s="13">
        <v>0.26525462962962965</v>
      </c>
      <c r="I69" s="13">
        <v>0.18898148148148147</v>
      </c>
      <c r="J69" s="13">
        <v>1.1116557734204793E-2</v>
      </c>
      <c r="K69" s="13">
        <v>7.2152777777777774E-2</v>
      </c>
      <c r="L69" s="14">
        <v>0.27201326468278209</v>
      </c>
      <c r="M69" s="12" t="s">
        <v>334</v>
      </c>
      <c r="N69" s="13">
        <v>4.5138888888888885E-3</v>
      </c>
      <c r="O69" s="13">
        <v>1.8472222222222223E-2</v>
      </c>
      <c r="P69" s="13"/>
      <c r="Q69" s="13"/>
      <c r="R69" s="13"/>
      <c r="S69" s="13">
        <v>1.443287037037037E-2</v>
      </c>
      <c r="T69" s="13">
        <v>1.2152777777777778E-3</v>
      </c>
      <c r="U69" s="13">
        <v>5.9027777777777778E-4</v>
      </c>
      <c r="V69" s="13"/>
      <c r="W69" s="13">
        <v>3.2928240740740744E-2</v>
      </c>
    </row>
    <row r="70" spans="1:23" ht="15" customHeight="1" x14ac:dyDescent="0.25">
      <c r="A70" s="20">
        <v>46235</v>
      </c>
      <c r="B70" s="15" t="s">
        <v>618</v>
      </c>
      <c r="C70" s="16" t="s">
        <v>639</v>
      </c>
      <c r="D70" s="15" t="s">
        <v>601</v>
      </c>
      <c r="E70" s="16" t="s">
        <v>105</v>
      </c>
      <c r="F70" s="16" t="s">
        <v>33</v>
      </c>
      <c r="G70" s="16">
        <v>2</v>
      </c>
      <c r="H70" s="17">
        <v>0.20699074074074075</v>
      </c>
      <c r="I70" s="17">
        <v>2.9062500000000002E-2</v>
      </c>
      <c r="J70" s="17">
        <v>1.4531250000000001E-2</v>
      </c>
      <c r="K70" s="17">
        <v>0.15819444444444444</v>
      </c>
      <c r="L70" s="18">
        <v>0.76425855513307983</v>
      </c>
      <c r="M70" s="16" t="s">
        <v>334</v>
      </c>
      <c r="N70" s="17">
        <v>9.5949074074074079E-3</v>
      </c>
      <c r="O70" s="17">
        <v>9.5833333333333326E-3</v>
      </c>
      <c r="P70" s="17"/>
      <c r="Q70" s="17">
        <v>1.4189814814814815E-2</v>
      </c>
      <c r="R70" s="17"/>
      <c r="S70" s="17">
        <v>1.6701388888888891E-2</v>
      </c>
      <c r="T70" s="17">
        <v>1.6898148148148148E-3</v>
      </c>
      <c r="U70" s="17">
        <v>1.4953703703703703E-2</v>
      </c>
      <c r="V70" s="17"/>
      <c r="W70" s="17">
        <v>9.1481481481481483E-2</v>
      </c>
    </row>
    <row r="71" spans="1:23" ht="15" customHeight="1" x14ac:dyDescent="0.25">
      <c r="A71" s="19">
        <v>46235</v>
      </c>
      <c r="B71" s="11" t="s">
        <v>501</v>
      </c>
      <c r="C71" s="12" t="s">
        <v>524</v>
      </c>
      <c r="D71" s="11" t="s">
        <v>274</v>
      </c>
      <c r="E71" s="12" t="s">
        <v>147</v>
      </c>
      <c r="F71" s="12" t="s">
        <v>33</v>
      </c>
      <c r="G71" s="12">
        <v>10</v>
      </c>
      <c r="H71" s="13">
        <v>0.26609953703703704</v>
      </c>
      <c r="I71" s="13">
        <v>3.3680555555555554E-2</v>
      </c>
      <c r="J71" s="13">
        <v>3.3680555555555556E-3</v>
      </c>
      <c r="K71" s="13">
        <v>2.9930555555555554E-2</v>
      </c>
      <c r="L71" s="14">
        <v>0.11247879605062851</v>
      </c>
      <c r="M71" s="12" t="s">
        <v>334</v>
      </c>
      <c r="N71" s="13">
        <v>1.3888888888888889E-3</v>
      </c>
      <c r="O71" s="13">
        <v>1.462962962962963E-2</v>
      </c>
      <c r="P71" s="13"/>
      <c r="Q71" s="13"/>
      <c r="R71" s="13"/>
      <c r="S71" s="13">
        <v>1.3773148148148149E-2</v>
      </c>
      <c r="T71" s="13">
        <v>5.7870370370370373E-5</v>
      </c>
      <c r="U71" s="13">
        <v>6.9444444444444444E-5</v>
      </c>
      <c r="V71" s="13"/>
      <c r="W71" s="13"/>
    </row>
    <row r="72" spans="1:23" ht="15" customHeight="1" x14ac:dyDescent="0.25">
      <c r="A72" s="20">
        <v>46235</v>
      </c>
      <c r="B72" s="15" t="s">
        <v>213</v>
      </c>
      <c r="C72" s="16" t="s">
        <v>572</v>
      </c>
      <c r="D72" s="15" t="s">
        <v>601</v>
      </c>
      <c r="E72" s="16" t="s">
        <v>105</v>
      </c>
      <c r="F72" s="16" t="s">
        <v>33</v>
      </c>
      <c r="G72" s="16">
        <v>6</v>
      </c>
      <c r="H72" s="17">
        <v>0.22033564814814816</v>
      </c>
      <c r="I72" s="17">
        <v>3.2048611111111111E-2</v>
      </c>
      <c r="J72" s="17">
        <v>5.3414351851851852E-3</v>
      </c>
      <c r="K72" s="17">
        <v>0.12670138888888888</v>
      </c>
      <c r="L72" s="18">
        <v>0.57503808373168042</v>
      </c>
      <c r="M72" s="16" t="s">
        <v>334</v>
      </c>
      <c r="N72" s="17">
        <v>9.1666666666666667E-3</v>
      </c>
      <c r="O72" s="17">
        <v>8.6458333333333335E-3</v>
      </c>
      <c r="P72" s="17"/>
      <c r="Q72" s="17">
        <v>7.9166666666666673E-3</v>
      </c>
      <c r="R72" s="17"/>
      <c r="S72" s="17">
        <v>1.4930555555555556E-2</v>
      </c>
      <c r="T72" s="17">
        <v>3.3449074074074076E-3</v>
      </c>
      <c r="U72" s="17">
        <v>1.2488425925925925E-2</v>
      </c>
      <c r="V72" s="17"/>
      <c r="W72" s="17">
        <v>7.0208333333333331E-2</v>
      </c>
    </row>
    <row r="73" spans="1:23" ht="15" customHeight="1" x14ac:dyDescent="0.25">
      <c r="A73" s="19">
        <v>46235</v>
      </c>
      <c r="B73" s="11" t="s">
        <v>215</v>
      </c>
      <c r="C73" s="12" t="s">
        <v>547</v>
      </c>
      <c r="D73" s="11" t="s">
        <v>601</v>
      </c>
      <c r="E73" s="12" t="s">
        <v>105</v>
      </c>
      <c r="F73" s="12" t="s">
        <v>33</v>
      </c>
      <c r="G73" s="12">
        <v>5</v>
      </c>
      <c r="H73" s="13">
        <v>0.24432870370370371</v>
      </c>
      <c r="I73" s="13">
        <v>4.2060185185185187E-2</v>
      </c>
      <c r="J73" s="13">
        <v>8.4120370370370373E-3</v>
      </c>
      <c r="K73" s="13">
        <v>0.15995370370370371</v>
      </c>
      <c r="L73" s="14">
        <v>0.65466603505447651</v>
      </c>
      <c r="M73" s="12" t="s">
        <v>334</v>
      </c>
      <c r="N73" s="13">
        <v>2.9282407407407408E-3</v>
      </c>
      <c r="O73" s="13">
        <v>1.1168981481481481E-2</v>
      </c>
      <c r="P73" s="13"/>
      <c r="Q73" s="13">
        <v>1.4074074074074074E-2</v>
      </c>
      <c r="R73" s="13"/>
      <c r="S73" s="13">
        <v>1.6018518518518519E-2</v>
      </c>
      <c r="T73" s="13">
        <v>2.0486111111111113E-3</v>
      </c>
      <c r="U73" s="13"/>
      <c r="V73" s="13"/>
      <c r="W73" s="13">
        <v>0.11371527777777778</v>
      </c>
    </row>
    <row r="74" spans="1:23" ht="15" customHeight="1" x14ac:dyDescent="0.25">
      <c r="A74" s="20">
        <v>46235</v>
      </c>
      <c r="B74" s="15" t="s">
        <v>619</v>
      </c>
      <c r="C74" s="16" t="s">
        <v>640</v>
      </c>
      <c r="D74" s="15" t="s">
        <v>601</v>
      </c>
      <c r="E74" s="16" t="s">
        <v>105</v>
      </c>
      <c r="F74" s="16" t="s">
        <v>33</v>
      </c>
      <c r="G74" s="16">
        <v>10</v>
      </c>
      <c r="H74" s="17">
        <v>0.24996527777777777</v>
      </c>
      <c r="I74" s="17">
        <v>7.3506944444444444E-2</v>
      </c>
      <c r="J74" s="17">
        <v>7.3506944444444444E-3</v>
      </c>
      <c r="K74" s="17">
        <v>0.13408564814814813</v>
      </c>
      <c r="L74" s="18">
        <v>0.5364170949668936</v>
      </c>
      <c r="M74" s="16" t="s">
        <v>334</v>
      </c>
      <c r="N74" s="17">
        <v>7.013888888888889E-3</v>
      </c>
      <c r="O74" s="17">
        <v>7.6851851851851855E-3</v>
      </c>
      <c r="P74" s="17"/>
      <c r="Q74" s="17">
        <v>1.5995370370370372E-2</v>
      </c>
      <c r="R74" s="17"/>
      <c r="S74" s="17">
        <v>1.9895833333333335E-2</v>
      </c>
      <c r="T74" s="17">
        <v>1.7361111111111112E-4</v>
      </c>
      <c r="U74" s="17">
        <v>5.7870370370370367E-4</v>
      </c>
      <c r="V74" s="17"/>
      <c r="W74" s="17">
        <v>8.2743055555555556E-2</v>
      </c>
    </row>
    <row r="75" spans="1:23" ht="15" customHeight="1" x14ac:dyDescent="0.25">
      <c r="A75" s="19">
        <v>46235</v>
      </c>
      <c r="B75" s="11" t="s">
        <v>668</v>
      </c>
      <c r="C75" s="12" t="s">
        <v>669</v>
      </c>
      <c r="D75" s="11" t="s">
        <v>233</v>
      </c>
      <c r="E75" s="12" t="s">
        <v>32</v>
      </c>
      <c r="F75" s="12" t="s">
        <v>106</v>
      </c>
      <c r="G75" s="12">
        <v>22</v>
      </c>
      <c r="H75" s="13">
        <v>0.26215277777777779</v>
      </c>
      <c r="I75" s="13">
        <v>9.0810185185185188E-2</v>
      </c>
      <c r="J75" s="13">
        <v>4.1277356902356902E-3</v>
      </c>
      <c r="K75" s="13">
        <v>3.5196759259259261E-2</v>
      </c>
      <c r="L75" s="14">
        <v>0.13426048565121412</v>
      </c>
      <c r="M75" s="12" t="s">
        <v>334</v>
      </c>
      <c r="N75" s="13">
        <v>5.0462962962962961E-3</v>
      </c>
      <c r="O75" s="13">
        <v>1.2141203703703704E-2</v>
      </c>
      <c r="P75" s="13"/>
      <c r="Q75" s="13"/>
      <c r="R75" s="13"/>
      <c r="S75" s="13"/>
      <c r="T75" s="13">
        <v>6.5624999999999998E-3</v>
      </c>
      <c r="U75" s="13">
        <v>1.1446759259259259E-2</v>
      </c>
      <c r="V75" s="13"/>
      <c r="W75" s="13"/>
    </row>
    <row r="76" spans="1:23" ht="15" customHeight="1" x14ac:dyDescent="0.25">
      <c r="A76" s="20">
        <v>46235</v>
      </c>
      <c r="B76" s="15" t="s">
        <v>744</v>
      </c>
      <c r="C76" s="16" t="s">
        <v>670</v>
      </c>
      <c r="D76" s="15" t="s">
        <v>100</v>
      </c>
      <c r="E76" s="16" t="s">
        <v>32</v>
      </c>
      <c r="F76" s="16" t="s">
        <v>33</v>
      </c>
      <c r="G76" s="16">
        <v>15</v>
      </c>
      <c r="H76" s="17">
        <v>0.26104166666666667</v>
      </c>
      <c r="I76" s="17">
        <v>8.2071759259259261E-2</v>
      </c>
      <c r="J76" s="17">
        <v>5.4714506172839506E-3</v>
      </c>
      <c r="K76" s="17">
        <v>4.8321759259259259E-2</v>
      </c>
      <c r="L76" s="18">
        <v>0.18511128846324376</v>
      </c>
      <c r="M76" s="16" t="s">
        <v>334</v>
      </c>
      <c r="N76" s="17">
        <v>1.8831018518518518E-2</v>
      </c>
      <c r="O76" s="17">
        <v>1.4444444444444444E-2</v>
      </c>
      <c r="P76" s="17"/>
      <c r="Q76" s="17"/>
      <c r="R76" s="17"/>
      <c r="S76" s="17">
        <v>1.4004629629629629E-2</v>
      </c>
      <c r="T76" s="17">
        <v>1.5046296296296297E-4</v>
      </c>
      <c r="U76" s="17">
        <v>8.6805555555555551E-4</v>
      </c>
      <c r="V76" s="17"/>
      <c r="W76" s="17"/>
    </row>
    <row r="77" spans="1:23" ht="15" customHeight="1" x14ac:dyDescent="0.25">
      <c r="A77" s="19">
        <v>46235</v>
      </c>
      <c r="B77" s="11" t="s">
        <v>219</v>
      </c>
      <c r="C77" s="12" t="s">
        <v>548</v>
      </c>
      <c r="D77" s="11" t="s">
        <v>104</v>
      </c>
      <c r="E77" s="12" t="s">
        <v>105</v>
      </c>
      <c r="F77" s="12" t="s">
        <v>106</v>
      </c>
      <c r="G77" s="12">
        <v>12</v>
      </c>
      <c r="H77" s="13">
        <v>0.25545138888888891</v>
      </c>
      <c r="I77" s="13">
        <v>0.14978009259259259</v>
      </c>
      <c r="J77" s="13">
        <v>1.248167438271605E-2</v>
      </c>
      <c r="K77" s="13">
        <v>8.2430555555555562E-2</v>
      </c>
      <c r="L77" s="14">
        <v>0.32268587739567761</v>
      </c>
      <c r="M77" s="12" t="s">
        <v>334</v>
      </c>
      <c r="N77" s="13">
        <v>2.5231481481481483E-2</v>
      </c>
      <c r="O77" s="13">
        <v>2.1666666666666667E-2</v>
      </c>
      <c r="P77" s="13"/>
      <c r="Q77" s="13"/>
      <c r="R77" s="13"/>
      <c r="S77" s="13">
        <v>1.4247685185185184E-2</v>
      </c>
      <c r="T77" s="13">
        <v>7.4305555555555557E-3</v>
      </c>
      <c r="U77" s="13">
        <v>1.8518518518518518E-4</v>
      </c>
      <c r="V77" s="13"/>
      <c r="W77" s="13">
        <v>1.3668981481481482E-2</v>
      </c>
    </row>
    <row r="78" spans="1:23" ht="15" customHeight="1" x14ac:dyDescent="0.25">
      <c r="A78" s="20">
        <v>46235</v>
      </c>
      <c r="B78" s="15" t="s">
        <v>305</v>
      </c>
      <c r="C78" s="16" t="s">
        <v>306</v>
      </c>
      <c r="D78" s="15" t="s">
        <v>100</v>
      </c>
      <c r="E78" s="16" t="s">
        <v>32</v>
      </c>
      <c r="F78" s="16" t="s">
        <v>33</v>
      </c>
      <c r="G78" s="16">
        <v>16</v>
      </c>
      <c r="H78" s="17">
        <v>0.26094907407407408</v>
      </c>
      <c r="I78" s="17">
        <v>4.3946759259259262E-2</v>
      </c>
      <c r="J78" s="17">
        <v>2.7466724537037039E-3</v>
      </c>
      <c r="K78" s="17">
        <v>6.2094907407407404E-2</v>
      </c>
      <c r="L78" s="18">
        <v>0.2379579526301783</v>
      </c>
      <c r="M78" s="16" t="s">
        <v>334</v>
      </c>
      <c r="N78" s="17">
        <v>2.1157407407407406E-2</v>
      </c>
      <c r="O78" s="17">
        <v>1.5520833333333333E-2</v>
      </c>
      <c r="P78" s="17"/>
      <c r="Q78" s="17">
        <v>6.875E-3</v>
      </c>
      <c r="R78" s="17"/>
      <c r="S78" s="17">
        <v>1.4317129629629629E-2</v>
      </c>
      <c r="T78" s="17">
        <v>2.199074074074074E-4</v>
      </c>
      <c r="U78" s="17"/>
      <c r="V78" s="17"/>
      <c r="W78" s="17">
        <v>4.0046296296296297E-3</v>
      </c>
    </row>
    <row r="79" spans="1:23" ht="15" customHeight="1" x14ac:dyDescent="0.25">
      <c r="A79" s="19">
        <v>46235</v>
      </c>
      <c r="B79" s="11" t="s">
        <v>620</v>
      </c>
      <c r="C79" s="12" t="s">
        <v>641</v>
      </c>
      <c r="D79" s="11" t="s">
        <v>601</v>
      </c>
      <c r="E79" s="12" t="s">
        <v>105</v>
      </c>
      <c r="F79" s="12" t="s">
        <v>33</v>
      </c>
      <c r="G79" s="12">
        <v>9</v>
      </c>
      <c r="H79" s="13">
        <v>0.23866898148148147</v>
      </c>
      <c r="I79" s="13">
        <v>8.7523148148148142E-2</v>
      </c>
      <c r="J79" s="13">
        <v>9.7247942386831272E-3</v>
      </c>
      <c r="K79" s="13">
        <v>0.10145833333333333</v>
      </c>
      <c r="L79" s="14">
        <v>0.42510062557586925</v>
      </c>
      <c r="M79" s="12" t="s">
        <v>334</v>
      </c>
      <c r="N79" s="13">
        <v>6.4583333333333333E-3</v>
      </c>
      <c r="O79" s="13">
        <v>7.1643518518518514E-3</v>
      </c>
      <c r="P79" s="13"/>
      <c r="Q79" s="13">
        <v>3.7152777777777778E-3</v>
      </c>
      <c r="R79" s="13"/>
      <c r="S79" s="13">
        <v>1.3009259259259259E-2</v>
      </c>
      <c r="T79" s="13">
        <v>2.7777777777777778E-4</v>
      </c>
      <c r="U79" s="13">
        <v>1.9212962962962963E-2</v>
      </c>
      <c r="V79" s="13"/>
      <c r="W79" s="13">
        <v>5.1620370370370372E-2</v>
      </c>
    </row>
    <row r="80" spans="1:23" ht="15" customHeight="1" x14ac:dyDescent="0.25">
      <c r="A80" s="20">
        <v>46235</v>
      </c>
      <c r="B80" s="15" t="s">
        <v>138</v>
      </c>
      <c r="C80" s="16" t="s">
        <v>556</v>
      </c>
      <c r="D80" s="15" t="s">
        <v>104</v>
      </c>
      <c r="E80" s="16" t="s">
        <v>105</v>
      </c>
      <c r="F80" s="16" t="s">
        <v>106</v>
      </c>
      <c r="G80" s="16">
        <v>12</v>
      </c>
      <c r="H80" s="17">
        <v>0.25172453703703701</v>
      </c>
      <c r="I80" s="17">
        <v>0.16250000000000001</v>
      </c>
      <c r="J80" s="17">
        <v>1.3541666666666667E-2</v>
      </c>
      <c r="K80" s="17">
        <v>8.44212962962963E-2</v>
      </c>
      <c r="L80" s="18">
        <v>0.33537174122948182</v>
      </c>
      <c r="M80" s="16" t="s">
        <v>334</v>
      </c>
      <c r="N80" s="17">
        <v>2.6238425925925925E-2</v>
      </c>
      <c r="O80" s="17">
        <v>6.9791666666666665E-3</v>
      </c>
      <c r="P80" s="17"/>
      <c r="Q80" s="17"/>
      <c r="R80" s="17">
        <v>2.3194444444444445E-2</v>
      </c>
      <c r="S80" s="17">
        <v>1.7349537037037038E-2</v>
      </c>
      <c r="T80" s="17">
        <v>1.0034722222222223E-2</v>
      </c>
      <c r="U80" s="17">
        <v>5.4398148148148144E-4</v>
      </c>
      <c r="V80" s="17"/>
      <c r="W80" s="17">
        <v>6.9444444444444444E-5</v>
      </c>
    </row>
    <row r="81" spans="1:23" ht="15" customHeight="1" x14ac:dyDescent="0.25">
      <c r="A81" s="19">
        <v>46235</v>
      </c>
      <c r="B81" s="11" t="s">
        <v>278</v>
      </c>
      <c r="C81" s="12" t="s">
        <v>533</v>
      </c>
      <c r="D81" s="11" t="s">
        <v>233</v>
      </c>
      <c r="E81" s="12" t="s">
        <v>32</v>
      </c>
      <c r="F81" s="12" t="s">
        <v>106</v>
      </c>
      <c r="G81" s="12">
        <v>18</v>
      </c>
      <c r="H81" s="13">
        <v>0.26428240740740738</v>
      </c>
      <c r="I81" s="13">
        <v>8.2916666666666666E-2</v>
      </c>
      <c r="J81" s="13">
        <v>4.6064814814814814E-3</v>
      </c>
      <c r="K81" s="13">
        <v>4.1550925925925929E-2</v>
      </c>
      <c r="L81" s="14">
        <v>0.15722168695804503</v>
      </c>
      <c r="M81" s="12" t="s">
        <v>334</v>
      </c>
      <c r="N81" s="13">
        <v>7.0949074074074074E-3</v>
      </c>
      <c r="O81" s="13">
        <v>1.4965277777777777E-2</v>
      </c>
      <c r="P81" s="13"/>
      <c r="Q81" s="13"/>
      <c r="R81" s="13"/>
      <c r="S81" s="13">
        <v>1.4849537037037038E-2</v>
      </c>
      <c r="T81" s="13">
        <v>4.6412037037037038E-3</v>
      </c>
      <c r="U81" s="13"/>
      <c r="V81" s="13"/>
      <c r="W81" s="13"/>
    </row>
    <row r="82" spans="1:23" ht="15" customHeight="1" x14ac:dyDescent="0.25">
      <c r="A82" s="20">
        <v>46235</v>
      </c>
      <c r="B82" s="15" t="s">
        <v>671</v>
      </c>
      <c r="C82" s="16" t="s">
        <v>672</v>
      </c>
      <c r="D82" s="15" t="s">
        <v>601</v>
      </c>
      <c r="E82" s="16" t="s">
        <v>105</v>
      </c>
      <c r="F82" s="16" t="s">
        <v>33</v>
      </c>
      <c r="G82" s="16">
        <v>11</v>
      </c>
      <c r="H82" s="17">
        <v>0.26732638888888888</v>
      </c>
      <c r="I82" s="17">
        <v>5.5243055555555552E-2</v>
      </c>
      <c r="J82" s="17">
        <v>5.0220959595959598E-3</v>
      </c>
      <c r="K82" s="17">
        <v>0.12956018518518519</v>
      </c>
      <c r="L82" s="18">
        <v>0.48465168636619477</v>
      </c>
      <c r="M82" s="16" t="s">
        <v>334</v>
      </c>
      <c r="N82" s="17">
        <v>9.2592592592592588E-5</v>
      </c>
      <c r="O82" s="17">
        <v>1.5995370370370372E-2</v>
      </c>
      <c r="P82" s="17">
        <v>1.1574074074074075E-4</v>
      </c>
      <c r="Q82" s="17">
        <v>1.9409722222222221E-2</v>
      </c>
      <c r="R82" s="17">
        <v>1.6319444444444445E-3</v>
      </c>
      <c r="S82" s="17">
        <v>1.9502314814814816E-2</v>
      </c>
      <c r="T82" s="17">
        <v>1.1111111111111111E-3</v>
      </c>
      <c r="U82" s="17">
        <v>0.01</v>
      </c>
      <c r="V82" s="17"/>
      <c r="W82" s="17">
        <v>6.1701388888888889E-2</v>
      </c>
    </row>
    <row r="83" spans="1:23" ht="15" customHeight="1" x14ac:dyDescent="0.25">
      <c r="A83" s="19">
        <v>46235</v>
      </c>
      <c r="B83" s="11" t="s">
        <v>313</v>
      </c>
      <c r="C83" s="12" t="s">
        <v>511</v>
      </c>
      <c r="D83" s="11" t="s">
        <v>78</v>
      </c>
      <c r="E83" s="12" t="s">
        <v>80</v>
      </c>
      <c r="F83" s="12" t="s">
        <v>81</v>
      </c>
      <c r="G83" s="12">
        <v>2</v>
      </c>
      <c r="H83" s="13">
        <v>0.24952546296296296</v>
      </c>
      <c r="I83" s="13">
        <v>3.7268518518518519E-3</v>
      </c>
      <c r="J83" s="13">
        <v>1.8634259259259259E-3</v>
      </c>
      <c r="K83" s="13">
        <v>3.005787037037037E-2</v>
      </c>
      <c r="L83" s="14">
        <v>0.12046013265921425</v>
      </c>
      <c r="M83" s="12" t="s">
        <v>334</v>
      </c>
      <c r="N83" s="13"/>
      <c r="O83" s="13">
        <v>1.6666666666666666E-2</v>
      </c>
      <c r="P83" s="13"/>
      <c r="Q83" s="13"/>
      <c r="R83" s="13"/>
      <c r="S83" s="13">
        <v>1.3333333333333334E-2</v>
      </c>
      <c r="T83" s="13">
        <v>5.7870370370370373E-5</v>
      </c>
      <c r="U83" s="13"/>
      <c r="V83" s="13"/>
      <c r="W83" s="13"/>
    </row>
    <row r="84" spans="1:23" ht="15" customHeight="1" x14ac:dyDescent="0.25">
      <c r="A84" s="20">
        <v>46235</v>
      </c>
      <c r="B84" s="15" t="s">
        <v>673</v>
      </c>
      <c r="C84" s="16" t="s">
        <v>674</v>
      </c>
      <c r="D84" s="15" t="s">
        <v>104</v>
      </c>
      <c r="E84" s="16" t="s">
        <v>105</v>
      </c>
      <c r="F84" s="16" t="s">
        <v>106</v>
      </c>
      <c r="G84" s="16">
        <v>13</v>
      </c>
      <c r="H84" s="17">
        <v>0.26082175925925927</v>
      </c>
      <c r="I84" s="17">
        <v>0.13223379629629631</v>
      </c>
      <c r="J84" s="17">
        <v>1.0171830484330483E-2</v>
      </c>
      <c r="K84" s="17">
        <v>0.12265046296296296</v>
      </c>
      <c r="L84" s="18">
        <v>0.47024628355890835</v>
      </c>
      <c r="M84" s="16" t="s">
        <v>334</v>
      </c>
      <c r="N84" s="17">
        <v>9.2129629629629627E-3</v>
      </c>
      <c r="O84" s="17">
        <v>1.4849537037037038E-2</v>
      </c>
      <c r="P84" s="17"/>
      <c r="Q84" s="17"/>
      <c r="R84" s="17"/>
      <c r="S84" s="17">
        <v>1.4502314814814815E-2</v>
      </c>
      <c r="T84" s="17">
        <v>8.1018518518518516E-5</v>
      </c>
      <c r="U84" s="17">
        <v>7.291666666666667E-4</v>
      </c>
      <c r="V84" s="17"/>
      <c r="W84" s="17">
        <v>8.3275462962962968E-2</v>
      </c>
    </row>
    <row r="85" spans="1:23" ht="15" customHeight="1" x14ac:dyDescent="0.25">
      <c r="A85" s="19">
        <v>46235</v>
      </c>
      <c r="B85" s="11" t="s">
        <v>225</v>
      </c>
      <c r="C85" s="12" t="s">
        <v>549</v>
      </c>
      <c r="D85" s="11" t="s">
        <v>601</v>
      </c>
      <c r="E85" s="12" t="s">
        <v>105</v>
      </c>
      <c r="F85" s="12" t="s">
        <v>33</v>
      </c>
      <c r="G85" s="12">
        <v>9</v>
      </c>
      <c r="H85" s="13">
        <v>0.25510416666666669</v>
      </c>
      <c r="I85" s="13">
        <v>0.16128472222222223</v>
      </c>
      <c r="J85" s="13">
        <v>1.7920524691358023E-2</v>
      </c>
      <c r="K85" s="13">
        <v>4.2268518518518518E-2</v>
      </c>
      <c r="L85" s="14">
        <v>0.165691211832494</v>
      </c>
      <c r="M85" s="12" t="s">
        <v>334</v>
      </c>
      <c r="N85" s="13">
        <v>4.6527777777777774E-3</v>
      </c>
      <c r="O85" s="13">
        <v>1.2893518518518518E-2</v>
      </c>
      <c r="P85" s="13"/>
      <c r="Q85" s="13">
        <v>4.6296296296296294E-3</v>
      </c>
      <c r="R85" s="13"/>
      <c r="S85" s="13"/>
      <c r="T85" s="13">
        <v>1.0416666666666667E-4</v>
      </c>
      <c r="U85" s="13">
        <v>2.5810185185185185E-3</v>
      </c>
      <c r="V85" s="13"/>
      <c r="W85" s="13">
        <v>1.7395833333333333E-2</v>
      </c>
    </row>
    <row r="86" spans="1:23" ht="15" customHeight="1" x14ac:dyDescent="0.25">
      <c r="A86" s="20">
        <v>46235</v>
      </c>
      <c r="B86" s="15" t="s">
        <v>280</v>
      </c>
      <c r="C86" s="16" t="s">
        <v>534</v>
      </c>
      <c r="D86" s="15" t="s">
        <v>233</v>
      </c>
      <c r="E86" s="16" t="s">
        <v>32</v>
      </c>
      <c r="F86" s="16" t="s">
        <v>106</v>
      </c>
      <c r="G86" s="16">
        <v>20</v>
      </c>
      <c r="H86" s="17">
        <v>0.26076388888888891</v>
      </c>
      <c r="I86" s="17">
        <v>7.0624999999999993E-2</v>
      </c>
      <c r="J86" s="17">
        <v>3.5312500000000001E-3</v>
      </c>
      <c r="K86" s="17">
        <v>4.2557870370370371E-2</v>
      </c>
      <c r="L86" s="18">
        <v>0.16320461606746561</v>
      </c>
      <c r="M86" s="16" t="s">
        <v>334</v>
      </c>
      <c r="N86" s="17">
        <v>3.9930555555555552E-3</v>
      </c>
      <c r="O86" s="17">
        <v>1.5208333333333334E-2</v>
      </c>
      <c r="P86" s="17"/>
      <c r="Q86" s="17">
        <v>1.9907407407407408E-3</v>
      </c>
      <c r="R86" s="17"/>
      <c r="S86" s="17">
        <v>1.4791666666666667E-2</v>
      </c>
      <c r="T86" s="17">
        <v>8.7962962962962962E-4</v>
      </c>
      <c r="U86" s="17"/>
      <c r="V86" s="17"/>
      <c r="W86" s="17">
        <v>5.6944444444444447E-3</v>
      </c>
    </row>
    <row r="87" spans="1:23" ht="15" customHeight="1" x14ac:dyDescent="0.25">
      <c r="A87" s="19">
        <v>46235</v>
      </c>
      <c r="B87" s="11" t="s">
        <v>299</v>
      </c>
      <c r="C87" s="12" t="s">
        <v>571</v>
      </c>
      <c r="D87" s="11" t="s">
        <v>104</v>
      </c>
      <c r="E87" s="12" t="s">
        <v>105</v>
      </c>
      <c r="F87" s="12" t="s">
        <v>106</v>
      </c>
      <c r="G87" s="12">
        <v>15</v>
      </c>
      <c r="H87" s="13">
        <v>0.26815972222222223</v>
      </c>
      <c r="I87" s="13">
        <v>0.18912037037037038</v>
      </c>
      <c r="J87" s="13">
        <v>1.2608024691358024E-2</v>
      </c>
      <c r="K87" s="13">
        <v>4.5868055555555558E-2</v>
      </c>
      <c r="L87" s="14">
        <v>0.17104752039362942</v>
      </c>
      <c r="M87" s="12" t="s">
        <v>334</v>
      </c>
      <c r="N87" s="13"/>
      <c r="O87" s="13">
        <v>1.4212962962962964E-2</v>
      </c>
      <c r="P87" s="13"/>
      <c r="Q87" s="13"/>
      <c r="R87" s="13"/>
      <c r="S87" s="13">
        <v>1.3923611111111111E-2</v>
      </c>
      <c r="T87" s="13">
        <v>5.7870370370370373E-5</v>
      </c>
      <c r="U87" s="13">
        <v>1.6481481481481482E-2</v>
      </c>
      <c r="V87" s="13"/>
      <c r="W87" s="13">
        <v>1.1805555555555556E-3</v>
      </c>
    </row>
    <row r="88" spans="1:23" ht="15" customHeight="1" x14ac:dyDescent="0.25">
      <c r="A88" s="20">
        <v>46235</v>
      </c>
      <c r="B88" s="15" t="s">
        <v>227</v>
      </c>
      <c r="C88" s="16" t="s">
        <v>557</v>
      </c>
      <c r="D88" s="15" t="s">
        <v>146</v>
      </c>
      <c r="E88" s="16" t="s">
        <v>147</v>
      </c>
      <c r="F88" s="16" t="s">
        <v>106</v>
      </c>
      <c r="G88" s="16">
        <v>6</v>
      </c>
      <c r="H88" s="17">
        <v>0.28488425925925925</v>
      </c>
      <c r="I88" s="17">
        <v>2.4907407407407406E-2</v>
      </c>
      <c r="J88" s="17">
        <v>4.1512345679012349E-3</v>
      </c>
      <c r="K88" s="17">
        <v>6.7638888888888887E-2</v>
      </c>
      <c r="L88" s="18">
        <v>0.23742585520435525</v>
      </c>
      <c r="M88" s="16" t="s">
        <v>334</v>
      </c>
      <c r="N88" s="17">
        <v>8.819444444444444E-3</v>
      </c>
      <c r="O88" s="17">
        <v>1.3321759259259259E-2</v>
      </c>
      <c r="P88" s="17"/>
      <c r="Q88" s="17">
        <v>2.6574074074074073E-2</v>
      </c>
      <c r="R88" s="17"/>
      <c r="S88" s="17">
        <v>1.3530092592592592E-2</v>
      </c>
      <c r="T88" s="17">
        <v>6.9444444444444444E-5</v>
      </c>
      <c r="U88" s="17">
        <v>5.0000000000000001E-3</v>
      </c>
      <c r="V88" s="17"/>
      <c r="W88" s="17"/>
    </row>
    <row r="89" spans="1:23" ht="15" customHeight="1" x14ac:dyDescent="0.25">
      <c r="A89" s="19">
        <v>46235</v>
      </c>
      <c r="B89" s="11" t="s">
        <v>282</v>
      </c>
      <c r="C89" s="12" t="s">
        <v>535</v>
      </c>
      <c r="D89" s="11" t="s">
        <v>233</v>
      </c>
      <c r="E89" s="12" t="s">
        <v>32</v>
      </c>
      <c r="F89" s="12" t="s">
        <v>106</v>
      </c>
      <c r="G89" s="12">
        <v>29</v>
      </c>
      <c r="H89" s="13">
        <v>0.25784722222222223</v>
      </c>
      <c r="I89" s="13">
        <v>5.1516203703703703E-2</v>
      </c>
      <c r="J89" s="13">
        <v>1.7764208173690931E-3</v>
      </c>
      <c r="K89" s="13">
        <v>3.875E-2</v>
      </c>
      <c r="L89" s="14">
        <v>0.15028279019660651</v>
      </c>
      <c r="M89" s="12" t="s">
        <v>334</v>
      </c>
      <c r="N89" s="13">
        <v>7.4884259259259262E-3</v>
      </c>
      <c r="O89" s="13">
        <v>1.4884259259259259E-2</v>
      </c>
      <c r="P89" s="13"/>
      <c r="Q89" s="13">
        <v>3.9351851851851852E-4</v>
      </c>
      <c r="R89" s="13"/>
      <c r="S89" s="13">
        <v>1.5590277777777778E-2</v>
      </c>
      <c r="T89" s="13">
        <v>3.9351851851851852E-4</v>
      </c>
      <c r="U89" s="13"/>
      <c r="V89" s="13"/>
      <c r="W89" s="13"/>
    </row>
    <row r="90" spans="1:23" ht="15" customHeight="1" x14ac:dyDescent="0.25">
      <c r="A90" s="20">
        <v>46235</v>
      </c>
      <c r="B90" s="15" t="s">
        <v>675</v>
      </c>
      <c r="C90" s="16" t="s">
        <v>676</v>
      </c>
      <c r="D90" s="15" t="s">
        <v>104</v>
      </c>
      <c r="E90" s="16" t="s">
        <v>105</v>
      </c>
      <c r="F90" s="16" t="s">
        <v>106</v>
      </c>
      <c r="G90" s="16">
        <v>10</v>
      </c>
      <c r="H90" s="17">
        <v>0.27881944444444445</v>
      </c>
      <c r="I90" s="17">
        <v>0.21887731481481482</v>
      </c>
      <c r="J90" s="17">
        <v>2.188773148148148E-2</v>
      </c>
      <c r="K90" s="17">
        <v>5.1412037037037034E-2</v>
      </c>
      <c r="L90" s="18">
        <v>0.18439186384391865</v>
      </c>
      <c r="M90" s="16" t="s">
        <v>334</v>
      </c>
      <c r="N90" s="17">
        <v>2.7083333333333334E-3</v>
      </c>
      <c r="O90" s="17">
        <v>7.9282407407407409E-3</v>
      </c>
      <c r="P90" s="17"/>
      <c r="Q90" s="17"/>
      <c r="R90" s="17"/>
      <c r="S90" s="17">
        <v>1.3900462962962963E-2</v>
      </c>
      <c r="T90" s="17">
        <v>1.0416666666666667E-4</v>
      </c>
      <c r="U90" s="17">
        <v>7.0601851851851847E-4</v>
      </c>
      <c r="V90" s="17"/>
      <c r="W90" s="17">
        <v>2.6064814814814815E-2</v>
      </c>
    </row>
    <row r="91" spans="1:23" ht="15" customHeight="1" x14ac:dyDescent="0.25">
      <c r="A91" s="19">
        <v>46235</v>
      </c>
      <c r="B91" s="11" t="s">
        <v>677</v>
      </c>
      <c r="C91" s="12" t="s">
        <v>678</v>
      </c>
      <c r="D91" s="11" t="s">
        <v>274</v>
      </c>
      <c r="E91" s="12" t="s">
        <v>147</v>
      </c>
      <c r="F91" s="12" t="s">
        <v>33</v>
      </c>
      <c r="G91" s="12">
        <v>16</v>
      </c>
      <c r="H91" s="13">
        <v>0.25929398148148147</v>
      </c>
      <c r="I91" s="13">
        <v>3.9386574074074074E-2</v>
      </c>
      <c r="J91" s="13">
        <v>2.4616608796296296E-3</v>
      </c>
      <c r="K91" s="13">
        <v>2.8854166666666667E-2</v>
      </c>
      <c r="L91" s="14">
        <v>0.11127973932062671</v>
      </c>
      <c r="M91" s="12" t="s">
        <v>334</v>
      </c>
      <c r="N91" s="13">
        <v>5.3240740740740744E-4</v>
      </c>
      <c r="O91" s="13">
        <v>1.4317129629629629E-2</v>
      </c>
      <c r="P91" s="13"/>
      <c r="Q91" s="13"/>
      <c r="R91" s="13"/>
      <c r="S91" s="13">
        <v>1.375E-2</v>
      </c>
      <c r="T91" s="13">
        <v>1.5046296296296297E-4</v>
      </c>
      <c r="U91" s="13">
        <v>9.2592592592592588E-5</v>
      </c>
      <c r="V91" s="13"/>
      <c r="W91" s="13"/>
    </row>
    <row r="92" spans="1:23" ht="15" customHeight="1" x14ac:dyDescent="0.25">
      <c r="A92" s="20">
        <v>46235</v>
      </c>
      <c r="B92" s="15" t="s">
        <v>679</v>
      </c>
      <c r="C92" s="16" t="s">
        <v>680</v>
      </c>
      <c r="D92" s="15" t="s">
        <v>274</v>
      </c>
      <c r="E92" s="16" t="s">
        <v>147</v>
      </c>
      <c r="F92" s="16" t="s">
        <v>33</v>
      </c>
      <c r="G92" s="16">
        <v>7</v>
      </c>
      <c r="H92" s="17">
        <v>0.25763888888888886</v>
      </c>
      <c r="I92" s="17">
        <v>1.7118055555555556E-2</v>
      </c>
      <c r="J92" s="17">
        <v>2.445436507936508E-3</v>
      </c>
      <c r="K92" s="17">
        <v>3.5856481481481482E-2</v>
      </c>
      <c r="L92" s="18">
        <v>0.13917340521114105</v>
      </c>
      <c r="M92" s="16" t="s">
        <v>334</v>
      </c>
      <c r="N92" s="17">
        <v>6.145833333333333E-3</v>
      </c>
      <c r="O92" s="17">
        <v>2.9641203703703704E-2</v>
      </c>
      <c r="P92" s="17"/>
      <c r="Q92" s="17"/>
      <c r="R92" s="17"/>
      <c r="S92" s="17"/>
      <c r="T92" s="17">
        <v>6.9444444444444444E-5</v>
      </c>
      <c r="U92" s="17"/>
      <c r="V92" s="17"/>
      <c r="W92" s="17"/>
    </row>
    <row r="93" spans="1:23" ht="15" customHeight="1" x14ac:dyDescent="0.25">
      <c r="A93" s="19">
        <v>46237</v>
      </c>
      <c r="B93" s="11" t="s">
        <v>186</v>
      </c>
      <c r="C93" s="12" t="s">
        <v>562</v>
      </c>
      <c r="D93" s="11" t="s">
        <v>78</v>
      </c>
      <c r="E93" s="12" t="s">
        <v>80</v>
      </c>
      <c r="F93" s="12" t="s">
        <v>33</v>
      </c>
      <c r="G93" s="12">
        <v>5</v>
      </c>
      <c r="H93" s="13">
        <v>0.26290509259259259</v>
      </c>
      <c r="I93" s="13">
        <v>7.1296296296296299E-3</v>
      </c>
      <c r="J93" s="13">
        <v>1.425925925925926E-3</v>
      </c>
      <c r="K93" s="13">
        <v>6.1585648148148146E-2</v>
      </c>
      <c r="L93" s="14">
        <v>0.23425049526744443</v>
      </c>
      <c r="M93" s="12" t="s">
        <v>334</v>
      </c>
      <c r="N93" s="13">
        <v>1.846064814814815E-2</v>
      </c>
      <c r="O93" s="13">
        <v>2.0659722222222222E-2</v>
      </c>
      <c r="P93" s="13"/>
      <c r="Q93" s="13">
        <v>7.1759259259259259E-3</v>
      </c>
      <c r="R93" s="13"/>
      <c r="S93" s="13">
        <v>1.5104166666666667E-2</v>
      </c>
      <c r="T93" s="13">
        <v>1.1574074074074075E-4</v>
      </c>
      <c r="U93" s="13">
        <v>5.7870370370370373E-5</v>
      </c>
      <c r="V93" s="13"/>
      <c r="W93" s="13"/>
    </row>
    <row r="94" spans="1:23" ht="15" customHeight="1" x14ac:dyDescent="0.25">
      <c r="A94" s="20">
        <v>46237</v>
      </c>
      <c r="B94" s="15" t="s">
        <v>643</v>
      </c>
      <c r="C94" s="16" t="s">
        <v>644</v>
      </c>
      <c r="D94" s="15" t="s">
        <v>233</v>
      </c>
      <c r="E94" s="16" t="s">
        <v>32</v>
      </c>
      <c r="F94" s="16" t="s">
        <v>106</v>
      </c>
      <c r="G94" s="16">
        <v>25</v>
      </c>
      <c r="H94" s="17">
        <v>0.25465277777777778</v>
      </c>
      <c r="I94" s="17">
        <v>0.13630787037037037</v>
      </c>
      <c r="J94" s="17">
        <v>5.4523148148148144E-3</v>
      </c>
      <c r="K94" s="17">
        <v>4.4537037037037035E-2</v>
      </c>
      <c r="L94" s="18">
        <v>0.17489319152804292</v>
      </c>
      <c r="M94" s="16" t="s">
        <v>334</v>
      </c>
      <c r="N94" s="17">
        <v>9.5949074074074079E-3</v>
      </c>
      <c r="O94" s="17">
        <v>1.2916666666666667E-2</v>
      </c>
      <c r="P94" s="17">
        <v>3.7268518518518519E-3</v>
      </c>
      <c r="Q94" s="17"/>
      <c r="R94" s="17"/>
      <c r="S94" s="17">
        <v>1.4247685185185184E-2</v>
      </c>
      <c r="T94" s="17">
        <v>1.0416666666666667E-4</v>
      </c>
      <c r="U94" s="17">
        <v>3.9004629629629628E-3</v>
      </c>
      <c r="V94" s="17"/>
      <c r="W94" s="17"/>
    </row>
    <row r="95" spans="1:23" ht="15" customHeight="1" x14ac:dyDescent="0.25">
      <c r="A95" s="19">
        <v>46237</v>
      </c>
      <c r="B95" s="11" t="s">
        <v>193</v>
      </c>
      <c r="C95" s="12" t="s">
        <v>563</v>
      </c>
      <c r="D95" s="11" t="s">
        <v>274</v>
      </c>
      <c r="E95" s="12" t="s">
        <v>147</v>
      </c>
      <c r="F95" s="12" t="s">
        <v>33</v>
      </c>
      <c r="G95" s="12">
        <v>22</v>
      </c>
      <c r="H95" s="13">
        <v>0.25608796296296299</v>
      </c>
      <c r="I95" s="13">
        <v>7.5833333333333336E-2</v>
      </c>
      <c r="J95" s="13">
        <v>3.446969696969697E-3</v>
      </c>
      <c r="K95" s="13">
        <v>4.50462962962963E-2</v>
      </c>
      <c r="L95" s="14">
        <v>0.17590165416252374</v>
      </c>
      <c r="M95" s="12" t="s">
        <v>334</v>
      </c>
      <c r="N95" s="13"/>
      <c r="O95" s="13">
        <v>1.3900462962962963E-2</v>
      </c>
      <c r="P95" s="13"/>
      <c r="Q95" s="13">
        <v>1.4618055555555556E-2</v>
      </c>
      <c r="R95" s="13"/>
      <c r="S95" s="13">
        <v>1.3912037037037037E-2</v>
      </c>
      <c r="T95" s="13">
        <v>2.1875000000000002E-3</v>
      </c>
      <c r="U95" s="13">
        <v>3.9351851851851852E-4</v>
      </c>
      <c r="V95" s="13"/>
      <c r="W95" s="13"/>
    </row>
    <row r="96" spans="1:23" ht="15" customHeight="1" x14ac:dyDescent="0.25">
      <c r="A96" s="20">
        <v>46237</v>
      </c>
      <c r="B96" s="15" t="s">
        <v>231</v>
      </c>
      <c r="C96" s="16" t="s">
        <v>525</v>
      </c>
      <c r="D96" s="15" t="s">
        <v>233</v>
      </c>
      <c r="E96" s="16" t="s">
        <v>32</v>
      </c>
      <c r="F96" s="16" t="s">
        <v>106</v>
      </c>
      <c r="G96" s="16">
        <v>33</v>
      </c>
      <c r="H96" s="17">
        <v>0.26171296296296298</v>
      </c>
      <c r="I96" s="17">
        <v>0.14894675925925926</v>
      </c>
      <c r="J96" s="17">
        <v>4.5135381593714927E-3</v>
      </c>
      <c r="K96" s="17">
        <v>4.1828703703703701E-2</v>
      </c>
      <c r="L96" s="18">
        <v>0.15982664072174066</v>
      </c>
      <c r="M96" s="16" t="s">
        <v>334</v>
      </c>
      <c r="N96" s="17"/>
      <c r="O96" s="17">
        <v>1.5428240740740741E-2</v>
      </c>
      <c r="P96" s="17"/>
      <c r="Q96" s="17"/>
      <c r="R96" s="17"/>
      <c r="S96" s="17">
        <v>1.4444444444444444E-2</v>
      </c>
      <c r="T96" s="17">
        <v>1.1377314814814814E-2</v>
      </c>
      <c r="U96" s="17">
        <v>1.9675925925925926E-4</v>
      </c>
      <c r="V96" s="17"/>
      <c r="W96" s="17"/>
    </row>
    <row r="97" spans="1:23" ht="15" customHeight="1" x14ac:dyDescent="0.25">
      <c r="A97" s="19">
        <v>46237</v>
      </c>
      <c r="B97" s="11" t="s">
        <v>148</v>
      </c>
      <c r="C97" s="12" t="s">
        <v>513</v>
      </c>
      <c r="D97" s="11" t="s">
        <v>104</v>
      </c>
      <c r="E97" s="12" t="s">
        <v>105</v>
      </c>
      <c r="F97" s="12" t="s">
        <v>106</v>
      </c>
      <c r="G97" s="12">
        <v>16</v>
      </c>
      <c r="H97" s="13">
        <v>0.2260648148148148</v>
      </c>
      <c r="I97" s="13">
        <v>0.25255787037037036</v>
      </c>
      <c r="J97" s="13">
        <v>1.5784866898148148E-2</v>
      </c>
      <c r="K97" s="13">
        <v>6.21875E-2</v>
      </c>
      <c r="L97" s="14">
        <v>0.27508703665779233</v>
      </c>
      <c r="M97" s="12" t="s">
        <v>334</v>
      </c>
      <c r="N97" s="13">
        <v>9.9652777777777778E-3</v>
      </c>
      <c r="O97" s="13">
        <v>1.8877314814814816E-2</v>
      </c>
      <c r="P97" s="13"/>
      <c r="Q97" s="13"/>
      <c r="R97" s="13"/>
      <c r="S97" s="13"/>
      <c r="T97" s="13">
        <v>5.9027777777777778E-4</v>
      </c>
      <c r="U97" s="13">
        <v>2.0625000000000001E-2</v>
      </c>
      <c r="V97" s="13"/>
      <c r="W97" s="13">
        <v>1.2129629629629629E-2</v>
      </c>
    </row>
    <row r="98" spans="1:23" ht="15" customHeight="1" x14ac:dyDescent="0.25">
      <c r="A98" s="20">
        <v>46237</v>
      </c>
      <c r="B98" s="15" t="s">
        <v>82</v>
      </c>
      <c r="C98" s="16" t="s">
        <v>83</v>
      </c>
      <c r="D98" s="15" t="s">
        <v>78</v>
      </c>
      <c r="E98" s="16" t="s">
        <v>80</v>
      </c>
      <c r="F98" s="16" t="s">
        <v>81</v>
      </c>
      <c r="G98" s="16">
        <v>0</v>
      </c>
      <c r="H98" s="17">
        <v>0</v>
      </c>
      <c r="I98" s="17">
        <v>0</v>
      </c>
      <c r="J98" s="17">
        <v>0</v>
      </c>
      <c r="K98" s="17">
        <v>0</v>
      </c>
      <c r="L98" s="18">
        <v>0</v>
      </c>
      <c r="M98" s="16" t="s">
        <v>333</v>
      </c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spans="1:23" ht="15" customHeight="1" x14ac:dyDescent="0.25">
      <c r="A99" s="19">
        <v>46237</v>
      </c>
      <c r="B99" s="11" t="s">
        <v>234</v>
      </c>
      <c r="C99" s="12" t="s">
        <v>550</v>
      </c>
      <c r="D99" s="11" t="s">
        <v>233</v>
      </c>
      <c r="E99" s="12" t="s">
        <v>32</v>
      </c>
      <c r="F99" s="12" t="s">
        <v>106</v>
      </c>
      <c r="G99" s="12">
        <v>49</v>
      </c>
      <c r="H99" s="13">
        <v>0.26333333333333331</v>
      </c>
      <c r="I99" s="13">
        <v>0.1333101851851852</v>
      </c>
      <c r="J99" s="13">
        <v>2.7206160241874527E-3</v>
      </c>
      <c r="K99" s="13">
        <v>5.1284722222222225E-2</v>
      </c>
      <c r="L99" s="14">
        <v>0.19475210970464135</v>
      </c>
      <c r="M99" s="12" t="s">
        <v>334</v>
      </c>
      <c r="N99" s="13">
        <v>6.4930555555555557E-3</v>
      </c>
      <c r="O99" s="13">
        <v>1.4363425925925925E-2</v>
      </c>
      <c r="P99" s="13"/>
      <c r="Q99" s="13">
        <v>6.1689814814814819E-3</v>
      </c>
      <c r="R99" s="13"/>
      <c r="S99" s="13">
        <v>1.6759259259259258E-2</v>
      </c>
      <c r="T99" s="13">
        <v>7.4999999999999997E-3</v>
      </c>
      <c r="U99" s="13"/>
      <c r="V99" s="13"/>
      <c r="W99" s="13"/>
    </row>
    <row r="100" spans="1:23" ht="15" customHeight="1" x14ac:dyDescent="0.25">
      <c r="A100" s="20">
        <v>46237</v>
      </c>
      <c r="B100" s="15" t="s">
        <v>34</v>
      </c>
      <c r="C100" s="16" t="s">
        <v>505</v>
      </c>
      <c r="D100" s="15" t="s">
        <v>233</v>
      </c>
      <c r="E100" s="16" t="s">
        <v>32</v>
      </c>
      <c r="F100" s="16" t="s">
        <v>106</v>
      </c>
      <c r="G100" s="16">
        <v>43</v>
      </c>
      <c r="H100" s="17">
        <v>0.25965277777777779</v>
      </c>
      <c r="I100" s="17">
        <v>0.14887731481481481</v>
      </c>
      <c r="J100" s="17">
        <v>3.4622631352282519E-3</v>
      </c>
      <c r="K100" s="17">
        <v>4.5937499999999999E-2</v>
      </c>
      <c r="L100" s="18">
        <v>0.1769189622893822</v>
      </c>
      <c r="M100" s="16" t="s">
        <v>334</v>
      </c>
      <c r="N100" s="17">
        <v>9.0277777777777774E-4</v>
      </c>
      <c r="O100" s="17">
        <v>1.3599537037037037E-2</v>
      </c>
      <c r="P100" s="17"/>
      <c r="Q100" s="17"/>
      <c r="R100" s="17"/>
      <c r="S100" s="17">
        <v>1.361111111111111E-2</v>
      </c>
      <c r="T100" s="17">
        <v>1.2349537037037037E-2</v>
      </c>
      <c r="U100" s="17">
        <v>5.4629629629629629E-3</v>
      </c>
      <c r="V100" s="17"/>
      <c r="W100" s="17"/>
    </row>
    <row r="101" spans="1:23" ht="15" customHeight="1" x14ac:dyDescent="0.25">
      <c r="A101" s="19">
        <v>46237</v>
      </c>
      <c r="B101" s="11" t="s">
        <v>493</v>
      </c>
      <c r="C101" s="12" t="s">
        <v>569</v>
      </c>
      <c r="D101" s="11" t="s">
        <v>104</v>
      </c>
      <c r="E101" s="12" t="s">
        <v>105</v>
      </c>
      <c r="F101" s="12" t="s">
        <v>106</v>
      </c>
      <c r="G101" s="12">
        <v>28</v>
      </c>
      <c r="H101" s="13">
        <v>0.24219907407407407</v>
      </c>
      <c r="I101" s="13">
        <v>0.31479166666666669</v>
      </c>
      <c r="J101" s="13">
        <v>1.1242559523809524E-2</v>
      </c>
      <c r="K101" s="13">
        <v>5.2430555555555557E-2</v>
      </c>
      <c r="L101" s="14">
        <v>0.21647710981554047</v>
      </c>
      <c r="M101" s="12" t="s">
        <v>334</v>
      </c>
      <c r="N101" s="13">
        <v>7.1875000000000003E-3</v>
      </c>
      <c r="O101" s="13">
        <v>1.3784722222222223E-2</v>
      </c>
      <c r="P101" s="13">
        <v>4.2824074074074075E-4</v>
      </c>
      <c r="Q101" s="13"/>
      <c r="R101" s="13"/>
      <c r="S101" s="13">
        <v>1.3657407407407408E-2</v>
      </c>
      <c r="T101" s="13">
        <v>2.7777777777777778E-4</v>
      </c>
      <c r="U101" s="13">
        <v>1.2592592592592593E-2</v>
      </c>
      <c r="V101" s="13"/>
      <c r="W101" s="13">
        <v>4.4907407407407405E-3</v>
      </c>
    </row>
    <row r="102" spans="1:23" ht="15" customHeight="1" x14ac:dyDescent="0.25">
      <c r="A102" s="20">
        <v>46237</v>
      </c>
      <c r="B102" s="15" t="s">
        <v>236</v>
      </c>
      <c r="C102" s="16" t="s">
        <v>551</v>
      </c>
      <c r="D102" s="15" t="s">
        <v>233</v>
      </c>
      <c r="E102" s="16" t="s">
        <v>32</v>
      </c>
      <c r="F102" s="16" t="s">
        <v>106</v>
      </c>
      <c r="G102" s="16">
        <v>12</v>
      </c>
      <c r="H102" s="17">
        <v>0.30199074074074073</v>
      </c>
      <c r="I102" s="17">
        <v>6.7789351851851851E-2</v>
      </c>
      <c r="J102" s="17">
        <v>5.6491126543209876E-3</v>
      </c>
      <c r="K102" s="17">
        <v>0.23159722222222223</v>
      </c>
      <c r="L102" s="18">
        <v>0.76690173233174919</v>
      </c>
      <c r="M102" s="16" t="s">
        <v>334</v>
      </c>
      <c r="N102" s="17">
        <v>2.8472222222222223E-3</v>
      </c>
      <c r="O102" s="17">
        <v>8.3564814814814821E-3</v>
      </c>
      <c r="P102" s="17"/>
      <c r="Q102" s="17"/>
      <c r="R102" s="17"/>
      <c r="S102" s="17">
        <v>1.1180555555555555E-2</v>
      </c>
      <c r="T102" s="17">
        <v>2.9513888888888888E-2</v>
      </c>
      <c r="U102" s="17">
        <v>3.0208333333333333E-3</v>
      </c>
      <c r="V102" s="17"/>
      <c r="W102" s="17">
        <v>0.17662037037037037</v>
      </c>
    </row>
    <row r="103" spans="1:23" ht="15" customHeight="1" x14ac:dyDescent="0.25">
      <c r="A103" s="19">
        <v>46237</v>
      </c>
      <c r="B103" s="11" t="s">
        <v>238</v>
      </c>
      <c r="C103" s="12" t="s">
        <v>526</v>
      </c>
      <c r="D103" s="11" t="s">
        <v>233</v>
      </c>
      <c r="E103" s="12" t="s">
        <v>32</v>
      </c>
      <c r="F103" s="12" t="s">
        <v>106</v>
      </c>
      <c r="G103" s="12">
        <v>0</v>
      </c>
      <c r="H103" s="13">
        <v>0.2575925925925926</v>
      </c>
      <c r="I103" s="13">
        <v>0</v>
      </c>
      <c r="J103" s="13">
        <v>0</v>
      </c>
      <c r="K103" s="13">
        <v>0.25726851851851851</v>
      </c>
      <c r="L103" s="14">
        <v>0.99874191229331422</v>
      </c>
      <c r="M103" s="12" t="s">
        <v>334</v>
      </c>
      <c r="N103" s="13"/>
      <c r="O103" s="13">
        <v>5.6249999999999998E-3</v>
      </c>
      <c r="P103" s="13"/>
      <c r="Q103" s="13"/>
      <c r="R103" s="13"/>
      <c r="S103" s="13">
        <v>8.9236111111111113E-3</v>
      </c>
      <c r="T103" s="13">
        <v>3.9351851851851852E-4</v>
      </c>
      <c r="U103" s="13"/>
      <c r="V103" s="13"/>
      <c r="W103" s="13">
        <v>0.24232638888888888</v>
      </c>
    </row>
    <row r="104" spans="1:23" ht="15" customHeight="1" x14ac:dyDescent="0.25">
      <c r="A104" s="20">
        <v>46237</v>
      </c>
      <c r="B104" s="15" t="s">
        <v>608</v>
      </c>
      <c r="C104" s="16" t="s">
        <v>631</v>
      </c>
      <c r="D104" s="15" t="s">
        <v>601</v>
      </c>
      <c r="E104" s="16" t="s">
        <v>105</v>
      </c>
      <c r="F104" s="16" t="s">
        <v>33</v>
      </c>
      <c r="G104" s="16">
        <v>13</v>
      </c>
      <c r="H104" s="17">
        <v>0.25726851851851851</v>
      </c>
      <c r="I104" s="17">
        <v>0.27789351851851851</v>
      </c>
      <c r="J104" s="17">
        <v>2.1376424501424501E-2</v>
      </c>
      <c r="K104" s="17">
        <v>0.12686342592592592</v>
      </c>
      <c r="L104" s="18">
        <v>0.49311678963469496</v>
      </c>
      <c r="M104" s="16" t="s">
        <v>334</v>
      </c>
      <c r="N104" s="17"/>
      <c r="O104" s="17">
        <v>1.3391203703703704E-2</v>
      </c>
      <c r="P104" s="17"/>
      <c r="Q104" s="17"/>
      <c r="R104" s="17"/>
      <c r="S104" s="17">
        <v>1.4050925925925927E-2</v>
      </c>
      <c r="T104" s="17">
        <v>4.861111111111111E-4</v>
      </c>
      <c r="U104" s="17">
        <v>4.1689814814814811E-2</v>
      </c>
      <c r="V104" s="17"/>
      <c r="W104" s="17">
        <v>5.724537037037037E-2</v>
      </c>
    </row>
    <row r="105" spans="1:23" ht="15" customHeight="1" x14ac:dyDescent="0.25">
      <c r="A105" s="19">
        <v>46237</v>
      </c>
      <c r="B105" s="11" t="s">
        <v>307</v>
      </c>
      <c r="C105" s="12" t="s">
        <v>308</v>
      </c>
      <c r="D105" s="11" t="s">
        <v>78</v>
      </c>
      <c r="E105" s="12" t="s">
        <v>80</v>
      </c>
      <c r="F105" s="12" t="s">
        <v>81</v>
      </c>
      <c r="G105" s="12">
        <v>0</v>
      </c>
      <c r="H105" s="13">
        <v>0.34810185185185183</v>
      </c>
      <c r="I105" s="13">
        <v>0</v>
      </c>
      <c r="J105" s="13">
        <v>0</v>
      </c>
      <c r="K105" s="13">
        <v>2.1990740740740741E-2</v>
      </c>
      <c r="L105" s="14">
        <v>6.3173294321053328E-2</v>
      </c>
      <c r="M105" s="12" t="s">
        <v>334</v>
      </c>
      <c r="N105" s="13">
        <v>3.3449074074074076E-3</v>
      </c>
      <c r="O105" s="13"/>
      <c r="P105" s="13"/>
      <c r="Q105" s="13"/>
      <c r="R105" s="13">
        <v>6.4467592592592588E-3</v>
      </c>
      <c r="S105" s="13">
        <v>8.0902777777777778E-3</v>
      </c>
      <c r="T105" s="13">
        <v>5.7870370370370373E-5</v>
      </c>
      <c r="U105" s="13">
        <v>3.9814814814814817E-3</v>
      </c>
      <c r="V105" s="13"/>
      <c r="W105" s="13"/>
    </row>
    <row r="106" spans="1:23" ht="15" customHeight="1" x14ac:dyDescent="0.25">
      <c r="A106" s="20">
        <v>46237</v>
      </c>
      <c r="B106" s="15" t="s">
        <v>197</v>
      </c>
      <c r="C106" s="16" t="s">
        <v>564</v>
      </c>
      <c r="D106" s="15" t="s">
        <v>601</v>
      </c>
      <c r="E106" s="16" t="s">
        <v>105</v>
      </c>
      <c r="F106" s="16" t="s">
        <v>33</v>
      </c>
      <c r="G106" s="16">
        <v>14</v>
      </c>
      <c r="H106" s="17">
        <v>0.24303240740740742</v>
      </c>
      <c r="I106" s="17">
        <v>0.19891203703703703</v>
      </c>
      <c r="J106" s="17">
        <v>1.4208002645502647E-2</v>
      </c>
      <c r="K106" s="17">
        <v>0.16501157407407407</v>
      </c>
      <c r="L106" s="18">
        <v>0.67896942565958662</v>
      </c>
      <c r="M106" s="16" t="s">
        <v>334</v>
      </c>
      <c r="N106" s="17">
        <v>6.4120370370370373E-3</v>
      </c>
      <c r="O106" s="17">
        <v>2.8483796296296295E-2</v>
      </c>
      <c r="P106" s="17"/>
      <c r="Q106" s="17"/>
      <c r="R106" s="17"/>
      <c r="S106" s="17">
        <v>1.3321759259259259E-2</v>
      </c>
      <c r="T106" s="17">
        <v>5.6134259259259262E-3</v>
      </c>
      <c r="U106" s="17">
        <v>1.4583333333333334E-2</v>
      </c>
      <c r="V106" s="17"/>
      <c r="W106" s="17">
        <v>9.6562499999999996E-2</v>
      </c>
    </row>
    <row r="107" spans="1:23" ht="15" customHeight="1" x14ac:dyDescent="0.25">
      <c r="A107" s="19">
        <v>46237</v>
      </c>
      <c r="B107" s="11" t="s">
        <v>150</v>
      </c>
      <c r="C107" s="12" t="s">
        <v>514</v>
      </c>
      <c r="D107" s="11" t="s">
        <v>146</v>
      </c>
      <c r="E107" s="12" t="s">
        <v>147</v>
      </c>
      <c r="F107" s="12" t="s">
        <v>106</v>
      </c>
      <c r="G107" s="12">
        <v>19</v>
      </c>
      <c r="H107" s="13">
        <v>0.26089120370370372</v>
      </c>
      <c r="I107" s="13">
        <v>4.7881944444444442E-2</v>
      </c>
      <c r="J107" s="13">
        <v>2.5201023391812865E-3</v>
      </c>
      <c r="K107" s="13">
        <v>3.7708333333333337E-2</v>
      </c>
      <c r="L107" s="14">
        <v>0.1445366221551839</v>
      </c>
      <c r="M107" s="12" t="s">
        <v>334</v>
      </c>
      <c r="N107" s="13"/>
      <c r="O107" s="13">
        <v>1.5208333333333334E-2</v>
      </c>
      <c r="P107" s="13">
        <v>4.6412037037037038E-3</v>
      </c>
      <c r="Q107" s="13"/>
      <c r="R107" s="13"/>
      <c r="S107" s="13">
        <v>1.3958333333333333E-2</v>
      </c>
      <c r="T107" s="13">
        <v>1.9675925925925926E-4</v>
      </c>
      <c r="U107" s="13"/>
      <c r="V107" s="13"/>
      <c r="W107" s="13">
        <v>3.6458333333333334E-3</v>
      </c>
    </row>
    <row r="108" spans="1:23" ht="15" customHeight="1" x14ac:dyDescent="0.25">
      <c r="A108" s="20">
        <v>46237</v>
      </c>
      <c r="B108" s="15" t="s">
        <v>38</v>
      </c>
      <c r="C108" s="16" t="s">
        <v>536</v>
      </c>
      <c r="D108" s="15" t="s">
        <v>100</v>
      </c>
      <c r="E108" s="16" t="s">
        <v>32</v>
      </c>
      <c r="F108" s="16" t="s">
        <v>33</v>
      </c>
      <c r="G108" s="16">
        <v>8</v>
      </c>
      <c r="H108" s="17">
        <v>0.25975694444444447</v>
      </c>
      <c r="I108" s="17">
        <v>7.6365740740740734E-2</v>
      </c>
      <c r="J108" s="17">
        <v>9.5457175925925918E-3</v>
      </c>
      <c r="K108" s="17">
        <v>0.19453703703703704</v>
      </c>
      <c r="L108" s="18">
        <v>0.74891948491734617</v>
      </c>
      <c r="M108" s="16" t="s">
        <v>334</v>
      </c>
      <c r="N108" s="17">
        <v>1.5752314814814816E-2</v>
      </c>
      <c r="O108" s="17">
        <v>6.851851851851852E-3</v>
      </c>
      <c r="P108" s="17"/>
      <c r="Q108" s="17"/>
      <c r="R108" s="17">
        <v>1.1759259259259259E-2</v>
      </c>
      <c r="S108" s="17">
        <v>1.4155092592592592E-2</v>
      </c>
      <c r="T108" s="17">
        <v>2.0023148148148148E-3</v>
      </c>
      <c r="U108" s="17"/>
      <c r="V108" s="17"/>
      <c r="W108" s="17">
        <v>0.14401620370370372</v>
      </c>
    </row>
    <row r="109" spans="1:23" ht="15" customHeight="1" x14ac:dyDescent="0.25">
      <c r="A109" s="19">
        <v>46237</v>
      </c>
      <c r="B109" s="11" t="s">
        <v>681</v>
      </c>
      <c r="C109" s="12" t="s">
        <v>682</v>
      </c>
      <c r="D109" s="11" t="s">
        <v>601</v>
      </c>
      <c r="E109" s="12" t="s">
        <v>105</v>
      </c>
      <c r="F109" s="12" t="s">
        <v>33</v>
      </c>
      <c r="G109" s="12">
        <v>8</v>
      </c>
      <c r="H109" s="13">
        <v>0.22493055555555555</v>
      </c>
      <c r="I109" s="13">
        <v>0.18358796296296295</v>
      </c>
      <c r="J109" s="13">
        <v>2.2948495370370369E-2</v>
      </c>
      <c r="K109" s="13">
        <v>0.11410879629629629</v>
      </c>
      <c r="L109" s="14">
        <v>0.50730678192857881</v>
      </c>
      <c r="M109" s="12" t="s">
        <v>334</v>
      </c>
      <c r="N109" s="13">
        <v>2.3726851851851851E-3</v>
      </c>
      <c r="O109" s="13">
        <v>1.7094907407407406E-2</v>
      </c>
      <c r="P109" s="13"/>
      <c r="Q109" s="13"/>
      <c r="R109" s="13"/>
      <c r="S109" s="13">
        <v>1.7071759259259259E-2</v>
      </c>
      <c r="T109" s="13">
        <v>3.7037037037037035E-4</v>
      </c>
      <c r="U109" s="13"/>
      <c r="V109" s="13"/>
      <c r="W109" s="13">
        <v>7.7199074074074073E-2</v>
      </c>
    </row>
    <row r="110" spans="1:23" ht="15" customHeight="1" x14ac:dyDescent="0.25">
      <c r="A110" s="20">
        <v>46237</v>
      </c>
      <c r="B110" s="15" t="s">
        <v>154</v>
      </c>
      <c r="C110" s="16" t="s">
        <v>515</v>
      </c>
      <c r="D110" s="15" t="s">
        <v>146</v>
      </c>
      <c r="E110" s="16" t="s">
        <v>147</v>
      </c>
      <c r="F110" s="16" t="s">
        <v>106</v>
      </c>
      <c r="G110" s="16">
        <v>19</v>
      </c>
      <c r="H110" s="17">
        <v>0.26223379629629628</v>
      </c>
      <c r="I110" s="17">
        <v>2.7870370370370372E-2</v>
      </c>
      <c r="J110" s="17">
        <v>1.4668615984405459E-3</v>
      </c>
      <c r="K110" s="17">
        <v>4.494212962962963E-2</v>
      </c>
      <c r="L110" s="18">
        <v>0.1713819128746083</v>
      </c>
      <c r="M110" s="16" t="s">
        <v>334</v>
      </c>
      <c r="N110" s="17">
        <v>6.8402777777777776E-3</v>
      </c>
      <c r="O110" s="17">
        <v>1.1585648148148149E-2</v>
      </c>
      <c r="P110" s="17"/>
      <c r="Q110" s="17">
        <v>7.8009259259259256E-3</v>
      </c>
      <c r="R110" s="17"/>
      <c r="S110" s="17">
        <v>1.4861111111111111E-2</v>
      </c>
      <c r="T110" s="17">
        <v>3.1250000000000001E-4</v>
      </c>
      <c r="U110" s="17">
        <v>1.0995370370370371E-3</v>
      </c>
      <c r="V110" s="17"/>
      <c r="W110" s="17">
        <v>2.3032407407407407E-3</v>
      </c>
    </row>
    <row r="111" spans="1:23" ht="15" customHeight="1" x14ac:dyDescent="0.25">
      <c r="A111" s="19">
        <v>46237</v>
      </c>
      <c r="B111" s="11" t="s">
        <v>112</v>
      </c>
      <c r="C111" s="12" t="s">
        <v>570</v>
      </c>
      <c r="D111" s="11" t="s">
        <v>104</v>
      </c>
      <c r="E111" s="12" t="s">
        <v>105</v>
      </c>
      <c r="F111" s="12" t="s">
        <v>106</v>
      </c>
      <c r="G111" s="12">
        <v>14</v>
      </c>
      <c r="H111" s="13">
        <v>0.24171296296296296</v>
      </c>
      <c r="I111" s="13">
        <v>0.1822337962962963</v>
      </c>
      <c r="J111" s="13">
        <v>1.3016699735449735E-2</v>
      </c>
      <c r="K111" s="13">
        <v>0.10887731481481482</v>
      </c>
      <c r="L111" s="14">
        <v>0.45044052863436124</v>
      </c>
      <c r="M111" s="12" t="s">
        <v>334</v>
      </c>
      <c r="N111" s="13">
        <v>3.9594907407407405E-2</v>
      </c>
      <c r="O111" s="13">
        <v>1.6319444444444445E-2</v>
      </c>
      <c r="P111" s="13"/>
      <c r="Q111" s="13"/>
      <c r="R111" s="13"/>
      <c r="S111" s="13">
        <v>2.0208333333333332E-2</v>
      </c>
      <c r="T111" s="13">
        <v>4.8958333333333336E-3</v>
      </c>
      <c r="U111" s="13">
        <v>6.875E-3</v>
      </c>
      <c r="V111" s="13"/>
      <c r="W111" s="13">
        <v>2.0983796296296296E-2</v>
      </c>
    </row>
    <row r="112" spans="1:23" ht="15" customHeight="1" x14ac:dyDescent="0.25">
      <c r="A112" s="20">
        <v>46237</v>
      </c>
      <c r="B112" s="15" t="s">
        <v>42</v>
      </c>
      <c r="C112" s="16" t="s">
        <v>537</v>
      </c>
      <c r="D112" s="15" t="s">
        <v>104</v>
      </c>
      <c r="E112" s="16" t="s">
        <v>105</v>
      </c>
      <c r="F112" s="16" t="s">
        <v>106</v>
      </c>
      <c r="G112" s="16">
        <v>22</v>
      </c>
      <c r="H112" s="17">
        <v>0.25760416666666669</v>
      </c>
      <c r="I112" s="17">
        <v>0.36481481481481481</v>
      </c>
      <c r="J112" s="17">
        <v>1.6582491582491584E-2</v>
      </c>
      <c r="K112" s="17">
        <v>6.8819444444444447E-2</v>
      </c>
      <c r="L112" s="18">
        <v>0.26715190726513005</v>
      </c>
      <c r="M112" s="16" t="s">
        <v>334</v>
      </c>
      <c r="N112" s="17">
        <v>1.6192129629629629E-2</v>
      </c>
      <c r="O112" s="17">
        <v>1.3333333333333334E-2</v>
      </c>
      <c r="P112" s="17"/>
      <c r="Q112" s="17"/>
      <c r="R112" s="17"/>
      <c r="S112" s="17">
        <v>1.4363425925925925E-2</v>
      </c>
      <c r="T112" s="17">
        <v>3.4722222222222224E-4</v>
      </c>
      <c r="U112" s="17">
        <v>1.0995370370370371E-3</v>
      </c>
      <c r="V112" s="17"/>
      <c r="W112" s="17">
        <v>2.3460648148148147E-2</v>
      </c>
    </row>
    <row r="113" spans="1:23" ht="15" customHeight="1" x14ac:dyDescent="0.25">
      <c r="A113" s="19">
        <v>46237</v>
      </c>
      <c r="B113" s="11" t="s">
        <v>156</v>
      </c>
      <c r="C113" s="12" t="s">
        <v>516</v>
      </c>
      <c r="D113" s="11" t="s">
        <v>146</v>
      </c>
      <c r="E113" s="12" t="s">
        <v>147</v>
      </c>
      <c r="F113" s="12" t="s">
        <v>106</v>
      </c>
      <c r="G113" s="12">
        <v>8</v>
      </c>
      <c r="H113" s="13">
        <v>8.9687500000000003E-2</v>
      </c>
      <c r="I113" s="13">
        <v>3.2071759259259258E-2</v>
      </c>
      <c r="J113" s="13">
        <v>4.0089699074074073E-3</v>
      </c>
      <c r="K113" s="13">
        <v>2.4652777777777777E-2</v>
      </c>
      <c r="L113" s="14">
        <v>0.27487417731320168</v>
      </c>
      <c r="M113" s="12" t="s">
        <v>334</v>
      </c>
      <c r="N113" s="13"/>
      <c r="O113" s="13"/>
      <c r="P113" s="13"/>
      <c r="Q113" s="13">
        <v>1.2673611111111111E-2</v>
      </c>
      <c r="R113" s="13"/>
      <c r="S113" s="13">
        <v>1.1921296296296296E-2</v>
      </c>
      <c r="T113" s="13">
        <v>5.7870370370370373E-5</v>
      </c>
      <c r="U113" s="13"/>
      <c r="V113" s="13"/>
      <c r="W113" s="13"/>
    </row>
    <row r="114" spans="1:23" ht="15" customHeight="1" x14ac:dyDescent="0.25">
      <c r="A114" s="20">
        <v>46237</v>
      </c>
      <c r="B114" s="15" t="s">
        <v>114</v>
      </c>
      <c r="C114" s="16" t="s">
        <v>541</v>
      </c>
      <c r="D114" s="15" t="s">
        <v>104</v>
      </c>
      <c r="E114" s="16" t="s">
        <v>105</v>
      </c>
      <c r="F114" s="16" t="s">
        <v>106</v>
      </c>
      <c r="G114" s="16">
        <v>16</v>
      </c>
      <c r="H114" s="17">
        <v>0.25930555555555557</v>
      </c>
      <c r="I114" s="17">
        <v>0.2083912037037037</v>
      </c>
      <c r="J114" s="17">
        <v>1.3024450231481481E-2</v>
      </c>
      <c r="K114" s="17">
        <v>0.14194444444444446</v>
      </c>
      <c r="L114" s="18">
        <v>0.54740224959828598</v>
      </c>
      <c r="M114" s="16" t="s">
        <v>334</v>
      </c>
      <c r="N114" s="17">
        <v>1.6597222222222222E-2</v>
      </c>
      <c r="O114" s="17">
        <v>2.0821759259259259E-2</v>
      </c>
      <c r="P114" s="17"/>
      <c r="Q114" s="17"/>
      <c r="R114" s="17"/>
      <c r="S114" s="17">
        <v>1.5833333333333335E-2</v>
      </c>
      <c r="T114" s="17">
        <v>8.5949074074074081E-2</v>
      </c>
      <c r="U114" s="17">
        <v>4.861111111111111E-4</v>
      </c>
      <c r="V114" s="17"/>
      <c r="W114" s="17">
        <v>2.2569444444444442E-3</v>
      </c>
    </row>
    <row r="115" spans="1:23" ht="15" customHeight="1" x14ac:dyDescent="0.25">
      <c r="A115" s="19">
        <v>46237</v>
      </c>
      <c r="B115" s="11" t="s">
        <v>44</v>
      </c>
      <c r="C115" s="12" t="s">
        <v>506</v>
      </c>
      <c r="D115" s="11" t="s">
        <v>100</v>
      </c>
      <c r="E115" s="12" t="s">
        <v>32</v>
      </c>
      <c r="F115" s="12" t="s">
        <v>33</v>
      </c>
      <c r="G115" s="12">
        <v>41</v>
      </c>
      <c r="H115" s="13">
        <v>0.26271990740740742</v>
      </c>
      <c r="I115" s="13">
        <v>0.25049768518518517</v>
      </c>
      <c r="J115" s="13">
        <v>6.1096996386630536E-3</v>
      </c>
      <c r="K115" s="13">
        <v>3.2789351851851854E-2</v>
      </c>
      <c r="L115" s="14">
        <v>0.12480726023172826</v>
      </c>
      <c r="M115" s="12" t="s">
        <v>334</v>
      </c>
      <c r="N115" s="13"/>
      <c r="O115" s="13">
        <v>1.7604166666666667E-2</v>
      </c>
      <c r="P115" s="13"/>
      <c r="Q115" s="13"/>
      <c r="R115" s="13"/>
      <c r="S115" s="13">
        <v>1.3912037037037037E-2</v>
      </c>
      <c r="T115" s="13">
        <v>5.9027777777777778E-4</v>
      </c>
      <c r="U115" s="13">
        <v>6.3657407407407413E-4</v>
      </c>
      <c r="V115" s="13"/>
      <c r="W115" s="13"/>
    </row>
    <row r="116" spans="1:23" ht="15" customHeight="1" x14ac:dyDescent="0.25">
      <c r="A116" s="20">
        <v>46237</v>
      </c>
      <c r="B116" s="15" t="s">
        <v>609</v>
      </c>
      <c r="C116" s="16" t="s">
        <v>632</v>
      </c>
      <c r="D116" s="15" t="s">
        <v>601</v>
      </c>
      <c r="E116" s="16" t="s">
        <v>105</v>
      </c>
      <c r="F116" s="16" t="s">
        <v>33</v>
      </c>
      <c r="G116" s="16">
        <v>12</v>
      </c>
      <c r="H116" s="17">
        <v>0.26089120370370372</v>
      </c>
      <c r="I116" s="17">
        <v>0.18172453703703703</v>
      </c>
      <c r="J116" s="17">
        <v>1.5143711419753087E-2</v>
      </c>
      <c r="K116" s="17">
        <v>0.1970486111111111</v>
      </c>
      <c r="L116" s="18">
        <v>0.75529035978882919</v>
      </c>
      <c r="M116" s="16" t="s">
        <v>334</v>
      </c>
      <c r="N116" s="17">
        <v>1.5474537037037037E-2</v>
      </c>
      <c r="O116" s="17">
        <v>1.9571759259259261E-2</v>
      </c>
      <c r="P116" s="17"/>
      <c r="Q116" s="17"/>
      <c r="R116" s="17"/>
      <c r="S116" s="17">
        <v>1.758101851851852E-2</v>
      </c>
      <c r="T116" s="17">
        <v>2.3148148148148149E-4</v>
      </c>
      <c r="U116" s="17">
        <v>2.6458333333333334E-2</v>
      </c>
      <c r="V116" s="17"/>
      <c r="W116" s="17">
        <v>0.11773148148148148</v>
      </c>
    </row>
    <row r="117" spans="1:23" ht="15" customHeight="1" x14ac:dyDescent="0.25">
      <c r="A117" s="19">
        <v>46237</v>
      </c>
      <c r="B117" s="11" t="s">
        <v>240</v>
      </c>
      <c r="C117" s="12" t="s">
        <v>527</v>
      </c>
      <c r="D117" s="11" t="s">
        <v>233</v>
      </c>
      <c r="E117" s="12" t="s">
        <v>32</v>
      </c>
      <c r="F117" s="12" t="s">
        <v>106</v>
      </c>
      <c r="G117" s="12">
        <v>0</v>
      </c>
      <c r="H117" s="13">
        <v>0.21807870370370369</v>
      </c>
      <c r="I117" s="13">
        <v>0</v>
      </c>
      <c r="J117" s="13">
        <v>0</v>
      </c>
      <c r="K117" s="13">
        <v>0.21807870370370369</v>
      </c>
      <c r="L117" s="14">
        <v>1</v>
      </c>
      <c r="M117" s="12" t="s">
        <v>334</v>
      </c>
      <c r="N117" s="13">
        <v>1.5891203703703703E-2</v>
      </c>
      <c r="O117" s="13">
        <v>1.3055555555555556E-2</v>
      </c>
      <c r="P117" s="13"/>
      <c r="Q117" s="13"/>
      <c r="R117" s="13"/>
      <c r="S117" s="13">
        <v>1.4583333333333334E-2</v>
      </c>
      <c r="T117" s="13">
        <v>5.9027777777777778E-4</v>
      </c>
      <c r="U117" s="13"/>
      <c r="V117" s="13"/>
      <c r="W117" s="13">
        <v>0.17395833333333333</v>
      </c>
    </row>
    <row r="118" spans="1:23" ht="15" customHeight="1" x14ac:dyDescent="0.25">
      <c r="A118" s="20">
        <v>46237</v>
      </c>
      <c r="B118" s="15" t="s">
        <v>497</v>
      </c>
      <c r="C118" s="16" t="s">
        <v>498</v>
      </c>
      <c r="D118" s="15" t="s">
        <v>78</v>
      </c>
      <c r="E118" s="16" t="s">
        <v>80</v>
      </c>
      <c r="F118" s="16" t="s">
        <v>81</v>
      </c>
      <c r="G118" s="16">
        <v>0</v>
      </c>
      <c r="H118" s="17">
        <v>0.3379861111111111</v>
      </c>
      <c r="I118" s="17">
        <v>0</v>
      </c>
      <c r="J118" s="17">
        <v>0</v>
      </c>
      <c r="K118" s="17">
        <v>7.1435185185185185E-2</v>
      </c>
      <c r="L118" s="18">
        <v>0.21135538661735498</v>
      </c>
      <c r="M118" s="16" t="s">
        <v>334</v>
      </c>
      <c r="N118" s="17">
        <v>2.2453703703703702E-3</v>
      </c>
      <c r="O118" s="17">
        <v>1.1990740740740741E-2</v>
      </c>
      <c r="P118" s="17"/>
      <c r="Q118" s="17">
        <v>4.6064814814814814E-3</v>
      </c>
      <c r="R118" s="17"/>
      <c r="S118" s="17">
        <v>4.1134259259259259E-2</v>
      </c>
      <c r="T118" s="17">
        <v>1.1307870370370371E-2</v>
      </c>
      <c r="U118" s="17"/>
      <c r="V118" s="17"/>
      <c r="W118" s="17"/>
    </row>
    <row r="119" spans="1:23" ht="15" customHeight="1" x14ac:dyDescent="0.25">
      <c r="A119" s="19">
        <v>46237</v>
      </c>
      <c r="B119" s="11" t="s">
        <v>309</v>
      </c>
      <c r="C119" s="12" t="s">
        <v>310</v>
      </c>
      <c r="D119" s="11" t="s">
        <v>78</v>
      </c>
      <c r="E119" s="12" t="s">
        <v>80</v>
      </c>
      <c r="F119" s="12" t="s">
        <v>81</v>
      </c>
      <c r="G119" s="12">
        <v>0</v>
      </c>
      <c r="H119" s="13">
        <v>0.34157407407407409</v>
      </c>
      <c r="I119" s="13">
        <v>0</v>
      </c>
      <c r="J119" s="13">
        <v>0</v>
      </c>
      <c r="K119" s="13">
        <v>6.1840277777777779E-2</v>
      </c>
      <c r="L119" s="14">
        <v>0.18104499864461915</v>
      </c>
      <c r="M119" s="12" t="s">
        <v>334</v>
      </c>
      <c r="N119" s="13">
        <v>8.773148148148148E-3</v>
      </c>
      <c r="O119" s="13">
        <v>4.1678240740740738E-2</v>
      </c>
      <c r="P119" s="13"/>
      <c r="Q119" s="13"/>
      <c r="R119" s="13"/>
      <c r="S119" s="13">
        <v>7.3032407407407404E-3</v>
      </c>
      <c r="T119" s="13">
        <v>2.0833333333333335E-4</v>
      </c>
      <c r="U119" s="13">
        <v>4.6296296296296298E-4</v>
      </c>
      <c r="V119" s="13"/>
      <c r="W119" s="13">
        <v>3.3796296296296296E-3</v>
      </c>
    </row>
    <row r="120" spans="1:23" ht="15" customHeight="1" x14ac:dyDescent="0.25">
      <c r="A120" s="20">
        <v>46237</v>
      </c>
      <c r="B120" s="15" t="s">
        <v>160</v>
      </c>
      <c r="C120" s="16" t="s">
        <v>544</v>
      </c>
      <c r="D120" s="15" t="s">
        <v>146</v>
      </c>
      <c r="E120" s="16" t="s">
        <v>147</v>
      </c>
      <c r="F120" s="16" t="s">
        <v>106</v>
      </c>
      <c r="G120" s="16">
        <v>13</v>
      </c>
      <c r="H120" s="17">
        <v>0.25918981481481479</v>
      </c>
      <c r="I120" s="17">
        <v>4.1562500000000002E-2</v>
      </c>
      <c r="J120" s="17">
        <v>3.1971153846153846E-3</v>
      </c>
      <c r="K120" s="17">
        <v>8.3217592592592593E-2</v>
      </c>
      <c r="L120" s="18">
        <v>0.32106814325265698</v>
      </c>
      <c r="M120" s="16" t="s">
        <v>334</v>
      </c>
      <c r="N120" s="17">
        <v>1.6006944444444445E-2</v>
      </c>
      <c r="O120" s="17">
        <v>2.2048611111111113E-2</v>
      </c>
      <c r="P120" s="17"/>
      <c r="Q120" s="17">
        <v>3.965277777777778E-2</v>
      </c>
      <c r="R120" s="17"/>
      <c r="S120" s="17"/>
      <c r="T120" s="17">
        <v>1.3888888888888889E-4</v>
      </c>
      <c r="U120" s="17">
        <v>5.0694444444444441E-3</v>
      </c>
      <c r="V120" s="17"/>
      <c r="W120" s="17"/>
    </row>
    <row r="121" spans="1:23" ht="15" customHeight="1" x14ac:dyDescent="0.25">
      <c r="A121" s="19">
        <v>46237</v>
      </c>
      <c r="B121" s="11" t="s">
        <v>645</v>
      </c>
      <c r="C121" s="12" t="s">
        <v>646</v>
      </c>
      <c r="D121" s="11" t="s">
        <v>100</v>
      </c>
      <c r="E121" s="12" t="s">
        <v>32</v>
      </c>
      <c r="F121" s="12" t="s">
        <v>33</v>
      </c>
      <c r="G121" s="12">
        <v>47</v>
      </c>
      <c r="H121" s="13">
        <v>0.26622685185185185</v>
      </c>
      <c r="I121" s="13">
        <v>0.26636574074074076</v>
      </c>
      <c r="J121" s="13">
        <v>5.6673561859732074E-3</v>
      </c>
      <c r="K121" s="13">
        <v>4.2893518518518518E-2</v>
      </c>
      <c r="L121" s="14">
        <v>0.16111642465872533</v>
      </c>
      <c r="M121" s="12" t="s">
        <v>334</v>
      </c>
      <c r="N121" s="13">
        <v>6.030092592592593E-3</v>
      </c>
      <c r="O121" s="13">
        <v>1.4398148148148148E-2</v>
      </c>
      <c r="P121" s="13"/>
      <c r="Q121" s="13">
        <v>3.5532407407407409E-3</v>
      </c>
      <c r="R121" s="13"/>
      <c r="S121" s="13">
        <v>1.3263888888888889E-2</v>
      </c>
      <c r="T121" s="13">
        <v>2.8009259259259259E-3</v>
      </c>
      <c r="U121" s="13">
        <v>1.9907407407407408E-3</v>
      </c>
      <c r="V121" s="13"/>
      <c r="W121" s="13">
        <v>3.4722222222222222E-5</v>
      </c>
    </row>
    <row r="122" spans="1:23" ht="15" customHeight="1" x14ac:dyDescent="0.25">
      <c r="A122" s="20">
        <v>46237</v>
      </c>
      <c r="B122" s="15" t="s">
        <v>120</v>
      </c>
      <c r="C122" s="16" t="s">
        <v>558</v>
      </c>
      <c r="D122" s="15" t="s">
        <v>233</v>
      </c>
      <c r="E122" s="16" t="s">
        <v>32</v>
      </c>
      <c r="F122" s="16" t="s">
        <v>106</v>
      </c>
      <c r="G122" s="16">
        <v>57</v>
      </c>
      <c r="H122" s="17">
        <v>0.25548611111111114</v>
      </c>
      <c r="I122" s="17">
        <v>0.16090277777777778</v>
      </c>
      <c r="J122" s="17">
        <v>2.8228557504873294E-3</v>
      </c>
      <c r="K122" s="17">
        <v>4.3877314814814813E-2</v>
      </c>
      <c r="L122" s="18">
        <v>0.1717405091963396</v>
      </c>
      <c r="M122" s="16" t="s">
        <v>334</v>
      </c>
      <c r="N122" s="17">
        <v>4.1087962962962962E-3</v>
      </c>
      <c r="O122" s="17">
        <v>1.2592592592592593E-2</v>
      </c>
      <c r="P122" s="17"/>
      <c r="Q122" s="17"/>
      <c r="R122" s="17"/>
      <c r="S122" s="17">
        <v>1.2152777777777778E-2</v>
      </c>
      <c r="T122" s="17">
        <v>8.9583333333333338E-3</v>
      </c>
      <c r="U122" s="17">
        <v>5.2546296296296299E-3</v>
      </c>
      <c r="V122" s="17"/>
      <c r="W122" s="17">
        <v>7.9861111111111116E-4</v>
      </c>
    </row>
    <row r="123" spans="1:23" ht="15" customHeight="1" x14ac:dyDescent="0.25">
      <c r="A123" s="19">
        <v>46237</v>
      </c>
      <c r="B123" s="11" t="s">
        <v>46</v>
      </c>
      <c r="C123" s="12" t="s">
        <v>507</v>
      </c>
      <c r="D123" s="11" t="s">
        <v>100</v>
      </c>
      <c r="E123" s="12" t="s">
        <v>32</v>
      </c>
      <c r="F123" s="12" t="s">
        <v>33</v>
      </c>
      <c r="G123" s="12">
        <v>36</v>
      </c>
      <c r="H123" s="13">
        <v>0.2628125</v>
      </c>
      <c r="I123" s="13">
        <v>0.23997685185185186</v>
      </c>
      <c r="J123" s="13">
        <v>6.6660236625514409E-3</v>
      </c>
      <c r="K123" s="13">
        <v>3.366898148148148E-2</v>
      </c>
      <c r="L123" s="14">
        <v>0.12811027436473335</v>
      </c>
      <c r="M123" s="12" t="s">
        <v>334</v>
      </c>
      <c r="N123" s="13">
        <v>3.5069444444444445E-3</v>
      </c>
      <c r="O123" s="13">
        <v>1.3888888888888888E-2</v>
      </c>
      <c r="P123" s="13"/>
      <c r="Q123" s="13"/>
      <c r="R123" s="13"/>
      <c r="S123" s="13">
        <v>1.412037037037037E-2</v>
      </c>
      <c r="T123" s="13">
        <v>5.7870370370370373E-5</v>
      </c>
      <c r="U123" s="13">
        <v>2.0023148148148148E-3</v>
      </c>
      <c r="V123" s="13"/>
      <c r="W123" s="13"/>
    </row>
    <row r="124" spans="1:23" ht="15" customHeight="1" x14ac:dyDescent="0.25">
      <c r="A124" s="20">
        <v>46237</v>
      </c>
      <c r="B124" s="15" t="s">
        <v>287</v>
      </c>
      <c r="C124" s="16" t="s">
        <v>542</v>
      </c>
      <c r="D124" s="15" t="s">
        <v>104</v>
      </c>
      <c r="E124" s="16" t="s">
        <v>105</v>
      </c>
      <c r="F124" s="16" t="s">
        <v>106</v>
      </c>
      <c r="G124" s="16">
        <v>7</v>
      </c>
      <c r="H124" s="17">
        <v>0.22952546296296297</v>
      </c>
      <c r="I124" s="17">
        <v>0.14489583333333333</v>
      </c>
      <c r="J124" s="17">
        <v>2.0699404761904759E-2</v>
      </c>
      <c r="K124" s="17">
        <v>0.11232638888888889</v>
      </c>
      <c r="L124" s="18">
        <v>0.48938530583429984</v>
      </c>
      <c r="M124" s="16" t="s">
        <v>334</v>
      </c>
      <c r="N124" s="17">
        <v>2.2858796296296297E-2</v>
      </c>
      <c r="O124" s="17">
        <v>1.9537037037037037E-2</v>
      </c>
      <c r="P124" s="17">
        <v>1.5081018518518518E-2</v>
      </c>
      <c r="Q124" s="17"/>
      <c r="R124" s="17"/>
      <c r="S124" s="17">
        <v>1.6180555555555556E-2</v>
      </c>
      <c r="T124" s="17">
        <v>1.5046296296296297E-4</v>
      </c>
      <c r="U124" s="17"/>
      <c r="V124" s="17"/>
      <c r="W124" s="17">
        <v>3.8518518518518521E-2</v>
      </c>
    </row>
    <row r="125" spans="1:23" ht="15" customHeight="1" x14ac:dyDescent="0.25">
      <c r="A125" s="19">
        <v>46237</v>
      </c>
      <c r="B125" s="11" t="s">
        <v>499</v>
      </c>
      <c r="C125" s="12" t="s">
        <v>517</v>
      </c>
      <c r="D125" s="11" t="s">
        <v>146</v>
      </c>
      <c r="E125" s="12" t="s">
        <v>147</v>
      </c>
      <c r="F125" s="12" t="s">
        <v>106</v>
      </c>
      <c r="G125" s="12">
        <v>10</v>
      </c>
      <c r="H125" s="13">
        <v>0.25048611111111113</v>
      </c>
      <c r="I125" s="13">
        <v>3.471064814814815E-2</v>
      </c>
      <c r="J125" s="13">
        <v>3.4710648148148144E-3</v>
      </c>
      <c r="K125" s="13">
        <v>7.0231481481481478E-2</v>
      </c>
      <c r="L125" s="14">
        <v>0.28038074115146472</v>
      </c>
      <c r="M125" s="12" t="s">
        <v>334</v>
      </c>
      <c r="N125" s="13">
        <v>6.9212962962962961E-3</v>
      </c>
      <c r="O125" s="13">
        <v>1.6597222222222222E-2</v>
      </c>
      <c r="P125" s="13"/>
      <c r="Q125" s="13">
        <v>1.6921296296296295E-2</v>
      </c>
      <c r="R125" s="13"/>
      <c r="S125" s="13">
        <v>1.4328703703703703E-2</v>
      </c>
      <c r="T125" s="13">
        <v>4.2824074074074075E-4</v>
      </c>
      <c r="U125" s="13">
        <v>1.8981481481481482E-3</v>
      </c>
      <c r="V125" s="13"/>
      <c r="W125" s="13">
        <v>1.3113425925925926E-2</v>
      </c>
    </row>
    <row r="126" spans="1:23" ht="15" customHeight="1" x14ac:dyDescent="0.25">
      <c r="A126" s="20">
        <v>46237</v>
      </c>
      <c r="B126" s="15" t="s">
        <v>647</v>
      </c>
      <c r="C126" s="16" t="s">
        <v>648</v>
      </c>
      <c r="D126" s="15" t="s">
        <v>233</v>
      </c>
      <c r="E126" s="16" t="s">
        <v>32</v>
      </c>
      <c r="F126" s="16" t="s">
        <v>106</v>
      </c>
      <c r="G126" s="16">
        <v>35</v>
      </c>
      <c r="H126" s="17">
        <v>0.26407407407407407</v>
      </c>
      <c r="I126" s="17">
        <v>0.14929398148148149</v>
      </c>
      <c r="J126" s="17">
        <v>4.2655423280423283E-3</v>
      </c>
      <c r="K126" s="17">
        <v>4.7210648148148147E-2</v>
      </c>
      <c r="L126" s="18">
        <v>0.17877805049088358</v>
      </c>
      <c r="M126" s="16" t="s">
        <v>334</v>
      </c>
      <c r="N126" s="17">
        <v>1.0787037037037038E-2</v>
      </c>
      <c r="O126" s="17">
        <v>1.4305555555555556E-2</v>
      </c>
      <c r="P126" s="17"/>
      <c r="Q126" s="17">
        <v>7.2222222222222219E-3</v>
      </c>
      <c r="R126" s="17"/>
      <c r="S126" s="17">
        <v>1.4641203703703703E-2</v>
      </c>
      <c r="T126" s="17">
        <v>6.9444444444444444E-5</v>
      </c>
      <c r="U126" s="17">
        <v>1.8518518518518518E-4</v>
      </c>
      <c r="V126" s="17"/>
      <c r="W126" s="17"/>
    </row>
    <row r="127" spans="1:23" ht="15" customHeight="1" x14ac:dyDescent="0.25">
      <c r="A127" s="19">
        <v>46237</v>
      </c>
      <c r="B127" s="11" t="s">
        <v>649</v>
      </c>
      <c r="C127" s="12" t="s">
        <v>650</v>
      </c>
      <c r="D127" s="11" t="s">
        <v>104</v>
      </c>
      <c r="E127" s="12" t="s">
        <v>105</v>
      </c>
      <c r="F127" s="12" t="s">
        <v>106</v>
      </c>
      <c r="G127" s="12">
        <v>10</v>
      </c>
      <c r="H127" s="13">
        <v>0.25010416666666668</v>
      </c>
      <c r="I127" s="13">
        <v>0.20957175925925925</v>
      </c>
      <c r="J127" s="13">
        <v>2.0957175925925928E-2</v>
      </c>
      <c r="K127" s="13">
        <v>9.9641203703703704E-2</v>
      </c>
      <c r="L127" s="14">
        <v>0.39839881530843629</v>
      </c>
      <c r="M127" s="12" t="s">
        <v>334</v>
      </c>
      <c r="N127" s="13">
        <v>5.8680555555555552E-3</v>
      </c>
      <c r="O127" s="13">
        <v>1.3680555555555555E-2</v>
      </c>
      <c r="P127" s="13"/>
      <c r="Q127" s="13"/>
      <c r="R127" s="13"/>
      <c r="S127" s="13">
        <v>1.4664351851851852E-2</v>
      </c>
      <c r="T127" s="13">
        <v>1.3888888888888889E-4</v>
      </c>
      <c r="U127" s="13">
        <v>1.5011574074074075E-2</v>
      </c>
      <c r="V127" s="13"/>
      <c r="W127" s="13">
        <v>5.0277777777777775E-2</v>
      </c>
    </row>
    <row r="128" spans="1:23" ht="15" customHeight="1" x14ac:dyDescent="0.25">
      <c r="A128" s="20">
        <v>46237</v>
      </c>
      <c r="B128" s="15" t="s">
        <v>48</v>
      </c>
      <c r="C128" s="16" t="s">
        <v>508</v>
      </c>
      <c r="D128" s="15" t="s">
        <v>100</v>
      </c>
      <c r="E128" s="16" t="s">
        <v>32</v>
      </c>
      <c r="F128" s="16" t="s">
        <v>33</v>
      </c>
      <c r="G128" s="16">
        <v>42</v>
      </c>
      <c r="H128" s="17">
        <v>0.30230324074074072</v>
      </c>
      <c r="I128" s="17">
        <v>0.23150462962962962</v>
      </c>
      <c r="J128" s="17">
        <v>5.5120149911816576E-3</v>
      </c>
      <c r="K128" s="17">
        <v>7.5023148148148144E-2</v>
      </c>
      <c r="L128" s="18">
        <v>0.24817182893678932</v>
      </c>
      <c r="M128" s="16" t="s">
        <v>334</v>
      </c>
      <c r="N128" s="17">
        <v>4.9074074074074072E-3</v>
      </c>
      <c r="O128" s="17">
        <v>1.4363425925925925E-2</v>
      </c>
      <c r="P128" s="17"/>
      <c r="Q128" s="17">
        <v>2.4988425925925924E-2</v>
      </c>
      <c r="R128" s="17"/>
      <c r="S128" s="17">
        <v>1.4004629629629629E-2</v>
      </c>
      <c r="T128" s="17">
        <v>5.6712962962962967E-4</v>
      </c>
      <c r="U128" s="17">
        <v>1.273148148148148E-4</v>
      </c>
      <c r="V128" s="17"/>
      <c r="W128" s="17">
        <v>1.6041666666666666E-2</v>
      </c>
    </row>
    <row r="129" spans="1:23" ht="15" customHeight="1" x14ac:dyDescent="0.25">
      <c r="A129" s="19">
        <v>46237</v>
      </c>
      <c r="B129" s="11" t="s">
        <v>50</v>
      </c>
      <c r="C129" s="12" t="s">
        <v>538</v>
      </c>
      <c r="D129" s="11" t="s">
        <v>100</v>
      </c>
      <c r="E129" s="12" t="s">
        <v>32</v>
      </c>
      <c r="F129" s="12" t="s">
        <v>33</v>
      </c>
      <c r="G129" s="12">
        <v>12</v>
      </c>
      <c r="H129" s="13">
        <v>0.24517361111111111</v>
      </c>
      <c r="I129" s="13">
        <v>5.6527777777777781E-2</v>
      </c>
      <c r="J129" s="13">
        <v>4.7106481481481478E-3</v>
      </c>
      <c r="K129" s="13">
        <v>0.19908564814814814</v>
      </c>
      <c r="L129" s="14">
        <v>0.81201907189727607</v>
      </c>
      <c r="M129" s="12" t="s">
        <v>334</v>
      </c>
      <c r="N129" s="13">
        <v>4.400462962962963E-2</v>
      </c>
      <c r="O129" s="13">
        <v>6.8865740740740745E-3</v>
      </c>
      <c r="P129" s="13"/>
      <c r="Q129" s="13"/>
      <c r="R129" s="13"/>
      <c r="S129" s="13">
        <v>1.4780092592592593E-2</v>
      </c>
      <c r="T129" s="13">
        <v>6.145833333333333E-3</v>
      </c>
      <c r="U129" s="13">
        <v>5.0925925925925921E-4</v>
      </c>
      <c r="V129" s="13"/>
      <c r="W129" s="13">
        <v>0.12674768518518517</v>
      </c>
    </row>
    <row r="130" spans="1:23" ht="15" customHeight="1" x14ac:dyDescent="0.25">
      <c r="A130" s="20">
        <v>46237</v>
      </c>
      <c r="B130" s="15" t="s">
        <v>242</v>
      </c>
      <c r="C130" s="16" t="s">
        <v>603</v>
      </c>
      <c r="D130" s="15" t="s">
        <v>233</v>
      </c>
      <c r="E130" s="16" t="s">
        <v>32</v>
      </c>
      <c r="F130" s="16" t="s">
        <v>106</v>
      </c>
      <c r="G130" s="16">
        <v>33</v>
      </c>
      <c r="H130" s="17">
        <v>0.27641203703703704</v>
      </c>
      <c r="I130" s="17">
        <v>0.20393518518518519</v>
      </c>
      <c r="J130" s="17">
        <v>6.1798540965207639E-3</v>
      </c>
      <c r="K130" s="17">
        <v>6.5162037037037037E-3</v>
      </c>
      <c r="L130" s="18">
        <v>2.3574240013399212E-2</v>
      </c>
      <c r="M130" s="16" t="s">
        <v>334</v>
      </c>
      <c r="N130" s="17"/>
      <c r="O130" s="17">
        <v>3.6574074074074074E-3</v>
      </c>
      <c r="P130" s="17"/>
      <c r="Q130" s="17"/>
      <c r="R130" s="17"/>
      <c r="S130" s="17"/>
      <c r="T130" s="17">
        <v>2.199074074074074E-4</v>
      </c>
      <c r="U130" s="17">
        <v>2.5578703703703705E-3</v>
      </c>
      <c r="V130" s="17"/>
      <c r="W130" s="17">
        <v>1.1574074074074073E-5</v>
      </c>
    </row>
    <row r="131" spans="1:23" ht="15" customHeight="1" x14ac:dyDescent="0.25">
      <c r="A131" s="19">
        <v>46237</v>
      </c>
      <c r="B131" s="11" t="s">
        <v>248</v>
      </c>
      <c r="C131" s="12" t="s">
        <v>249</v>
      </c>
      <c r="D131" s="11" t="s">
        <v>78</v>
      </c>
      <c r="E131" s="12" t="s">
        <v>80</v>
      </c>
      <c r="F131" s="12" t="s">
        <v>81</v>
      </c>
      <c r="G131" s="12">
        <v>0</v>
      </c>
      <c r="H131" s="13">
        <v>0.32366898148148149</v>
      </c>
      <c r="I131" s="13">
        <v>0</v>
      </c>
      <c r="J131" s="13">
        <v>0</v>
      </c>
      <c r="K131" s="13">
        <v>1.1226851851851851E-3</v>
      </c>
      <c r="L131" s="14">
        <v>3.4686214911496512E-3</v>
      </c>
      <c r="M131" s="12" t="s">
        <v>334</v>
      </c>
      <c r="N131" s="13"/>
      <c r="O131" s="13"/>
      <c r="P131" s="13"/>
      <c r="Q131" s="13"/>
      <c r="R131" s="13"/>
      <c r="S131" s="13"/>
      <c r="T131" s="13">
        <v>6.9444444444444444E-5</v>
      </c>
      <c r="U131" s="13">
        <v>9.6064814814814819E-4</v>
      </c>
      <c r="V131" s="13"/>
      <c r="W131" s="13">
        <v>5.7870370370370373E-5</v>
      </c>
    </row>
    <row r="132" spans="1:23" ht="15" customHeight="1" x14ac:dyDescent="0.25">
      <c r="A132" s="20">
        <v>46237</v>
      </c>
      <c r="B132" s="15" t="s">
        <v>289</v>
      </c>
      <c r="C132" s="16" t="s">
        <v>559</v>
      </c>
      <c r="D132" s="15" t="s">
        <v>104</v>
      </c>
      <c r="E132" s="16" t="s">
        <v>105</v>
      </c>
      <c r="F132" s="16" t="s">
        <v>106</v>
      </c>
      <c r="G132" s="16">
        <v>24</v>
      </c>
      <c r="H132" s="17">
        <v>0.32762731481481483</v>
      </c>
      <c r="I132" s="17">
        <v>0.27332175925925928</v>
      </c>
      <c r="J132" s="17">
        <v>1.138840663580247E-2</v>
      </c>
      <c r="K132" s="17">
        <v>0.12417824074074074</v>
      </c>
      <c r="L132" s="18">
        <v>0.37902285653725226</v>
      </c>
      <c r="M132" s="16" t="s">
        <v>334</v>
      </c>
      <c r="N132" s="17">
        <v>3.0636574074074073E-2</v>
      </c>
      <c r="O132" s="17">
        <v>2.0347222222222221E-2</v>
      </c>
      <c r="P132" s="17"/>
      <c r="Q132" s="17"/>
      <c r="R132" s="17"/>
      <c r="S132" s="17">
        <v>2.042824074074074E-2</v>
      </c>
      <c r="T132" s="17">
        <v>4.6990740740740743E-3</v>
      </c>
      <c r="U132" s="17">
        <v>4.2303240740740738E-2</v>
      </c>
      <c r="V132" s="17"/>
      <c r="W132" s="17">
        <v>4.5717592592592589E-3</v>
      </c>
    </row>
    <row r="133" spans="1:23" ht="15" customHeight="1" x14ac:dyDescent="0.25">
      <c r="A133" s="19">
        <v>46237</v>
      </c>
      <c r="B133" s="11" t="s">
        <v>252</v>
      </c>
      <c r="C133" s="12" t="s">
        <v>553</v>
      </c>
      <c r="D133" s="11" t="s">
        <v>78</v>
      </c>
      <c r="E133" s="12" t="s">
        <v>80</v>
      </c>
      <c r="F133" s="12" t="s">
        <v>81</v>
      </c>
      <c r="G133" s="12">
        <v>0</v>
      </c>
      <c r="H133" s="13">
        <v>0.57406250000000003</v>
      </c>
      <c r="I133" s="13">
        <v>0</v>
      </c>
      <c r="J133" s="13">
        <v>0</v>
      </c>
      <c r="K133" s="13">
        <v>5.2083333333333333E-4</v>
      </c>
      <c r="L133" s="14">
        <v>9.0727635637815284E-4</v>
      </c>
      <c r="M133" s="12" t="s">
        <v>334</v>
      </c>
      <c r="N133" s="13"/>
      <c r="O133" s="13"/>
      <c r="P133" s="13"/>
      <c r="Q133" s="13"/>
      <c r="R133" s="13"/>
      <c r="S133" s="13"/>
      <c r="T133" s="13">
        <v>8.1018518518518516E-5</v>
      </c>
      <c r="U133" s="13">
        <v>4.0509259259259258E-4</v>
      </c>
      <c r="V133" s="13"/>
      <c r="W133" s="13"/>
    </row>
    <row r="134" spans="1:23" ht="15" customHeight="1" x14ac:dyDescent="0.25">
      <c r="A134" s="20">
        <v>46237</v>
      </c>
      <c r="B134" s="15" t="s">
        <v>500</v>
      </c>
      <c r="C134" s="16" t="s">
        <v>518</v>
      </c>
      <c r="D134" s="15" t="s">
        <v>274</v>
      </c>
      <c r="E134" s="16" t="s">
        <v>147</v>
      </c>
      <c r="F134" s="16" t="s">
        <v>33</v>
      </c>
      <c r="G134" s="16">
        <v>15</v>
      </c>
      <c r="H134" s="17">
        <v>0.26273148148148145</v>
      </c>
      <c r="I134" s="17">
        <v>5.710648148148148E-2</v>
      </c>
      <c r="J134" s="17">
        <v>3.8070987654320989E-3</v>
      </c>
      <c r="K134" s="17">
        <v>4.4351851851851851E-2</v>
      </c>
      <c r="L134" s="18">
        <v>0.16881057268722466</v>
      </c>
      <c r="M134" s="16" t="s">
        <v>334</v>
      </c>
      <c r="N134" s="17">
        <v>2.1875000000000002E-3</v>
      </c>
      <c r="O134" s="17">
        <v>1.3414351851851853E-2</v>
      </c>
      <c r="P134" s="17"/>
      <c r="Q134" s="17">
        <v>1.4467592592592593E-2</v>
      </c>
      <c r="R134" s="17"/>
      <c r="S134" s="17">
        <v>1.4143518518518519E-2</v>
      </c>
      <c r="T134" s="17">
        <v>1.3888888888888889E-4</v>
      </c>
      <c r="U134" s="17"/>
      <c r="V134" s="17"/>
      <c r="W134" s="17"/>
    </row>
    <row r="135" spans="1:23" ht="15" customHeight="1" x14ac:dyDescent="0.25">
      <c r="A135" s="19">
        <v>46237</v>
      </c>
      <c r="B135" s="11" t="s">
        <v>653</v>
      </c>
      <c r="C135" s="12" t="s">
        <v>654</v>
      </c>
      <c r="D135" s="11" t="s">
        <v>100</v>
      </c>
      <c r="E135" s="12" t="s">
        <v>32</v>
      </c>
      <c r="F135" s="12" t="s">
        <v>33</v>
      </c>
      <c r="G135" s="12">
        <v>23</v>
      </c>
      <c r="H135" s="13">
        <v>0.25649305555555557</v>
      </c>
      <c r="I135" s="13">
        <v>0.20667824074074073</v>
      </c>
      <c r="J135" s="13">
        <v>8.9860104669887281E-3</v>
      </c>
      <c r="K135" s="13">
        <v>4.3043981481481482E-2</v>
      </c>
      <c r="L135" s="14">
        <v>0.16781733676278146</v>
      </c>
      <c r="M135" s="12" t="s">
        <v>334</v>
      </c>
      <c r="N135" s="13">
        <v>9.7916666666666673E-3</v>
      </c>
      <c r="O135" s="13">
        <v>1.5208333333333334E-2</v>
      </c>
      <c r="P135" s="13"/>
      <c r="Q135" s="13"/>
      <c r="R135" s="13"/>
      <c r="S135" s="13">
        <v>1.4768518518518519E-2</v>
      </c>
      <c r="T135" s="13">
        <v>6.4814814814814813E-4</v>
      </c>
      <c r="U135" s="13">
        <v>2.5925925925925925E-3</v>
      </c>
      <c r="V135" s="13"/>
      <c r="W135" s="13"/>
    </row>
    <row r="136" spans="1:23" ht="15" customHeight="1" x14ac:dyDescent="0.25">
      <c r="A136" s="20">
        <v>46237</v>
      </c>
      <c r="B136" s="15" t="s">
        <v>52</v>
      </c>
      <c r="C136" s="16" t="s">
        <v>509</v>
      </c>
      <c r="D136" s="15" t="s">
        <v>100</v>
      </c>
      <c r="E136" s="16" t="s">
        <v>32</v>
      </c>
      <c r="F136" s="16" t="s">
        <v>33</v>
      </c>
      <c r="G136" s="16">
        <v>5</v>
      </c>
      <c r="H136" s="17">
        <v>0.25643518518518521</v>
      </c>
      <c r="I136" s="17">
        <v>4.9629629629629628E-2</v>
      </c>
      <c r="J136" s="17">
        <v>9.9259259259259266E-3</v>
      </c>
      <c r="K136" s="17">
        <v>0.22572916666666668</v>
      </c>
      <c r="L136" s="18">
        <v>0.88025816934464707</v>
      </c>
      <c r="M136" s="16" t="s">
        <v>334</v>
      </c>
      <c r="N136" s="17">
        <v>7.8009259259259256E-3</v>
      </c>
      <c r="O136" s="17">
        <v>9.618055555555555E-3</v>
      </c>
      <c r="P136" s="17"/>
      <c r="Q136" s="17"/>
      <c r="R136" s="17"/>
      <c r="S136" s="17">
        <v>1.3923611111111111E-2</v>
      </c>
      <c r="T136" s="17">
        <v>2.6620370370370372E-4</v>
      </c>
      <c r="U136" s="17"/>
      <c r="V136" s="17"/>
      <c r="W136" s="17">
        <v>0.19412037037037036</v>
      </c>
    </row>
    <row r="137" spans="1:23" ht="15" customHeight="1" x14ac:dyDescent="0.25">
      <c r="A137" s="19">
        <v>46237</v>
      </c>
      <c r="B137" s="11" t="s">
        <v>164</v>
      </c>
      <c r="C137" s="12" t="s">
        <v>519</v>
      </c>
      <c r="D137" s="11" t="s">
        <v>146</v>
      </c>
      <c r="E137" s="12" t="s">
        <v>147</v>
      </c>
      <c r="F137" s="12" t="s">
        <v>106</v>
      </c>
      <c r="G137" s="12">
        <v>25</v>
      </c>
      <c r="H137" s="13">
        <v>0.25767361111111109</v>
      </c>
      <c r="I137" s="13">
        <v>3.8402777777777779E-2</v>
      </c>
      <c r="J137" s="13">
        <v>1.5361111111111111E-3</v>
      </c>
      <c r="K137" s="13">
        <v>3.9166666666666669E-2</v>
      </c>
      <c r="L137" s="14">
        <v>0.15200107802182994</v>
      </c>
      <c r="M137" s="12" t="s">
        <v>334</v>
      </c>
      <c r="N137" s="13">
        <v>6.2731481481481484E-3</v>
      </c>
      <c r="O137" s="13">
        <v>1.3263888888888889E-2</v>
      </c>
      <c r="P137" s="13"/>
      <c r="Q137" s="13">
        <v>4.0856481481481481E-3</v>
      </c>
      <c r="R137" s="13"/>
      <c r="S137" s="13">
        <v>1.4537037037037038E-2</v>
      </c>
      <c r="T137" s="13">
        <v>8.1018518518518516E-5</v>
      </c>
      <c r="U137" s="13">
        <v>9.0277777777777774E-4</v>
      </c>
      <c r="V137" s="13"/>
      <c r="W137" s="13"/>
    </row>
    <row r="138" spans="1:23" ht="15" customHeight="1" x14ac:dyDescent="0.25">
      <c r="A138" s="20">
        <v>46237</v>
      </c>
      <c r="B138" s="15" t="s">
        <v>655</v>
      </c>
      <c r="C138" s="16" t="s">
        <v>656</v>
      </c>
      <c r="D138" s="15" t="s">
        <v>100</v>
      </c>
      <c r="E138" s="16" t="s">
        <v>32</v>
      </c>
      <c r="F138" s="16" t="s">
        <v>33</v>
      </c>
      <c r="G138" s="16">
        <v>22</v>
      </c>
      <c r="H138" s="17">
        <v>0.26162037037037039</v>
      </c>
      <c r="I138" s="17">
        <v>0.2107175925925926</v>
      </c>
      <c r="J138" s="17">
        <v>9.5780723905723904E-3</v>
      </c>
      <c r="K138" s="17">
        <v>4.1342592592592591E-2</v>
      </c>
      <c r="L138" s="18">
        <v>0.15802512829587684</v>
      </c>
      <c r="M138" s="16" t="s">
        <v>334</v>
      </c>
      <c r="N138" s="17"/>
      <c r="O138" s="17">
        <v>2.627314814814815E-2</v>
      </c>
      <c r="P138" s="17"/>
      <c r="Q138" s="17"/>
      <c r="R138" s="17"/>
      <c r="S138" s="17"/>
      <c r="T138" s="17">
        <v>6.9444444444444444E-5</v>
      </c>
      <c r="U138" s="17">
        <v>5.4398148148148144E-4</v>
      </c>
      <c r="V138" s="17"/>
      <c r="W138" s="17">
        <v>1.4456018518518519E-2</v>
      </c>
    </row>
    <row r="139" spans="1:23" ht="15" customHeight="1" x14ac:dyDescent="0.25">
      <c r="A139" s="19">
        <v>46237</v>
      </c>
      <c r="B139" s="11" t="s">
        <v>657</v>
      </c>
      <c r="C139" s="12" t="s">
        <v>658</v>
      </c>
      <c r="D139" s="11" t="s">
        <v>274</v>
      </c>
      <c r="E139" s="12" t="s">
        <v>147</v>
      </c>
      <c r="F139" s="12" t="s">
        <v>33</v>
      </c>
      <c r="G139" s="12">
        <v>16</v>
      </c>
      <c r="H139" s="13">
        <v>0.25896990740740738</v>
      </c>
      <c r="I139" s="13">
        <v>8.0532407407407414E-2</v>
      </c>
      <c r="J139" s="13">
        <v>5.0332754629629634E-3</v>
      </c>
      <c r="K139" s="13">
        <v>5.0717592592592592E-2</v>
      </c>
      <c r="L139" s="14">
        <v>0.19584357541899441</v>
      </c>
      <c r="M139" s="12" t="s">
        <v>334</v>
      </c>
      <c r="N139" s="13">
        <v>5.7407407407407407E-3</v>
      </c>
      <c r="O139" s="13">
        <v>1.3946759259259259E-2</v>
      </c>
      <c r="P139" s="13"/>
      <c r="Q139" s="13">
        <v>1.3136574074074075E-2</v>
      </c>
      <c r="R139" s="13"/>
      <c r="S139" s="13">
        <v>1.5347222222222222E-2</v>
      </c>
      <c r="T139" s="13">
        <v>1.3888888888888889E-4</v>
      </c>
      <c r="U139" s="13">
        <v>5.5555555555555556E-4</v>
      </c>
      <c r="V139" s="13"/>
      <c r="W139" s="13">
        <v>1.8171296296296297E-3</v>
      </c>
    </row>
    <row r="140" spans="1:23" ht="15" customHeight="1" x14ac:dyDescent="0.25">
      <c r="A140" s="20">
        <v>46237</v>
      </c>
      <c r="B140" s="15" t="s">
        <v>166</v>
      </c>
      <c r="C140" s="16" t="s">
        <v>167</v>
      </c>
      <c r="D140" s="15" t="s">
        <v>146</v>
      </c>
      <c r="E140" s="16" t="s">
        <v>147</v>
      </c>
      <c r="F140" s="16" t="s">
        <v>106</v>
      </c>
      <c r="G140" s="16">
        <v>9</v>
      </c>
      <c r="H140" s="17">
        <v>0.25284722222222222</v>
      </c>
      <c r="I140" s="17">
        <v>1.7372685185185185E-2</v>
      </c>
      <c r="J140" s="17">
        <v>1.9302983539094649E-3</v>
      </c>
      <c r="K140" s="17">
        <v>4.7673611111111111E-2</v>
      </c>
      <c r="L140" s="18">
        <v>0.18854710244438341</v>
      </c>
      <c r="M140" s="16" t="s">
        <v>334</v>
      </c>
      <c r="N140" s="17">
        <v>5.6365740740740742E-3</v>
      </c>
      <c r="O140" s="17">
        <v>1.4004629629629629E-2</v>
      </c>
      <c r="P140" s="17"/>
      <c r="Q140" s="17">
        <v>7.1875000000000003E-3</v>
      </c>
      <c r="R140" s="17">
        <v>2.5578703703703705E-3</v>
      </c>
      <c r="S140" s="17">
        <v>5.0925925925925921E-4</v>
      </c>
      <c r="T140" s="17">
        <v>1.5324074074074073E-2</v>
      </c>
      <c r="U140" s="17">
        <v>9.2592592592592588E-5</v>
      </c>
      <c r="V140" s="17"/>
      <c r="W140" s="17">
        <v>2.3495370370370371E-3</v>
      </c>
    </row>
    <row r="141" spans="1:23" ht="15" customHeight="1" x14ac:dyDescent="0.25">
      <c r="A141" s="19">
        <v>46237</v>
      </c>
      <c r="B141" s="11" t="s">
        <v>659</v>
      </c>
      <c r="C141" s="12" t="s">
        <v>660</v>
      </c>
      <c r="D141" s="11" t="s">
        <v>100</v>
      </c>
      <c r="E141" s="12" t="s">
        <v>32</v>
      </c>
      <c r="F141" s="12" t="s">
        <v>33</v>
      </c>
      <c r="G141" s="12">
        <v>20</v>
      </c>
      <c r="H141" s="13">
        <v>0.26377314814814817</v>
      </c>
      <c r="I141" s="13">
        <v>0.11556712962962963</v>
      </c>
      <c r="J141" s="13">
        <v>5.7783564814814815E-3</v>
      </c>
      <c r="K141" s="13">
        <v>0.19548611111111111</v>
      </c>
      <c r="L141" s="14">
        <v>0.74111452391399735</v>
      </c>
      <c r="M141" s="12" t="s">
        <v>334</v>
      </c>
      <c r="N141" s="13">
        <v>9.3865740740740732E-3</v>
      </c>
      <c r="O141" s="13">
        <v>1.4953703703703703E-2</v>
      </c>
      <c r="P141" s="13"/>
      <c r="Q141" s="13"/>
      <c r="R141" s="13"/>
      <c r="S141" s="13">
        <v>1.6458333333333332E-2</v>
      </c>
      <c r="T141" s="13">
        <v>1.0995370370370371E-3</v>
      </c>
      <c r="U141" s="13">
        <v>6.9444444444444447E-4</v>
      </c>
      <c r="V141" s="13"/>
      <c r="W141" s="13">
        <v>0.15287037037037038</v>
      </c>
    </row>
    <row r="142" spans="1:23" ht="15" customHeight="1" x14ac:dyDescent="0.25">
      <c r="A142" s="20">
        <v>46237</v>
      </c>
      <c r="B142" s="15" t="s">
        <v>90</v>
      </c>
      <c r="C142" s="16" t="s">
        <v>91</v>
      </c>
      <c r="D142" s="15" t="s">
        <v>78</v>
      </c>
      <c r="E142" s="16" t="s">
        <v>80</v>
      </c>
      <c r="F142" s="16" t="s">
        <v>81</v>
      </c>
      <c r="G142" s="16">
        <v>0</v>
      </c>
      <c r="H142" s="17">
        <v>0.3513310185185185</v>
      </c>
      <c r="I142" s="17">
        <v>0</v>
      </c>
      <c r="J142" s="17">
        <v>0</v>
      </c>
      <c r="K142" s="17">
        <v>3.0833333333333334E-2</v>
      </c>
      <c r="L142" s="18">
        <v>8.7761489046285626E-2</v>
      </c>
      <c r="M142" s="16" t="s">
        <v>334</v>
      </c>
      <c r="N142" s="17">
        <v>1.1134259259259259E-2</v>
      </c>
      <c r="O142" s="17">
        <v>9.3749999999999997E-3</v>
      </c>
      <c r="P142" s="17"/>
      <c r="Q142" s="17"/>
      <c r="R142" s="17">
        <v>9.8726851851851857E-3</v>
      </c>
      <c r="S142" s="17"/>
      <c r="T142" s="17">
        <v>1.6203703703703703E-4</v>
      </c>
      <c r="U142" s="17">
        <v>2.6620370370370372E-4</v>
      </c>
      <c r="V142" s="17"/>
      <c r="W142" s="17"/>
    </row>
    <row r="143" spans="1:23" ht="15" customHeight="1" x14ac:dyDescent="0.25">
      <c r="A143" s="19">
        <v>46237</v>
      </c>
      <c r="B143" s="11" t="s">
        <v>254</v>
      </c>
      <c r="C143" s="12" t="s">
        <v>528</v>
      </c>
      <c r="D143" s="11" t="s">
        <v>233</v>
      </c>
      <c r="E143" s="12" t="s">
        <v>32</v>
      </c>
      <c r="F143" s="12" t="s">
        <v>106</v>
      </c>
      <c r="G143" s="12">
        <v>25</v>
      </c>
      <c r="H143" s="13">
        <v>0.26520833333333332</v>
      </c>
      <c r="I143" s="13">
        <v>0.13108796296296296</v>
      </c>
      <c r="J143" s="13">
        <v>5.2435185185185189E-3</v>
      </c>
      <c r="K143" s="13">
        <v>6.3032407407407412E-2</v>
      </c>
      <c r="L143" s="14">
        <v>0.23767129265950948</v>
      </c>
      <c r="M143" s="12" t="s">
        <v>334</v>
      </c>
      <c r="N143" s="13">
        <v>9.0509259259259258E-3</v>
      </c>
      <c r="O143" s="13">
        <v>1.3020833333333334E-2</v>
      </c>
      <c r="P143" s="13"/>
      <c r="Q143" s="13">
        <v>1.5405092592592592E-2</v>
      </c>
      <c r="R143" s="13"/>
      <c r="S143" s="13">
        <v>1.4236111111111111E-2</v>
      </c>
      <c r="T143" s="13">
        <v>9.7106481481481488E-3</v>
      </c>
      <c r="U143" s="13">
        <v>1.5740740740740741E-3</v>
      </c>
      <c r="V143" s="13"/>
      <c r="W143" s="13"/>
    </row>
    <row r="144" spans="1:23" ht="15" customHeight="1" x14ac:dyDescent="0.25">
      <c r="A144" s="20">
        <v>46237</v>
      </c>
      <c r="B144" s="15" t="s">
        <v>201</v>
      </c>
      <c r="C144" s="16" t="s">
        <v>545</v>
      </c>
      <c r="D144" s="15" t="s">
        <v>601</v>
      </c>
      <c r="E144" s="16" t="s">
        <v>600</v>
      </c>
      <c r="F144" s="16" t="s">
        <v>33</v>
      </c>
      <c r="G144" s="16">
        <v>25</v>
      </c>
      <c r="H144" s="17">
        <v>0.25819444444444445</v>
      </c>
      <c r="I144" s="17">
        <v>6.5393518518518517E-2</v>
      </c>
      <c r="J144" s="17">
        <v>2.6157407407407405E-3</v>
      </c>
      <c r="K144" s="17">
        <v>5.9444444444444446E-2</v>
      </c>
      <c r="L144" s="18">
        <v>0.23023130715438409</v>
      </c>
      <c r="M144" s="16" t="s">
        <v>334</v>
      </c>
      <c r="N144" s="17">
        <v>3.7499999999999999E-3</v>
      </c>
      <c r="O144" s="17">
        <v>9.3749999999999997E-3</v>
      </c>
      <c r="P144" s="17">
        <v>4.4201388888888887E-2</v>
      </c>
      <c r="Q144" s="17"/>
      <c r="R144" s="17"/>
      <c r="S144" s="17"/>
      <c r="T144" s="17">
        <v>2.1180555555555558E-3</v>
      </c>
      <c r="U144" s="17"/>
      <c r="V144" s="17"/>
      <c r="W144" s="17"/>
    </row>
    <row r="145" spans="1:23" ht="15" customHeight="1" x14ac:dyDescent="0.25">
      <c r="A145" s="19">
        <v>46237</v>
      </c>
      <c r="B145" s="11" t="s">
        <v>168</v>
      </c>
      <c r="C145" s="12" t="s">
        <v>520</v>
      </c>
      <c r="D145" s="11" t="s">
        <v>274</v>
      </c>
      <c r="E145" s="12" t="s">
        <v>147</v>
      </c>
      <c r="F145" s="12" t="s">
        <v>33</v>
      </c>
      <c r="G145" s="12">
        <v>22</v>
      </c>
      <c r="H145" s="13">
        <v>0.26093749999999999</v>
      </c>
      <c r="I145" s="13">
        <v>5.8171296296296297E-2</v>
      </c>
      <c r="J145" s="13">
        <v>2.6441498316498316E-3</v>
      </c>
      <c r="K145" s="13">
        <v>4.6932870370370368E-2</v>
      </c>
      <c r="L145" s="14">
        <v>0.17986249722776668</v>
      </c>
      <c r="M145" s="12" t="s">
        <v>334</v>
      </c>
      <c r="N145" s="13">
        <v>8.611111111111111E-3</v>
      </c>
      <c r="O145" s="13">
        <v>1.6863425925925928E-2</v>
      </c>
      <c r="P145" s="13"/>
      <c r="Q145" s="13">
        <v>5.5092592592592589E-3</v>
      </c>
      <c r="R145" s="13"/>
      <c r="S145" s="13">
        <v>1.5057870370370371E-2</v>
      </c>
      <c r="T145" s="13">
        <v>2.7777777777777778E-4</v>
      </c>
      <c r="U145" s="13">
        <v>2.6620370370370372E-4</v>
      </c>
      <c r="V145" s="13"/>
      <c r="W145" s="13"/>
    </row>
    <row r="146" spans="1:23" ht="15" customHeight="1" x14ac:dyDescent="0.25">
      <c r="A146" s="20">
        <v>46237</v>
      </c>
      <c r="B146" s="15" t="s">
        <v>170</v>
      </c>
      <c r="C146" s="16" t="s">
        <v>521</v>
      </c>
      <c r="D146" s="15" t="s">
        <v>146</v>
      </c>
      <c r="E146" s="16" t="s">
        <v>147</v>
      </c>
      <c r="F146" s="16" t="s">
        <v>106</v>
      </c>
      <c r="G146" s="16">
        <v>16</v>
      </c>
      <c r="H146" s="17">
        <v>0.26226851851851851</v>
      </c>
      <c r="I146" s="17">
        <v>6.8391203703703704E-2</v>
      </c>
      <c r="J146" s="17">
        <v>4.2744502314814815E-3</v>
      </c>
      <c r="K146" s="17">
        <v>3.9097222222222221E-2</v>
      </c>
      <c r="L146" s="18">
        <v>0.14907325684024714</v>
      </c>
      <c r="M146" s="16" t="s">
        <v>334</v>
      </c>
      <c r="N146" s="17">
        <v>3.9351851851851848E-3</v>
      </c>
      <c r="O146" s="17">
        <v>1.4398148148148148E-2</v>
      </c>
      <c r="P146" s="17"/>
      <c r="Q146" s="17">
        <v>6.9444444444444447E-4</v>
      </c>
      <c r="R146" s="17"/>
      <c r="S146" s="17">
        <v>1.5104166666666667E-2</v>
      </c>
      <c r="T146" s="17">
        <v>1.7361111111111112E-4</v>
      </c>
      <c r="U146" s="17">
        <v>4.6990740740740743E-3</v>
      </c>
      <c r="V146" s="17"/>
      <c r="W146" s="17"/>
    </row>
    <row r="147" spans="1:23" ht="15" customHeight="1" x14ac:dyDescent="0.25">
      <c r="A147" s="19">
        <v>46237</v>
      </c>
      <c r="B147" s="11" t="s">
        <v>92</v>
      </c>
      <c r="C147" s="12" t="s">
        <v>93</v>
      </c>
      <c r="D147" s="11" t="s">
        <v>78</v>
      </c>
      <c r="E147" s="12" t="s">
        <v>80</v>
      </c>
      <c r="F147" s="12" t="s">
        <v>81</v>
      </c>
      <c r="G147" s="12">
        <v>0</v>
      </c>
      <c r="H147" s="13">
        <v>0.34430555555555553</v>
      </c>
      <c r="I147" s="13">
        <v>0</v>
      </c>
      <c r="J147" s="13">
        <v>0</v>
      </c>
      <c r="K147" s="13">
        <v>0.34430555555555553</v>
      </c>
      <c r="L147" s="14">
        <v>1</v>
      </c>
      <c r="M147" s="12" t="s">
        <v>333</v>
      </c>
      <c r="N147" s="13"/>
      <c r="O147" s="13"/>
      <c r="P147" s="13"/>
      <c r="Q147" s="13"/>
      <c r="R147" s="13"/>
      <c r="S147" s="13"/>
      <c r="T147" s="13">
        <v>0.34430555555555553</v>
      </c>
      <c r="U147" s="13"/>
      <c r="V147" s="13"/>
      <c r="W147" s="13"/>
    </row>
    <row r="148" spans="1:23" ht="15" customHeight="1" x14ac:dyDescent="0.25">
      <c r="A148" s="20">
        <v>46237</v>
      </c>
      <c r="B148" s="15" t="s">
        <v>94</v>
      </c>
      <c r="C148" s="16" t="s">
        <v>95</v>
      </c>
      <c r="D148" s="15" t="s">
        <v>78</v>
      </c>
      <c r="E148" s="16" t="s">
        <v>80</v>
      </c>
      <c r="F148" s="16" t="s">
        <v>81</v>
      </c>
      <c r="G148" s="16">
        <v>0</v>
      </c>
      <c r="H148" s="17">
        <v>0.31114583333333334</v>
      </c>
      <c r="I148" s="17">
        <v>0</v>
      </c>
      <c r="J148" s="17">
        <v>0</v>
      </c>
      <c r="K148" s="17">
        <v>8.0127314814814818E-2</v>
      </c>
      <c r="L148" s="18">
        <v>0.25752334188892606</v>
      </c>
      <c r="M148" s="16" t="s">
        <v>334</v>
      </c>
      <c r="N148" s="17"/>
      <c r="O148" s="17"/>
      <c r="P148" s="17"/>
      <c r="Q148" s="17"/>
      <c r="R148" s="17">
        <v>8.0127314814814818E-2</v>
      </c>
      <c r="S148" s="17"/>
      <c r="T148" s="17"/>
      <c r="U148" s="17"/>
      <c r="V148" s="17"/>
      <c r="W148" s="17"/>
    </row>
    <row r="149" spans="1:23" ht="15" customHeight="1" x14ac:dyDescent="0.25">
      <c r="A149" s="19">
        <v>46237</v>
      </c>
      <c r="B149" s="11" t="s">
        <v>293</v>
      </c>
      <c r="C149" s="12" t="s">
        <v>543</v>
      </c>
      <c r="D149" s="11" t="s">
        <v>104</v>
      </c>
      <c r="E149" s="12" t="s">
        <v>600</v>
      </c>
      <c r="F149" s="12" t="s">
        <v>106</v>
      </c>
      <c r="G149" s="12">
        <v>35</v>
      </c>
      <c r="H149" s="13">
        <v>0.25666666666666665</v>
      </c>
      <c r="I149" s="13">
        <v>9.1701388888888888E-2</v>
      </c>
      <c r="J149" s="13">
        <v>2.6200396825396825E-3</v>
      </c>
      <c r="K149" s="13">
        <v>0.11233796296296296</v>
      </c>
      <c r="L149" s="14">
        <v>0.43768037518037517</v>
      </c>
      <c r="M149" s="12" t="s">
        <v>334</v>
      </c>
      <c r="N149" s="13">
        <v>1.173611111111111E-2</v>
      </c>
      <c r="O149" s="13">
        <v>1.4143518518518519E-2</v>
      </c>
      <c r="P149" s="13"/>
      <c r="Q149" s="13"/>
      <c r="R149" s="13">
        <v>3.1597222222222222E-3</v>
      </c>
      <c r="S149" s="13">
        <v>1.8020833333333333E-2</v>
      </c>
      <c r="T149" s="13">
        <v>1.2129629629629629E-2</v>
      </c>
      <c r="U149" s="13">
        <v>8.1018518518518516E-5</v>
      </c>
      <c r="V149" s="13"/>
      <c r="W149" s="13">
        <v>5.3067129629629631E-2</v>
      </c>
    </row>
    <row r="150" spans="1:23" ht="15" customHeight="1" x14ac:dyDescent="0.25">
      <c r="A150" s="20">
        <v>46237</v>
      </c>
      <c r="B150" s="15" t="s">
        <v>606</v>
      </c>
      <c r="C150" s="16" t="s">
        <v>633</v>
      </c>
      <c r="D150" s="15" t="s">
        <v>146</v>
      </c>
      <c r="E150" s="16" t="s">
        <v>147</v>
      </c>
      <c r="F150" s="16" t="s">
        <v>106</v>
      </c>
      <c r="G150" s="16">
        <v>8</v>
      </c>
      <c r="H150" s="17">
        <v>0.26171296296296298</v>
      </c>
      <c r="I150" s="17">
        <v>3.7569444444444447E-2</v>
      </c>
      <c r="J150" s="17">
        <v>4.6961805555555559E-3</v>
      </c>
      <c r="K150" s="17">
        <v>8.4699074074074079E-2</v>
      </c>
      <c r="L150" s="18">
        <v>0.32363346895453743</v>
      </c>
      <c r="M150" s="16" t="s">
        <v>334</v>
      </c>
      <c r="N150" s="17">
        <v>9.432870370370371E-3</v>
      </c>
      <c r="O150" s="17">
        <v>1.8692129629629628E-2</v>
      </c>
      <c r="P150" s="17"/>
      <c r="Q150" s="17">
        <v>1.9664351851851853E-2</v>
      </c>
      <c r="R150" s="17"/>
      <c r="S150" s="17">
        <v>1.4236111111111111E-2</v>
      </c>
      <c r="T150" s="17">
        <v>1.8865740740740742E-3</v>
      </c>
      <c r="U150" s="17">
        <v>1.4849537037037038E-2</v>
      </c>
      <c r="V150" s="17"/>
      <c r="W150" s="17">
        <v>5.8796296296296296E-3</v>
      </c>
    </row>
    <row r="151" spans="1:23" ht="15" customHeight="1" x14ac:dyDescent="0.25">
      <c r="A151" s="19">
        <v>46237</v>
      </c>
      <c r="B151" s="11" t="s">
        <v>256</v>
      </c>
      <c r="C151" s="12" t="s">
        <v>529</v>
      </c>
      <c r="D151" s="11" t="s">
        <v>233</v>
      </c>
      <c r="E151" s="12" t="s">
        <v>32</v>
      </c>
      <c r="F151" s="12" t="s">
        <v>106</v>
      </c>
      <c r="G151" s="12">
        <v>19</v>
      </c>
      <c r="H151" s="13">
        <v>0.25015046296296295</v>
      </c>
      <c r="I151" s="13">
        <v>0.14512731481481481</v>
      </c>
      <c r="J151" s="13">
        <v>7.6382797270955162E-3</v>
      </c>
      <c r="K151" s="13">
        <v>4.4583333333333336E-2</v>
      </c>
      <c r="L151" s="14">
        <v>0.17822606764447324</v>
      </c>
      <c r="M151" s="12" t="s">
        <v>334</v>
      </c>
      <c r="N151" s="13">
        <v>5.7291666666666663E-3</v>
      </c>
      <c r="O151" s="13">
        <v>1.5856481481481482E-2</v>
      </c>
      <c r="P151" s="13"/>
      <c r="Q151" s="13"/>
      <c r="R151" s="13"/>
      <c r="S151" s="13">
        <v>1.5833333333333335E-2</v>
      </c>
      <c r="T151" s="13">
        <v>1.9675925925925926E-4</v>
      </c>
      <c r="U151" s="13">
        <v>6.9444444444444441E-3</v>
      </c>
      <c r="V151" s="13"/>
      <c r="W151" s="13"/>
    </row>
    <row r="152" spans="1:23" ht="15" customHeight="1" x14ac:dyDescent="0.25">
      <c r="A152" s="20">
        <v>46237</v>
      </c>
      <c r="B152" s="15" t="s">
        <v>612</v>
      </c>
      <c r="C152" s="16" t="s">
        <v>634</v>
      </c>
      <c r="D152" s="15" t="s">
        <v>601</v>
      </c>
      <c r="E152" s="16" t="s">
        <v>105</v>
      </c>
      <c r="F152" s="16" t="s">
        <v>33</v>
      </c>
      <c r="G152" s="16">
        <v>7</v>
      </c>
      <c r="H152" s="17">
        <v>0.23771990740740739</v>
      </c>
      <c r="I152" s="17">
        <v>0.17218749999999999</v>
      </c>
      <c r="J152" s="17">
        <v>2.4598214285714286E-2</v>
      </c>
      <c r="K152" s="17">
        <v>0.14800925925925926</v>
      </c>
      <c r="L152" s="18">
        <v>0.62262038073908177</v>
      </c>
      <c r="M152" s="16" t="s">
        <v>334</v>
      </c>
      <c r="N152" s="17">
        <v>9.1550925925925931E-3</v>
      </c>
      <c r="O152" s="17">
        <v>1.7569444444444443E-2</v>
      </c>
      <c r="P152" s="17"/>
      <c r="Q152" s="17"/>
      <c r="R152" s="17"/>
      <c r="S152" s="17">
        <v>1.6400462962962964E-2</v>
      </c>
      <c r="T152" s="17">
        <v>1.7719907407407406E-2</v>
      </c>
      <c r="U152" s="17"/>
      <c r="V152" s="17"/>
      <c r="W152" s="17">
        <v>8.7164351851851854E-2</v>
      </c>
    </row>
    <row r="153" spans="1:23" ht="15" customHeight="1" x14ac:dyDescent="0.25">
      <c r="A153" s="19">
        <v>46237</v>
      </c>
      <c r="B153" s="11" t="s">
        <v>258</v>
      </c>
      <c r="C153" s="12" t="s">
        <v>554</v>
      </c>
      <c r="D153" s="11" t="s">
        <v>233</v>
      </c>
      <c r="E153" s="12" t="s">
        <v>32</v>
      </c>
      <c r="F153" s="12" t="s">
        <v>106</v>
      </c>
      <c r="G153" s="12">
        <v>0</v>
      </c>
      <c r="H153" s="13">
        <v>0.22245370370370371</v>
      </c>
      <c r="I153" s="13">
        <v>0</v>
      </c>
      <c r="J153" s="13">
        <v>0</v>
      </c>
      <c r="K153" s="13">
        <v>0.22245370370370371</v>
      </c>
      <c r="L153" s="14">
        <v>1</v>
      </c>
      <c r="M153" s="12" t="s">
        <v>334</v>
      </c>
      <c r="N153" s="13"/>
      <c r="O153" s="13"/>
      <c r="P153" s="13"/>
      <c r="Q153" s="13"/>
      <c r="R153" s="13"/>
      <c r="S153" s="13">
        <v>1.3310185185185185E-2</v>
      </c>
      <c r="T153" s="13">
        <v>2.795138888888889E-2</v>
      </c>
      <c r="U153" s="13"/>
      <c r="V153" s="13"/>
      <c r="W153" s="13">
        <v>0.18119212962962963</v>
      </c>
    </row>
    <row r="154" spans="1:23" ht="15" customHeight="1" x14ac:dyDescent="0.25">
      <c r="A154" s="20">
        <v>46237</v>
      </c>
      <c r="B154" s="15" t="s">
        <v>661</v>
      </c>
      <c r="C154" s="16" t="s">
        <v>662</v>
      </c>
      <c r="D154" s="15" t="s">
        <v>100</v>
      </c>
      <c r="E154" s="16" t="s">
        <v>32</v>
      </c>
      <c r="F154" s="16" t="s">
        <v>33</v>
      </c>
      <c r="G154" s="16">
        <v>27</v>
      </c>
      <c r="H154" s="17">
        <v>0.26465277777777779</v>
      </c>
      <c r="I154" s="17">
        <v>0.23043981481481482</v>
      </c>
      <c r="J154" s="17">
        <v>8.5348079561042515E-3</v>
      </c>
      <c r="K154" s="17">
        <v>4.7789351851851854E-2</v>
      </c>
      <c r="L154" s="18">
        <v>0.18057377766115632</v>
      </c>
      <c r="M154" s="16" t="s">
        <v>334</v>
      </c>
      <c r="N154" s="17">
        <v>6.053240740740741E-3</v>
      </c>
      <c r="O154" s="17">
        <v>7.4074074074074077E-3</v>
      </c>
      <c r="P154" s="17"/>
      <c r="Q154" s="17">
        <v>2.3148148148148149E-4</v>
      </c>
      <c r="R154" s="17"/>
      <c r="S154" s="17">
        <v>1.5069444444444444E-2</v>
      </c>
      <c r="T154" s="17">
        <v>1.6736111111111111E-2</v>
      </c>
      <c r="U154" s="17">
        <v>2.2453703703703702E-3</v>
      </c>
      <c r="V154" s="17"/>
      <c r="W154" s="17"/>
    </row>
    <row r="155" spans="1:23" ht="15" customHeight="1" x14ac:dyDescent="0.25">
      <c r="A155" s="19">
        <v>46237</v>
      </c>
      <c r="B155" s="11" t="s">
        <v>663</v>
      </c>
      <c r="C155" s="12" t="s">
        <v>664</v>
      </c>
      <c r="D155" s="11" t="s">
        <v>233</v>
      </c>
      <c r="E155" s="12" t="s">
        <v>32</v>
      </c>
      <c r="F155" s="12" t="s">
        <v>106</v>
      </c>
      <c r="G155" s="12">
        <v>14</v>
      </c>
      <c r="H155" s="13">
        <v>0.24324074074074073</v>
      </c>
      <c r="I155" s="13">
        <v>0.17265046296296296</v>
      </c>
      <c r="J155" s="13">
        <v>1.2332175925925925E-2</v>
      </c>
      <c r="K155" s="13">
        <v>3.2233796296296295E-2</v>
      </c>
      <c r="L155" s="14">
        <v>0.13251808146174343</v>
      </c>
      <c r="M155" s="12" t="s">
        <v>334</v>
      </c>
      <c r="N155" s="13">
        <v>2.2569444444444442E-3</v>
      </c>
      <c r="O155" s="13">
        <v>7.9166666666666673E-3</v>
      </c>
      <c r="P155" s="13"/>
      <c r="Q155" s="13">
        <v>6.2500000000000001E-4</v>
      </c>
      <c r="R155" s="13"/>
      <c r="S155" s="13">
        <v>2.0636574074074075E-2</v>
      </c>
      <c r="T155" s="13">
        <v>3.3564814814814812E-4</v>
      </c>
      <c r="U155" s="13">
        <v>4.5138888888888887E-4</v>
      </c>
      <c r="V155" s="13"/>
      <c r="W155" s="13"/>
    </row>
    <row r="156" spans="1:23" ht="15" customHeight="1" x14ac:dyDescent="0.25">
      <c r="A156" s="20">
        <v>46237</v>
      </c>
      <c r="B156" s="15" t="s">
        <v>665</v>
      </c>
      <c r="C156" s="16" t="s">
        <v>666</v>
      </c>
      <c r="D156" s="15" t="s">
        <v>100</v>
      </c>
      <c r="E156" s="16" t="s">
        <v>32</v>
      </c>
      <c r="F156" s="16" t="s">
        <v>33</v>
      </c>
      <c r="G156" s="16">
        <v>28</v>
      </c>
      <c r="H156" s="17">
        <v>0.25421296296296297</v>
      </c>
      <c r="I156" s="17">
        <v>0.25922453703703702</v>
      </c>
      <c r="J156" s="17">
        <v>9.2580191798941787E-3</v>
      </c>
      <c r="K156" s="17">
        <v>1.4826388888888889E-2</v>
      </c>
      <c r="L156" s="18">
        <v>5.8322709888909127E-2</v>
      </c>
      <c r="M156" s="16" t="s">
        <v>334</v>
      </c>
      <c r="N156" s="17"/>
      <c r="O156" s="17"/>
      <c r="P156" s="17"/>
      <c r="Q156" s="17"/>
      <c r="R156" s="17"/>
      <c r="S156" s="17">
        <v>1.3958333333333333E-2</v>
      </c>
      <c r="T156" s="17">
        <v>1.273148148148148E-4</v>
      </c>
      <c r="U156" s="17">
        <v>4.0509259259259258E-4</v>
      </c>
      <c r="V156" s="17"/>
      <c r="W156" s="17">
        <v>2.8935185185185184E-4</v>
      </c>
    </row>
    <row r="157" spans="1:23" ht="15" customHeight="1" x14ac:dyDescent="0.25">
      <c r="A157" s="19">
        <v>46237</v>
      </c>
      <c r="B157" s="11" t="s">
        <v>264</v>
      </c>
      <c r="C157" s="12" t="s">
        <v>530</v>
      </c>
      <c r="D157" s="11" t="s">
        <v>78</v>
      </c>
      <c r="E157" s="12" t="s">
        <v>80</v>
      </c>
      <c r="F157" s="12" t="s">
        <v>106</v>
      </c>
      <c r="G157" s="12">
        <v>2</v>
      </c>
      <c r="H157" s="13">
        <v>0.42125000000000001</v>
      </c>
      <c r="I157" s="13">
        <v>1.8055555555555555E-3</v>
      </c>
      <c r="J157" s="13">
        <v>9.0277777777777774E-4</v>
      </c>
      <c r="K157" s="13">
        <v>2.7199074074074074E-3</v>
      </c>
      <c r="L157" s="14">
        <v>6.456753489394439E-3</v>
      </c>
      <c r="M157" s="12" t="s">
        <v>334</v>
      </c>
      <c r="N157" s="13">
        <v>8.1018518518518516E-5</v>
      </c>
      <c r="O157" s="13"/>
      <c r="P157" s="13"/>
      <c r="Q157" s="13"/>
      <c r="R157" s="13"/>
      <c r="S157" s="13"/>
      <c r="T157" s="13">
        <v>2.2106481481481482E-3</v>
      </c>
      <c r="U157" s="13">
        <v>2.0833333333333335E-4</v>
      </c>
      <c r="V157" s="13"/>
      <c r="W157" s="13">
        <v>1.3888888888888889E-4</v>
      </c>
    </row>
    <row r="158" spans="1:23" ht="15" customHeight="1" x14ac:dyDescent="0.25">
      <c r="A158" s="20">
        <v>46237</v>
      </c>
      <c r="B158" s="15" t="s">
        <v>128</v>
      </c>
      <c r="C158" s="16" t="s">
        <v>555</v>
      </c>
      <c r="D158" s="15" t="s">
        <v>233</v>
      </c>
      <c r="E158" s="16" t="s">
        <v>32</v>
      </c>
      <c r="F158" s="16" t="s">
        <v>106</v>
      </c>
      <c r="G158" s="16">
        <v>39</v>
      </c>
      <c r="H158" s="17">
        <v>0.26170138888888889</v>
      </c>
      <c r="I158" s="17">
        <v>0.14332175925925925</v>
      </c>
      <c r="J158" s="17">
        <v>3.6749169040835705E-3</v>
      </c>
      <c r="K158" s="17">
        <v>4.9907407407407407E-2</v>
      </c>
      <c r="L158" s="18">
        <v>0.1907036398213259</v>
      </c>
      <c r="M158" s="16" t="s">
        <v>334</v>
      </c>
      <c r="N158" s="17">
        <v>1.0775462962962962E-2</v>
      </c>
      <c r="O158" s="17">
        <v>1.8437499999999999E-2</v>
      </c>
      <c r="P158" s="17"/>
      <c r="Q158" s="17"/>
      <c r="R158" s="17"/>
      <c r="S158" s="17">
        <v>1.7534722222222222E-2</v>
      </c>
      <c r="T158" s="17">
        <v>1.3310185185185185E-3</v>
      </c>
      <c r="U158" s="17">
        <v>1.8171296296296297E-3</v>
      </c>
      <c r="V158" s="17"/>
      <c r="W158" s="17"/>
    </row>
    <row r="159" spans="1:23" ht="15" customHeight="1" x14ac:dyDescent="0.25">
      <c r="A159" s="19">
        <v>46237</v>
      </c>
      <c r="B159" s="11" t="s">
        <v>178</v>
      </c>
      <c r="C159" s="12" t="s">
        <v>522</v>
      </c>
      <c r="D159" s="11" t="s">
        <v>146</v>
      </c>
      <c r="E159" s="12" t="s">
        <v>147</v>
      </c>
      <c r="F159" s="12" t="s">
        <v>106</v>
      </c>
      <c r="G159" s="12">
        <v>11</v>
      </c>
      <c r="H159" s="13">
        <v>0.26495370370370369</v>
      </c>
      <c r="I159" s="13">
        <v>3.142361111111111E-2</v>
      </c>
      <c r="J159" s="13">
        <v>2.8566919191919189E-3</v>
      </c>
      <c r="K159" s="13">
        <v>5.6493055555555553E-2</v>
      </c>
      <c r="L159" s="14">
        <v>0.21321859164773721</v>
      </c>
      <c r="M159" s="12" t="s">
        <v>334</v>
      </c>
      <c r="N159" s="13">
        <v>6.4120370370370373E-3</v>
      </c>
      <c r="O159" s="13">
        <v>1.7106481481481483E-2</v>
      </c>
      <c r="P159" s="13"/>
      <c r="Q159" s="13">
        <v>9.9421296296296289E-3</v>
      </c>
      <c r="R159" s="13"/>
      <c r="S159" s="13">
        <v>1.7349537037037038E-2</v>
      </c>
      <c r="T159" s="13">
        <v>4.6296296296296294E-5</v>
      </c>
      <c r="U159" s="13">
        <v>3.9930555555555552E-3</v>
      </c>
      <c r="V159" s="13"/>
      <c r="W159" s="13">
        <v>1.5509259259259259E-3</v>
      </c>
    </row>
    <row r="160" spans="1:23" ht="15" customHeight="1" x14ac:dyDescent="0.25">
      <c r="A160" s="20">
        <v>46237</v>
      </c>
      <c r="B160" s="15" t="s">
        <v>266</v>
      </c>
      <c r="C160" s="16" t="s">
        <v>531</v>
      </c>
      <c r="D160" s="15" t="s">
        <v>233</v>
      </c>
      <c r="E160" s="16" t="s">
        <v>32</v>
      </c>
      <c r="F160" s="16" t="s">
        <v>106</v>
      </c>
      <c r="G160" s="16">
        <v>0</v>
      </c>
      <c r="H160" s="17">
        <v>0.19623842592592591</v>
      </c>
      <c r="I160" s="17">
        <v>0</v>
      </c>
      <c r="J160" s="17">
        <v>0</v>
      </c>
      <c r="K160" s="17">
        <v>0.19623842592592591</v>
      </c>
      <c r="L160" s="18">
        <v>1</v>
      </c>
      <c r="M160" s="16" t="s">
        <v>334</v>
      </c>
      <c r="N160" s="17"/>
      <c r="O160" s="17">
        <v>2.0775462962962964E-2</v>
      </c>
      <c r="P160" s="17"/>
      <c r="Q160" s="17"/>
      <c r="R160" s="17"/>
      <c r="S160" s="17">
        <v>1.3900462962962963E-2</v>
      </c>
      <c r="T160" s="17">
        <v>5.4398148148148144E-4</v>
      </c>
      <c r="U160" s="17"/>
      <c r="V160" s="17"/>
      <c r="W160" s="17">
        <v>0.16101851851851851</v>
      </c>
    </row>
    <row r="161" spans="1:23" ht="15" customHeight="1" x14ac:dyDescent="0.25">
      <c r="A161" s="19">
        <v>46237</v>
      </c>
      <c r="B161" s="11" t="s">
        <v>297</v>
      </c>
      <c r="C161" s="12" t="s">
        <v>667</v>
      </c>
      <c r="D161" s="11" t="s">
        <v>104</v>
      </c>
      <c r="E161" s="12" t="s">
        <v>105</v>
      </c>
      <c r="F161" s="12" t="s">
        <v>106</v>
      </c>
      <c r="G161" s="12">
        <v>21</v>
      </c>
      <c r="H161" s="13">
        <v>0.24775462962962963</v>
      </c>
      <c r="I161" s="13">
        <v>0.32450231481481484</v>
      </c>
      <c r="J161" s="13">
        <v>1.5452491181657847E-2</v>
      </c>
      <c r="K161" s="13">
        <v>6.7789351851851851E-2</v>
      </c>
      <c r="L161" s="14">
        <v>0.27361487433429882</v>
      </c>
      <c r="M161" s="12" t="s">
        <v>334</v>
      </c>
      <c r="N161" s="13">
        <v>1.7638888888888888E-2</v>
      </c>
      <c r="O161" s="13">
        <v>2.0092592592592592E-2</v>
      </c>
      <c r="P161" s="13"/>
      <c r="Q161" s="13"/>
      <c r="R161" s="13"/>
      <c r="S161" s="13">
        <v>1.511574074074074E-2</v>
      </c>
      <c r="T161" s="13">
        <v>5.4398148148148144E-4</v>
      </c>
      <c r="U161" s="13">
        <v>8.1018518518518516E-5</v>
      </c>
      <c r="V161" s="13"/>
      <c r="W161" s="13">
        <v>1.4317129629629629E-2</v>
      </c>
    </row>
    <row r="162" spans="1:23" ht="15" customHeight="1" x14ac:dyDescent="0.25">
      <c r="A162" s="20">
        <v>46237</v>
      </c>
      <c r="B162" s="15" t="s">
        <v>207</v>
      </c>
      <c r="C162" s="16" t="s">
        <v>566</v>
      </c>
      <c r="D162" s="15" t="s">
        <v>274</v>
      </c>
      <c r="E162" s="16" t="s">
        <v>147</v>
      </c>
      <c r="F162" s="16" t="s">
        <v>33</v>
      </c>
      <c r="G162" s="16">
        <v>21</v>
      </c>
      <c r="H162" s="17">
        <v>0.2590972222222222</v>
      </c>
      <c r="I162" s="17">
        <v>5.8819444444444445E-2</v>
      </c>
      <c r="J162" s="17">
        <v>2.8009259259259259E-3</v>
      </c>
      <c r="K162" s="17">
        <v>4.5925925925925926E-2</v>
      </c>
      <c r="L162" s="18">
        <v>0.17725364066827481</v>
      </c>
      <c r="M162" s="16" t="s">
        <v>334</v>
      </c>
      <c r="N162" s="17">
        <v>2.0949074074074073E-3</v>
      </c>
      <c r="O162" s="17">
        <v>1.2870370370370371E-2</v>
      </c>
      <c r="P162" s="17"/>
      <c r="Q162" s="17">
        <v>1.4606481481481481E-2</v>
      </c>
      <c r="R162" s="17"/>
      <c r="S162" s="17">
        <v>1.4872685185185185E-2</v>
      </c>
      <c r="T162" s="17">
        <v>6.9444444444444444E-5</v>
      </c>
      <c r="U162" s="17">
        <v>1.3888888888888889E-3</v>
      </c>
      <c r="V162" s="17"/>
      <c r="W162" s="17"/>
    </row>
    <row r="163" spans="1:23" ht="15" customHeight="1" x14ac:dyDescent="0.25">
      <c r="A163" s="19">
        <v>46237</v>
      </c>
      <c r="B163" s="11" t="s">
        <v>614</v>
      </c>
      <c r="C163" s="12" t="s">
        <v>635</v>
      </c>
      <c r="D163" s="11" t="s">
        <v>601</v>
      </c>
      <c r="E163" s="12" t="s">
        <v>105</v>
      </c>
      <c r="F163" s="12" t="s">
        <v>33</v>
      </c>
      <c r="G163" s="12">
        <v>9</v>
      </c>
      <c r="H163" s="13">
        <v>0.21373842592592593</v>
      </c>
      <c r="I163" s="13">
        <v>0.20038194444444443</v>
      </c>
      <c r="J163" s="13">
        <v>2.2264660493827162E-2</v>
      </c>
      <c r="K163" s="13">
        <v>0.12237268518518518</v>
      </c>
      <c r="L163" s="14">
        <v>0.57253479179076194</v>
      </c>
      <c r="M163" s="12" t="s">
        <v>334</v>
      </c>
      <c r="N163" s="13">
        <v>1.273148148148148E-4</v>
      </c>
      <c r="O163" s="13">
        <v>1.5543981481481482E-2</v>
      </c>
      <c r="P163" s="13"/>
      <c r="Q163" s="13"/>
      <c r="R163" s="13"/>
      <c r="S163" s="13">
        <v>1.4178240740740741E-2</v>
      </c>
      <c r="T163" s="13">
        <v>2.1875000000000002E-3</v>
      </c>
      <c r="U163" s="13"/>
      <c r="V163" s="13"/>
      <c r="W163" s="13">
        <v>9.0335648148148151E-2</v>
      </c>
    </row>
    <row r="164" spans="1:23" ht="15" customHeight="1" x14ac:dyDescent="0.25">
      <c r="A164" s="20">
        <v>46237</v>
      </c>
      <c r="B164" s="15" t="s">
        <v>96</v>
      </c>
      <c r="C164" s="16" t="s">
        <v>97</v>
      </c>
      <c r="D164" s="15" t="s">
        <v>78</v>
      </c>
      <c r="E164" s="16" t="s">
        <v>80</v>
      </c>
      <c r="F164" s="16" t="s">
        <v>81</v>
      </c>
      <c r="G164" s="16">
        <v>0</v>
      </c>
      <c r="H164" s="17">
        <v>0.34431712962962963</v>
      </c>
      <c r="I164" s="17">
        <v>0</v>
      </c>
      <c r="J164" s="17">
        <v>0</v>
      </c>
      <c r="K164" s="17">
        <v>9.52662037037037E-2</v>
      </c>
      <c r="L164" s="18">
        <v>0.27668156912837405</v>
      </c>
      <c r="M164" s="16" t="s">
        <v>334</v>
      </c>
      <c r="N164" s="17">
        <v>8.5868055555555559E-2</v>
      </c>
      <c r="O164" s="17"/>
      <c r="P164" s="17"/>
      <c r="Q164" s="17"/>
      <c r="R164" s="17"/>
      <c r="S164" s="17">
        <v>9.3287037037037036E-3</v>
      </c>
      <c r="T164" s="17">
        <v>6.9444444444444444E-5</v>
      </c>
      <c r="U164" s="17"/>
      <c r="V164" s="17"/>
      <c r="W164" s="17"/>
    </row>
    <row r="165" spans="1:23" ht="15" customHeight="1" x14ac:dyDescent="0.25">
      <c r="A165" s="19">
        <v>46237</v>
      </c>
      <c r="B165" s="11" t="s">
        <v>180</v>
      </c>
      <c r="C165" s="12" t="s">
        <v>523</v>
      </c>
      <c r="D165" s="11" t="s">
        <v>146</v>
      </c>
      <c r="E165" s="12" t="s">
        <v>147</v>
      </c>
      <c r="F165" s="12" t="s">
        <v>106</v>
      </c>
      <c r="G165" s="12">
        <v>14</v>
      </c>
      <c r="H165" s="13">
        <v>0.26194444444444442</v>
      </c>
      <c r="I165" s="13">
        <v>7.1678240740740737E-2</v>
      </c>
      <c r="J165" s="13">
        <v>5.1198743386243386E-3</v>
      </c>
      <c r="K165" s="13">
        <v>3.6469907407407409E-2</v>
      </c>
      <c r="L165" s="14">
        <v>0.13922764227642276</v>
      </c>
      <c r="M165" s="12" t="s">
        <v>334</v>
      </c>
      <c r="N165" s="13">
        <v>4.0625000000000001E-3</v>
      </c>
      <c r="O165" s="13">
        <v>1.607638888888889E-2</v>
      </c>
      <c r="P165" s="13"/>
      <c r="Q165" s="13"/>
      <c r="R165" s="13"/>
      <c r="S165" s="13">
        <v>1.4826388888888889E-2</v>
      </c>
      <c r="T165" s="13">
        <v>5.7870370370370373E-5</v>
      </c>
      <c r="U165" s="13">
        <v>1.4467592592592592E-3</v>
      </c>
      <c r="V165" s="13"/>
      <c r="W165" s="13"/>
    </row>
    <row r="166" spans="1:23" ht="15" customHeight="1" x14ac:dyDescent="0.25">
      <c r="A166" s="20">
        <v>46237</v>
      </c>
      <c r="B166" s="15" t="s">
        <v>615</v>
      </c>
      <c r="C166" s="16" t="s">
        <v>636</v>
      </c>
      <c r="D166" s="15" t="s">
        <v>601</v>
      </c>
      <c r="E166" s="16" t="s">
        <v>105</v>
      </c>
      <c r="F166" s="16" t="s">
        <v>33</v>
      </c>
      <c r="G166" s="16">
        <v>11</v>
      </c>
      <c r="H166" s="17">
        <v>0.22074074074074074</v>
      </c>
      <c r="I166" s="17">
        <v>0.17571759259259259</v>
      </c>
      <c r="J166" s="17">
        <v>1.5974326599326599E-2</v>
      </c>
      <c r="K166" s="17">
        <v>0.14862268518518518</v>
      </c>
      <c r="L166" s="18">
        <v>0.67329068791946312</v>
      </c>
      <c r="M166" s="16" t="s">
        <v>334</v>
      </c>
      <c r="N166" s="17">
        <v>6.122685185185185E-3</v>
      </c>
      <c r="O166" s="17">
        <v>1.4004629629629629E-2</v>
      </c>
      <c r="P166" s="17"/>
      <c r="Q166" s="17"/>
      <c r="R166" s="17"/>
      <c r="S166" s="17">
        <v>1.3148148148148148E-2</v>
      </c>
      <c r="T166" s="17">
        <v>9.837962962962962E-4</v>
      </c>
      <c r="U166" s="17"/>
      <c r="V166" s="17"/>
      <c r="W166" s="17">
        <v>0.11436342592592592</v>
      </c>
    </row>
    <row r="167" spans="1:23" ht="15" customHeight="1" x14ac:dyDescent="0.25">
      <c r="A167" s="19">
        <v>46237</v>
      </c>
      <c r="B167" s="11" t="s">
        <v>616</v>
      </c>
      <c r="C167" s="12" t="s">
        <v>637</v>
      </c>
      <c r="D167" s="11" t="s">
        <v>601</v>
      </c>
      <c r="E167" s="12" t="s">
        <v>105</v>
      </c>
      <c r="F167" s="12" t="s">
        <v>33</v>
      </c>
      <c r="G167" s="12">
        <v>8</v>
      </c>
      <c r="H167" s="13">
        <v>0.23061342592592593</v>
      </c>
      <c r="I167" s="13">
        <v>0.11347222222222222</v>
      </c>
      <c r="J167" s="13">
        <v>1.4184027777777778E-2</v>
      </c>
      <c r="K167" s="13">
        <v>0.16653935185185184</v>
      </c>
      <c r="L167" s="14">
        <v>0.72215809284818067</v>
      </c>
      <c r="M167" s="12" t="s">
        <v>334</v>
      </c>
      <c r="N167" s="13"/>
      <c r="O167" s="13">
        <v>7.4305555555555557E-3</v>
      </c>
      <c r="P167" s="13"/>
      <c r="Q167" s="13">
        <v>2.0671296296296295E-2</v>
      </c>
      <c r="R167" s="13"/>
      <c r="S167" s="13">
        <v>1.4016203703703704E-2</v>
      </c>
      <c r="T167" s="13">
        <v>1.1226851851851851E-3</v>
      </c>
      <c r="U167" s="13">
        <v>5.7870370370370373E-5</v>
      </c>
      <c r="V167" s="13"/>
      <c r="W167" s="13">
        <v>0.12324074074074073</v>
      </c>
    </row>
    <row r="168" spans="1:23" ht="15" customHeight="1" x14ac:dyDescent="0.25">
      <c r="A168" s="20">
        <v>46237</v>
      </c>
      <c r="B168" s="15" t="s">
        <v>209</v>
      </c>
      <c r="C168" s="16" t="s">
        <v>567</v>
      </c>
      <c r="D168" s="15" t="s">
        <v>601</v>
      </c>
      <c r="E168" s="16" t="s">
        <v>105</v>
      </c>
      <c r="F168" s="16" t="s">
        <v>33</v>
      </c>
      <c r="G168" s="16">
        <v>8</v>
      </c>
      <c r="H168" s="17">
        <v>0.23651620370370371</v>
      </c>
      <c r="I168" s="17">
        <v>0.14381944444444444</v>
      </c>
      <c r="J168" s="17">
        <v>1.7977430555555556E-2</v>
      </c>
      <c r="K168" s="17">
        <v>0.1413888888888889</v>
      </c>
      <c r="L168" s="18">
        <v>0.59779789576706632</v>
      </c>
      <c r="M168" s="16" t="s">
        <v>334</v>
      </c>
      <c r="N168" s="17">
        <v>2.4421296296296296E-3</v>
      </c>
      <c r="O168" s="17">
        <v>8.3796296296296292E-3</v>
      </c>
      <c r="P168" s="17"/>
      <c r="Q168" s="17"/>
      <c r="R168" s="17"/>
      <c r="S168" s="17">
        <v>2.5277777777777777E-2</v>
      </c>
      <c r="T168" s="17">
        <v>3.0497685185185187E-2</v>
      </c>
      <c r="U168" s="17"/>
      <c r="V168" s="17"/>
      <c r="W168" s="17">
        <v>7.4791666666666673E-2</v>
      </c>
    </row>
    <row r="169" spans="1:23" ht="15" customHeight="1" x14ac:dyDescent="0.25">
      <c r="A169" s="19">
        <v>46237</v>
      </c>
      <c r="B169" s="11" t="s">
        <v>60</v>
      </c>
      <c r="C169" s="12" t="s">
        <v>510</v>
      </c>
      <c r="D169" s="11" t="s">
        <v>100</v>
      </c>
      <c r="E169" s="12" t="s">
        <v>32</v>
      </c>
      <c r="F169" s="12" t="s">
        <v>33</v>
      </c>
      <c r="G169" s="12">
        <v>42</v>
      </c>
      <c r="H169" s="13">
        <v>0.2654050925925926</v>
      </c>
      <c r="I169" s="13">
        <v>0.24966435185185185</v>
      </c>
      <c r="J169" s="13">
        <v>5.9443893298059963E-3</v>
      </c>
      <c r="K169" s="13">
        <v>4.4270833333333336E-2</v>
      </c>
      <c r="L169" s="14">
        <v>0.16680476211242423</v>
      </c>
      <c r="M169" s="12" t="s">
        <v>334</v>
      </c>
      <c r="N169" s="13">
        <v>1.2847222222222223E-3</v>
      </c>
      <c r="O169" s="13">
        <v>2.7893518518518519E-2</v>
      </c>
      <c r="P169" s="13"/>
      <c r="Q169" s="13">
        <v>1.4918981481481481E-2</v>
      </c>
      <c r="R169" s="13"/>
      <c r="S169" s="13"/>
      <c r="T169" s="13">
        <v>6.9444444444444444E-5</v>
      </c>
      <c r="U169" s="13"/>
      <c r="V169" s="13"/>
      <c r="W169" s="13"/>
    </row>
    <row r="170" spans="1:23" ht="15" customHeight="1" x14ac:dyDescent="0.25">
      <c r="A170" s="20">
        <v>46237</v>
      </c>
      <c r="B170" s="15" t="s">
        <v>132</v>
      </c>
      <c r="C170" s="16" t="s">
        <v>512</v>
      </c>
      <c r="D170" s="15" t="s">
        <v>104</v>
      </c>
      <c r="E170" s="16" t="s">
        <v>105</v>
      </c>
      <c r="F170" s="16" t="s">
        <v>106</v>
      </c>
      <c r="G170" s="16">
        <v>16</v>
      </c>
      <c r="H170" s="17">
        <v>0.25715277777777779</v>
      </c>
      <c r="I170" s="17">
        <v>0.27469907407407407</v>
      </c>
      <c r="J170" s="17">
        <v>1.7168692129629629E-2</v>
      </c>
      <c r="K170" s="17">
        <v>6.7199074074074078E-2</v>
      </c>
      <c r="L170" s="18">
        <v>0.26131965073363939</v>
      </c>
      <c r="M170" s="16" t="s">
        <v>334</v>
      </c>
      <c r="N170" s="17">
        <v>5.4976851851851853E-3</v>
      </c>
      <c r="O170" s="17">
        <v>1.4988425925925926E-2</v>
      </c>
      <c r="P170" s="17"/>
      <c r="Q170" s="17"/>
      <c r="R170" s="17"/>
      <c r="S170" s="17">
        <v>1.4988425925925926E-2</v>
      </c>
      <c r="T170" s="17">
        <v>1.2662037037037038E-2</v>
      </c>
      <c r="U170" s="17">
        <v>1.0844907407407407E-2</v>
      </c>
      <c r="V170" s="17"/>
      <c r="W170" s="17">
        <v>8.2175925925925923E-3</v>
      </c>
    </row>
    <row r="171" spans="1:23" ht="15" customHeight="1" x14ac:dyDescent="0.25">
      <c r="A171" s="19">
        <v>46237</v>
      </c>
      <c r="B171" s="11" t="s">
        <v>134</v>
      </c>
      <c r="C171" s="12" t="s">
        <v>560</v>
      </c>
      <c r="D171" s="11" t="s">
        <v>104</v>
      </c>
      <c r="E171" s="12" t="s">
        <v>105</v>
      </c>
      <c r="F171" s="12" t="s">
        <v>106</v>
      </c>
      <c r="G171" s="12">
        <v>17</v>
      </c>
      <c r="H171" s="13">
        <v>0.26245370370370369</v>
      </c>
      <c r="I171" s="13">
        <v>0.26353009259259258</v>
      </c>
      <c r="J171" s="13">
        <v>1.5501770152505446E-2</v>
      </c>
      <c r="K171" s="13">
        <v>7.3506944444444444E-2</v>
      </c>
      <c r="L171" s="14">
        <v>0.28007585112012701</v>
      </c>
      <c r="M171" s="12" t="s">
        <v>334</v>
      </c>
      <c r="N171" s="13">
        <v>6.053240740740741E-3</v>
      </c>
      <c r="O171" s="13">
        <v>1.4212962962962964E-2</v>
      </c>
      <c r="P171" s="13"/>
      <c r="Q171" s="13"/>
      <c r="R171" s="13">
        <v>2.9398148148148148E-3</v>
      </c>
      <c r="S171" s="13">
        <v>1.170138888888889E-2</v>
      </c>
      <c r="T171" s="13">
        <v>1.2060185185185186E-2</v>
      </c>
      <c r="U171" s="13">
        <v>5.6018518518518518E-3</v>
      </c>
      <c r="V171" s="13"/>
      <c r="W171" s="13">
        <v>1.4722222222222222E-2</v>
      </c>
    </row>
    <row r="172" spans="1:23" ht="15" customHeight="1" x14ac:dyDescent="0.25">
      <c r="A172" s="20">
        <v>46237</v>
      </c>
      <c r="B172" s="15" t="s">
        <v>211</v>
      </c>
      <c r="C172" s="16" t="s">
        <v>546</v>
      </c>
      <c r="D172" s="15" t="s">
        <v>104</v>
      </c>
      <c r="E172" s="16" t="s">
        <v>105</v>
      </c>
      <c r="F172" s="16" t="s">
        <v>106</v>
      </c>
      <c r="G172" s="16">
        <v>9</v>
      </c>
      <c r="H172" s="17">
        <v>0.25905092592592593</v>
      </c>
      <c r="I172" s="17">
        <v>0.19905092592592594</v>
      </c>
      <c r="J172" s="17">
        <v>2.2116769547325103E-2</v>
      </c>
      <c r="K172" s="17">
        <v>5.3020833333333336E-2</v>
      </c>
      <c r="L172" s="18">
        <v>0.20467339826646413</v>
      </c>
      <c r="M172" s="16" t="s">
        <v>334</v>
      </c>
      <c r="N172" s="17"/>
      <c r="O172" s="17">
        <v>1.7743055555555557E-2</v>
      </c>
      <c r="P172" s="17">
        <v>7.2222222222222219E-3</v>
      </c>
      <c r="Q172" s="17"/>
      <c r="R172" s="17"/>
      <c r="S172" s="17">
        <v>1.2951388888888889E-2</v>
      </c>
      <c r="T172" s="17">
        <v>8.1018518518518516E-5</v>
      </c>
      <c r="U172" s="17">
        <v>1.5023148148148148E-2</v>
      </c>
      <c r="V172" s="17"/>
      <c r="W172" s="17"/>
    </row>
    <row r="173" spans="1:23" ht="15" customHeight="1" x14ac:dyDescent="0.25">
      <c r="A173" s="19">
        <v>46237</v>
      </c>
      <c r="B173" s="11" t="s">
        <v>618</v>
      </c>
      <c r="C173" s="12" t="s">
        <v>639</v>
      </c>
      <c r="D173" s="11" t="s">
        <v>601</v>
      </c>
      <c r="E173" s="12" t="s">
        <v>105</v>
      </c>
      <c r="F173" s="12" t="s">
        <v>33</v>
      </c>
      <c r="G173" s="12">
        <v>1</v>
      </c>
      <c r="H173" s="13">
        <v>5.7256944444444444E-2</v>
      </c>
      <c r="I173" s="13">
        <v>4.103009259259259E-2</v>
      </c>
      <c r="J173" s="13">
        <v>4.103009259259259E-2</v>
      </c>
      <c r="K173" s="13">
        <v>3.3229166666666664E-2</v>
      </c>
      <c r="L173" s="14">
        <v>0.5803517283201941</v>
      </c>
      <c r="M173" s="12" t="s">
        <v>334</v>
      </c>
      <c r="N173" s="13"/>
      <c r="O173" s="13"/>
      <c r="P173" s="13"/>
      <c r="Q173" s="13"/>
      <c r="R173" s="13"/>
      <c r="S173" s="13"/>
      <c r="T173" s="13">
        <v>2.3032407407407407E-3</v>
      </c>
      <c r="U173" s="13"/>
      <c r="V173" s="13"/>
      <c r="W173" s="13">
        <v>3.0925925925925926E-2</v>
      </c>
    </row>
    <row r="174" spans="1:23" ht="15" customHeight="1" x14ac:dyDescent="0.25">
      <c r="A174" s="20">
        <v>46237</v>
      </c>
      <c r="B174" s="15" t="s">
        <v>501</v>
      </c>
      <c r="C174" s="16" t="s">
        <v>524</v>
      </c>
      <c r="D174" s="15" t="s">
        <v>274</v>
      </c>
      <c r="E174" s="16" t="s">
        <v>147</v>
      </c>
      <c r="F174" s="16" t="s">
        <v>33</v>
      </c>
      <c r="G174" s="16">
        <v>18</v>
      </c>
      <c r="H174" s="17">
        <v>0.26634259259259258</v>
      </c>
      <c r="I174" s="17">
        <v>7.2581018518518517E-2</v>
      </c>
      <c r="J174" s="17">
        <v>4.0322788065843621E-3</v>
      </c>
      <c r="K174" s="17">
        <v>3.3900462962962966E-2</v>
      </c>
      <c r="L174" s="18">
        <v>0.12728141839040499</v>
      </c>
      <c r="M174" s="16" t="s">
        <v>334</v>
      </c>
      <c r="N174" s="17"/>
      <c r="O174" s="17">
        <v>1.1689814814814814E-2</v>
      </c>
      <c r="P174" s="17"/>
      <c r="Q174" s="17">
        <v>5.3125000000000004E-3</v>
      </c>
      <c r="R174" s="17"/>
      <c r="S174" s="17">
        <v>1.4074074074074074E-2</v>
      </c>
      <c r="T174" s="17">
        <v>1.8865740740740742E-3</v>
      </c>
      <c r="U174" s="17">
        <v>3.7037037037037035E-4</v>
      </c>
      <c r="V174" s="17"/>
      <c r="W174" s="17"/>
    </row>
    <row r="175" spans="1:23" ht="15" customHeight="1" x14ac:dyDescent="0.25">
      <c r="A175" s="19">
        <v>46237</v>
      </c>
      <c r="B175" s="11" t="s">
        <v>213</v>
      </c>
      <c r="C175" s="12" t="s">
        <v>572</v>
      </c>
      <c r="D175" s="11" t="s">
        <v>601</v>
      </c>
      <c r="E175" s="12" t="s">
        <v>105</v>
      </c>
      <c r="F175" s="12" t="s">
        <v>33</v>
      </c>
      <c r="G175" s="12">
        <v>7</v>
      </c>
      <c r="H175" s="13">
        <v>0.2495138888888889</v>
      </c>
      <c r="I175" s="13">
        <v>0.1711574074074074</v>
      </c>
      <c r="J175" s="13">
        <v>2.4451058201058199E-2</v>
      </c>
      <c r="K175" s="13">
        <v>0.16343750000000001</v>
      </c>
      <c r="L175" s="14">
        <v>0.65502365711104926</v>
      </c>
      <c r="M175" s="12" t="s">
        <v>334</v>
      </c>
      <c r="N175" s="13">
        <v>5.8564814814814816E-3</v>
      </c>
      <c r="O175" s="13">
        <v>2.2291666666666668E-2</v>
      </c>
      <c r="P175" s="13"/>
      <c r="Q175" s="13"/>
      <c r="R175" s="13"/>
      <c r="S175" s="13">
        <v>1.4988425925925926E-2</v>
      </c>
      <c r="T175" s="13">
        <v>1.0763888888888889E-3</v>
      </c>
      <c r="U175" s="13">
        <v>6.9444444444444444E-5</v>
      </c>
      <c r="V175" s="13"/>
      <c r="W175" s="13">
        <v>0.11915509259259259</v>
      </c>
    </row>
    <row r="176" spans="1:23" ht="15" customHeight="1" x14ac:dyDescent="0.25">
      <c r="A176" s="20">
        <v>46237</v>
      </c>
      <c r="B176" s="15" t="s">
        <v>215</v>
      </c>
      <c r="C176" s="16" t="s">
        <v>547</v>
      </c>
      <c r="D176" s="15" t="s">
        <v>601</v>
      </c>
      <c r="E176" s="16" t="s">
        <v>105</v>
      </c>
      <c r="F176" s="16" t="s">
        <v>33</v>
      </c>
      <c r="G176" s="16">
        <v>14</v>
      </c>
      <c r="H176" s="17">
        <v>0.2379050925925926</v>
      </c>
      <c r="I176" s="17">
        <v>0.24922453703703704</v>
      </c>
      <c r="J176" s="17">
        <v>1.7801752645502645E-2</v>
      </c>
      <c r="K176" s="17">
        <v>0.1119212962962963</v>
      </c>
      <c r="L176" s="18">
        <v>0.47044514716613961</v>
      </c>
      <c r="M176" s="16" t="s">
        <v>334</v>
      </c>
      <c r="N176" s="17">
        <v>1.5671296296296298E-2</v>
      </c>
      <c r="O176" s="17">
        <v>2.0798611111111111E-2</v>
      </c>
      <c r="P176" s="17">
        <v>1.0590277777777778E-2</v>
      </c>
      <c r="Q176" s="17"/>
      <c r="R176" s="17">
        <v>1.1018518518518518E-2</v>
      </c>
      <c r="S176" s="17">
        <v>1.443287037037037E-2</v>
      </c>
      <c r="T176" s="17">
        <v>2.8935185185185184E-4</v>
      </c>
      <c r="U176" s="17">
        <v>2.4305555555555555E-4</v>
      </c>
      <c r="V176" s="17"/>
      <c r="W176" s="17">
        <v>3.8877314814814816E-2</v>
      </c>
    </row>
    <row r="177" spans="1:23" ht="15" customHeight="1" x14ac:dyDescent="0.25">
      <c r="A177" s="19">
        <v>46237</v>
      </c>
      <c r="B177" s="11" t="s">
        <v>619</v>
      </c>
      <c r="C177" s="12" t="s">
        <v>640</v>
      </c>
      <c r="D177" s="11" t="s">
        <v>601</v>
      </c>
      <c r="E177" s="12" t="s">
        <v>105</v>
      </c>
      <c r="F177" s="12" t="s">
        <v>33</v>
      </c>
      <c r="G177" s="12">
        <v>9</v>
      </c>
      <c r="H177" s="13">
        <v>0.22293981481481481</v>
      </c>
      <c r="I177" s="13">
        <v>0.2117013888888889</v>
      </c>
      <c r="J177" s="13">
        <v>2.3522376543209874E-2</v>
      </c>
      <c r="K177" s="13">
        <v>0.10962962962962963</v>
      </c>
      <c r="L177" s="14">
        <v>0.49174540546153045</v>
      </c>
      <c r="M177" s="12" t="s">
        <v>334</v>
      </c>
      <c r="N177" s="13">
        <v>1.4976851851851852E-2</v>
      </c>
      <c r="O177" s="13">
        <v>8.9930555555555562E-3</v>
      </c>
      <c r="P177" s="13"/>
      <c r="Q177" s="13"/>
      <c r="R177" s="13"/>
      <c r="S177" s="13">
        <v>1.3333333333333334E-2</v>
      </c>
      <c r="T177" s="13">
        <v>3.2407407407407406E-4</v>
      </c>
      <c r="U177" s="13">
        <v>1.9675925925925926E-4</v>
      </c>
      <c r="V177" s="13"/>
      <c r="W177" s="13">
        <v>7.1805555555555553E-2</v>
      </c>
    </row>
    <row r="178" spans="1:23" ht="15" customHeight="1" x14ac:dyDescent="0.25">
      <c r="A178" s="20">
        <v>46237</v>
      </c>
      <c r="B178" s="15" t="s">
        <v>668</v>
      </c>
      <c r="C178" s="16" t="s">
        <v>669</v>
      </c>
      <c r="D178" s="15" t="s">
        <v>233</v>
      </c>
      <c r="E178" s="16" t="s">
        <v>32</v>
      </c>
      <c r="F178" s="16" t="s">
        <v>106</v>
      </c>
      <c r="G178" s="16">
        <v>30</v>
      </c>
      <c r="H178" s="17">
        <v>0.26313657407407409</v>
      </c>
      <c r="I178" s="17">
        <v>0.16410879629629629</v>
      </c>
      <c r="J178" s="17">
        <v>5.4702932098765434E-3</v>
      </c>
      <c r="K178" s="17">
        <v>4.1851851851851848E-2</v>
      </c>
      <c r="L178" s="18">
        <v>0.1590499230261711</v>
      </c>
      <c r="M178" s="16" t="s">
        <v>334</v>
      </c>
      <c r="N178" s="17"/>
      <c r="O178" s="17">
        <v>1.4687499999999999E-2</v>
      </c>
      <c r="P178" s="17"/>
      <c r="Q178" s="17"/>
      <c r="R178" s="17"/>
      <c r="S178" s="17">
        <v>1.4016203703703704E-2</v>
      </c>
      <c r="T178" s="17">
        <v>1.1585648148148149E-2</v>
      </c>
      <c r="U178" s="17">
        <v>1.5393518518518519E-3</v>
      </c>
      <c r="V178" s="17"/>
      <c r="W178" s="17"/>
    </row>
    <row r="179" spans="1:23" ht="15" customHeight="1" x14ac:dyDescent="0.25">
      <c r="A179" s="19">
        <v>46237</v>
      </c>
      <c r="B179" s="11" t="s">
        <v>744</v>
      </c>
      <c r="C179" s="12" t="s">
        <v>670</v>
      </c>
      <c r="D179" s="11" t="s">
        <v>100</v>
      </c>
      <c r="E179" s="12" t="s">
        <v>32</v>
      </c>
      <c r="F179" s="12" t="s">
        <v>33</v>
      </c>
      <c r="G179" s="12">
        <v>29</v>
      </c>
      <c r="H179" s="13">
        <v>0.26248842592592592</v>
      </c>
      <c r="I179" s="13">
        <v>0.22244212962962964</v>
      </c>
      <c r="J179" s="13">
        <v>7.6704182630906777E-3</v>
      </c>
      <c r="K179" s="13">
        <v>4.8935185185185186E-2</v>
      </c>
      <c r="L179" s="14">
        <v>0.1864279730146832</v>
      </c>
      <c r="M179" s="12" t="s">
        <v>334</v>
      </c>
      <c r="N179" s="13">
        <v>1.0173611111111111E-2</v>
      </c>
      <c r="O179" s="13">
        <v>1.425925925925926E-2</v>
      </c>
      <c r="P179" s="13"/>
      <c r="Q179" s="13"/>
      <c r="R179" s="13">
        <v>4.2129629629629626E-3</v>
      </c>
      <c r="S179" s="13">
        <v>1.4178240740740741E-2</v>
      </c>
      <c r="T179" s="13">
        <v>4.2824074074074075E-4</v>
      </c>
      <c r="U179" s="13">
        <v>5.6365740740740742E-3</v>
      </c>
      <c r="V179" s="13"/>
      <c r="W179" s="13"/>
    </row>
    <row r="180" spans="1:23" ht="15" customHeight="1" x14ac:dyDescent="0.25">
      <c r="A180" s="20">
        <v>46237</v>
      </c>
      <c r="B180" s="15" t="s">
        <v>219</v>
      </c>
      <c r="C180" s="16" t="s">
        <v>548</v>
      </c>
      <c r="D180" s="15" t="s">
        <v>104</v>
      </c>
      <c r="E180" s="16" t="s">
        <v>105</v>
      </c>
      <c r="F180" s="16" t="s">
        <v>106</v>
      </c>
      <c r="G180" s="16">
        <v>19</v>
      </c>
      <c r="H180" s="17">
        <v>0.26327546296296295</v>
      </c>
      <c r="I180" s="17">
        <v>0.27539351851851851</v>
      </c>
      <c r="J180" s="17">
        <v>1.4494395711500975E-2</v>
      </c>
      <c r="K180" s="17">
        <v>6.5127314814814818E-2</v>
      </c>
      <c r="L180" s="18">
        <v>0.2473732799929661</v>
      </c>
      <c r="M180" s="16" t="s">
        <v>334</v>
      </c>
      <c r="N180" s="17">
        <v>1.0601851851851852E-2</v>
      </c>
      <c r="O180" s="17">
        <v>2.0891203703703703E-2</v>
      </c>
      <c r="P180" s="17">
        <v>3.5879629629629629E-3</v>
      </c>
      <c r="Q180" s="17"/>
      <c r="R180" s="17"/>
      <c r="S180" s="17">
        <v>1.494212962962963E-2</v>
      </c>
      <c r="T180" s="17">
        <v>1.4004629629629629E-3</v>
      </c>
      <c r="U180" s="17">
        <v>5.6134259259259262E-3</v>
      </c>
      <c r="V180" s="17"/>
      <c r="W180" s="17">
        <v>8.0555555555555554E-3</v>
      </c>
    </row>
    <row r="181" spans="1:23" ht="15" customHeight="1" x14ac:dyDescent="0.25">
      <c r="A181" s="19">
        <v>46237</v>
      </c>
      <c r="B181" s="11" t="s">
        <v>305</v>
      </c>
      <c r="C181" s="12" t="s">
        <v>306</v>
      </c>
      <c r="D181" s="11" t="s">
        <v>100</v>
      </c>
      <c r="E181" s="12" t="s">
        <v>32</v>
      </c>
      <c r="F181" s="12" t="s">
        <v>33</v>
      </c>
      <c r="G181" s="12">
        <v>54</v>
      </c>
      <c r="H181" s="13">
        <v>0.26291666666666669</v>
      </c>
      <c r="I181" s="13">
        <v>0.3004398148148148</v>
      </c>
      <c r="J181" s="13">
        <v>5.563700274348422E-3</v>
      </c>
      <c r="K181" s="13">
        <v>4.6157407407407404E-2</v>
      </c>
      <c r="L181" s="14">
        <v>0.17555907730234196</v>
      </c>
      <c r="M181" s="12" t="s">
        <v>334</v>
      </c>
      <c r="N181" s="13">
        <v>1.1655092592592592E-2</v>
      </c>
      <c r="O181" s="13">
        <v>1.5497685185185186E-2</v>
      </c>
      <c r="P181" s="13"/>
      <c r="Q181" s="13"/>
      <c r="R181" s="13"/>
      <c r="S181" s="13">
        <v>1.5625E-2</v>
      </c>
      <c r="T181" s="13">
        <v>1.3888888888888889E-4</v>
      </c>
      <c r="U181" s="13"/>
      <c r="V181" s="13"/>
      <c r="W181" s="13">
        <v>3.2407407407407406E-3</v>
      </c>
    </row>
    <row r="182" spans="1:23" ht="15" customHeight="1" x14ac:dyDescent="0.25">
      <c r="A182" s="20">
        <v>46237</v>
      </c>
      <c r="B182" s="15" t="s">
        <v>620</v>
      </c>
      <c r="C182" s="16" t="s">
        <v>641</v>
      </c>
      <c r="D182" s="15" t="s">
        <v>601</v>
      </c>
      <c r="E182" s="16" t="s">
        <v>105</v>
      </c>
      <c r="F182" s="16" t="s">
        <v>33</v>
      </c>
      <c r="G182" s="16">
        <v>13</v>
      </c>
      <c r="H182" s="17">
        <v>0.24063657407407407</v>
      </c>
      <c r="I182" s="17">
        <v>0.23354166666666668</v>
      </c>
      <c r="J182" s="17">
        <v>1.7964743589743589E-2</v>
      </c>
      <c r="K182" s="17">
        <v>0.14937500000000001</v>
      </c>
      <c r="L182" s="18">
        <v>0.62074936270501657</v>
      </c>
      <c r="M182" s="16" t="s">
        <v>334</v>
      </c>
      <c r="N182" s="17">
        <v>1.9097222222222224E-2</v>
      </c>
      <c r="O182" s="17">
        <v>7.3379629629629628E-3</v>
      </c>
      <c r="P182" s="17"/>
      <c r="Q182" s="17">
        <v>1.119212962962963E-2</v>
      </c>
      <c r="R182" s="17"/>
      <c r="S182" s="17">
        <v>1.0474537037037037E-2</v>
      </c>
      <c r="T182" s="17">
        <v>8.9467592592592585E-3</v>
      </c>
      <c r="U182" s="17">
        <v>5.6041666666666663E-2</v>
      </c>
      <c r="V182" s="17"/>
      <c r="W182" s="17">
        <v>3.6284722222222225E-2</v>
      </c>
    </row>
    <row r="183" spans="1:23" ht="15" customHeight="1" x14ac:dyDescent="0.25">
      <c r="A183" s="19">
        <v>46237</v>
      </c>
      <c r="B183" s="11" t="s">
        <v>138</v>
      </c>
      <c r="C183" s="12" t="s">
        <v>556</v>
      </c>
      <c r="D183" s="11" t="s">
        <v>104</v>
      </c>
      <c r="E183" s="12" t="s">
        <v>105</v>
      </c>
      <c r="F183" s="12" t="s">
        <v>106</v>
      </c>
      <c r="G183" s="12">
        <v>16</v>
      </c>
      <c r="H183" s="13">
        <v>0.23188657407407406</v>
      </c>
      <c r="I183" s="13">
        <v>0.19341435185185185</v>
      </c>
      <c r="J183" s="13">
        <v>1.2088396990740741E-2</v>
      </c>
      <c r="K183" s="13">
        <v>9.0810185185185188E-2</v>
      </c>
      <c r="L183" s="14">
        <v>0.39161467431994013</v>
      </c>
      <c r="M183" s="12" t="s">
        <v>334</v>
      </c>
      <c r="N183" s="13">
        <v>6.2615740740740739E-3</v>
      </c>
      <c r="O183" s="13">
        <v>1.7534722222222222E-2</v>
      </c>
      <c r="P183" s="13"/>
      <c r="Q183" s="13"/>
      <c r="R183" s="13">
        <v>4.1666666666666666E-3</v>
      </c>
      <c r="S183" s="13">
        <v>1.681712962962963E-2</v>
      </c>
      <c r="T183" s="13">
        <v>9.5833333333333326E-3</v>
      </c>
      <c r="U183" s="13">
        <v>1.4074074074074074E-2</v>
      </c>
      <c r="V183" s="13"/>
      <c r="W183" s="13">
        <v>2.2361111111111109E-2</v>
      </c>
    </row>
    <row r="184" spans="1:23" ht="15" customHeight="1" x14ac:dyDescent="0.25">
      <c r="A184" s="20">
        <v>46237</v>
      </c>
      <c r="B184" s="15" t="s">
        <v>276</v>
      </c>
      <c r="C184" s="16" t="s">
        <v>532</v>
      </c>
      <c r="D184" s="15" t="s">
        <v>233</v>
      </c>
      <c r="E184" s="16" t="s">
        <v>32</v>
      </c>
      <c r="F184" s="16" t="s">
        <v>106</v>
      </c>
      <c r="G184" s="16">
        <v>41</v>
      </c>
      <c r="H184" s="17">
        <v>0.26269675925925928</v>
      </c>
      <c r="I184" s="17">
        <v>0.13099537037037037</v>
      </c>
      <c r="J184" s="17">
        <v>3.1950090334236679E-3</v>
      </c>
      <c r="K184" s="17">
        <v>5.3506944444444447E-2</v>
      </c>
      <c r="L184" s="18">
        <v>0.2036833061638102</v>
      </c>
      <c r="M184" s="16" t="s">
        <v>334</v>
      </c>
      <c r="N184" s="17">
        <v>8.9236111111111113E-3</v>
      </c>
      <c r="O184" s="17">
        <v>1.863425925925926E-2</v>
      </c>
      <c r="P184" s="17"/>
      <c r="Q184" s="17"/>
      <c r="R184" s="17"/>
      <c r="S184" s="17">
        <v>1.4722222222222222E-2</v>
      </c>
      <c r="T184" s="17">
        <v>1.0810185185185185E-2</v>
      </c>
      <c r="U184" s="17">
        <v>1.3888888888888889E-4</v>
      </c>
      <c r="V184" s="17"/>
      <c r="W184" s="17">
        <v>2.7777777777777778E-4</v>
      </c>
    </row>
    <row r="185" spans="1:23" ht="15" customHeight="1" x14ac:dyDescent="0.25">
      <c r="A185" s="19">
        <v>46237</v>
      </c>
      <c r="B185" s="11" t="s">
        <v>278</v>
      </c>
      <c r="C185" s="12" t="s">
        <v>533</v>
      </c>
      <c r="D185" s="11" t="s">
        <v>233</v>
      </c>
      <c r="E185" s="12" t="s">
        <v>32</v>
      </c>
      <c r="F185" s="12" t="s">
        <v>106</v>
      </c>
      <c r="G185" s="12">
        <v>29</v>
      </c>
      <c r="H185" s="13">
        <v>0.26671296296296299</v>
      </c>
      <c r="I185" s="13">
        <v>0.13844907407407409</v>
      </c>
      <c r="J185" s="13">
        <v>4.7741060025542782E-3</v>
      </c>
      <c r="K185" s="13">
        <v>3.4664351851851849E-2</v>
      </c>
      <c r="L185" s="14">
        <v>0.12996875542440547</v>
      </c>
      <c r="M185" s="12" t="s">
        <v>334</v>
      </c>
      <c r="N185" s="13">
        <v>3.4375E-3</v>
      </c>
      <c r="O185" s="13">
        <v>1.4143518518518519E-2</v>
      </c>
      <c r="P185" s="13"/>
      <c r="Q185" s="13"/>
      <c r="R185" s="13"/>
      <c r="S185" s="13">
        <v>1.4965277777777777E-2</v>
      </c>
      <c r="T185" s="13">
        <v>2.1180555555555558E-3</v>
      </c>
      <c r="U185" s="13"/>
      <c r="V185" s="13"/>
      <c r="W185" s="13"/>
    </row>
    <row r="186" spans="1:23" ht="15" customHeight="1" x14ac:dyDescent="0.25">
      <c r="A186" s="20">
        <v>46237</v>
      </c>
      <c r="B186" s="15" t="s">
        <v>313</v>
      </c>
      <c r="C186" s="16" t="s">
        <v>511</v>
      </c>
      <c r="D186" s="15" t="s">
        <v>78</v>
      </c>
      <c r="E186" s="16" t="s">
        <v>80</v>
      </c>
      <c r="F186" s="16" t="s">
        <v>81</v>
      </c>
      <c r="G186" s="16">
        <v>2</v>
      </c>
      <c r="H186" s="17">
        <v>0.24265046296296297</v>
      </c>
      <c r="I186" s="17">
        <v>4.4444444444444444E-3</v>
      </c>
      <c r="J186" s="17">
        <v>2.2222222222222222E-3</v>
      </c>
      <c r="K186" s="17">
        <v>1.2662037037037038E-2</v>
      </c>
      <c r="L186" s="18">
        <v>5.21822084426425E-2</v>
      </c>
      <c r="M186" s="16" t="s">
        <v>334</v>
      </c>
      <c r="N186" s="17"/>
      <c r="O186" s="17"/>
      <c r="P186" s="17"/>
      <c r="Q186" s="17"/>
      <c r="R186" s="17"/>
      <c r="S186" s="17">
        <v>1.2453703703703703E-2</v>
      </c>
      <c r="T186" s="17">
        <v>1.5046296296296297E-4</v>
      </c>
      <c r="U186" s="17">
        <v>5.7870370370370373E-5</v>
      </c>
      <c r="V186" s="17"/>
      <c r="W186" s="17"/>
    </row>
    <row r="187" spans="1:23" ht="15" customHeight="1" x14ac:dyDescent="0.25">
      <c r="A187" s="19">
        <v>46237</v>
      </c>
      <c r="B187" s="11" t="s">
        <v>673</v>
      </c>
      <c r="C187" s="12" t="s">
        <v>674</v>
      </c>
      <c r="D187" s="11" t="s">
        <v>104</v>
      </c>
      <c r="E187" s="12" t="s">
        <v>105</v>
      </c>
      <c r="F187" s="12" t="s">
        <v>106</v>
      </c>
      <c r="G187" s="12">
        <v>14</v>
      </c>
      <c r="H187" s="13">
        <v>0.25037037037037035</v>
      </c>
      <c r="I187" s="13">
        <v>0.19850694444444444</v>
      </c>
      <c r="J187" s="13">
        <v>1.4179067460317461E-2</v>
      </c>
      <c r="K187" s="13">
        <v>0.13590277777777779</v>
      </c>
      <c r="L187" s="14">
        <v>0.54280695266272194</v>
      </c>
      <c r="M187" s="12" t="s">
        <v>334</v>
      </c>
      <c r="N187" s="13">
        <v>8.4837962962962966E-3</v>
      </c>
      <c r="O187" s="13">
        <v>1.6226851851851853E-2</v>
      </c>
      <c r="P187" s="13"/>
      <c r="Q187" s="13"/>
      <c r="R187" s="13"/>
      <c r="S187" s="13">
        <v>1.5775462962962963E-2</v>
      </c>
      <c r="T187" s="13">
        <v>6.9444444444444444E-5</v>
      </c>
      <c r="U187" s="13">
        <v>1.7592592592592592E-3</v>
      </c>
      <c r="V187" s="13"/>
      <c r="W187" s="13">
        <v>9.3587962962962956E-2</v>
      </c>
    </row>
    <row r="188" spans="1:23" ht="15" customHeight="1" x14ac:dyDescent="0.25">
      <c r="A188" s="20">
        <v>46237</v>
      </c>
      <c r="B188" s="15" t="s">
        <v>225</v>
      </c>
      <c r="C188" s="16" t="s">
        <v>549</v>
      </c>
      <c r="D188" s="15" t="s">
        <v>601</v>
      </c>
      <c r="E188" s="16" t="s">
        <v>105</v>
      </c>
      <c r="F188" s="16" t="s">
        <v>33</v>
      </c>
      <c r="G188" s="16">
        <v>13</v>
      </c>
      <c r="H188" s="17">
        <v>0.2568171296296296</v>
      </c>
      <c r="I188" s="17">
        <v>0.34709490740740739</v>
      </c>
      <c r="J188" s="17">
        <v>2.6699608262108262E-2</v>
      </c>
      <c r="K188" s="17">
        <v>5.1712962962962961E-2</v>
      </c>
      <c r="L188" s="18">
        <v>0.20136103474694669</v>
      </c>
      <c r="M188" s="16" t="s">
        <v>334</v>
      </c>
      <c r="N188" s="17">
        <v>3.9814814814814817E-3</v>
      </c>
      <c r="O188" s="17">
        <v>7.2106481481481483E-3</v>
      </c>
      <c r="P188" s="17"/>
      <c r="Q188" s="17"/>
      <c r="R188" s="17"/>
      <c r="S188" s="17">
        <v>1.3738425925925926E-2</v>
      </c>
      <c r="T188" s="17">
        <v>6.9444444444444444E-5</v>
      </c>
      <c r="U188" s="17">
        <v>4.6296296296296298E-4</v>
      </c>
      <c r="V188" s="17"/>
      <c r="W188" s="17">
        <v>2.6226851851851852E-2</v>
      </c>
    </row>
    <row r="189" spans="1:23" ht="15" customHeight="1" x14ac:dyDescent="0.25">
      <c r="A189" s="19">
        <v>46237</v>
      </c>
      <c r="B189" s="11" t="s">
        <v>70</v>
      </c>
      <c r="C189" s="12" t="s">
        <v>71</v>
      </c>
      <c r="D189" s="11" t="s">
        <v>78</v>
      </c>
      <c r="E189" s="12" t="s">
        <v>80</v>
      </c>
      <c r="F189" s="12" t="s">
        <v>33</v>
      </c>
      <c r="G189" s="12">
        <v>0</v>
      </c>
      <c r="H189" s="13">
        <v>0.33854166666666669</v>
      </c>
      <c r="I189" s="13">
        <v>0</v>
      </c>
      <c r="J189" s="13">
        <v>0</v>
      </c>
      <c r="K189" s="13">
        <v>6.3217592592592589E-2</v>
      </c>
      <c r="L189" s="14">
        <v>0.18673504273504274</v>
      </c>
      <c r="M189" s="12" t="s">
        <v>334</v>
      </c>
      <c r="N189" s="13"/>
      <c r="O189" s="13">
        <v>4.2187500000000003E-2</v>
      </c>
      <c r="P189" s="13"/>
      <c r="Q189" s="13"/>
      <c r="R189" s="13"/>
      <c r="S189" s="13">
        <v>1.7662037037037039E-2</v>
      </c>
      <c r="T189" s="13">
        <v>2.8240740740740739E-3</v>
      </c>
      <c r="U189" s="13">
        <v>5.3240740740740744E-4</v>
      </c>
      <c r="V189" s="13"/>
      <c r="W189" s="13"/>
    </row>
    <row r="190" spans="1:23" ht="15" customHeight="1" x14ac:dyDescent="0.25">
      <c r="A190" s="20">
        <v>46237</v>
      </c>
      <c r="B190" s="15" t="s">
        <v>280</v>
      </c>
      <c r="C190" s="16" t="s">
        <v>534</v>
      </c>
      <c r="D190" s="15" t="s">
        <v>233</v>
      </c>
      <c r="E190" s="16" t="s">
        <v>32</v>
      </c>
      <c r="F190" s="16" t="s">
        <v>106</v>
      </c>
      <c r="G190" s="16">
        <v>39</v>
      </c>
      <c r="H190" s="17">
        <v>0.25284722222222222</v>
      </c>
      <c r="I190" s="17">
        <v>0.11961805555555556</v>
      </c>
      <c r="J190" s="17">
        <v>3.0671296296296297E-3</v>
      </c>
      <c r="K190" s="17">
        <v>3.8078703703703705E-2</v>
      </c>
      <c r="L190" s="18">
        <v>0.15059965211022613</v>
      </c>
      <c r="M190" s="16" t="s">
        <v>334</v>
      </c>
      <c r="N190" s="17">
        <v>5.5208333333333333E-3</v>
      </c>
      <c r="O190" s="17">
        <v>1.6446759259259258E-2</v>
      </c>
      <c r="P190" s="17"/>
      <c r="Q190" s="17"/>
      <c r="R190" s="17"/>
      <c r="S190" s="17">
        <v>1.59375E-2</v>
      </c>
      <c r="T190" s="17">
        <v>1.7361111111111112E-4</v>
      </c>
      <c r="U190" s="17"/>
      <c r="V190" s="17"/>
      <c r="W190" s="17"/>
    </row>
    <row r="191" spans="1:23" ht="15" customHeight="1" x14ac:dyDescent="0.25">
      <c r="A191" s="19">
        <v>46237</v>
      </c>
      <c r="B191" s="11" t="s">
        <v>299</v>
      </c>
      <c r="C191" s="12" t="s">
        <v>571</v>
      </c>
      <c r="D191" s="11" t="s">
        <v>104</v>
      </c>
      <c r="E191" s="12" t="s">
        <v>105</v>
      </c>
      <c r="F191" s="12" t="s">
        <v>106</v>
      </c>
      <c r="G191" s="12">
        <v>13</v>
      </c>
      <c r="H191" s="13">
        <v>0.26898148148148149</v>
      </c>
      <c r="I191" s="13">
        <v>0.25300925925925927</v>
      </c>
      <c r="J191" s="13">
        <v>1.946225071225071E-2</v>
      </c>
      <c r="K191" s="13">
        <v>5.1770833333333335E-2</v>
      </c>
      <c r="L191" s="14">
        <v>0.19246987951807229</v>
      </c>
      <c r="M191" s="12" t="s">
        <v>334</v>
      </c>
      <c r="N191" s="13"/>
      <c r="O191" s="13">
        <v>1.3969907407407407E-2</v>
      </c>
      <c r="P191" s="13"/>
      <c r="Q191" s="13"/>
      <c r="R191" s="13"/>
      <c r="S191" s="13">
        <v>1.4502314814814815E-2</v>
      </c>
      <c r="T191" s="13">
        <v>1.1574074074074075E-4</v>
      </c>
      <c r="U191" s="13">
        <v>1.1793981481481482E-2</v>
      </c>
      <c r="V191" s="13"/>
      <c r="W191" s="13">
        <v>1.1388888888888889E-2</v>
      </c>
    </row>
    <row r="192" spans="1:23" ht="15" customHeight="1" x14ac:dyDescent="0.25">
      <c r="A192" s="20">
        <v>46237</v>
      </c>
      <c r="B192" s="15" t="s">
        <v>227</v>
      </c>
      <c r="C192" s="16" t="s">
        <v>557</v>
      </c>
      <c r="D192" s="15" t="s">
        <v>146</v>
      </c>
      <c r="E192" s="16" t="s">
        <v>147</v>
      </c>
      <c r="F192" s="16" t="s">
        <v>106</v>
      </c>
      <c r="G192" s="16">
        <v>8</v>
      </c>
      <c r="H192" s="17">
        <v>0.26608796296296294</v>
      </c>
      <c r="I192" s="17">
        <v>2.9074074074074075E-2</v>
      </c>
      <c r="J192" s="17">
        <v>3.6342592592592594E-3</v>
      </c>
      <c r="K192" s="17">
        <v>6.9375000000000006E-2</v>
      </c>
      <c r="L192" s="18">
        <v>0.26072205306655066</v>
      </c>
      <c r="M192" s="16" t="s">
        <v>334</v>
      </c>
      <c r="N192" s="17">
        <v>1.1493055555555555E-2</v>
      </c>
      <c r="O192" s="17">
        <v>1.7187500000000001E-2</v>
      </c>
      <c r="P192" s="17">
        <v>7.743055555555556E-3</v>
      </c>
      <c r="Q192" s="17">
        <v>2.2534722222222223E-2</v>
      </c>
      <c r="R192" s="17"/>
      <c r="S192" s="17">
        <v>9.3518518518518525E-3</v>
      </c>
      <c r="T192" s="17">
        <v>2.3148148148148149E-4</v>
      </c>
      <c r="U192" s="17">
        <v>7.7546296296296293E-4</v>
      </c>
      <c r="V192" s="17"/>
      <c r="W192" s="17"/>
    </row>
    <row r="193" spans="1:23" ht="15" customHeight="1" x14ac:dyDescent="0.25">
      <c r="A193" s="19">
        <v>46237</v>
      </c>
      <c r="B193" s="11" t="s">
        <v>282</v>
      </c>
      <c r="C193" s="12" t="s">
        <v>535</v>
      </c>
      <c r="D193" s="11" t="s">
        <v>233</v>
      </c>
      <c r="E193" s="12" t="s">
        <v>32</v>
      </c>
      <c r="F193" s="12" t="s">
        <v>106</v>
      </c>
      <c r="G193" s="12">
        <v>62</v>
      </c>
      <c r="H193" s="13">
        <v>0.25888888888888889</v>
      </c>
      <c r="I193" s="13">
        <v>0.12487268518518518</v>
      </c>
      <c r="J193" s="13">
        <v>2.014075567502987E-3</v>
      </c>
      <c r="K193" s="13">
        <v>4.3645833333333335E-2</v>
      </c>
      <c r="L193" s="14">
        <v>0.16858905579399142</v>
      </c>
      <c r="M193" s="12" t="s">
        <v>334</v>
      </c>
      <c r="N193" s="13">
        <v>9.0046296296296298E-3</v>
      </c>
      <c r="O193" s="13">
        <v>1.6273148148148148E-2</v>
      </c>
      <c r="P193" s="13"/>
      <c r="Q193" s="13">
        <v>2.0949074074074073E-3</v>
      </c>
      <c r="R193" s="13"/>
      <c r="S193" s="13">
        <v>1.6087962962962964E-2</v>
      </c>
      <c r="T193" s="13">
        <v>1.8518518518518518E-4</v>
      </c>
      <c r="U193" s="13"/>
      <c r="V193" s="13"/>
      <c r="W193" s="13"/>
    </row>
    <row r="194" spans="1:23" ht="15" customHeight="1" x14ac:dyDescent="0.25">
      <c r="A194" s="20">
        <v>46237</v>
      </c>
      <c r="B194" s="15" t="s">
        <v>675</v>
      </c>
      <c r="C194" s="16" t="s">
        <v>676</v>
      </c>
      <c r="D194" s="15" t="s">
        <v>104</v>
      </c>
      <c r="E194" s="16" t="s">
        <v>105</v>
      </c>
      <c r="F194" s="16" t="s">
        <v>106</v>
      </c>
      <c r="G194" s="16">
        <v>10</v>
      </c>
      <c r="H194" s="17">
        <v>0.25798611111111114</v>
      </c>
      <c r="I194" s="17">
        <v>0.23590277777777777</v>
      </c>
      <c r="J194" s="17">
        <v>2.3590277777777779E-2</v>
      </c>
      <c r="K194" s="17">
        <v>8.2349537037037041E-2</v>
      </c>
      <c r="L194" s="18">
        <v>0.31920143562135489</v>
      </c>
      <c r="M194" s="16" t="s">
        <v>334</v>
      </c>
      <c r="N194" s="17"/>
      <c r="O194" s="17">
        <v>1.4421296296296297E-2</v>
      </c>
      <c r="P194" s="17"/>
      <c r="Q194" s="17"/>
      <c r="R194" s="17"/>
      <c r="S194" s="17">
        <v>1.4247685185185184E-2</v>
      </c>
      <c r="T194" s="17">
        <v>1.5277777777777779E-3</v>
      </c>
      <c r="U194" s="17">
        <v>1.7476851851851852E-3</v>
      </c>
      <c r="V194" s="17"/>
      <c r="W194" s="17">
        <v>5.0405092592592592E-2</v>
      </c>
    </row>
    <row r="195" spans="1:23" ht="15" customHeight="1" x14ac:dyDescent="0.25">
      <c r="A195" s="19">
        <v>46237</v>
      </c>
      <c r="B195" s="11" t="s">
        <v>677</v>
      </c>
      <c r="C195" s="12" t="s">
        <v>678</v>
      </c>
      <c r="D195" s="11" t="s">
        <v>274</v>
      </c>
      <c r="E195" s="12" t="s">
        <v>147</v>
      </c>
      <c r="F195" s="12" t="s">
        <v>33</v>
      </c>
      <c r="G195" s="12">
        <v>25</v>
      </c>
      <c r="H195" s="13">
        <v>0.26369212962962962</v>
      </c>
      <c r="I195" s="13">
        <v>6.3090277777777773E-2</v>
      </c>
      <c r="J195" s="13">
        <v>2.523611111111111E-3</v>
      </c>
      <c r="K195" s="13">
        <v>4.5162037037037035E-2</v>
      </c>
      <c r="L195" s="14">
        <v>0.17126805073958654</v>
      </c>
      <c r="M195" s="12" t="s">
        <v>334</v>
      </c>
      <c r="N195" s="13">
        <v>3.7384259259259259E-3</v>
      </c>
      <c r="O195" s="13">
        <v>1.4872685185185185E-2</v>
      </c>
      <c r="P195" s="13"/>
      <c r="Q195" s="13">
        <v>1.0601851851851852E-2</v>
      </c>
      <c r="R195" s="13"/>
      <c r="S195" s="13">
        <v>1.4085648148148147E-2</v>
      </c>
      <c r="T195" s="13">
        <v>1.4004629629629629E-3</v>
      </c>
      <c r="U195" s="13">
        <v>4.3981481481481481E-4</v>
      </c>
      <c r="V195" s="13"/>
      <c r="W195" s="13"/>
    </row>
    <row r="196" spans="1:23" ht="15" customHeight="1" x14ac:dyDescent="0.25">
      <c r="A196" s="20">
        <v>46237</v>
      </c>
      <c r="B196" s="15" t="s">
        <v>679</v>
      </c>
      <c r="C196" s="16" t="s">
        <v>680</v>
      </c>
      <c r="D196" s="15" t="s">
        <v>274</v>
      </c>
      <c r="E196" s="16" t="s">
        <v>147</v>
      </c>
      <c r="F196" s="16" t="s">
        <v>33</v>
      </c>
      <c r="G196" s="16">
        <v>21</v>
      </c>
      <c r="H196" s="17">
        <v>0.26140046296296299</v>
      </c>
      <c r="I196" s="17">
        <v>5.7118055555555554E-2</v>
      </c>
      <c r="J196" s="17">
        <v>2.7199074074074074E-3</v>
      </c>
      <c r="K196" s="17">
        <v>5.4618055555555559E-2</v>
      </c>
      <c r="L196" s="18">
        <v>0.20894398937347797</v>
      </c>
      <c r="M196" s="16" t="s">
        <v>334</v>
      </c>
      <c r="N196" s="17">
        <v>9.479166666666667E-3</v>
      </c>
      <c r="O196" s="17">
        <v>3.0439814814814815E-2</v>
      </c>
      <c r="P196" s="17"/>
      <c r="Q196" s="17">
        <v>1.4027777777777778E-2</v>
      </c>
      <c r="R196" s="17"/>
      <c r="S196" s="17">
        <v>6.018518518518519E-4</v>
      </c>
      <c r="T196" s="17">
        <v>6.9444444444444444E-5</v>
      </c>
      <c r="U196" s="17"/>
      <c r="V196" s="17"/>
      <c r="W196" s="17"/>
    </row>
    <row r="197" spans="1:23" ht="15" customHeight="1" x14ac:dyDescent="0.25">
      <c r="A197" s="19">
        <v>46238</v>
      </c>
      <c r="B197" s="11" t="s">
        <v>186</v>
      </c>
      <c r="C197" s="12" t="s">
        <v>562</v>
      </c>
      <c r="D197" s="11" t="s">
        <v>78</v>
      </c>
      <c r="E197" s="12" t="s">
        <v>80</v>
      </c>
      <c r="F197" s="12" t="s">
        <v>33</v>
      </c>
      <c r="G197" s="12">
        <v>3</v>
      </c>
      <c r="H197" s="13">
        <v>0.30253472222222222</v>
      </c>
      <c r="I197" s="13">
        <v>7.6041666666666671E-3</v>
      </c>
      <c r="J197" s="13">
        <v>2.5347222222222221E-3</v>
      </c>
      <c r="K197" s="13">
        <v>0.11115740740740741</v>
      </c>
      <c r="L197" s="14">
        <v>0.36742032977543132</v>
      </c>
      <c r="M197" s="12" t="s">
        <v>334</v>
      </c>
      <c r="N197" s="13">
        <v>1.0960648148148148E-2</v>
      </c>
      <c r="O197" s="13">
        <v>1.4907407407407407E-2</v>
      </c>
      <c r="P197" s="13"/>
      <c r="Q197" s="13"/>
      <c r="R197" s="13"/>
      <c r="S197" s="13">
        <v>1.3935185185185186E-2</v>
      </c>
      <c r="T197" s="13">
        <v>6.9444444444444444E-5</v>
      </c>
      <c r="U197" s="13">
        <v>1.1574074074074075E-4</v>
      </c>
      <c r="V197" s="13"/>
      <c r="W197" s="13">
        <v>7.1168981481481486E-2</v>
      </c>
    </row>
    <row r="198" spans="1:23" ht="15" customHeight="1" x14ac:dyDescent="0.25">
      <c r="A198" s="20">
        <v>46238</v>
      </c>
      <c r="B198" s="15" t="s">
        <v>643</v>
      </c>
      <c r="C198" s="16" t="s">
        <v>644</v>
      </c>
      <c r="D198" s="15" t="s">
        <v>233</v>
      </c>
      <c r="E198" s="16" t="s">
        <v>32</v>
      </c>
      <c r="F198" s="16" t="s">
        <v>106</v>
      </c>
      <c r="G198" s="16">
        <v>23</v>
      </c>
      <c r="H198" s="17">
        <v>0.26042824074074072</v>
      </c>
      <c r="I198" s="17">
        <v>0.16446759259259258</v>
      </c>
      <c r="J198" s="17">
        <v>7.1507648953301126E-3</v>
      </c>
      <c r="K198" s="17">
        <v>3.9629629629629633E-2</v>
      </c>
      <c r="L198" s="18">
        <v>0.15217101462157237</v>
      </c>
      <c r="M198" s="16" t="s">
        <v>334</v>
      </c>
      <c r="N198" s="17">
        <v>2.1990740740740742E-3</v>
      </c>
      <c r="O198" s="17">
        <v>1.4398148148148148E-2</v>
      </c>
      <c r="P198" s="17"/>
      <c r="Q198" s="17">
        <v>6.7476851851851856E-3</v>
      </c>
      <c r="R198" s="17"/>
      <c r="S198" s="17">
        <v>1.3888888888888888E-2</v>
      </c>
      <c r="T198" s="17">
        <v>1.8518518518518518E-4</v>
      </c>
      <c r="U198" s="17">
        <v>2.1643518518518518E-3</v>
      </c>
      <c r="V198" s="17"/>
      <c r="W198" s="17"/>
    </row>
    <row r="199" spans="1:23" ht="15" customHeight="1" x14ac:dyDescent="0.25">
      <c r="A199" s="19">
        <v>46238</v>
      </c>
      <c r="B199" s="11" t="s">
        <v>193</v>
      </c>
      <c r="C199" s="12" t="s">
        <v>563</v>
      </c>
      <c r="D199" s="11" t="s">
        <v>274</v>
      </c>
      <c r="E199" s="12" t="s">
        <v>147</v>
      </c>
      <c r="F199" s="12" t="s">
        <v>33</v>
      </c>
      <c r="G199" s="12">
        <v>23</v>
      </c>
      <c r="H199" s="13">
        <v>0.25649305555555557</v>
      </c>
      <c r="I199" s="13">
        <v>0.10039351851851852</v>
      </c>
      <c r="J199" s="13">
        <v>4.3649355877616747E-3</v>
      </c>
      <c r="K199" s="13">
        <v>2.9131944444444443E-2</v>
      </c>
      <c r="L199" s="14">
        <v>0.1135779071341546</v>
      </c>
      <c r="M199" s="12" t="s">
        <v>334</v>
      </c>
      <c r="N199" s="13"/>
      <c r="O199" s="13">
        <v>1.3935185185185186E-2</v>
      </c>
      <c r="P199" s="13"/>
      <c r="Q199" s="13"/>
      <c r="R199" s="13"/>
      <c r="S199" s="13">
        <v>1.3969907407407407E-2</v>
      </c>
      <c r="T199" s="13">
        <v>4.7453703703703704E-4</v>
      </c>
      <c r="U199" s="13">
        <v>6.9444444444444447E-4</v>
      </c>
      <c r="V199" s="13"/>
      <c r="W199" s="13"/>
    </row>
    <row r="200" spans="1:23" ht="15" customHeight="1" x14ac:dyDescent="0.25">
      <c r="A200" s="20">
        <v>46238</v>
      </c>
      <c r="B200" s="15" t="s">
        <v>231</v>
      </c>
      <c r="C200" s="16" t="s">
        <v>525</v>
      </c>
      <c r="D200" s="15" t="s">
        <v>233</v>
      </c>
      <c r="E200" s="16" t="s">
        <v>32</v>
      </c>
      <c r="F200" s="16" t="s">
        <v>106</v>
      </c>
      <c r="G200" s="16">
        <v>33</v>
      </c>
      <c r="H200" s="17">
        <v>0.25877314814814817</v>
      </c>
      <c r="I200" s="17">
        <v>0.17288194444444444</v>
      </c>
      <c r="J200" s="17">
        <v>5.2388468013468015E-3</v>
      </c>
      <c r="K200" s="17">
        <v>4.2141203703703702E-2</v>
      </c>
      <c r="L200" s="18">
        <v>0.16284998658198407</v>
      </c>
      <c r="M200" s="16" t="s">
        <v>334</v>
      </c>
      <c r="N200" s="17">
        <v>1.8055555555555555E-3</v>
      </c>
      <c r="O200" s="17">
        <v>1.4212962962962964E-2</v>
      </c>
      <c r="P200" s="17"/>
      <c r="Q200" s="17"/>
      <c r="R200" s="17"/>
      <c r="S200" s="17">
        <v>1.3518518518518518E-2</v>
      </c>
      <c r="T200" s="17">
        <v>1.1087962962962963E-2</v>
      </c>
      <c r="U200" s="17">
        <v>1.5162037037037036E-3</v>
      </c>
      <c r="V200" s="17"/>
      <c r="W200" s="17"/>
    </row>
    <row r="201" spans="1:23" ht="15" customHeight="1" x14ac:dyDescent="0.25">
      <c r="A201" s="19">
        <v>46238</v>
      </c>
      <c r="B201" s="11" t="s">
        <v>148</v>
      </c>
      <c r="C201" s="12" t="s">
        <v>513</v>
      </c>
      <c r="D201" s="11" t="s">
        <v>104</v>
      </c>
      <c r="E201" s="12" t="s">
        <v>105</v>
      </c>
      <c r="F201" s="12" t="s">
        <v>106</v>
      </c>
      <c r="G201" s="12">
        <v>19</v>
      </c>
      <c r="H201" s="13">
        <v>0.2530324074074074</v>
      </c>
      <c r="I201" s="13">
        <v>0.22578703703703704</v>
      </c>
      <c r="J201" s="13">
        <v>1.1883528265107211E-2</v>
      </c>
      <c r="K201" s="13">
        <v>8.9293981481481488E-2</v>
      </c>
      <c r="L201" s="14">
        <v>0.35289543500137227</v>
      </c>
      <c r="M201" s="12" t="s">
        <v>334</v>
      </c>
      <c r="N201" s="13">
        <v>4.4791666666666669E-3</v>
      </c>
      <c r="O201" s="13">
        <v>1.6215277777777776E-2</v>
      </c>
      <c r="P201" s="13"/>
      <c r="Q201" s="13">
        <v>2.3321759259259261E-2</v>
      </c>
      <c r="R201" s="13"/>
      <c r="S201" s="13">
        <v>1.5358796296296296E-2</v>
      </c>
      <c r="T201" s="13">
        <v>1.1597222222222222E-2</v>
      </c>
      <c r="U201" s="13">
        <v>3.6226851851851854E-3</v>
      </c>
      <c r="V201" s="13"/>
      <c r="W201" s="13">
        <v>1.4652777777777778E-2</v>
      </c>
    </row>
    <row r="202" spans="1:23" ht="15" customHeight="1" x14ac:dyDescent="0.25">
      <c r="A202" s="20">
        <v>46238</v>
      </c>
      <c r="B202" s="15" t="s">
        <v>82</v>
      </c>
      <c r="C202" s="16" t="s">
        <v>83</v>
      </c>
      <c r="D202" s="15" t="s">
        <v>78</v>
      </c>
      <c r="E202" s="16" t="s">
        <v>80</v>
      </c>
      <c r="F202" s="16" t="s">
        <v>81</v>
      </c>
      <c r="G202" s="16">
        <v>0</v>
      </c>
      <c r="H202" s="17">
        <v>0</v>
      </c>
      <c r="I202" s="17">
        <v>0</v>
      </c>
      <c r="J202" s="17">
        <v>0</v>
      </c>
      <c r="K202" s="17">
        <v>0</v>
      </c>
      <c r="L202" s="18">
        <v>0</v>
      </c>
      <c r="M202" s="16" t="s">
        <v>333</v>
      </c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spans="1:23" ht="15" customHeight="1" x14ac:dyDescent="0.25">
      <c r="A203" s="19">
        <v>46238</v>
      </c>
      <c r="B203" s="11" t="s">
        <v>234</v>
      </c>
      <c r="C203" s="12" t="s">
        <v>550</v>
      </c>
      <c r="D203" s="11" t="s">
        <v>233</v>
      </c>
      <c r="E203" s="12" t="s">
        <v>32</v>
      </c>
      <c r="F203" s="12" t="s">
        <v>106</v>
      </c>
      <c r="G203" s="12">
        <v>0</v>
      </c>
      <c r="H203" s="13">
        <v>3.4027777777777776E-3</v>
      </c>
      <c r="I203" s="13">
        <v>0</v>
      </c>
      <c r="J203" s="13">
        <v>0</v>
      </c>
      <c r="K203" s="13">
        <v>3.3796296296296296E-3</v>
      </c>
      <c r="L203" s="14">
        <v>0.99319727891156462</v>
      </c>
      <c r="M203" s="12" t="s">
        <v>333</v>
      </c>
      <c r="N203" s="13"/>
      <c r="O203" s="13"/>
      <c r="P203" s="13"/>
      <c r="Q203" s="13"/>
      <c r="R203" s="13"/>
      <c r="S203" s="13"/>
      <c r="T203" s="13">
        <v>3.3796296296296296E-3</v>
      </c>
      <c r="U203" s="13"/>
      <c r="V203" s="13"/>
      <c r="W203" s="13"/>
    </row>
    <row r="204" spans="1:23" ht="15" customHeight="1" x14ac:dyDescent="0.25">
      <c r="A204" s="20">
        <v>46238</v>
      </c>
      <c r="B204" s="15" t="s">
        <v>34</v>
      </c>
      <c r="C204" s="16" t="s">
        <v>505</v>
      </c>
      <c r="D204" s="15" t="s">
        <v>233</v>
      </c>
      <c r="E204" s="16" t="s">
        <v>32</v>
      </c>
      <c r="F204" s="16" t="s">
        <v>106</v>
      </c>
      <c r="G204" s="16">
        <v>43</v>
      </c>
      <c r="H204" s="17">
        <v>0.25444444444444442</v>
      </c>
      <c r="I204" s="17">
        <v>0.15293981481481481</v>
      </c>
      <c r="J204" s="17">
        <v>3.5567398794142981E-3</v>
      </c>
      <c r="K204" s="17">
        <v>5.4467592592592595E-2</v>
      </c>
      <c r="L204" s="18">
        <v>0.21406477438136826</v>
      </c>
      <c r="M204" s="16" t="s">
        <v>334</v>
      </c>
      <c r="N204" s="17">
        <v>4.0740740740740737E-3</v>
      </c>
      <c r="O204" s="17">
        <v>1.3495370370370371E-2</v>
      </c>
      <c r="P204" s="17"/>
      <c r="Q204" s="17"/>
      <c r="R204" s="17"/>
      <c r="S204" s="17">
        <v>1.3472222222222222E-2</v>
      </c>
      <c r="T204" s="17">
        <v>9.5023148148148141E-3</v>
      </c>
      <c r="U204" s="17">
        <v>1.3923611111111111E-2</v>
      </c>
      <c r="V204" s="17"/>
      <c r="W204" s="17"/>
    </row>
    <row r="205" spans="1:23" ht="15" customHeight="1" x14ac:dyDescent="0.25">
      <c r="A205" s="19">
        <v>46238</v>
      </c>
      <c r="B205" s="11" t="s">
        <v>493</v>
      </c>
      <c r="C205" s="12" t="s">
        <v>569</v>
      </c>
      <c r="D205" s="11" t="s">
        <v>104</v>
      </c>
      <c r="E205" s="12" t="s">
        <v>105</v>
      </c>
      <c r="F205" s="12" t="s">
        <v>106</v>
      </c>
      <c r="G205" s="12">
        <v>19</v>
      </c>
      <c r="H205" s="13">
        <v>0.25633101851851853</v>
      </c>
      <c r="I205" s="13">
        <v>0.22144675925925925</v>
      </c>
      <c r="J205" s="13">
        <v>1.1655092592592592E-2</v>
      </c>
      <c r="K205" s="13">
        <v>8.3807870370370366E-2</v>
      </c>
      <c r="L205" s="14">
        <v>0.32695173161150493</v>
      </c>
      <c r="M205" s="12" t="s">
        <v>334</v>
      </c>
      <c r="N205" s="13">
        <v>1.3541666666666667E-2</v>
      </c>
      <c r="O205" s="13">
        <v>1.8900462962962963E-2</v>
      </c>
      <c r="P205" s="13">
        <v>3.3101851851851851E-3</v>
      </c>
      <c r="Q205" s="13"/>
      <c r="R205" s="13">
        <v>1.2106481481481482E-2</v>
      </c>
      <c r="S205" s="13">
        <v>1.5081018518518518E-2</v>
      </c>
      <c r="T205" s="13">
        <v>1.0069444444444444E-3</v>
      </c>
      <c r="U205" s="13">
        <v>7.7546296296296293E-4</v>
      </c>
      <c r="V205" s="13"/>
      <c r="W205" s="13">
        <v>1.9050925925925926E-2</v>
      </c>
    </row>
    <row r="206" spans="1:23" ht="15" customHeight="1" x14ac:dyDescent="0.25">
      <c r="A206" s="20">
        <v>46238</v>
      </c>
      <c r="B206" s="15" t="s">
        <v>236</v>
      </c>
      <c r="C206" s="16" t="s">
        <v>551</v>
      </c>
      <c r="D206" s="15" t="s">
        <v>233</v>
      </c>
      <c r="E206" s="16" t="s">
        <v>32</v>
      </c>
      <c r="F206" s="16" t="s">
        <v>106</v>
      </c>
      <c r="G206" s="16">
        <v>15</v>
      </c>
      <c r="H206" s="17">
        <v>0.2979398148148148</v>
      </c>
      <c r="I206" s="17">
        <v>7.7476851851851852E-2</v>
      </c>
      <c r="J206" s="17">
        <v>5.1651234567901229E-3</v>
      </c>
      <c r="K206" s="17">
        <v>0.21739583333333334</v>
      </c>
      <c r="L206" s="18">
        <v>0.72966358480304561</v>
      </c>
      <c r="M206" s="16" t="s">
        <v>334</v>
      </c>
      <c r="N206" s="17">
        <v>1.5509259259259259E-2</v>
      </c>
      <c r="O206" s="17">
        <v>2.3148148148148147E-3</v>
      </c>
      <c r="P206" s="17"/>
      <c r="Q206" s="17"/>
      <c r="R206" s="17"/>
      <c r="S206" s="17">
        <v>1.1840277777777778E-2</v>
      </c>
      <c r="T206" s="17">
        <v>1.0300925925925926E-3</v>
      </c>
      <c r="U206" s="17">
        <v>7.0601851851851847E-4</v>
      </c>
      <c r="V206" s="17"/>
      <c r="W206" s="17">
        <v>0.1859837962962963</v>
      </c>
    </row>
    <row r="207" spans="1:23" ht="15" customHeight="1" x14ac:dyDescent="0.25">
      <c r="A207" s="19">
        <v>46238</v>
      </c>
      <c r="B207" s="11" t="s">
        <v>238</v>
      </c>
      <c r="C207" s="12" t="s">
        <v>526</v>
      </c>
      <c r="D207" s="11" t="s">
        <v>233</v>
      </c>
      <c r="E207" s="12" t="s">
        <v>32</v>
      </c>
      <c r="F207" s="12" t="s">
        <v>106</v>
      </c>
      <c r="G207" s="12">
        <v>0</v>
      </c>
      <c r="H207" s="13">
        <v>0.21709490740740742</v>
      </c>
      <c r="I207" s="13">
        <v>0</v>
      </c>
      <c r="J207" s="13">
        <v>0</v>
      </c>
      <c r="K207" s="13">
        <v>0.21612268518518518</v>
      </c>
      <c r="L207" s="14">
        <v>0.99552167190915397</v>
      </c>
      <c r="M207" s="12" t="s">
        <v>334</v>
      </c>
      <c r="N207" s="13"/>
      <c r="O207" s="13"/>
      <c r="P207" s="13"/>
      <c r="Q207" s="13"/>
      <c r="R207" s="13"/>
      <c r="S207" s="13">
        <v>1.3553240740740741E-2</v>
      </c>
      <c r="T207" s="13">
        <v>2.8935185185185184E-4</v>
      </c>
      <c r="U207" s="13"/>
      <c r="V207" s="13"/>
      <c r="W207" s="13">
        <v>0.20228009259259258</v>
      </c>
    </row>
    <row r="208" spans="1:23" ht="15" customHeight="1" x14ac:dyDescent="0.25">
      <c r="A208" s="20">
        <v>46238</v>
      </c>
      <c r="B208" s="15" t="s">
        <v>608</v>
      </c>
      <c r="C208" s="16" t="s">
        <v>631</v>
      </c>
      <c r="D208" s="15" t="s">
        <v>601</v>
      </c>
      <c r="E208" s="16" t="s">
        <v>105</v>
      </c>
      <c r="F208" s="16" t="s">
        <v>33</v>
      </c>
      <c r="G208" s="16">
        <v>13</v>
      </c>
      <c r="H208" s="17">
        <v>0.25288194444444445</v>
      </c>
      <c r="I208" s="17">
        <v>0.18652777777777776</v>
      </c>
      <c r="J208" s="17">
        <v>1.4348290598290597E-2</v>
      </c>
      <c r="K208" s="17">
        <v>0.1572337962962963</v>
      </c>
      <c r="L208" s="18">
        <v>0.62176758661723652</v>
      </c>
      <c r="M208" s="16" t="s">
        <v>334</v>
      </c>
      <c r="N208" s="17"/>
      <c r="O208" s="17">
        <v>7.3842592592592597E-3</v>
      </c>
      <c r="P208" s="17"/>
      <c r="Q208" s="17"/>
      <c r="R208" s="17"/>
      <c r="S208" s="17">
        <v>1.4212962962962964E-2</v>
      </c>
      <c r="T208" s="17">
        <v>1.6319444444444445E-3</v>
      </c>
      <c r="U208" s="17">
        <v>6.446759259259259E-2</v>
      </c>
      <c r="V208" s="17"/>
      <c r="W208" s="17">
        <v>6.9537037037037036E-2</v>
      </c>
    </row>
    <row r="209" spans="1:23" ht="15" customHeight="1" x14ac:dyDescent="0.25">
      <c r="A209" s="19">
        <v>46238</v>
      </c>
      <c r="B209" s="11" t="s">
        <v>307</v>
      </c>
      <c r="C209" s="12" t="s">
        <v>308</v>
      </c>
      <c r="D209" s="11" t="s">
        <v>78</v>
      </c>
      <c r="E209" s="12" t="s">
        <v>80</v>
      </c>
      <c r="F209" s="12" t="s">
        <v>81</v>
      </c>
      <c r="G209" s="12">
        <v>0</v>
      </c>
      <c r="H209" s="13">
        <v>0.31370370370370371</v>
      </c>
      <c r="I209" s="13">
        <v>0</v>
      </c>
      <c r="J209" s="13">
        <v>0</v>
      </c>
      <c r="K209" s="13">
        <v>0.15630787037037036</v>
      </c>
      <c r="L209" s="14">
        <v>0.4982659386068477</v>
      </c>
      <c r="M209" s="12" t="s">
        <v>334</v>
      </c>
      <c r="N209" s="13"/>
      <c r="O209" s="13"/>
      <c r="P209" s="13"/>
      <c r="Q209" s="13"/>
      <c r="R209" s="13">
        <v>3.3333333333333335E-3</v>
      </c>
      <c r="S209" s="13">
        <v>9.7916666666666673E-3</v>
      </c>
      <c r="T209" s="13"/>
      <c r="U209" s="13">
        <v>5.4398148148148144E-4</v>
      </c>
      <c r="V209" s="13"/>
      <c r="W209" s="13">
        <v>0.1425925925925926</v>
      </c>
    </row>
    <row r="210" spans="1:23" ht="15" customHeight="1" x14ac:dyDescent="0.25">
      <c r="A210" s="20">
        <v>46238</v>
      </c>
      <c r="B210" s="15" t="s">
        <v>197</v>
      </c>
      <c r="C210" s="16" t="s">
        <v>564</v>
      </c>
      <c r="D210" s="15" t="s">
        <v>601</v>
      </c>
      <c r="E210" s="16" t="s">
        <v>105</v>
      </c>
      <c r="F210" s="16" t="s">
        <v>33</v>
      </c>
      <c r="G210" s="16">
        <v>6</v>
      </c>
      <c r="H210" s="17">
        <v>0.23070601851851852</v>
      </c>
      <c r="I210" s="17">
        <v>0.12003472222222222</v>
      </c>
      <c r="J210" s="17">
        <v>2.0005787037037037E-2</v>
      </c>
      <c r="K210" s="17">
        <v>0.1527662037037037</v>
      </c>
      <c r="L210" s="18">
        <v>0.66216826368333914</v>
      </c>
      <c r="M210" s="16" t="s">
        <v>334</v>
      </c>
      <c r="N210" s="17">
        <v>8.7962962962962968E-3</v>
      </c>
      <c r="O210" s="17">
        <v>1.0613425925925925E-2</v>
      </c>
      <c r="P210" s="17"/>
      <c r="Q210" s="17">
        <v>1.8935185185185187E-2</v>
      </c>
      <c r="R210" s="17"/>
      <c r="S210" s="17">
        <v>1.3078703703703703E-2</v>
      </c>
      <c r="T210" s="17">
        <v>1.2962962962962963E-3</v>
      </c>
      <c r="U210" s="17">
        <v>2.5578703703703705E-3</v>
      </c>
      <c r="V210" s="17"/>
      <c r="W210" s="17">
        <v>9.7488425925925923E-2</v>
      </c>
    </row>
    <row r="211" spans="1:23" ht="15" customHeight="1" x14ac:dyDescent="0.25">
      <c r="A211" s="19">
        <v>46238</v>
      </c>
      <c r="B211" s="11" t="s">
        <v>150</v>
      </c>
      <c r="C211" s="12" t="s">
        <v>514</v>
      </c>
      <c r="D211" s="11" t="s">
        <v>146</v>
      </c>
      <c r="E211" s="12" t="s">
        <v>147</v>
      </c>
      <c r="F211" s="12" t="s">
        <v>106</v>
      </c>
      <c r="G211" s="12">
        <v>23</v>
      </c>
      <c r="H211" s="13">
        <v>0.25971064814814815</v>
      </c>
      <c r="I211" s="13">
        <v>5.4317129629629632E-2</v>
      </c>
      <c r="J211" s="13">
        <v>2.3616143317230272E-3</v>
      </c>
      <c r="K211" s="13">
        <v>3.875E-2</v>
      </c>
      <c r="L211" s="14">
        <v>0.14920451000490217</v>
      </c>
      <c r="M211" s="12" t="s">
        <v>334</v>
      </c>
      <c r="N211" s="13">
        <v>1.0763888888888889E-3</v>
      </c>
      <c r="O211" s="13">
        <v>1.4143518518518519E-2</v>
      </c>
      <c r="P211" s="13"/>
      <c r="Q211" s="13">
        <v>8.3564814814814821E-3</v>
      </c>
      <c r="R211" s="13"/>
      <c r="S211" s="13">
        <v>1.4930555555555556E-2</v>
      </c>
      <c r="T211" s="13">
        <v>6.9444444444444444E-5</v>
      </c>
      <c r="U211" s="13">
        <v>1.5046296296296297E-4</v>
      </c>
      <c r="V211" s="13"/>
      <c r="W211" s="13"/>
    </row>
    <row r="212" spans="1:23" ht="15" customHeight="1" x14ac:dyDescent="0.25">
      <c r="A212" s="20">
        <v>46238</v>
      </c>
      <c r="B212" s="15" t="s">
        <v>38</v>
      </c>
      <c r="C212" s="16" t="s">
        <v>536</v>
      </c>
      <c r="D212" s="15" t="s">
        <v>100</v>
      </c>
      <c r="E212" s="16" t="s">
        <v>32</v>
      </c>
      <c r="F212" s="16" t="s">
        <v>33</v>
      </c>
      <c r="G212" s="16">
        <v>4</v>
      </c>
      <c r="H212" s="17">
        <v>0.24706018518518519</v>
      </c>
      <c r="I212" s="17">
        <v>6.1087962962962962E-2</v>
      </c>
      <c r="J212" s="17">
        <v>1.527199074074074E-2</v>
      </c>
      <c r="K212" s="17">
        <v>0.19141203703703705</v>
      </c>
      <c r="L212" s="18">
        <v>0.77475873699990627</v>
      </c>
      <c r="M212" s="16" t="s">
        <v>334</v>
      </c>
      <c r="N212" s="17">
        <v>1.1446759259259259E-2</v>
      </c>
      <c r="O212" s="17">
        <v>1.4490740740740742E-2</v>
      </c>
      <c r="P212" s="17"/>
      <c r="Q212" s="17"/>
      <c r="R212" s="17"/>
      <c r="S212" s="17">
        <v>1.5335648148148149E-2</v>
      </c>
      <c r="T212" s="17">
        <v>1.8287037037037037E-3</v>
      </c>
      <c r="U212" s="17"/>
      <c r="V212" s="17"/>
      <c r="W212" s="17">
        <v>0.14831018518518518</v>
      </c>
    </row>
    <row r="213" spans="1:23" ht="15" customHeight="1" x14ac:dyDescent="0.25">
      <c r="A213" s="19">
        <v>46238</v>
      </c>
      <c r="B213" s="11" t="s">
        <v>681</v>
      </c>
      <c r="C213" s="12" t="s">
        <v>682</v>
      </c>
      <c r="D213" s="11" t="s">
        <v>601</v>
      </c>
      <c r="E213" s="12" t="s">
        <v>105</v>
      </c>
      <c r="F213" s="12" t="s">
        <v>33</v>
      </c>
      <c r="G213" s="12">
        <v>9</v>
      </c>
      <c r="H213" s="13">
        <v>0.26188657407407406</v>
      </c>
      <c r="I213" s="13">
        <v>0.13886574074074073</v>
      </c>
      <c r="J213" s="13">
        <v>1.5429526748971193E-2</v>
      </c>
      <c r="K213" s="13">
        <v>0.1887962962962963</v>
      </c>
      <c r="L213" s="14">
        <v>0.72090864895920803</v>
      </c>
      <c r="M213" s="12" t="s">
        <v>334</v>
      </c>
      <c r="N213" s="13">
        <v>7.9861111111111105E-3</v>
      </c>
      <c r="O213" s="13">
        <v>1.8078703703703704E-2</v>
      </c>
      <c r="P213" s="13"/>
      <c r="Q213" s="13"/>
      <c r="R213" s="13"/>
      <c r="S213" s="13">
        <v>1.3923611111111111E-2</v>
      </c>
      <c r="T213" s="13">
        <v>2.5462962962962961E-4</v>
      </c>
      <c r="U213" s="13"/>
      <c r="V213" s="13"/>
      <c r="W213" s="13">
        <v>0.14855324074074075</v>
      </c>
    </row>
    <row r="214" spans="1:23" ht="15" customHeight="1" x14ac:dyDescent="0.25">
      <c r="A214" s="20">
        <v>46238</v>
      </c>
      <c r="B214" s="15" t="s">
        <v>154</v>
      </c>
      <c r="C214" s="16" t="s">
        <v>515</v>
      </c>
      <c r="D214" s="15" t="s">
        <v>146</v>
      </c>
      <c r="E214" s="16" t="s">
        <v>147</v>
      </c>
      <c r="F214" s="16" t="s">
        <v>106</v>
      </c>
      <c r="G214" s="16">
        <v>24</v>
      </c>
      <c r="H214" s="17">
        <v>0.26324074074074072</v>
      </c>
      <c r="I214" s="17">
        <v>4.9004629629629627E-2</v>
      </c>
      <c r="J214" s="17">
        <v>2.0418595679012343E-3</v>
      </c>
      <c r="K214" s="17">
        <v>4.0787037037037038E-2</v>
      </c>
      <c r="L214" s="18">
        <v>0.15494196271544144</v>
      </c>
      <c r="M214" s="16" t="s">
        <v>334</v>
      </c>
      <c r="N214" s="17">
        <v>2.3726851851851851E-3</v>
      </c>
      <c r="O214" s="17">
        <v>1.2407407407407407E-2</v>
      </c>
      <c r="P214" s="17"/>
      <c r="Q214" s="17">
        <v>5.4976851851851853E-3</v>
      </c>
      <c r="R214" s="17"/>
      <c r="S214" s="17">
        <v>1.4201388888888888E-2</v>
      </c>
      <c r="T214" s="17">
        <v>2.8935185185185184E-4</v>
      </c>
      <c r="U214" s="17">
        <v>8.3333333333333339E-4</v>
      </c>
      <c r="V214" s="17"/>
      <c r="W214" s="17">
        <v>5.092592592592593E-3</v>
      </c>
    </row>
    <row r="215" spans="1:23" ht="15" customHeight="1" x14ac:dyDescent="0.25">
      <c r="A215" s="19">
        <v>46238</v>
      </c>
      <c r="B215" s="11" t="s">
        <v>112</v>
      </c>
      <c r="C215" s="12" t="s">
        <v>570</v>
      </c>
      <c r="D215" s="11" t="s">
        <v>104</v>
      </c>
      <c r="E215" s="12" t="s">
        <v>105</v>
      </c>
      <c r="F215" s="12" t="s">
        <v>106</v>
      </c>
      <c r="G215" s="12">
        <v>12</v>
      </c>
      <c r="H215" s="13">
        <v>0.23592592592592593</v>
      </c>
      <c r="I215" s="13">
        <v>0.14956018518518518</v>
      </c>
      <c r="J215" s="13">
        <v>1.2463348765432099E-2</v>
      </c>
      <c r="K215" s="13">
        <v>7.4861111111111114E-2</v>
      </c>
      <c r="L215" s="14">
        <v>0.31730769230769229</v>
      </c>
      <c r="M215" s="12" t="s">
        <v>334</v>
      </c>
      <c r="N215" s="13">
        <v>2.6608796296296297E-2</v>
      </c>
      <c r="O215" s="13">
        <v>1.9618055555555555E-2</v>
      </c>
      <c r="P215" s="13"/>
      <c r="Q215" s="13">
        <v>6.9444444444444441E-3</v>
      </c>
      <c r="R215" s="13"/>
      <c r="S215" s="13">
        <v>1.3321759259259259E-2</v>
      </c>
      <c r="T215" s="13">
        <v>4.0277777777777777E-3</v>
      </c>
      <c r="U215" s="13">
        <v>4.2824074074074075E-3</v>
      </c>
      <c r="V215" s="13"/>
      <c r="W215" s="13">
        <v>2.3148148148148147E-5</v>
      </c>
    </row>
    <row r="216" spans="1:23" ht="15" customHeight="1" x14ac:dyDescent="0.25">
      <c r="A216" s="20">
        <v>46238</v>
      </c>
      <c r="B216" s="15" t="s">
        <v>42</v>
      </c>
      <c r="C216" s="16" t="s">
        <v>537</v>
      </c>
      <c r="D216" s="15" t="s">
        <v>104</v>
      </c>
      <c r="E216" s="16" t="s">
        <v>105</v>
      </c>
      <c r="F216" s="16" t="s">
        <v>106</v>
      </c>
      <c r="G216" s="16">
        <v>20</v>
      </c>
      <c r="H216" s="17">
        <v>0.22839120370370369</v>
      </c>
      <c r="I216" s="17">
        <v>0.22577546296296297</v>
      </c>
      <c r="J216" s="17">
        <v>1.1288773148148148E-2</v>
      </c>
      <c r="K216" s="17">
        <v>7.5173611111111108E-2</v>
      </c>
      <c r="L216" s="18">
        <v>0.32914407337961787</v>
      </c>
      <c r="M216" s="16" t="s">
        <v>334</v>
      </c>
      <c r="N216" s="17">
        <v>5.7754629629629631E-3</v>
      </c>
      <c r="O216" s="17">
        <v>1.4143518518518519E-2</v>
      </c>
      <c r="P216" s="17"/>
      <c r="Q216" s="17"/>
      <c r="R216" s="17"/>
      <c r="S216" s="17">
        <v>1.4409722222222223E-2</v>
      </c>
      <c r="T216" s="17">
        <v>3.3564814814814812E-4</v>
      </c>
      <c r="U216" s="17">
        <v>1.8981481481481482E-3</v>
      </c>
      <c r="V216" s="17"/>
      <c r="W216" s="17">
        <v>3.8564814814814816E-2</v>
      </c>
    </row>
    <row r="217" spans="1:23" ht="15" customHeight="1" x14ac:dyDescent="0.25">
      <c r="A217" s="19">
        <v>46238</v>
      </c>
      <c r="B217" s="11" t="s">
        <v>156</v>
      </c>
      <c r="C217" s="12" t="s">
        <v>516</v>
      </c>
      <c r="D217" s="11" t="s">
        <v>146</v>
      </c>
      <c r="E217" s="12" t="s">
        <v>147</v>
      </c>
      <c r="F217" s="12" t="s">
        <v>106</v>
      </c>
      <c r="G217" s="12">
        <v>34</v>
      </c>
      <c r="H217" s="13">
        <v>0.27631944444444445</v>
      </c>
      <c r="I217" s="13">
        <v>4.0520833333333332E-2</v>
      </c>
      <c r="J217" s="13">
        <v>1.1917892156862746E-3</v>
      </c>
      <c r="K217" s="13">
        <v>5.6354166666666664E-2</v>
      </c>
      <c r="L217" s="14">
        <v>0.20394571500376979</v>
      </c>
      <c r="M217" s="12" t="s">
        <v>334</v>
      </c>
      <c r="N217" s="13">
        <v>7.5347222222222222E-3</v>
      </c>
      <c r="O217" s="13">
        <v>1.170138888888889E-2</v>
      </c>
      <c r="P217" s="13"/>
      <c r="Q217" s="13">
        <v>8.0208333333333329E-3</v>
      </c>
      <c r="R217" s="13"/>
      <c r="S217" s="13">
        <v>1.4328703703703703E-2</v>
      </c>
      <c r="T217" s="13">
        <v>1.4768518518518519E-2</v>
      </c>
      <c r="U217" s="13"/>
      <c r="V217" s="13"/>
      <c r="W217" s="13"/>
    </row>
    <row r="218" spans="1:23" ht="15" customHeight="1" x14ac:dyDescent="0.25">
      <c r="A218" s="20">
        <v>46238</v>
      </c>
      <c r="B218" s="15" t="s">
        <v>114</v>
      </c>
      <c r="C218" s="16" t="s">
        <v>541</v>
      </c>
      <c r="D218" s="15" t="s">
        <v>104</v>
      </c>
      <c r="E218" s="16" t="s">
        <v>105</v>
      </c>
      <c r="F218" s="16" t="s">
        <v>106</v>
      </c>
      <c r="G218" s="16">
        <v>15</v>
      </c>
      <c r="H218" s="17">
        <v>0.24834490740740742</v>
      </c>
      <c r="I218" s="17">
        <v>0.1973263888888889</v>
      </c>
      <c r="J218" s="17">
        <v>1.3155092592592591E-2</v>
      </c>
      <c r="K218" s="17">
        <v>0.1049537037037037</v>
      </c>
      <c r="L218" s="18">
        <v>0.42261266719485485</v>
      </c>
      <c r="M218" s="16" t="s">
        <v>334</v>
      </c>
      <c r="N218" s="17">
        <v>1.3449074074074073E-2</v>
      </c>
      <c r="O218" s="17">
        <v>1.7777777777777778E-2</v>
      </c>
      <c r="P218" s="17"/>
      <c r="Q218" s="17">
        <v>1.0347222222222223E-2</v>
      </c>
      <c r="R218" s="17"/>
      <c r="S218" s="17">
        <v>1.7650462962962962E-2</v>
      </c>
      <c r="T218" s="17">
        <v>4.4756944444444446E-2</v>
      </c>
      <c r="U218" s="17">
        <v>5.5555555555555556E-4</v>
      </c>
      <c r="V218" s="17"/>
      <c r="W218" s="17">
        <v>4.1666666666666669E-4</v>
      </c>
    </row>
    <row r="219" spans="1:23" ht="15" customHeight="1" x14ac:dyDescent="0.25">
      <c r="A219" s="19">
        <v>46238</v>
      </c>
      <c r="B219" s="11" t="s">
        <v>44</v>
      </c>
      <c r="C219" s="12" t="s">
        <v>506</v>
      </c>
      <c r="D219" s="11" t="s">
        <v>100</v>
      </c>
      <c r="E219" s="12" t="s">
        <v>32</v>
      </c>
      <c r="F219" s="12" t="s">
        <v>33</v>
      </c>
      <c r="G219" s="12">
        <v>25</v>
      </c>
      <c r="H219" s="13">
        <v>0.26148148148148148</v>
      </c>
      <c r="I219" s="13">
        <v>0.23005787037037037</v>
      </c>
      <c r="J219" s="13">
        <v>9.2023148148148159E-3</v>
      </c>
      <c r="K219" s="13">
        <v>3.1134259259259261E-2</v>
      </c>
      <c r="L219" s="14">
        <v>0.11906869688385269</v>
      </c>
      <c r="M219" s="12" t="s">
        <v>334</v>
      </c>
      <c r="N219" s="13"/>
      <c r="O219" s="13">
        <v>1.3993055555555555E-2</v>
      </c>
      <c r="P219" s="13"/>
      <c r="Q219" s="13"/>
      <c r="R219" s="13"/>
      <c r="S219" s="13">
        <v>1.5694444444444445E-2</v>
      </c>
      <c r="T219" s="13">
        <v>4.7453703703703704E-4</v>
      </c>
      <c r="U219" s="13">
        <v>5.2083333333333333E-4</v>
      </c>
      <c r="V219" s="13"/>
      <c r="W219" s="13"/>
    </row>
    <row r="220" spans="1:23" ht="15" customHeight="1" x14ac:dyDescent="0.25">
      <c r="A220" s="20">
        <v>46238</v>
      </c>
      <c r="B220" s="15" t="s">
        <v>609</v>
      </c>
      <c r="C220" s="16" t="s">
        <v>632</v>
      </c>
      <c r="D220" s="15" t="s">
        <v>601</v>
      </c>
      <c r="E220" s="16" t="s">
        <v>105</v>
      </c>
      <c r="F220" s="16" t="s">
        <v>33</v>
      </c>
      <c r="G220" s="16">
        <v>8</v>
      </c>
      <c r="H220" s="17">
        <v>0.23518518518518519</v>
      </c>
      <c r="I220" s="17">
        <v>0.10715277777777778</v>
      </c>
      <c r="J220" s="17">
        <v>1.3394097222222222E-2</v>
      </c>
      <c r="K220" s="17">
        <v>0.20162037037037037</v>
      </c>
      <c r="L220" s="18">
        <v>0.85728346456692917</v>
      </c>
      <c r="M220" s="16" t="s">
        <v>334</v>
      </c>
      <c r="N220" s="17">
        <v>1.4710648148148148E-2</v>
      </c>
      <c r="O220" s="17">
        <v>2.1874999999999999E-2</v>
      </c>
      <c r="P220" s="17"/>
      <c r="Q220" s="17"/>
      <c r="R220" s="17"/>
      <c r="S220" s="17">
        <v>1.5486111111111112E-2</v>
      </c>
      <c r="T220" s="17">
        <v>5.5555555555555556E-4</v>
      </c>
      <c r="U220" s="17">
        <v>1.6736111111111111E-2</v>
      </c>
      <c r="V220" s="17"/>
      <c r="W220" s="17">
        <v>0.13225694444444444</v>
      </c>
    </row>
    <row r="221" spans="1:23" ht="15" customHeight="1" x14ac:dyDescent="0.25">
      <c r="A221" s="19">
        <v>46238</v>
      </c>
      <c r="B221" s="11" t="s">
        <v>240</v>
      </c>
      <c r="C221" s="12" t="s">
        <v>527</v>
      </c>
      <c r="D221" s="11" t="s">
        <v>233</v>
      </c>
      <c r="E221" s="12" t="s">
        <v>32</v>
      </c>
      <c r="F221" s="12" t="s">
        <v>106</v>
      </c>
      <c r="G221" s="12">
        <v>0</v>
      </c>
      <c r="H221" s="13">
        <v>0.22158564814814816</v>
      </c>
      <c r="I221" s="13">
        <v>0</v>
      </c>
      <c r="J221" s="13">
        <v>0</v>
      </c>
      <c r="K221" s="13">
        <v>0.21846064814814814</v>
      </c>
      <c r="L221" s="14">
        <v>0.98589710107077566</v>
      </c>
      <c r="M221" s="12" t="s">
        <v>334</v>
      </c>
      <c r="N221" s="13">
        <v>1.3368055555555555E-2</v>
      </c>
      <c r="O221" s="13">
        <v>1.3425925925925926E-2</v>
      </c>
      <c r="P221" s="13"/>
      <c r="Q221" s="13"/>
      <c r="R221" s="13"/>
      <c r="S221" s="13">
        <v>1.787037037037037E-2</v>
      </c>
      <c r="T221" s="13">
        <v>1.6620370370370369E-2</v>
      </c>
      <c r="U221" s="13"/>
      <c r="V221" s="13"/>
      <c r="W221" s="13">
        <v>0.15717592592592591</v>
      </c>
    </row>
    <row r="222" spans="1:23" ht="15" customHeight="1" x14ac:dyDescent="0.25">
      <c r="A222" s="20">
        <v>46238</v>
      </c>
      <c r="B222" s="15" t="s">
        <v>497</v>
      </c>
      <c r="C222" s="16" t="s">
        <v>498</v>
      </c>
      <c r="D222" s="15" t="s">
        <v>78</v>
      </c>
      <c r="E222" s="16" t="s">
        <v>80</v>
      </c>
      <c r="F222" s="16" t="s">
        <v>81</v>
      </c>
      <c r="G222" s="16">
        <v>1</v>
      </c>
      <c r="H222" s="17">
        <v>0.34421296296296294</v>
      </c>
      <c r="I222" s="17">
        <v>2.0011574074074074E-2</v>
      </c>
      <c r="J222" s="17">
        <v>2.0011574074074074E-2</v>
      </c>
      <c r="K222" s="17">
        <v>0.19642361111111112</v>
      </c>
      <c r="L222" s="18">
        <v>0.57064559515803637</v>
      </c>
      <c r="M222" s="16" t="s">
        <v>334</v>
      </c>
      <c r="N222" s="17">
        <v>2.4305555555555556E-3</v>
      </c>
      <c r="O222" s="17">
        <v>6.1574074074074074E-3</v>
      </c>
      <c r="P222" s="17"/>
      <c r="Q222" s="17"/>
      <c r="R222" s="17"/>
      <c r="S222" s="17">
        <v>4.1678240740740738E-2</v>
      </c>
      <c r="T222" s="17">
        <v>4.2824074074074075E-4</v>
      </c>
      <c r="U222" s="17"/>
      <c r="V222" s="17"/>
      <c r="W222" s="17">
        <v>0.14570601851851853</v>
      </c>
    </row>
    <row r="223" spans="1:23" ht="15" customHeight="1" x14ac:dyDescent="0.25">
      <c r="A223" s="19">
        <v>46238</v>
      </c>
      <c r="B223" s="11" t="s">
        <v>309</v>
      </c>
      <c r="C223" s="12" t="s">
        <v>310</v>
      </c>
      <c r="D223" s="11" t="s">
        <v>78</v>
      </c>
      <c r="E223" s="12" t="s">
        <v>80</v>
      </c>
      <c r="F223" s="12" t="s">
        <v>81</v>
      </c>
      <c r="G223" s="12">
        <v>1</v>
      </c>
      <c r="H223" s="13">
        <v>0.35146990740740741</v>
      </c>
      <c r="I223" s="13">
        <v>1.4444444444444444E-2</v>
      </c>
      <c r="J223" s="13">
        <v>1.4444444444444444E-2</v>
      </c>
      <c r="K223" s="13">
        <v>0.18753472222222223</v>
      </c>
      <c r="L223" s="14">
        <v>0.53357262818190798</v>
      </c>
      <c r="M223" s="12" t="s">
        <v>334</v>
      </c>
      <c r="N223" s="13"/>
      <c r="O223" s="13">
        <v>3.7777777777777778E-2</v>
      </c>
      <c r="P223" s="13"/>
      <c r="Q223" s="13"/>
      <c r="R223" s="13"/>
      <c r="S223" s="13">
        <v>7.3726851851851852E-3</v>
      </c>
      <c r="T223" s="13">
        <v>6.9444444444444444E-5</v>
      </c>
      <c r="U223" s="13">
        <v>1.7361111111111112E-4</v>
      </c>
      <c r="V223" s="13"/>
      <c r="W223" s="13">
        <v>0.1421412037037037</v>
      </c>
    </row>
    <row r="224" spans="1:23" ht="15" customHeight="1" x14ac:dyDescent="0.25">
      <c r="A224" s="20">
        <v>46238</v>
      </c>
      <c r="B224" s="15" t="s">
        <v>160</v>
      </c>
      <c r="C224" s="16" t="s">
        <v>544</v>
      </c>
      <c r="D224" s="15" t="s">
        <v>146</v>
      </c>
      <c r="E224" s="16" t="s">
        <v>147</v>
      </c>
      <c r="F224" s="16" t="s">
        <v>106</v>
      </c>
      <c r="G224" s="16">
        <v>9</v>
      </c>
      <c r="H224" s="17">
        <v>0.21031250000000001</v>
      </c>
      <c r="I224" s="17">
        <v>2.3090277777777779E-2</v>
      </c>
      <c r="J224" s="17">
        <v>2.5655864197530864E-3</v>
      </c>
      <c r="K224" s="17">
        <v>8.8217592592592597E-2</v>
      </c>
      <c r="L224" s="18">
        <v>0.41945957844917725</v>
      </c>
      <c r="M224" s="16" t="s">
        <v>334</v>
      </c>
      <c r="N224" s="17">
        <v>6.1111111111111114E-3</v>
      </c>
      <c r="O224" s="17">
        <v>1.6064814814814816E-2</v>
      </c>
      <c r="P224" s="17"/>
      <c r="Q224" s="17">
        <v>3.3333333333333335E-3</v>
      </c>
      <c r="R224" s="17"/>
      <c r="S224" s="17">
        <v>1.457175925925926E-2</v>
      </c>
      <c r="T224" s="17">
        <v>2.4537037037037036E-3</v>
      </c>
      <c r="U224" s="17">
        <v>2.8819444444444444E-3</v>
      </c>
      <c r="V224" s="17"/>
      <c r="W224" s="17">
        <v>4.266203703703704E-2</v>
      </c>
    </row>
    <row r="225" spans="1:23" ht="15" customHeight="1" x14ac:dyDescent="0.25">
      <c r="A225" s="19">
        <v>46238</v>
      </c>
      <c r="B225" s="11" t="s">
        <v>645</v>
      </c>
      <c r="C225" s="12" t="s">
        <v>646</v>
      </c>
      <c r="D225" s="11" t="s">
        <v>100</v>
      </c>
      <c r="E225" s="12" t="s">
        <v>32</v>
      </c>
      <c r="F225" s="12" t="s">
        <v>33</v>
      </c>
      <c r="G225" s="12">
        <v>35</v>
      </c>
      <c r="H225" s="13">
        <v>0.2643287037037037</v>
      </c>
      <c r="I225" s="13">
        <v>0.25064814814814818</v>
      </c>
      <c r="J225" s="13">
        <v>7.161375661375661E-3</v>
      </c>
      <c r="K225" s="13">
        <v>3.7210648148148145E-2</v>
      </c>
      <c r="L225" s="14">
        <v>0.14077414834924248</v>
      </c>
      <c r="M225" s="12" t="s">
        <v>334</v>
      </c>
      <c r="N225" s="13">
        <v>6.6435185185185182E-3</v>
      </c>
      <c r="O225" s="13">
        <v>1.3402777777777777E-2</v>
      </c>
      <c r="P225" s="13"/>
      <c r="Q225" s="13"/>
      <c r="R225" s="13"/>
      <c r="S225" s="13">
        <v>1.4409722222222223E-2</v>
      </c>
      <c r="T225" s="13">
        <v>1.7708333333333332E-3</v>
      </c>
      <c r="U225" s="13">
        <v>9.4907407407407408E-4</v>
      </c>
      <c r="V225" s="13"/>
      <c r="W225" s="13"/>
    </row>
    <row r="226" spans="1:23" ht="15" customHeight="1" x14ac:dyDescent="0.25">
      <c r="A226" s="20">
        <v>46238</v>
      </c>
      <c r="B226" s="15" t="s">
        <v>120</v>
      </c>
      <c r="C226" s="16" t="s">
        <v>558</v>
      </c>
      <c r="D226" s="15" t="s">
        <v>233</v>
      </c>
      <c r="E226" s="16" t="s">
        <v>32</v>
      </c>
      <c r="F226" s="16" t="s">
        <v>106</v>
      </c>
      <c r="G226" s="16">
        <v>50</v>
      </c>
      <c r="H226" s="17">
        <v>0.26030092592592591</v>
      </c>
      <c r="I226" s="17">
        <v>0.15075231481481483</v>
      </c>
      <c r="J226" s="17">
        <v>3.0150462962962965E-3</v>
      </c>
      <c r="K226" s="17">
        <v>5.9108796296296298E-2</v>
      </c>
      <c r="L226" s="18">
        <v>0.22707870164517563</v>
      </c>
      <c r="M226" s="16" t="s">
        <v>334</v>
      </c>
      <c r="N226" s="17">
        <v>9.7453703703703695E-3</v>
      </c>
      <c r="O226" s="17">
        <v>1.3321759259259259E-2</v>
      </c>
      <c r="P226" s="17"/>
      <c r="Q226" s="17"/>
      <c r="R226" s="17"/>
      <c r="S226" s="17">
        <v>1.3055555555555556E-2</v>
      </c>
      <c r="T226" s="17">
        <v>1.6342592592592593E-2</v>
      </c>
      <c r="U226" s="17">
        <v>6.6435185185185182E-3</v>
      </c>
      <c r="V226" s="17"/>
      <c r="W226" s="17"/>
    </row>
    <row r="227" spans="1:23" ht="15" customHeight="1" x14ac:dyDescent="0.25">
      <c r="A227" s="19">
        <v>46238</v>
      </c>
      <c r="B227" s="11" t="s">
        <v>46</v>
      </c>
      <c r="C227" s="12" t="s">
        <v>507</v>
      </c>
      <c r="D227" s="11" t="s">
        <v>100</v>
      </c>
      <c r="E227" s="12" t="s">
        <v>32</v>
      </c>
      <c r="F227" s="12" t="s">
        <v>33</v>
      </c>
      <c r="G227" s="12">
        <v>28</v>
      </c>
      <c r="H227" s="13">
        <v>0.2631134259259259</v>
      </c>
      <c r="I227" s="13">
        <v>0.22387731481481482</v>
      </c>
      <c r="J227" s="13">
        <v>7.9956183862433857E-3</v>
      </c>
      <c r="K227" s="13">
        <v>2.9027777777777777E-2</v>
      </c>
      <c r="L227" s="14">
        <v>0.11032419830202789</v>
      </c>
      <c r="M227" s="12" t="s">
        <v>334</v>
      </c>
      <c r="N227" s="13"/>
      <c r="O227" s="13">
        <v>1.3993055555555555E-2</v>
      </c>
      <c r="P227" s="13"/>
      <c r="Q227" s="13"/>
      <c r="R227" s="13"/>
      <c r="S227" s="13">
        <v>1.3888888888888888E-2</v>
      </c>
      <c r="T227" s="13">
        <v>1.8518518518518518E-4</v>
      </c>
      <c r="U227" s="13">
        <v>9.1435185185185185E-4</v>
      </c>
      <c r="V227" s="13"/>
      <c r="W227" s="13"/>
    </row>
    <row r="228" spans="1:23" ht="15" customHeight="1" x14ac:dyDescent="0.25">
      <c r="A228" s="20">
        <v>46238</v>
      </c>
      <c r="B228" s="15" t="s">
        <v>287</v>
      </c>
      <c r="C228" s="16" t="s">
        <v>542</v>
      </c>
      <c r="D228" s="15" t="s">
        <v>104</v>
      </c>
      <c r="E228" s="16" t="s">
        <v>105</v>
      </c>
      <c r="F228" s="16" t="s">
        <v>106</v>
      </c>
      <c r="G228" s="16">
        <v>9</v>
      </c>
      <c r="H228" s="17">
        <v>0.21679398148148149</v>
      </c>
      <c r="I228" s="17">
        <v>0.15732638888888889</v>
      </c>
      <c r="J228" s="17">
        <v>1.748070987654321E-2</v>
      </c>
      <c r="K228" s="17">
        <v>9.1562500000000005E-2</v>
      </c>
      <c r="L228" s="18">
        <v>0.42234797928567613</v>
      </c>
      <c r="M228" s="16" t="s">
        <v>334</v>
      </c>
      <c r="N228" s="17">
        <v>1.3287037037037036E-2</v>
      </c>
      <c r="O228" s="17">
        <v>2.0925925925925924E-2</v>
      </c>
      <c r="P228" s="17"/>
      <c r="Q228" s="17"/>
      <c r="R228" s="17">
        <v>8.472222222222223E-3</v>
      </c>
      <c r="S228" s="17">
        <v>1.7361111111111112E-2</v>
      </c>
      <c r="T228" s="17">
        <v>2.5462962962962965E-3</v>
      </c>
      <c r="U228" s="17">
        <v>1.0300925925925926E-3</v>
      </c>
      <c r="V228" s="17"/>
      <c r="W228" s="17">
        <v>2.7939814814814813E-2</v>
      </c>
    </row>
    <row r="229" spans="1:23" ht="15" customHeight="1" x14ac:dyDescent="0.25">
      <c r="A229" s="19">
        <v>46238</v>
      </c>
      <c r="B229" s="11" t="s">
        <v>499</v>
      </c>
      <c r="C229" s="12" t="s">
        <v>517</v>
      </c>
      <c r="D229" s="11" t="s">
        <v>146</v>
      </c>
      <c r="E229" s="12" t="s">
        <v>147</v>
      </c>
      <c r="F229" s="12" t="s">
        <v>106</v>
      </c>
      <c r="G229" s="12">
        <v>12</v>
      </c>
      <c r="H229" s="13">
        <v>0.25123842592592593</v>
      </c>
      <c r="I229" s="13">
        <v>6.2337962962962963E-2</v>
      </c>
      <c r="J229" s="13">
        <v>5.19483024691358E-3</v>
      </c>
      <c r="K229" s="13">
        <v>5.1296296296296298E-2</v>
      </c>
      <c r="L229" s="14">
        <v>0.20417376883033123</v>
      </c>
      <c r="M229" s="12" t="s">
        <v>334</v>
      </c>
      <c r="N229" s="13">
        <v>2.9282407407407408E-3</v>
      </c>
      <c r="O229" s="13">
        <v>1.4710648148148148E-2</v>
      </c>
      <c r="P229" s="13">
        <v>6.3078703703703708E-3</v>
      </c>
      <c r="Q229" s="13">
        <v>8.819444444444444E-3</v>
      </c>
      <c r="R229" s="13"/>
      <c r="S229" s="13">
        <v>1.3969907407407407E-2</v>
      </c>
      <c r="T229" s="13">
        <v>1.6203703703703703E-4</v>
      </c>
      <c r="U229" s="13">
        <v>1.1342592592592593E-3</v>
      </c>
      <c r="V229" s="13"/>
      <c r="W229" s="13">
        <v>3.2175925925925926E-3</v>
      </c>
    </row>
    <row r="230" spans="1:23" ht="15" customHeight="1" x14ac:dyDescent="0.25">
      <c r="A230" s="20">
        <v>46238</v>
      </c>
      <c r="B230" s="15" t="s">
        <v>647</v>
      </c>
      <c r="C230" s="16" t="s">
        <v>648</v>
      </c>
      <c r="D230" s="15" t="s">
        <v>233</v>
      </c>
      <c r="E230" s="16" t="s">
        <v>32</v>
      </c>
      <c r="F230" s="16" t="s">
        <v>106</v>
      </c>
      <c r="G230" s="16">
        <v>38</v>
      </c>
      <c r="H230" s="17">
        <v>0.2646296296296296</v>
      </c>
      <c r="I230" s="17">
        <v>0.17093749999999999</v>
      </c>
      <c r="J230" s="17">
        <v>4.4983552631578947E-3</v>
      </c>
      <c r="K230" s="17">
        <v>4.7997685185185185E-2</v>
      </c>
      <c r="L230" s="18">
        <v>0.18137683694891532</v>
      </c>
      <c r="M230" s="16" t="s">
        <v>334</v>
      </c>
      <c r="N230" s="17">
        <v>9.3518518518518525E-3</v>
      </c>
      <c r="O230" s="17">
        <v>1.5995370370370372E-2</v>
      </c>
      <c r="P230" s="17">
        <v>1.3541666666666667E-3</v>
      </c>
      <c r="Q230" s="17">
        <v>7.9745370370370369E-3</v>
      </c>
      <c r="R230" s="17"/>
      <c r="S230" s="17">
        <v>1.2962962962962963E-2</v>
      </c>
      <c r="T230" s="17">
        <v>1.3888888888888889E-4</v>
      </c>
      <c r="U230" s="17">
        <v>2.0833333333333335E-4</v>
      </c>
      <c r="V230" s="17"/>
      <c r="W230" s="17"/>
    </row>
    <row r="231" spans="1:23" ht="15" customHeight="1" x14ac:dyDescent="0.25">
      <c r="A231" s="19">
        <v>46238</v>
      </c>
      <c r="B231" s="11" t="s">
        <v>649</v>
      </c>
      <c r="C231" s="12" t="s">
        <v>650</v>
      </c>
      <c r="D231" s="11" t="s">
        <v>104</v>
      </c>
      <c r="E231" s="12" t="s">
        <v>105</v>
      </c>
      <c r="F231" s="12" t="s">
        <v>106</v>
      </c>
      <c r="G231" s="12">
        <v>14</v>
      </c>
      <c r="H231" s="13">
        <v>0.26645833333333335</v>
      </c>
      <c r="I231" s="13">
        <v>0.20501157407407408</v>
      </c>
      <c r="J231" s="13">
        <v>1.4643683862433863E-2</v>
      </c>
      <c r="K231" s="13">
        <v>0.10472222222222222</v>
      </c>
      <c r="L231" s="14">
        <v>0.3930153765962992</v>
      </c>
      <c r="M231" s="12" t="s">
        <v>334</v>
      </c>
      <c r="N231" s="13">
        <v>5.5555555555555556E-4</v>
      </c>
      <c r="O231" s="13">
        <v>1.3564814814814814E-2</v>
      </c>
      <c r="P231" s="13"/>
      <c r="Q231" s="13"/>
      <c r="R231" s="13"/>
      <c r="S231" s="13">
        <v>1.3310185185185185E-2</v>
      </c>
      <c r="T231" s="13">
        <v>5.7870370370370373E-5</v>
      </c>
      <c r="U231" s="13">
        <v>1.4004629629629629E-2</v>
      </c>
      <c r="V231" s="13"/>
      <c r="W231" s="13">
        <v>6.3217592592592589E-2</v>
      </c>
    </row>
    <row r="232" spans="1:23" ht="15" customHeight="1" x14ac:dyDescent="0.25">
      <c r="A232" s="20">
        <v>46238</v>
      </c>
      <c r="B232" s="15" t="s">
        <v>651</v>
      </c>
      <c r="C232" s="16" t="s">
        <v>652</v>
      </c>
      <c r="D232" s="15" t="s">
        <v>100</v>
      </c>
      <c r="E232" s="16" t="s">
        <v>32</v>
      </c>
      <c r="F232" s="16" t="s">
        <v>33</v>
      </c>
      <c r="G232" s="16">
        <v>17</v>
      </c>
      <c r="H232" s="17">
        <v>0.25765046296296296</v>
      </c>
      <c r="I232" s="17">
        <v>0.21438657407407408</v>
      </c>
      <c r="J232" s="17">
        <v>1.2610974945533768E-2</v>
      </c>
      <c r="K232" s="17">
        <v>3.6921296296296299E-2</v>
      </c>
      <c r="L232" s="18">
        <v>0.14329994160190468</v>
      </c>
      <c r="M232" s="16" t="s">
        <v>334</v>
      </c>
      <c r="N232" s="17">
        <v>9.0277777777777769E-3</v>
      </c>
      <c r="O232" s="17">
        <v>8.3217592592592596E-3</v>
      </c>
      <c r="P232" s="17"/>
      <c r="Q232" s="17"/>
      <c r="R232" s="17"/>
      <c r="S232" s="17">
        <v>1.9293981481481481E-2</v>
      </c>
      <c r="T232" s="17">
        <v>2.7777777777777778E-4</v>
      </c>
      <c r="U232" s="17"/>
      <c r="V232" s="17"/>
      <c r="W232" s="17"/>
    </row>
    <row r="233" spans="1:23" ht="15" customHeight="1" x14ac:dyDescent="0.25">
      <c r="A233" s="19">
        <v>46238</v>
      </c>
      <c r="B233" s="11" t="s">
        <v>48</v>
      </c>
      <c r="C233" s="12" t="s">
        <v>508</v>
      </c>
      <c r="D233" s="11" t="s">
        <v>100</v>
      </c>
      <c r="E233" s="12" t="s">
        <v>32</v>
      </c>
      <c r="F233" s="12" t="s">
        <v>33</v>
      </c>
      <c r="G233" s="12">
        <v>36</v>
      </c>
      <c r="H233" s="13">
        <v>0.26417824074074076</v>
      </c>
      <c r="I233" s="13">
        <v>0.18666666666666668</v>
      </c>
      <c r="J233" s="13">
        <v>5.185185185185185E-3</v>
      </c>
      <c r="K233" s="13">
        <v>6.9155092592592587E-2</v>
      </c>
      <c r="L233" s="14">
        <v>0.26177437020810512</v>
      </c>
      <c r="M233" s="12" t="s">
        <v>334</v>
      </c>
      <c r="N233" s="13">
        <v>4.4212962962962964E-3</v>
      </c>
      <c r="O233" s="13">
        <v>1.5625E-2</v>
      </c>
      <c r="P233" s="13"/>
      <c r="Q233" s="13"/>
      <c r="R233" s="13"/>
      <c r="S233" s="13">
        <v>1.3923611111111111E-2</v>
      </c>
      <c r="T233" s="13">
        <v>2.1759259259259258E-3</v>
      </c>
      <c r="U233" s="13">
        <v>6.9444444444444444E-5</v>
      </c>
      <c r="V233" s="13"/>
      <c r="W233" s="13">
        <v>3.2500000000000001E-2</v>
      </c>
    </row>
    <row r="234" spans="1:23" ht="15" customHeight="1" x14ac:dyDescent="0.25">
      <c r="A234" s="20">
        <v>46238</v>
      </c>
      <c r="B234" s="15" t="s">
        <v>50</v>
      </c>
      <c r="C234" s="16" t="s">
        <v>538</v>
      </c>
      <c r="D234" s="15" t="s">
        <v>100</v>
      </c>
      <c r="E234" s="16" t="s">
        <v>32</v>
      </c>
      <c r="F234" s="16" t="s">
        <v>33</v>
      </c>
      <c r="G234" s="16">
        <v>14</v>
      </c>
      <c r="H234" s="17">
        <v>0.26221064814814815</v>
      </c>
      <c r="I234" s="17">
        <v>8.987268518518518E-2</v>
      </c>
      <c r="J234" s="17">
        <v>6.4194775132275133E-3</v>
      </c>
      <c r="K234" s="17">
        <v>0.18024305555555556</v>
      </c>
      <c r="L234" s="18">
        <v>0.68739792540278088</v>
      </c>
      <c r="M234" s="16" t="s">
        <v>334</v>
      </c>
      <c r="N234" s="17">
        <v>9.3634259259259261E-3</v>
      </c>
      <c r="O234" s="17">
        <v>7.6504629629629631E-3</v>
      </c>
      <c r="P234" s="17"/>
      <c r="Q234" s="17"/>
      <c r="R234" s="17"/>
      <c r="S234" s="17">
        <v>1.4814814814814815E-2</v>
      </c>
      <c r="T234" s="17">
        <v>3.1250000000000001E-4</v>
      </c>
      <c r="U234" s="17">
        <v>8.7962962962962962E-4</v>
      </c>
      <c r="V234" s="17"/>
      <c r="W234" s="17">
        <v>0.14721064814814816</v>
      </c>
    </row>
    <row r="235" spans="1:23" ht="15" customHeight="1" x14ac:dyDescent="0.25">
      <c r="A235" s="19">
        <v>46238</v>
      </c>
      <c r="B235" s="11" t="s">
        <v>242</v>
      </c>
      <c r="C235" s="12" t="s">
        <v>603</v>
      </c>
      <c r="D235" s="11" t="s">
        <v>233</v>
      </c>
      <c r="E235" s="12" t="s">
        <v>32</v>
      </c>
      <c r="F235" s="12" t="s">
        <v>106</v>
      </c>
      <c r="G235" s="12">
        <v>34</v>
      </c>
      <c r="H235" s="13">
        <v>0.26437500000000003</v>
      </c>
      <c r="I235" s="13">
        <v>0.23059027777777777</v>
      </c>
      <c r="J235" s="13">
        <v>6.782066993464053E-3</v>
      </c>
      <c r="K235" s="13">
        <v>2.5115740740740741E-3</v>
      </c>
      <c r="L235" s="14">
        <v>9.5000437790035905E-3</v>
      </c>
      <c r="M235" s="12" t="s">
        <v>334</v>
      </c>
      <c r="N235" s="13"/>
      <c r="O235" s="13"/>
      <c r="P235" s="13"/>
      <c r="Q235" s="13"/>
      <c r="R235" s="13"/>
      <c r="S235" s="13"/>
      <c r="T235" s="13">
        <v>6.9444444444444444E-5</v>
      </c>
      <c r="U235" s="13">
        <v>2.3611111111111111E-3</v>
      </c>
      <c r="V235" s="13"/>
      <c r="W235" s="13">
        <v>3.4722222222222222E-5</v>
      </c>
    </row>
    <row r="236" spans="1:23" ht="15" customHeight="1" x14ac:dyDescent="0.25">
      <c r="A236" s="20">
        <v>46238</v>
      </c>
      <c r="B236" s="15" t="s">
        <v>248</v>
      </c>
      <c r="C236" s="16" t="s">
        <v>249</v>
      </c>
      <c r="D236" s="15" t="s">
        <v>78</v>
      </c>
      <c r="E236" s="16" t="s">
        <v>80</v>
      </c>
      <c r="F236" s="16" t="s">
        <v>81</v>
      </c>
      <c r="G236" s="16">
        <v>1</v>
      </c>
      <c r="H236" s="17">
        <v>0.33440972222222221</v>
      </c>
      <c r="I236" s="17">
        <v>3.6689814814814814E-2</v>
      </c>
      <c r="J236" s="17">
        <v>3.6689814814814814E-2</v>
      </c>
      <c r="K236" s="17">
        <v>0.21283564814814815</v>
      </c>
      <c r="L236" s="18">
        <v>0.63645173571453295</v>
      </c>
      <c r="M236" s="16" t="s">
        <v>334</v>
      </c>
      <c r="N236" s="17"/>
      <c r="O236" s="17"/>
      <c r="P236" s="17"/>
      <c r="Q236" s="17"/>
      <c r="R236" s="17"/>
      <c r="S236" s="17"/>
      <c r="T236" s="17">
        <v>1.1574074074074075E-4</v>
      </c>
      <c r="U236" s="17">
        <v>0.21269675925925927</v>
      </c>
      <c r="V236" s="17"/>
      <c r="W236" s="17"/>
    </row>
    <row r="237" spans="1:23" ht="15" customHeight="1" x14ac:dyDescent="0.25">
      <c r="A237" s="19">
        <v>46238</v>
      </c>
      <c r="B237" s="11" t="s">
        <v>289</v>
      </c>
      <c r="C237" s="12" t="s">
        <v>559</v>
      </c>
      <c r="D237" s="11" t="s">
        <v>104</v>
      </c>
      <c r="E237" s="12" t="s">
        <v>105</v>
      </c>
      <c r="F237" s="12" t="s">
        <v>106</v>
      </c>
      <c r="G237" s="12">
        <v>17</v>
      </c>
      <c r="H237" s="13">
        <v>0.29652777777777778</v>
      </c>
      <c r="I237" s="13">
        <v>0.25056712962962963</v>
      </c>
      <c r="J237" s="13">
        <v>1.4739242919389979E-2</v>
      </c>
      <c r="K237" s="13">
        <v>0.10142361111111112</v>
      </c>
      <c r="L237" s="14">
        <v>0.34203747072599533</v>
      </c>
      <c r="M237" s="12" t="s">
        <v>334</v>
      </c>
      <c r="N237" s="13">
        <v>1.7280092592592593E-2</v>
      </c>
      <c r="O237" s="13">
        <v>2.3217592592592592E-2</v>
      </c>
      <c r="P237" s="13">
        <v>2.2453703703703702E-3</v>
      </c>
      <c r="Q237" s="13"/>
      <c r="R237" s="13"/>
      <c r="S237" s="13">
        <v>1.7175925925925924E-2</v>
      </c>
      <c r="T237" s="13">
        <v>1.4467592592592592E-3</v>
      </c>
      <c r="U237" s="13">
        <v>2.3703703703703703E-2</v>
      </c>
      <c r="V237" s="13"/>
      <c r="W237" s="13">
        <v>1.6331018518518519E-2</v>
      </c>
    </row>
    <row r="238" spans="1:23" ht="15" customHeight="1" x14ac:dyDescent="0.25">
      <c r="A238" s="20">
        <v>46238</v>
      </c>
      <c r="B238" s="15" t="s">
        <v>252</v>
      </c>
      <c r="C238" s="16" t="s">
        <v>553</v>
      </c>
      <c r="D238" s="15" t="s">
        <v>78</v>
      </c>
      <c r="E238" s="16" t="s">
        <v>80</v>
      </c>
      <c r="F238" s="16" t="s">
        <v>81</v>
      </c>
      <c r="G238" s="16">
        <v>0</v>
      </c>
      <c r="H238" s="17">
        <v>1.2731481481481483E-3</v>
      </c>
      <c r="I238" s="17">
        <v>0</v>
      </c>
      <c r="J238" s="17">
        <v>0</v>
      </c>
      <c r="K238" s="17">
        <v>0</v>
      </c>
      <c r="L238" s="18">
        <v>0</v>
      </c>
      <c r="M238" s="16" t="s">
        <v>333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spans="1:23" ht="15" customHeight="1" x14ac:dyDescent="0.25">
      <c r="A239" s="19">
        <v>46238</v>
      </c>
      <c r="B239" s="11" t="s">
        <v>500</v>
      </c>
      <c r="C239" s="12" t="s">
        <v>518</v>
      </c>
      <c r="D239" s="11" t="s">
        <v>274</v>
      </c>
      <c r="E239" s="12" t="s">
        <v>147</v>
      </c>
      <c r="F239" s="12" t="s">
        <v>33</v>
      </c>
      <c r="G239" s="12">
        <v>28</v>
      </c>
      <c r="H239" s="13">
        <v>0.26686342592592593</v>
      </c>
      <c r="I239" s="13">
        <v>9.9675925925925932E-2</v>
      </c>
      <c r="J239" s="13">
        <v>3.5598544973544973E-3</v>
      </c>
      <c r="K239" s="13">
        <v>4.0370370370370369E-2</v>
      </c>
      <c r="L239" s="14">
        <v>0.15127726937589453</v>
      </c>
      <c r="M239" s="12" t="s">
        <v>334</v>
      </c>
      <c r="N239" s="13"/>
      <c r="O239" s="13">
        <v>2.4097222222222221E-2</v>
      </c>
      <c r="P239" s="13"/>
      <c r="Q239" s="13">
        <v>1.0532407407407407E-3</v>
      </c>
      <c r="R239" s="13"/>
      <c r="S239" s="13">
        <v>1.474537037037037E-2</v>
      </c>
      <c r="T239" s="13">
        <v>2.8935185185185184E-4</v>
      </c>
      <c r="U239" s="13">
        <v>1.7361111111111112E-4</v>
      </c>
      <c r="V239" s="13"/>
      <c r="W239" s="13"/>
    </row>
    <row r="240" spans="1:23" ht="15" customHeight="1" x14ac:dyDescent="0.25">
      <c r="A240" s="20">
        <v>46238</v>
      </c>
      <c r="B240" s="15" t="s">
        <v>683</v>
      </c>
      <c r="C240" s="16" t="s">
        <v>684</v>
      </c>
      <c r="D240" s="15" t="s">
        <v>233</v>
      </c>
      <c r="E240" s="16" t="s">
        <v>32</v>
      </c>
      <c r="F240" s="16" t="s">
        <v>106</v>
      </c>
      <c r="G240" s="16">
        <v>24</v>
      </c>
      <c r="H240" s="17">
        <v>0.26545138888888886</v>
      </c>
      <c r="I240" s="17">
        <v>0.18094907407407407</v>
      </c>
      <c r="J240" s="17">
        <v>7.5395447530864192E-3</v>
      </c>
      <c r="K240" s="17">
        <v>5.5057870370370368E-2</v>
      </c>
      <c r="L240" s="18">
        <v>0.20741225201656857</v>
      </c>
      <c r="M240" s="16" t="s">
        <v>334</v>
      </c>
      <c r="N240" s="17">
        <v>3.6111111111111109E-3</v>
      </c>
      <c r="O240" s="17">
        <v>2.1273148148148149E-2</v>
      </c>
      <c r="P240" s="17"/>
      <c r="Q240" s="17">
        <v>1.3993055555555555E-2</v>
      </c>
      <c r="R240" s="17"/>
      <c r="S240" s="17"/>
      <c r="T240" s="17">
        <v>1.273148148148148E-4</v>
      </c>
      <c r="U240" s="17">
        <v>1.6053240740740739E-2</v>
      </c>
      <c r="V240" s="17"/>
      <c r="W240" s="17"/>
    </row>
    <row r="241" spans="1:23" ht="15" customHeight="1" x14ac:dyDescent="0.25">
      <c r="A241" s="19">
        <v>46238</v>
      </c>
      <c r="B241" s="11" t="s">
        <v>653</v>
      </c>
      <c r="C241" s="12" t="s">
        <v>654</v>
      </c>
      <c r="D241" s="11" t="s">
        <v>100</v>
      </c>
      <c r="E241" s="12" t="s">
        <v>32</v>
      </c>
      <c r="F241" s="12" t="s">
        <v>33</v>
      </c>
      <c r="G241" s="12">
        <v>30</v>
      </c>
      <c r="H241" s="13">
        <v>0.2258449074074074</v>
      </c>
      <c r="I241" s="13">
        <v>0.18229166666666666</v>
      </c>
      <c r="J241" s="13">
        <v>6.076388888888889E-3</v>
      </c>
      <c r="K241" s="13">
        <v>5.2557870370370373E-2</v>
      </c>
      <c r="L241" s="14">
        <v>0.23271665043816941</v>
      </c>
      <c r="M241" s="12" t="s">
        <v>334</v>
      </c>
      <c r="N241" s="13">
        <v>8.9236111111111113E-3</v>
      </c>
      <c r="O241" s="13">
        <v>1.4791666666666667E-2</v>
      </c>
      <c r="P241" s="13"/>
      <c r="Q241" s="13"/>
      <c r="R241" s="13">
        <v>9.3981481481481485E-3</v>
      </c>
      <c r="S241" s="13">
        <v>1.4583333333333334E-2</v>
      </c>
      <c r="T241" s="13">
        <v>1.7476851851851852E-3</v>
      </c>
      <c r="U241" s="13">
        <v>2.9398148148148148E-3</v>
      </c>
      <c r="V241" s="13"/>
      <c r="W241" s="13"/>
    </row>
    <row r="242" spans="1:23" ht="15" customHeight="1" x14ac:dyDescent="0.25">
      <c r="A242" s="20">
        <v>46238</v>
      </c>
      <c r="B242" s="15" t="s">
        <v>52</v>
      </c>
      <c r="C242" s="16" t="s">
        <v>509</v>
      </c>
      <c r="D242" s="15" t="s">
        <v>100</v>
      </c>
      <c r="E242" s="16" t="s">
        <v>32</v>
      </c>
      <c r="F242" s="16" t="s">
        <v>33</v>
      </c>
      <c r="G242" s="16">
        <v>9</v>
      </c>
      <c r="H242" s="17">
        <v>0.2320949074074074</v>
      </c>
      <c r="I242" s="17">
        <v>5.3171296296296293E-2</v>
      </c>
      <c r="J242" s="17">
        <v>5.9079218106995882E-3</v>
      </c>
      <c r="K242" s="17">
        <v>0.19019675925925925</v>
      </c>
      <c r="L242" s="18">
        <v>0.81947838228693959</v>
      </c>
      <c r="M242" s="16" t="s">
        <v>334</v>
      </c>
      <c r="N242" s="17"/>
      <c r="O242" s="17">
        <v>1.4282407407407407E-2</v>
      </c>
      <c r="P242" s="17"/>
      <c r="Q242" s="17"/>
      <c r="R242" s="17"/>
      <c r="S242" s="17">
        <v>1.4490740740740742E-2</v>
      </c>
      <c r="T242" s="17">
        <v>3.2407407407407406E-4</v>
      </c>
      <c r="U242" s="17"/>
      <c r="V242" s="17"/>
      <c r="W242" s="17">
        <v>0.16109953703703703</v>
      </c>
    </row>
    <row r="243" spans="1:23" ht="15" customHeight="1" x14ac:dyDescent="0.25">
      <c r="A243" s="19">
        <v>46238</v>
      </c>
      <c r="B243" s="11" t="s">
        <v>164</v>
      </c>
      <c r="C243" s="12" t="s">
        <v>519</v>
      </c>
      <c r="D243" s="11" t="s">
        <v>146</v>
      </c>
      <c r="E243" s="12" t="s">
        <v>147</v>
      </c>
      <c r="F243" s="12" t="s">
        <v>106</v>
      </c>
      <c r="G243" s="12">
        <v>23</v>
      </c>
      <c r="H243" s="13">
        <v>0.26480324074074074</v>
      </c>
      <c r="I243" s="13">
        <v>8.9398148148148143E-2</v>
      </c>
      <c r="J243" s="13">
        <v>3.8868760064412239E-3</v>
      </c>
      <c r="K243" s="13">
        <v>3.0451388888888889E-2</v>
      </c>
      <c r="L243" s="14">
        <v>0.11499628480265746</v>
      </c>
      <c r="M243" s="12" t="s">
        <v>334</v>
      </c>
      <c r="N243" s="13"/>
      <c r="O243" s="13">
        <v>1.3171296296296296E-2</v>
      </c>
      <c r="P243" s="13"/>
      <c r="Q243" s="13">
        <v>2.3958333333333331E-3</v>
      </c>
      <c r="R243" s="13"/>
      <c r="S243" s="13">
        <v>1.3981481481481482E-2</v>
      </c>
      <c r="T243" s="13">
        <v>1.8518518518518518E-4</v>
      </c>
      <c r="U243" s="13">
        <v>6.4814814814814813E-4</v>
      </c>
      <c r="V243" s="13"/>
      <c r="W243" s="13"/>
    </row>
    <row r="244" spans="1:23" ht="15" customHeight="1" x14ac:dyDescent="0.25">
      <c r="A244" s="20">
        <v>46238</v>
      </c>
      <c r="B244" s="15" t="s">
        <v>655</v>
      </c>
      <c r="C244" s="16" t="s">
        <v>656</v>
      </c>
      <c r="D244" s="15" t="s">
        <v>100</v>
      </c>
      <c r="E244" s="16" t="s">
        <v>32</v>
      </c>
      <c r="F244" s="16" t="s">
        <v>33</v>
      </c>
      <c r="G244" s="16">
        <v>25</v>
      </c>
      <c r="H244" s="17">
        <v>0.26192129629629629</v>
      </c>
      <c r="I244" s="17">
        <v>0.21592592592592594</v>
      </c>
      <c r="J244" s="17">
        <v>8.6370370370370368E-3</v>
      </c>
      <c r="K244" s="17">
        <v>3.2384259259259258E-2</v>
      </c>
      <c r="L244" s="18">
        <v>0.12364118426866991</v>
      </c>
      <c r="M244" s="16" t="s">
        <v>334</v>
      </c>
      <c r="N244" s="17">
        <v>4.8379629629629632E-3</v>
      </c>
      <c r="O244" s="17">
        <v>1.306712962962963E-2</v>
      </c>
      <c r="P244" s="17"/>
      <c r="Q244" s="17"/>
      <c r="R244" s="17"/>
      <c r="S244" s="17">
        <v>1.357638888888889E-2</v>
      </c>
      <c r="T244" s="17">
        <v>1.273148148148148E-4</v>
      </c>
      <c r="U244" s="17">
        <v>7.6388888888888893E-4</v>
      </c>
      <c r="V244" s="17"/>
      <c r="W244" s="17"/>
    </row>
    <row r="245" spans="1:23" ht="15" customHeight="1" x14ac:dyDescent="0.25">
      <c r="A245" s="19">
        <v>46238</v>
      </c>
      <c r="B245" s="11" t="s">
        <v>657</v>
      </c>
      <c r="C245" s="12" t="s">
        <v>658</v>
      </c>
      <c r="D245" s="11" t="s">
        <v>274</v>
      </c>
      <c r="E245" s="12" t="s">
        <v>147</v>
      </c>
      <c r="F245" s="12" t="s">
        <v>33</v>
      </c>
      <c r="G245" s="12">
        <v>19</v>
      </c>
      <c r="H245" s="13">
        <v>0.26021990740740741</v>
      </c>
      <c r="I245" s="13">
        <v>7.9270833333333332E-2</v>
      </c>
      <c r="J245" s="13">
        <v>4.1721491228070172E-3</v>
      </c>
      <c r="K245" s="13">
        <v>4.5185185185185182E-2</v>
      </c>
      <c r="L245" s="14">
        <v>0.17364230752123827</v>
      </c>
      <c r="M245" s="12" t="s">
        <v>334</v>
      </c>
      <c r="N245" s="13">
        <v>1.2893518518518518E-2</v>
      </c>
      <c r="O245" s="13">
        <v>1.3981481481481482E-2</v>
      </c>
      <c r="P245" s="13"/>
      <c r="Q245" s="13"/>
      <c r="R245" s="13">
        <v>2.650462962962963E-3</v>
      </c>
      <c r="S245" s="13">
        <v>1.4930555555555556E-2</v>
      </c>
      <c r="T245" s="13">
        <v>5.7870370370370373E-5</v>
      </c>
      <c r="U245" s="13">
        <v>6.7129629629629625E-4</v>
      </c>
      <c r="V245" s="13"/>
      <c r="W245" s="13"/>
    </row>
    <row r="246" spans="1:23" ht="15" customHeight="1" x14ac:dyDescent="0.25">
      <c r="A246" s="20">
        <v>46238</v>
      </c>
      <c r="B246" s="15" t="s">
        <v>166</v>
      </c>
      <c r="C246" s="16" t="s">
        <v>167</v>
      </c>
      <c r="D246" s="15" t="s">
        <v>146</v>
      </c>
      <c r="E246" s="16" t="s">
        <v>147</v>
      </c>
      <c r="F246" s="16" t="s">
        <v>106</v>
      </c>
      <c r="G246" s="16">
        <v>0</v>
      </c>
      <c r="H246" s="17">
        <v>4.8495370370370368E-3</v>
      </c>
      <c r="I246" s="17">
        <v>0</v>
      </c>
      <c r="J246" s="17">
        <v>0</v>
      </c>
      <c r="K246" s="17">
        <v>1.1574074074074075E-4</v>
      </c>
      <c r="L246" s="18">
        <v>2.386634844868735E-2</v>
      </c>
      <c r="M246" s="16" t="s">
        <v>333</v>
      </c>
      <c r="N246" s="17"/>
      <c r="O246" s="17"/>
      <c r="P246" s="17"/>
      <c r="Q246" s="17"/>
      <c r="R246" s="17"/>
      <c r="S246" s="17"/>
      <c r="T246" s="17">
        <v>1.1574074074074075E-4</v>
      </c>
      <c r="U246" s="17"/>
      <c r="V246" s="17"/>
      <c r="W246" s="17"/>
    </row>
    <row r="247" spans="1:23" ht="15" customHeight="1" x14ac:dyDescent="0.25">
      <c r="A247" s="19">
        <v>46238</v>
      </c>
      <c r="B247" s="11" t="s">
        <v>659</v>
      </c>
      <c r="C247" s="12" t="s">
        <v>660</v>
      </c>
      <c r="D247" s="11" t="s">
        <v>100</v>
      </c>
      <c r="E247" s="12" t="s">
        <v>32</v>
      </c>
      <c r="F247" s="12" t="s">
        <v>33</v>
      </c>
      <c r="G247" s="12">
        <v>2</v>
      </c>
      <c r="H247" s="13">
        <v>0.13724537037037038</v>
      </c>
      <c r="I247" s="13">
        <v>1.9837962962962963E-2</v>
      </c>
      <c r="J247" s="13">
        <v>9.9189814814814817E-3</v>
      </c>
      <c r="K247" s="13">
        <v>0.11403935185185185</v>
      </c>
      <c r="L247" s="14">
        <v>0.83091583740934394</v>
      </c>
      <c r="M247" s="12" t="s">
        <v>334</v>
      </c>
      <c r="N247" s="13">
        <v>5.2893518518518515E-3</v>
      </c>
      <c r="O247" s="13"/>
      <c r="P247" s="13"/>
      <c r="Q247" s="13"/>
      <c r="R247" s="13"/>
      <c r="S247" s="13">
        <v>1.53125E-2</v>
      </c>
      <c r="T247" s="13">
        <v>2.6620370370370372E-4</v>
      </c>
      <c r="U247" s="13"/>
      <c r="V247" s="13"/>
      <c r="W247" s="13">
        <v>9.3171296296296294E-2</v>
      </c>
    </row>
    <row r="248" spans="1:23" ht="15" customHeight="1" x14ac:dyDescent="0.25">
      <c r="A248" s="20">
        <v>46238</v>
      </c>
      <c r="B248" s="15" t="s">
        <v>254</v>
      </c>
      <c r="C248" s="16" t="s">
        <v>528</v>
      </c>
      <c r="D248" s="15" t="s">
        <v>233</v>
      </c>
      <c r="E248" s="16" t="s">
        <v>32</v>
      </c>
      <c r="F248" s="16" t="s">
        <v>106</v>
      </c>
      <c r="G248" s="16">
        <v>35</v>
      </c>
      <c r="H248" s="17">
        <v>0.26564814814814813</v>
      </c>
      <c r="I248" s="17">
        <v>0.14184027777777777</v>
      </c>
      <c r="J248" s="17">
        <v>4.0525793650793658E-3</v>
      </c>
      <c r="K248" s="17">
        <v>5.7083333333333333E-2</v>
      </c>
      <c r="L248" s="18">
        <v>0.21488323457650749</v>
      </c>
      <c r="M248" s="16" t="s">
        <v>334</v>
      </c>
      <c r="N248" s="17">
        <v>1.3182870370370371E-2</v>
      </c>
      <c r="O248" s="17">
        <v>9.5949074074074079E-3</v>
      </c>
      <c r="P248" s="17"/>
      <c r="Q248" s="17">
        <v>1.0416666666666666E-2</v>
      </c>
      <c r="R248" s="17"/>
      <c r="S248" s="17">
        <v>1.3252314814814814E-2</v>
      </c>
      <c r="T248" s="17">
        <v>7.3379629629629628E-3</v>
      </c>
      <c r="U248" s="17">
        <v>3.2060185185185186E-3</v>
      </c>
      <c r="V248" s="17"/>
      <c r="W248" s="17"/>
    </row>
    <row r="249" spans="1:23" ht="15" customHeight="1" x14ac:dyDescent="0.25">
      <c r="A249" s="19">
        <v>46238</v>
      </c>
      <c r="B249" s="11" t="s">
        <v>201</v>
      </c>
      <c r="C249" s="12" t="s">
        <v>545</v>
      </c>
      <c r="D249" s="11" t="s">
        <v>601</v>
      </c>
      <c r="E249" s="12" t="s">
        <v>600</v>
      </c>
      <c r="F249" s="12" t="s">
        <v>33</v>
      </c>
      <c r="G249" s="12">
        <v>31</v>
      </c>
      <c r="H249" s="13">
        <v>0.25266203703703705</v>
      </c>
      <c r="I249" s="13">
        <v>4.6273148148148147E-2</v>
      </c>
      <c r="J249" s="13">
        <v>1.4926821983273597E-3</v>
      </c>
      <c r="K249" s="13">
        <v>6.9930555555555551E-2</v>
      </c>
      <c r="L249" s="14">
        <v>0.27677508016491065</v>
      </c>
      <c r="M249" s="12" t="s">
        <v>334</v>
      </c>
      <c r="N249" s="13">
        <v>1.3506944444444445E-2</v>
      </c>
      <c r="O249" s="13"/>
      <c r="P249" s="13">
        <v>2.1979166666666668E-2</v>
      </c>
      <c r="Q249" s="13"/>
      <c r="R249" s="13"/>
      <c r="S249" s="13">
        <v>1.9918981481481482E-2</v>
      </c>
      <c r="T249" s="13">
        <v>1.0995370370370371E-3</v>
      </c>
      <c r="U249" s="13">
        <v>1.3414351851851853E-2</v>
      </c>
      <c r="V249" s="13"/>
      <c r="W249" s="13"/>
    </row>
    <row r="250" spans="1:23" ht="15" customHeight="1" x14ac:dyDescent="0.25">
      <c r="A250" s="20">
        <v>46238</v>
      </c>
      <c r="B250" s="15" t="s">
        <v>168</v>
      </c>
      <c r="C250" s="16" t="s">
        <v>520</v>
      </c>
      <c r="D250" s="15" t="s">
        <v>274</v>
      </c>
      <c r="E250" s="16" t="s">
        <v>147</v>
      </c>
      <c r="F250" s="16" t="s">
        <v>33</v>
      </c>
      <c r="G250" s="16">
        <v>25</v>
      </c>
      <c r="H250" s="17">
        <v>0.28627314814814814</v>
      </c>
      <c r="I250" s="17">
        <v>7.5671296296296292E-2</v>
      </c>
      <c r="J250" s="17">
        <v>3.0268518518518518E-3</v>
      </c>
      <c r="K250" s="17">
        <v>4.2685185185185187E-2</v>
      </c>
      <c r="L250" s="18">
        <v>0.14910649308643972</v>
      </c>
      <c r="M250" s="16" t="s">
        <v>334</v>
      </c>
      <c r="N250" s="17">
        <v>7.3379629629629628E-3</v>
      </c>
      <c r="O250" s="17">
        <v>8.0439814814814818E-3</v>
      </c>
      <c r="P250" s="17"/>
      <c r="Q250" s="17">
        <v>1.2731481481481483E-3</v>
      </c>
      <c r="R250" s="17">
        <v>9.1550925925925931E-3</v>
      </c>
      <c r="S250" s="17">
        <v>1.6296296296296295E-2</v>
      </c>
      <c r="T250" s="17">
        <v>1.7361111111111112E-4</v>
      </c>
      <c r="U250" s="17">
        <v>3.3564814814814812E-4</v>
      </c>
      <c r="V250" s="17"/>
      <c r="W250" s="17"/>
    </row>
    <row r="251" spans="1:23" ht="15" customHeight="1" x14ac:dyDescent="0.25">
      <c r="A251" s="19">
        <v>46238</v>
      </c>
      <c r="B251" s="11" t="s">
        <v>170</v>
      </c>
      <c r="C251" s="12" t="s">
        <v>521</v>
      </c>
      <c r="D251" s="11" t="s">
        <v>146</v>
      </c>
      <c r="E251" s="12" t="s">
        <v>147</v>
      </c>
      <c r="F251" s="12" t="s">
        <v>106</v>
      </c>
      <c r="G251" s="12">
        <v>18</v>
      </c>
      <c r="H251" s="13">
        <v>0.26368055555555553</v>
      </c>
      <c r="I251" s="13">
        <v>7.96412037037037E-2</v>
      </c>
      <c r="J251" s="13">
        <v>4.4245113168724275E-3</v>
      </c>
      <c r="K251" s="13">
        <v>4.116898148148148E-2</v>
      </c>
      <c r="L251" s="14">
        <v>0.15613203406197876</v>
      </c>
      <c r="M251" s="12" t="s">
        <v>334</v>
      </c>
      <c r="N251" s="13">
        <v>6.8171296296296296E-3</v>
      </c>
      <c r="O251" s="13">
        <v>1.5069444444444444E-2</v>
      </c>
      <c r="P251" s="13"/>
      <c r="Q251" s="13">
        <v>4.5601851851851853E-3</v>
      </c>
      <c r="R251" s="13"/>
      <c r="S251" s="13">
        <v>1.3900462962962963E-2</v>
      </c>
      <c r="T251" s="13">
        <v>1.3888888888888889E-4</v>
      </c>
      <c r="U251" s="13">
        <v>6.3657407407407413E-4</v>
      </c>
      <c r="V251" s="13"/>
      <c r="W251" s="13"/>
    </row>
    <row r="252" spans="1:23" ht="15" customHeight="1" x14ac:dyDescent="0.25">
      <c r="A252" s="20">
        <v>46238</v>
      </c>
      <c r="B252" s="15" t="s">
        <v>94</v>
      </c>
      <c r="C252" s="16" t="s">
        <v>95</v>
      </c>
      <c r="D252" s="15" t="s">
        <v>78</v>
      </c>
      <c r="E252" s="16" t="s">
        <v>80</v>
      </c>
      <c r="F252" s="16" t="s">
        <v>81</v>
      </c>
      <c r="G252" s="16">
        <v>0</v>
      </c>
      <c r="H252" s="17">
        <v>0.32422453703703702</v>
      </c>
      <c r="I252" s="17">
        <v>0</v>
      </c>
      <c r="J252" s="17">
        <v>0</v>
      </c>
      <c r="K252" s="17">
        <v>0.19885416666666667</v>
      </c>
      <c r="L252" s="18">
        <v>0.61332238603505518</v>
      </c>
      <c r="M252" s="16" t="s">
        <v>334</v>
      </c>
      <c r="N252" s="17"/>
      <c r="O252" s="17"/>
      <c r="P252" s="17"/>
      <c r="Q252" s="17"/>
      <c r="R252" s="17">
        <v>0.19885416666666667</v>
      </c>
      <c r="S252" s="17"/>
      <c r="T252" s="17"/>
      <c r="U252" s="17"/>
      <c r="V252" s="17"/>
      <c r="W252" s="17"/>
    </row>
    <row r="253" spans="1:23" ht="15" customHeight="1" x14ac:dyDescent="0.25">
      <c r="A253" s="19">
        <v>46238</v>
      </c>
      <c r="B253" s="11" t="s">
        <v>293</v>
      </c>
      <c r="C253" s="12" t="s">
        <v>543</v>
      </c>
      <c r="D253" s="11" t="s">
        <v>104</v>
      </c>
      <c r="E253" s="12" t="s">
        <v>600</v>
      </c>
      <c r="F253" s="12" t="s">
        <v>106</v>
      </c>
      <c r="G253" s="12">
        <v>14</v>
      </c>
      <c r="H253" s="13">
        <v>0.24283564814814815</v>
      </c>
      <c r="I253" s="13">
        <v>9.6655092592592598E-2</v>
      </c>
      <c r="J253" s="13">
        <v>6.9039351851851848E-3</v>
      </c>
      <c r="K253" s="13">
        <v>0.14425925925925925</v>
      </c>
      <c r="L253" s="14">
        <v>0.59406129355130832</v>
      </c>
      <c r="M253" s="12" t="s">
        <v>334</v>
      </c>
      <c r="N253" s="13">
        <v>9.2245370370370363E-3</v>
      </c>
      <c r="O253" s="13">
        <v>3.0173611111111109E-2</v>
      </c>
      <c r="P253" s="13"/>
      <c r="Q253" s="13"/>
      <c r="R253" s="13"/>
      <c r="S253" s="13"/>
      <c r="T253" s="13">
        <v>1.7361111111111112E-4</v>
      </c>
      <c r="U253" s="13">
        <v>1.2962962962962963E-3</v>
      </c>
      <c r="V253" s="13"/>
      <c r="W253" s="13">
        <v>0.10339120370370371</v>
      </c>
    </row>
    <row r="254" spans="1:23" ht="15" customHeight="1" x14ac:dyDescent="0.25">
      <c r="A254" s="20">
        <v>46238</v>
      </c>
      <c r="B254" s="15" t="s">
        <v>606</v>
      </c>
      <c r="C254" s="16" t="s">
        <v>633</v>
      </c>
      <c r="D254" s="15" t="s">
        <v>146</v>
      </c>
      <c r="E254" s="16" t="s">
        <v>147</v>
      </c>
      <c r="F254" s="16" t="s">
        <v>106</v>
      </c>
      <c r="G254" s="16">
        <v>15</v>
      </c>
      <c r="H254" s="17">
        <v>0.2633449074074074</v>
      </c>
      <c r="I254" s="17">
        <v>6.8379629629629624E-2</v>
      </c>
      <c r="J254" s="17">
        <v>4.5586419753086424E-3</v>
      </c>
      <c r="K254" s="17">
        <v>5.9432870370370372E-2</v>
      </c>
      <c r="L254" s="18">
        <v>0.22568452511756693</v>
      </c>
      <c r="M254" s="16" t="s">
        <v>334</v>
      </c>
      <c r="N254" s="17">
        <v>8.1712962962962963E-3</v>
      </c>
      <c r="O254" s="17">
        <v>1.4768518518518519E-2</v>
      </c>
      <c r="P254" s="17"/>
      <c r="Q254" s="17"/>
      <c r="R254" s="17"/>
      <c r="S254" s="17">
        <v>1.4108796296296296E-2</v>
      </c>
      <c r="T254" s="17">
        <v>1.0069444444444444E-3</v>
      </c>
      <c r="U254" s="17">
        <v>1.525462962962963E-2</v>
      </c>
      <c r="V254" s="17"/>
      <c r="W254" s="17">
        <v>6.122685185185185E-3</v>
      </c>
    </row>
    <row r="255" spans="1:23" ht="15" customHeight="1" x14ac:dyDescent="0.25">
      <c r="A255" s="19">
        <v>46238</v>
      </c>
      <c r="B255" s="11" t="s">
        <v>256</v>
      </c>
      <c r="C255" s="12" t="s">
        <v>529</v>
      </c>
      <c r="D255" s="11" t="s">
        <v>233</v>
      </c>
      <c r="E255" s="12" t="s">
        <v>32</v>
      </c>
      <c r="F255" s="12" t="s">
        <v>106</v>
      </c>
      <c r="G255" s="12">
        <v>27</v>
      </c>
      <c r="H255" s="13">
        <v>0.22687499999999999</v>
      </c>
      <c r="I255" s="13">
        <v>0.1193287037037037</v>
      </c>
      <c r="J255" s="13">
        <v>4.4195816186556923E-3</v>
      </c>
      <c r="K255" s="13">
        <v>6.2743055555555552E-2</v>
      </c>
      <c r="L255" s="14">
        <v>0.27655341291704927</v>
      </c>
      <c r="M255" s="12" t="s">
        <v>334</v>
      </c>
      <c r="N255" s="13">
        <v>1.6354166666666666E-2</v>
      </c>
      <c r="O255" s="13">
        <v>9.3287037037037036E-3</v>
      </c>
      <c r="P255" s="13"/>
      <c r="Q255" s="13"/>
      <c r="R255" s="13"/>
      <c r="S255" s="13">
        <v>1.7592592592592594E-2</v>
      </c>
      <c r="T255" s="13">
        <v>2.9050925925925928E-3</v>
      </c>
      <c r="U255" s="13">
        <v>1.2037037037037037E-2</v>
      </c>
      <c r="V255" s="13"/>
      <c r="W255" s="13">
        <v>3.9930555555555552E-3</v>
      </c>
    </row>
    <row r="256" spans="1:23" ht="15" customHeight="1" x14ac:dyDescent="0.25">
      <c r="A256" s="20">
        <v>46238</v>
      </c>
      <c r="B256" s="15" t="s">
        <v>612</v>
      </c>
      <c r="C256" s="16" t="s">
        <v>634</v>
      </c>
      <c r="D256" s="15" t="s">
        <v>601</v>
      </c>
      <c r="E256" s="16" t="s">
        <v>105</v>
      </c>
      <c r="F256" s="16" t="s">
        <v>33</v>
      </c>
      <c r="G256" s="16">
        <v>11</v>
      </c>
      <c r="H256" s="17">
        <v>0.20866898148148147</v>
      </c>
      <c r="I256" s="17">
        <v>0.11891203703703704</v>
      </c>
      <c r="J256" s="17">
        <v>1.0810185185185185E-2</v>
      </c>
      <c r="K256" s="17">
        <v>0.16778935185185184</v>
      </c>
      <c r="L256" s="18">
        <v>0.80409340506961002</v>
      </c>
      <c r="M256" s="16" t="s">
        <v>334</v>
      </c>
      <c r="N256" s="17">
        <v>1.1643518518518518E-2</v>
      </c>
      <c r="O256" s="17">
        <v>1.0532407407407407E-2</v>
      </c>
      <c r="P256" s="17"/>
      <c r="Q256" s="17"/>
      <c r="R256" s="17"/>
      <c r="S256" s="17">
        <v>2.1365740740740741E-2</v>
      </c>
      <c r="T256" s="17">
        <v>8.7962962962962962E-4</v>
      </c>
      <c r="U256" s="17"/>
      <c r="V256" s="17"/>
      <c r="W256" s="17">
        <v>0.12336805555555555</v>
      </c>
    </row>
    <row r="257" spans="1:23" ht="15" customHeight="1" x14ac:dyDescent="0.25">
      <c r="A257" s="19">
        <v>46238</v>
      </c>
      <c r="B257" s="11" t="s">
        <v>258</v>
      </c>
      <c r="C257" s="12" t="s">
        <v>554</v>
      </c>
      <c r="D257" s="11" t="s">
        <v>233</v>
      </c>
      <c r="E257" s="12" t="s">
        <v>32</v>
      </c>
      <c r="F257" s="12" t="s">
        <v>106</v>
      </c>
      <c r="G257" s="12">
        <v>2</v>
      </c>
      <c r="H257" s="13">
        <v>0.19136574074074075</v>
      </c>
      <c r="I257" s="13">
        <v>1.0138888888888888E-2</v>
      </c>
      <c r="J257" s="13">
        <v>5.0694444444444441E-3</v>
      </c>
      <c r="K257" s="13">
        <v>0.17829861111111112</v>
      </c>
      <c r="L257" s="14">
        <v>0.93171646304584488</v>
      </c>
      <c r="M257" s="12" t="s">
        <v>334</v>
      </c>
      <c r="N257" s="13"/>
      <c r="O257" s="13"/>
      <c r="P257" s="13"/>
      <c r="Q257" s="13"/>
      <c r="R257" s="13"/>
      <c r="S257" s="13">
        <v>8.3680555555555557E-3</v>
      </c>
      <c r="T257" s="13">
        <v>3.9351851851851852E-4</v>
      </c>
      <c r="U257" s="13"/>
      <c r="V257" s="13"/>
      <c r="W257" s="13">
        <v>0.16953703703703704</v>
      </c>
    </row>
    <row r="258" spans="1:23" ht="15" customHeight="1" x14ac:dyDescent="0.25">
      <c r="A258" s="20">
        <v>46238</v>
      </c>
      <c r="B258" s="15" t="s">
        <v>661</v>
      </c>
      <c r="C258" s="16" t="s">
        <v>662</v>
      </c>
      <c r="D258" s="15" t="s">
        <v>100</v>
      </c>
      <c r="E258" s="16" t="s">
        <v>32</v>
      </c>
      <c r="F258" s="16" t="s">
        <v>33</v>
      </c>
      <c r="G258" s="16">
        <v>24</v>
      </c>
      <c r="H258" s="17">
        <v>0.24479166666666666</v>
      </c>
      <c r="I258" s="17">
        <v>0.18738425925925925</v>
      </c>
      <c r="J258" s="17">
        <v>7.807677469135803E-3</v>
      </c>
      <c r="K258" s="17">
        <v>4.5254629629629631E-2</v>
      </c>
      <c r="L258" s="18">
        <v>0.18486997635933805</v>
      </c>
      <c r="M258" s="16" t="s">
        <v>334</v>
      </c>
      <c r="N258" s="17">
        <v>2.9282407407407408E-3</v>
      </c>
      <c r="O258" s="17">
        <v>1.755787037037037E-2</v>
      </c>
      <c r="P258" s="17"/>
      <c r="Q258" s="17"/>
      <c r="R258" s="17">
        <v>4.6296296296296298E-4</v>
      </c>
      <c r="S258" s="17">
        <v>1.1458333333333333E-3</v>
      </c>
      <c r="T258" s="17">
        <v>1.9884259259259258E-2</v>
      </c>
      <c r="U258" s="17">
        <v>1.5972222222222223E-3</v>
      </c>
      <c r="V258" s="17"/>
      <c r="W258" s="17">
        <v>1.6782407407407408E-3</v>
      </c>
    </row>
    <row r="259" spans="1:23" ht="15" customHeight="1" x14ac:dyDescent="0.25">
      <c r="A259" s="19">
        <v>46238</v>
      </c>
      <c r="B259" s="11" t="s">
        <v>663</v>
      </c>
      <c r="C259" s="12" t="s">
        <v>664</v>
      </c>
      <c r="D259" s="11" t="s">
        <v>233</v>
      </c>
      <c r="E259" s="12" t="s">
        <v>32</v>
      </c>
      <c r="F259" s="12" t="s">
        <v>106</v>
      </c>
      <c r="G259" s="12">
        <v>27</v>
      </c>
      <c r="H259" s="13">
        <v>0.24726851851851853</v>
      </c>
      <c r="I259" s="13">
        <v>0.18554398148148149</v>
      </c>
      <c r="J259" s="13">
        <v>6.8719993141289444E-3</v>
      </c>
      <c r="K259" s="13">
        <v>4.3078703703703702E-2</v>
      </c>
      <c r="L259" s="14">
        <v>0.17421831117768208</v>
      </c>
      <c r="M259" s="12" t="s">
        <v>334</v>
      </c>
      <c r="N259" s="13">
        <v>4.409722222222222E-3</v>
      </c>
      <c r="O259" s="13">
        <v>1.7002314814814814E-2</v>
      </c>
      <c r="P259" s="13"/>
      <c r="Q259" s="13"/>
      <c r="R259" s="13"/>
      <c r="S259" s="13">
        <v>1.7962962962962962E-2</v>
      </c>
      <c r="T259" s="13">
        <v>1.3888888888888889E-4</v>
      </c>
      <c r="U259" s="13">
        <v>7.7546296296296293E-4</v>
      </c>
      <c r="V259" s="13"/>
      <c r="W259" s="13">
        <v>2.7893518518518519E-3</v>
      </c>
    </row>
    <row r="260" spans="1:23" ht="15" customHeight="1" x14ac:dyDescent="0.25">
      <c r="A260" s="20">
        <v>46238</v>
      </c>
      <c r="B260" s="15" t="s">
        <v>665</v>
      </c>
      <c r="C260" s="16" t="s">
        <v>666</v>
      </c>
      <c r="D260" s="15" t="s">
        <v>100</v>
      </c>
      <c r="E260" s="16" t="s">
        <v>32</v>
      </c>
      <c r="F260" s="16" t="s">
        <v>33</v>
      </c>
      <c r="G260" s="16">
        <v>35</v>
      </c>
      <c r="H260" s="17">
        <v>0.26026620370370368</v>
      </c>
      <c r="I260" s="17">
        <v>0.20539351851851853</v>
      </c>
      <c r="J260" s="17">
        <v>5.8683862433862432E-3</v>
      </c>
      <c r="K260" s="17">
        <v>3.1539351851851853E-2</v>
      </c>
      <c r="L260" s="18">
        <v>0.12118112687330458</v>
      </c>
      <c r="M260" s="16" t="s">
        <v>334</v>
      </c>
      <c r="N260" s="17"/>
      <c r="O260" s="17">
        <v>1.412037037037037E-2</v>
      </c>
      <c r="P260" s="17"/>
      <c r="Q260" s="17"/>
      <c r="R260" s="17"/>
      <c r="S260" s="17">
        <v>1.3946759259259259E-2</v>
      </c>
      <c r="T260" s="17">
        <v>1.0763888888888889E-3</v>
      </c>
      <c r="U260" s="17">
        <v>2.1412037037037038E-3</v>
      </c>
      <c r="V260" s="17"/>
      <c r="W260" s="17"/>
    </row>
    <row r="261" spans="1:23" ht="15" customHeight="1" x14ac:dyDescent="0.25">
      <c r="A261" s="19">
        <v>46238</v>
      </c>
      <c r="B261" s="11" t="s">
        <v>264</v>
      </c>
      <c r="C261" s="12" t="s">
        <v>530</v>
      </c>
      <c r="D261" s="11" t="s">
        <v>78</v>
      </c>
      <c r="E261" s="12" t="s">
        <v>80</v>
      </c>
      <c r="F261" s="12" t="s">
        <v>106</v>
      </c>
      <c r="G261" s="12">
        <v>0</v>
      </c>
      <c r="H261" s="13">
        <v>1.3888888888888889E-3</v>
      </c>
      <c r="I261" s="13">
        <v>0</v>
      </c>
      <c r="J261" s="13">
        <v>0</v>
      </c>
      <c r="K261" s="13">
        <v>6.9444444444444444E-5</v>
      </c>
      <c r="L261" s="14">
        <v>0.05</v>
      </c>
      <c r="M261" s="12" t="s">
        <v>334</v>
      </c>
      <c r="N261" s="13"/>
      <c r="O261" s="13"/>
      <c r="P261" s="13"/>
      <c r="Q261" s="13"/>
      <c r="R261" s="13">
        <v>6.9444444444444444E-5</v>
      </c>
      <c r="S261" s="13"/>
      <c r="T261" s="13"/>
      <c r="U261" s="13"/>
      <c r="V261" s="13"/>
      <c r="W261" s="13"/>
    </row>
    <row r="262" spans="1:23" ht="15" customHeight="1" x14ac:dyDescent="0.25">
      <c r="A262" s="20">
        <v>46238</v>
      </c>
      <c r="B262" s="15" t="s">
        <v>128</v>
      </c>
      <c r="C262" s="16" t="s">
        <v>555</v>
      </c>
      <c r="D262" s="15" t="s">
        <v>233</v>
      </c>
      <c r="E262" s="16" t="s">
        <v>32</v>
      </c>
      <c r="F262" s="16" t="s">
        <v>106</v>
      </c>
      <c r="G262" s="16">
        <v>43</v>
      </c>
      <c r="H262" s="17">
        <v>0.23663194444444444</v>
      </c>
      <c r="I262" s="17">
        <v>0.17618055555555556</v>
      </c>
      <c r="J262" s="17">
        <v>4.0972222222222226E-3</v>
      </c>
      <c r="K262" s="17">
        <v>4.4085648148148152E-2</v>
      </c>
      <c r="L262" s="18">
        <v>0.18630471998043532</v>
      </c>
      <c r="M262" s="16" t="s">
        <v>334</v>
      </c>
      <c r="N262" s="17">
        <v>9.4444444444444445E-3</v>
      </c>
      <c r="O262" s="17">
        <v>1.6018518518518519E-2</v>
      </c>
      <c r="P262" s="17"/>
      <c r="Q262" s="17"/>
      <c r="R262" s="17"/>
      <c r="S262" s="17">
        <v>1.5057870370370371E-2</v>
      </c>
      <c r="T262" s="17">
        <v>3.2407407407407406E-3</v>
      </c>
      <c r="U262" s="17">
        <v>3.0092592592592595E-4</v>
      </c>
      <c r="V262" s="17"/>
      <c r="W262" s="17"/>
    </row>
    <row r="263" spans="1:23" ht="15" customHeight="1" x14ac:dyDescent="0.25">
      <c r="A263" s="19">
        <v>46238</v>
      </c>
      <c r="B263" s="11" t="s">
        <v>178</v>
      </c>
      <c r="C263" s="12" t="s">
        <v>522</v>
      </c>
      <c r="D263" s="11" t="s">
        <v>146</v>
      </c>
      <c r="E263" s="12" t="s">
        <v>147</v>
      </c>
      <c r="F263" s="12" t="s">
        <v>106</v>
      </c>
      <c r="G263" s="12">
        <v>17</v>
      </c>
      <c r="H263" s="13">
        <v>0.25906249999999997</v>
      </c>
      <c r="I263" s="13">
        <v>5.7372685185185186E-2</v>
      </c>
      <c r="J263" s="13">
        <v>3.3748638344226578E-3</v>
      </c>
      <c r="K263" s="13">
        <v>4.3032407407407408E-2</v>
      </c>
      <c r="L263" s="14">
        <v>0.16610820712147611</v>
      </c>
      <c r="M263" s="12" t="s">
        <v>334</v>
      </c>
      <c r="N263" s="13">
        <v>6.3888888888888893E-3</v>
      </c>
      <c r="O263" s="13">
        <v>1.3460648148148149E-2</v>
      </c>
      <c r="P263" s="13">
        <v>4.8495370370370368E-3</v>
      </c>
      <c r="Q263" s="13">
        <v>3.9583333333333337E-3</v>
      </c>
      <c r="R263" s="13"/>
      <c r="S263" s="13">
        <v>1.3819444444444445E-2</v>
      </c>
      <c r="T263" s="13">
        <v>6.9444444444444444E-5</v>
      </c>
      <c r="U263" s="13">
        <v>4.6296296296296298E-4</v>
      </c>
      <c r="V263" s="13"/>
      <c r="W263" s="13"/>
    </row>
    <row r="264" spans="1:23" ht="15" customHeight="1" x14ac:dyDescent="0.25">
      <c r="A264" s="20">
        <v>46238</v>
      </c>
      <c r="B264" s="15" t="s">
        <v>266</v>
      </c>
      <c r="C264" s="16" t="s">
        <v>531</v>
      </c>
      <c r="D264" s="15" t="s">
        <v>233</v>
      </c>
      <c r="E264" s="16" t="s">
        <v>32</v>
      </c>
      <c r="F264" s="16" t="s">
        <v>106</v>
      </c>
      <c r="G264" s="16">
        <v>0</v>
      </c>
      <c r="H264" s="17">
        <v>0.24221064814814816</v>
      </c>
      <c r="I264" s="17">
        <v>0</v>
      </c>
      <c r="J264" s="17">
        <v>0</v>
      </c>
      <c r="K264" s="17">
        <v>0.24221064814814816</v>
      </c>
      <c r="L264" s="18">
        <v>1</v>
      </c>
      <c r="M264" s="16" t="s">
        <v>334</v>
      </c>
      <c r="N264" s="17"/>
      <c r="O264" s="17">
        <v>1.2731481481481481E-2</v>
      </c>
      <c r="P264" s="17"/>
      <c r="Q264" s="17"/>
      <c r="R264" s="17"/>
      <c r="S264" s="17">
        <v>1.4513888888888889E-2</v>
      </c>
      <c r="T264" s="17">
        <v>5.5555555555555556E-4</v>
      </c>
      <c r="U264" s="17"/>
      <c r="V264" s="17"/>
      <c r="W264" s="17">
        <v>0.21440972222222221</v>
      </c>
    </row>
    <row r="265" spans="1:23" ht="15" customHeight="1" x14ac:dyDescent="0.25">
      <c r="A265" s="19">
        <v>46238</v>
      </c>
      <c r="B265" s="11" t="s">
        <v>297</v>
      </c>
      <c r="C265" s="12" t="s">
        <v>667</v>
      </c>
      <c r="D265" s="11" t="s">
        <v>104</v>
      </c>
      <c r="E265" s="12" t="s">
        <v>105</v>
      </c>
      <c r="F265" s="12" t="s">
        <v>106</v>
      </c>
      <c r="G265" s="12">
        <v>26</v>
      </c>
      <c r="H265" s="13">
        <v>0.24119212962962963</v>
      </c>
      <c r="I265" s="13">
        <v>0.2910300925925926</v>
      </c>
      <c r="J265" s="13">
        <v>1.11934650997151E-2</v>
      </c>
      <c r="K265" s="13">
        <v>6.653935185185185E-2</v>
      </c>
      <c r="L265" s="14">
        <v>0.27587696146648111</v>
      </c>
      <c r="M265" s="12" t="s">
        <v>334</v>
      </c>
      <c r="N265" s="13">
        <v>1.9398148148148147E-2</v>
      </c>
      <c r="O265" s="13">
        <v>1.6574074074074074E-2</v>
      </c>
      <c r="P265" s="13"/>
      <c r="Q265" s="13"/>
      <c r="R265" s="13"/>
      <c r="S265" s="13">
        <v>1.7118055555555556E-2</v>
      </c>
      <c r="T265" s="13">
        <v>4.6064814814814814E-3</v>
      </c>
      <c r="U265" s="13">
        <v>3.4722222222222224E-4</v>
      </c>
      <c r="V265" s="13"/>
      <c r="W265" s="13">
        <v>8.4953703703703701E-3</v>
      </c>
    </row>
    <row r="266" spans="1:23" ht="15" customHeight="1" x14ac:dyDescent="0.25">
      <c r="A266" s="20">
        <v>46238</v>
      </c>
      <c r="B266" s="15" t="s">
        <v>207</v>
      </c>
      <c r="C266" s="16" t="s">
        <v>566</v>
      </c>
      <c r="D266" s="15" t="s">
        <v>274</v>
      </c>
      <c r="E266" s="16" t="s">
        <v>147</v>
      </c>
      <c r="F266" s="16" t="s">
        <v>33</v>
      </c>
      <c r="G266" s="16">
        <v>25</v>
      </c>
      <c r="H266" s="17">
        <v>0.26422453703703702</v>
      </c>
      <c r="I266" s="17">
        <v>0.10488425925925926</v>
      </c>
      <c r="J266" s="17">
        <v>4.195370370370371E-3</v>
      </c>
      <c r="K266" s="17">
        <v>3.3541666666666664E-2</v>
      </c>
      <c r="L266" s="18">
        <v>0.12694379955319987</v>
      </c>
      <c r="M266" s="16" t="s">
        <v>334</v>
      </c>
      <c r="N266" s="17">
        <v>1.712962962962963E-3</v>
      </c>
      <c r="O266" s="17">
        <v>1.5486111111111112E-2</v>
      </c>
      <c r="P266" s="17"/>
      <c r="Q266" s="17"/>
      <c r="R266" s="17"/>
      <c r="S266" s="17">
        <v>1.4166666666666666E-2</v>
      </c>
      <c r="T266" s="17">
        <v>5.7870370370370373E-5</v>
      </c>
      <c r="U266" s="17">
        <v>2.0370370370370369E-3</v>
      </c>
      <c r="V266" s="17"/>
      <c r="W266" s="17"/>
    </row>
    <row r="267" spans="1:23" ht="15" customHeight="1" x14ac:dyDescent="0.25">
      <c r="A267" s="19">
        <v>46238</v>
      </c>
      <c r="B267" s="11" t="s">
        <v>614</v>
      </c>
      <c r="C267" s="12" t="s">
        <v>635</v>
      </c>
      <c r="D267" s="11" t="s">
        <v>601</v>
      </c>
      <c r="E267" s="12" t="s">
        <v>105</v>
      </c>
      <c r="F267" s="12" t="s">
        <v>33</v>
      </c>
      <c r="G267" s="12">
        <v>14</v>
      </c>
      <c r="H267" s="13">
        <v>0.19739583333333333</v>
      </c>
      <c r="I267" s="13">
        <v>0.16218750000000001</v>
      </c>
      <c r="J267" s="13">
        <v>1.1584821428571429E-2</v>
      </c>
      <c r="K267" s="13">
        <v>0.1399074074074074</v>
      </c>
      <c r="L267" s="14">
        <v>0.70876575784227502</v>
      </c>
      <c r="M267" s="12" t="s">
        <v>334</v>
      </c>
      <c r="N267" s="13"/>
      <c r="O267" s="13">
        <v>4.0277777777777777E-3</v>
      </c>
      <c r="P267" s="13"/>
      <c r="Q267" s="13"/>
      <c r="R267" s="13"/>
      <c r="S267" s="13">
        <v>1.7916666666666668E-2</v>
      </c>
      <c r="T267" s="13">
        <v>1.2453703703703703E-2</v>
      </c>
      <c r="U267" s="13"/>
      <c r="V267" s="13"/>
      <c r="W267" s="13">
        <v>0.10550925925925926</v>
      </c>
    </row>
    <row r="268" spans="1:23" ht="15" customHeight="1" x14ac:dyDescent="0.25">
      <c r="A268" s="20">
        <v>46238</v>
      </c>
      <c r="B268" s="15" t="s">
        <v>96</v>
      </c>
      <c r="C268" s="16" t="s">
        <v>97</v>
      </c>
      <c r="D268" s="15" t="s">
        <v>78</v>
      </c>
      <c r="E268" s="16" t="s">
        <v>80</v>
      </c>
      <c r="F268" s="16" t="s">
        <v>81</v>
      </c>
      <c r="G268" s="16">
        <v>0</v>
      </c>
      <c r="H268" s="17">
        <v>0.32087962962962963</v>
      </c>
      <c r="I268" s="17">
        <v>0</v>
      </c>
      <c r="J268" s="17">
        <v>0</v>
      </c>
      <c r="K268" s="17">
        <v>0.22787037037037036</v>
      </c>
      <c r="L268" s="18">
        <v>0.71014283653152499</v>
      </c>
      <c r="M268" s="16" t="s">
        <v>334</v>
      </c>
      <c r="N268" s="17">
        <v>1.7199074074074075E-2</v>
      </c>
      <c r="O268" s="17">
        <v>0.21055555555555555</v>
      </c>
      <c r="P268" s="17"/>
      <c r="Q268" s="17"/>
      <c r="R268" s="17"/>
      <c r="S268" s="17"/>
      <c r="T268" s="17">
        <v>1.1574074074074075E-4</v>
      </c>
      <c r="U268" s="17"/>
      <c r="V268" s="17"/>
      <c r="W268" s="17"/>
    </row>
    <row r="269" spans="1:23" ht="15" customHeight="1" x14ac:dyDescent="0.25">
      <c r="A269" s="19">
        <v>46238</v>
      </c>
      <c r="B269" s="11" t="s">
        <v>180</v>
      </c>
      <c r="C269" s="12" t="s">
        <v>523</v>
      </c>
      <c r="D269" s="11" t="s">
        <v>146</v>
      </c>
      <c r="E269" s="12" t="s">
        <v>147</v>
      </c>
      <c r="F269" s="12" t="s">
        <v>106</v>
      </c>
      <c r="G269" s="12">
        <v>8</v>
      </c>
      <c r="H269" s="13">
        <v>0.22968749999999999</v>
      </c>
      <c r="I269" s="13">
        <v>4.3194444444444445E-2</v>
      </c>
      <c r="J269" s="13">
        <v>5.3993055555555556E-3</v>
      </c>
      <c r="K269" s="13">
        <v>8.3368055555555556E-2</v>
      </c>
      <c r="L269" s="14">
        <v>0.36296296296296299</v>
      </c>
      <c r="M269" s="12" t="s">
        <v>334</v>
      </c>
      <c r="N269" s="13">
        <v>3.3796296296296296E-3</v>
      </c>
      <c r="O269" s="13">
        <v>1.4560185185185185E-2</v>
      </c>
      <c r="P269" s="13"/>
      <c r="Q269" s="13">
        <v>6.7939814814814816E-3</v>
      </c>
      <c r="R269" s="13"/>
      <c r="S269" s="13">
        <v>1.4502314814814815E-2</v>
      </c>
      <c r="T269" s="13">
        <v>1.1574074074074075E-4</v>
      </c>
      <c r="U269" s="13"/>
      <c r="V269" s="13"/>
      <c r="W269" s="13">
        <v>4.4016203703703703E-2</v>
      </c>
    </row>
    <row r="270" spans="1:23" ht="15" customHeight="1" x14ac:dyDescent="0.25">
      <c r="A270" s="20">
        <v>46238</v>
      </c>
      <c r="B270" s="15" t="s">
        <v>615</v>
      </c>
      <c r="C270" s="16" t="s">
        <v>636</v>
      </c>
      <c r="D270" s="15" t="s">
        <v>601</v>
      </c>
      <c r="E270" s="16" t="s">
        <v>105</v>
      </c>
      <c r="F270" s="16" t="s">
        <v>33</v>
      </c>
      <c r="G270" s="16">
        <v>10</v>
      </c>
      <c r="H270" s="17">
        <v>0.25812499999999999</v>
      </c>
      <c r="I270" s="17">
        <v>0.16648148148148148</v>
      </c>
      <c r="J270" s="17">
        <v>1.6648148148148148E-2</v>
      </c>
      <c r="K270" s="17">
        <v>0.17776620370370369</v>
      </c>
      <c r="L270" s="18">
        <v>0.68868262936059543</v>
      </c>
      <c r="M270" s="16" t="s">
        <v>334</v>
      </c>
      <c r="N270" s="17">
        <v>5.6365740740740742E-3</v>
      </c>
      <c r="O270" s="17">
        <v>1.5428240740740741E-2</v>
      </c>
      <c r="P270" s="17"/>
      <c r="Q270" s="17"/>
      <c r="R270" s="17"/>
      <c r="S270" s="17">
        <v>1.4189814814814815E-2</v>
      </c>
      <c r="T270" s="17">
        <v>1.3888888888888889E-4</v>
      </c>
      <c r="U270" s="17"/>
      <c r="V270" s="17"/>
      <c r="W270" s="17">
        <v>0.14237268518518517</v>
      </c>
    </row>
    <row r="271" spans="1:23" ht="15" customHeight="1" x14ac:dyDescent="0.25">
      <c r="A271" s="19">
        <v>46238</v>
      </c>
      <c r="B271" s="11" t="s">
        <v>616</v>
      </c>
      <c r="C271" s="12" t="s">
        <v>637</v>
      </c>
      <c r="D271" s="11" t="s">
        <v>601</v>
      </c>
      <c r="E271" s="12" t="s">
        <v>105</v>
      </c>
      <c r="F271" s="12" t="s">
        <v>33</v>
      </c>
      <c r="G271" s="12">
        <v>4</v>
      </c>
      <c r="H271" s="13">
        <v>0.22289351851851852</v>
      </c>
      <c r="I271" s="13">
        <v>7.6226851851851851E-2</v>
      </c>
      <c r="J271" s="13">
        <v>1.9056712962962963E-2</v>
      </c>
      <c r="K271" s="13">
        <v>0.17759259259259258</v>
      </c>
      <c r="L271" s="14">
        <v>0.79675978813999382</v>
      </c>
      <c r="M271" s="12" t="s">
        <v>334</v>
      </c>
      <c r="N271" s="13">
        <v>2.8819444444444444E-3</v>
      </c>
      <c r="O271" s="13">
        <v>1.6909722222222222E-2</v>
      </c>
      <c r="P271" s="13"/>
      <c r="Q271" s="13"/>
      <c r="R271" s="13"/>
      <c r="S271" s="13">
        <v>1.4513888888888889E-2</v>
      </c>
      <c r="T271" s="13">
        <v>3.4722222222222224E-4</v>
      </c>
      <c r="U271" s="13">
        <v>1.3888888888888889E-3</v>
      </c>
      <c r="V271" s="13"/>
      <c r="W271" s="13">
        <v>0.14155092592592591</v>
      </c>
    </row>
    <row r="272" spans="1:23" ht="15" customHeight="1" x14ac:dyDescent="0.25">
      <c r="A272" s="20">
        <v>46238</v>
      </c>
      <c r="B272" s="15" t="s">
        <v>209</v>
      </c>
      <c r="C272" s="16" t="s">
        <v>567</v>
      </c>
      <c r="D272" s="15" t="s">
        <v>601</v>
      </c>
      <c r="E272" s="16" t="s">
        <v>105</v>
      </c>
      <c r="F272" s="16" t="s">
        <v>33</v>
      </c>
      <c r="G272" s="16">
        <v>8</v>
      </c>
      <c r="H272" s="17">
        <v>0.25307870370370372</v>
      </c>
      <c r="I272" s="17">
        <v>0.11342592592592593</v>
      </c>
      <c r="J272" s="17">
        <v>1.4178240740740741E-2</v>
      </c>
      <c r="K272" s="17">
        <v>0.17591435185185186</v>
      </c>
      <c r="L272" s="18">
        <v>0.69509741150644833</v>
      </c>
      <c r="M272" s="16" t="s">
        <v>334</v>
      </c>
      <c r="N272" s="17"/>
      <c r="O272" s="17">
        <v>9.6412037037037039E-3</v>
      </c>
      <c r="P272" s="17"/>
      <c r="Q272" s="17"/>
      <c r="R272" s="17"/>
      <c r="S272" s="17">
        <v>1.462962962962963E-2</v>
      </c>
      <c r="T272" s="17">
        <v>1.8564814814814815E-2</v>
      </c>
      <c r="U272" s="17">
        <v>2.1643518518518518E-3</v>
      </c>
      <c r="V272" s="17"/>
      <c r="W272" s="17">
        <v>0.13091435185185185</v>
      </c>
    </row>
    <row r="273" spans="1:23" ht="15" customHeight="1" x14ac:dyDescent="0.25">
      <c r="A273" s="19">
        <v>46238</v>
      </c>
      <c r="B273" s="11" t="s">
        <v>60</v>
      </c>
      <c r="C273" s="12" t="s">
        <v>510</v>
      </c>
      <c r="D273" s="11" t="s">
        <v>100</v>
      </c>
      <c r="E273" s="12" t="s">
        <v>32</v>
      </c>
      <c r="F273" s="12" t="s">
        <v>33</v>
      </c>
      <c r="G273" s="12">
        <v>50</v>
      </c>
      <c r="H273" s="13">
        <v>0.31505787037037036</v>
      </c>
      <c r="I273" s="13">
        <v>0.29979166666666668</v>
      </c>
      <c r="J273" s="13">
        <v>5.995833333333333E-3</v>
      </c>
      <c r="K273" s="13">
        <v>3.1643518518518515E-2</v>
      </c>
      <c r="L273" s="14">
        <v>0.10043716248484626</v>
      </c>
      <c r="M273" s="12" t="s">
        <v>334</v>
      </c>
      <c r="N273" s="13"/>
      <c r="O273" s="13">
        <v>1.3518518518518518E-2</v>
      </c>
      <c r="P273" s="13"/>
      <c r="Q273" s="13">
        <v>3.0439814814814813E-3</v>
      </c>
      <c r="R273" s="13"/>
      <c r="S273" s="13">
        <v>1.3761574074074074E-2</v>
      </c>
      <c r="T273" s="13">
        <v>2.0833333333333335E-4</v>
      </c>
      <c r="U273" s="13">
        <v>9.3749999999999997E-4</v>
      </c>
      <c r="V273" s="13"/>
      <c r="W273" s="13"/>
    </row>
    <row r="274" spans="1:23" ht="15" customHeight="1" x14ac:dyDescent="0.25">
      <c r="A274" s="20">
        <v>46238</v>
      </c>
      <c r="B274" s="15" t="s">
        <v>132</v>
      </c>
      <c r="C274" s="16" t="s">
        <v>512</v>
      </c>
      <c r="D274" s="15" t="s">
        <v>104</v>
      </c>
      <c r="E274" s="16" t="s">
        <v>105</v>
      </c>
      <c r="F274" s="16" t="s">
        <v>106</v>
      </c>
      <c r="G274" s="16">
        <v>15</v>
      </c>
      <c r="H274" s="17">
        <v>0.25721064814814815</v>
      </c>
      <c r="I274" s="17">
        <v>0.24031250000000001</v>
      </c>
      <c r="J274" s="17">
        <v>1.6020833333333335E-2</v>
      </c>
      <c r="K274" s="17">
        <v>7.4733796296296298E-2</v>
      </c>
      <c r="L274" s="18">
        <v>0.29055483058092968</v>
      </c>
      <c r="M274" s="16" t="s">
        <v>334</v>
      </c>
      <c r="N274" s="17">
        <v>4.8611111111111112E-3</v>
      </c>
      <c r="O274" s="17">
        <v>1.5601851851851851E-2</v>
      </c>
      <c r="P274" s="17"/>
      <c r="Q274" s="17"/>
      <c r="R274" s="17"/>
      <c r="S274" s="17">
        <v>1.4756944444444444E-2</v>
      </c>
      <c r="T274" s="17">
        <v>1.7916666666666668E-2</v>
      </c>
      <c r="U274" s="17">
        <v>9.9074074074074082E-3</v>
      </c>
      <c r="V274" s="17"/>
      <c r="W274" s="17">
        <v>1.1689814814814814E-2</v>
      </c>
    </row>
    <row r="275" spans="1:23" ht="15" customHeight="1" x14ac:dyDescent="0.25">
      <c r="A275" s="19">
        <v>46238</v>
      </c>
      <c r="B275" s="11" t="s">
        <v>134</v>
      </c>
      <c r="C275" s="12" t="s">
        <v>560</v>
      </c>
      <c r="D275" s="11" t="s">
        <v>104</v>
      </c>
      <c r="E275" s="12" t="s">
        <v>105</v>
      </c>
      <c r="F275" s="12" t="s">
        <v>106</v>
      </c>
      <c r="G275" s="12">
        <v>21</v>
      </c>
      <c r="H275" s="13">
        <v>0.25734953703703706</v>
      </c>
      <c r="I275" s="13">
        <v>0.26056712962962963</v>
      </c>
      <c r="J275" s="13">
        <v>1.2407958553791888E-2</v>
      </c>
      <c r="K275" s="13">
        <v>4.5324074074074072E-2</v>
      </c>
      <c r="L275" s="14">
        <v>0.17611873172925568</v>
      </c>
      <c r="M275" s="12" t="s">
        <v>334</v>
      </c>
      <c r="N275" s="13">
        <v>6.4004629629629628E-3</v>
      </c>
      <c r="O275" s="13">
        <v>1.4375000000000001E-2</v>
      </c>
      <c r="P275" s="13"/>
      <c r="Q275" s="13">
        <v>7.2800925925925923E-3</v>
      </c>
      <c r="R275" s="13"/>
      <c r="S275" s="13">
        <v>1.2673611111111111E-2</v>
      </c>
      <c r="T275" s="13">
        <v>1.1689814814814816E-3</v>
      </c>
      <c r="U275" s="13">
        <v>6.8287037037037036E-4</v>
      </c>
      <c r="V275" s="13"/>
      <c r="W275" s="13">
        <v>2.7199074074074074E-3</v>
      </c>
    </row>
    <row r="276" spans="1:23" ht="15" customHeight="1" x14ac:dyDescent="0.25">
      <c r="A276" s="20">
        <v>46238</v>
      </c>
      <c r="B276" s="15" t="s">
        <v>211</v>
      </c>
      <c r="C276" s="16" t="s">
        <v>546</v>
      </c>
      <c r="D276" s="15" t="s">
        <v>104</v>
      </c>
      <c r="E276" s="16" t="s">
        <v>105</v>
      </c>
      <c r="F276" s="16" t="s">
        <v>106</v>
      </c>
      <c r="G276" s="16">
        <v>13</v>
      </c>
      <c r="H276" s="17">
        <v>0.26258101851851851</v>
      </c>
      <c r="I276" s="17">
        <v>0.20282407407407407</v>
      </c>
      <c r="J276" s="17">
        <v>1.5601851851851851E-2</v>
      </c>
      <c r="K276" s="17">
        <v>6.4340277777777774E-2</v>
      </c>
      <c r="L276" s="18">
        <v>0.24503019350288713</v>
      </c>
      <c r="M276" s="16" t="s">
        <v>334</v>
      </c>
      <c r="N276" s="17">
        <v>7.5810185185185182E-3</v>
      </c>
      <c r="O276" s="17">
        <v>5.8333333333333336E-3</v>
      </c>
      <c r="P276" s="17">
        <v>3.1018518518518518E-2</v>
      </c>
      <c r="Q276" s="17"/>
      <c r="R276" s="17"/>
      <c r="S276" s="17"/>
      <c r="T276" s="17">
        <v>1.273148148148148E-4</v>
      </c>
      <c r="U276" s="17">
        <v>1.6967592592592593E-2</v>
      </c>
      <c r="V276" s="17"/>
      <c r="W276" s="17">
        <v>2.7893518518518519E-3</v>
      </c>
    </row>
    <row r="277" spans="1:23" ht="15" customHeight="1" x14ac:dyDescent="0.25">
      <c r="A277" s="19">
        <v>46238</v>
      </c>
      <c r="B277" s="11" t="s">
        <v>617</v>
      </c>
      <c r="C277" s="12" t="s">
        <v>638</v>
      </c>
      <c r="D277" s="11" t="s">
        <v>601</v>
      </c>
      <c r="E277" s="12" t="s">
        <v>105</v>
      </c>
      <c r="F277" s="12" t="s">
        <v>33</v>
      </c>
      <c r="G277" s="12">
        <v>5</v>
      </c>
      <c r="H277" s="13">
        <v>0.23646990740740742</v>
      </c>
      <c r="I277" s="13">
        <v>0.12263888888888889</v>
      </c>
      <c r="J277" s="13">
        <v>2.4527777777777777E-2</v>
      </c>
      <c r="K277" s="13">
        <v>0.1577662037037037</v>
      </c>
      <c r="L277" s="14">
        <v>0.66717243404630222</v>
      </c>
      <c r="M277" s="12" t="s">
        <v>334</v>
      </c>
      <c r="N277" s="13"/>
      <c r="O277" s="13">
        <v>1.3055555555555556E-2</v>
      </c>
      <c r="P277" s="13"/>
      <c r="Q277" s="13"/>
      <c r="R277" s="13"/>
      <c r="S277" s="13">
        <v>1.6516203703703703E-2</v>
      </c>
      <c r="T277" s="13">
        <v>7.3495370370370372E-3</v>
      </c>
      <c r="U277" s="13"/>
      <c r="V277" s="13"/>
      <c r="W277" s="13">
        <v>0.1208449074074074</v>
      </c>
    </row>
    <row r="278" spans="1:23" ht="15" customHeight="1" x14ac:dyDescent="0.25">
      <c r="A278" s="20">
        <v>46238</v>
      </c>
      <c r="B278" s="15" t="s">
        <v>136</v>
      </c>
      <c r="C278" s="16" t="s">
        <v>561</v>
      </c>
      <c r="D278" s="15" t="s">
        <v>104</v>
      </c>
      <c r="E278" s="16" t="s">
        <v>105</v>
      </c>
      <c r="F278" s="16" t="s">
        <v>106</v>
      </c>
      <c r="G278" s="16">
        <v>16</v>
      </c>
      <c r="H278" s="17">
        <v>0.26541666666666669</v>
      </c>
      <c r="I278" s="17">
        <v>0.28749999999999998</v>
      </c>
      <c r="J278" s="17">
        <v>1.7968749999999999E-2</v>
      </c>
      <c r="K278" s="17">
        <v>4.6099537037037036E-2</v>
      </c>
      <c r="L278" s="18">
        <v>0.17368742368742368</v>
      </c>
      <c r="M278" s="16" t="s">
        <v>334</v>
      </c>
      <c r="N278" s="17">
        <v>3.2175925925925926E-3</v>
      </c>
      <c r="O278" s="17">
        <v>1.5787037037037037E-2</v>
      </c>
      <c r="P278" s="17"/>
      <c r="Q278" s="17"/>
      <c r="R278" s="17"/>
      <c r="S278" s="17">
        <v>1.4641203703703703E-2</v>
      </c>
      <c r="T278" s="17">
        <v>2.7430555555555554E-3</v>
      </c>
      <c r="U278" s="17">
        <v>1.238425925925926E-3</v>
      </c>
      <c r="V278" s="17"/>
      <c r="W278" s="17">
        <v>8.472222222222223E-3</v>
      </c>
    </row>
    <row r="279" spans="1:23" ht="15" customHeight="1" x14ac:dyDescent="0.25">
      <c r="A279" s="19">
        <v>46238</v>
      </c>
      <c r="B279" s="11" t="s">
        <v>618</v>
      </c>
      <c r="C279" s="12" t="s">
        <v>639</v>
      </c>
      <c r="D279" s="11" t="s">
        <v>601</v>
      </c>
      <c r="E279" s="12" t="s">
        <v>105</v>
      </c>
      <c r="F279" s="12" t="s">
        <v>33</v>
      </c>
      <c r="G279" s="12">
        <v>5</v>
      </c>
      <c r="H279" s="13">
        <v>0.2204861111111111</v>
      </c>
      <c r="I279" s="13">
        <v>0.10055555555555555</v>
      </c>
      <c r="J279" s="13">
        <v>2.0111111111111111E-2</v>
      </c>
      <c r="K279" s="13">
        <v>0.15530092592592593</v>
      </c>
      <c r="L279" s="14">
        <v>0.70435695538057741</v>
      </c>
      <c r="M279" s="12" t="s">
        <v>334</v>
      </c>
      <c r="N279" s="13"/>
      <c r="O279" s="13">
        <v>2.2141203703703705E-2</v>
      </c>
      <c r="P279" s="13"/>
      <c r="Q279" s="13"/>
      <c r="R279" s="13"/>
      <c r="S279" s="13">
        <v>1.7800925925925925E-2</v>
      </c>
      <c r="T279" s="13">
        <v>2.9166666666666668E-3</v>
      </c>
      <c r="U279" s="13"/>
      <c r="V279" s="13"/>
      <c r="W279" s="13">
        <v>0.11244212962962963</v>
      </c>
    </row>
    <row r="280" spans="1:23" ht="15" customHeight="1" x14ac:dyDescent="0.25">
      <c r="A280" s="20">
        <v>46238</v>
      </c>
      <c r="B280" s="15" t="s">
        <v>501</v>
      </c>
      <c r="C280" s="16" t="s">
        <v>524</v>
      </c>
      <c r="D280" s="15" t="s">
        <v>274</v>
      </c>
      <c r="E280" s="16" t="s">
        <v>147</v>
      </c>
      <c r="F280" s="16" t="s">
        <v>33</v>
      </c>
      <c r="G280" s="16">
        <v>26</v>
      </c>
      <c r="H280" s="17">
        <v>0.26319444444444445</v>
      </c>
      <c r="I280" s="17">
        <v>8.8275462962962958E-2</v>
      </c>
      <c r="J280" s="17">
        <v>3.3952101139601144E-3</v>
      </c>
      <c r="K280" s="17">
        <v>3.8032407407407411E-2</v>
      </c>
      <c r="L280" s="18">
        <v>0.14450307827616535</v>
      </c>
      <c r="M280" s="16" t="s">
        <v>334</v>
      </c>
      <c r="N280" s="17">
        <v>7.1759259259259259E-4</v>
      </c>
      <c r="O280" s="17">
        <v>1.4768518518518519E-2</v>
      </c>
      <c r="P280" s="17"/>
      <c r="Q280" s="17"/>
      <c r="R280" s="17"/>
      <c r="S280" s="17">
        <v>1.4189814814814815E-2</v>
      </c>
      <c r="T280" s="17">
        <v>7.7083333333333335E-3</v>
      </c>
      <c r="U280" s="17">
        <v>6.018518518518519E-4</v>
      </c>
      <c r="V280" s="17"/>
      <c r="W280" s="17"/>
    </row>
    <row r="281" spans="1:23" ht="15" customHeight="1" x14ac:dyDescent="0.25">
      <c r="A281" s="19">
        <v>46238</v>
      </c>
      <c r="B281" s="11" t="s">
        <v>213</v>
      </c>
      <c r="C281" s="12" t="s">
        <v>572</v>
      </c>
      <c r="D281" s="11" t="s">
        <v>601</v>
      </c>
      <c r="E281" s="12" t="s">
        <v>105</v>
      </c>
      <c r="F281" s="12" t="s">
        <v>33</v>
      </c>
      <c r="G281" s="12">
        <v>8</v>
      </c>
      <c r="H281" s="13">
        <v>0.23716435185185186</v>
      </c>
      <c r="I281" s="13">
        <v>0.11597222222222223</v>
      </c>
      <c r="J281" s="13">
        <v>1.4496527777777778E-2</v>
      </c>
      <c r="K281" s="13">
        <v>0.18916666666666668</v>
      </c>
      <c r="L281" s="14">
        <v>0.79761846664389247</v>
      </c>
      <c r="M281" s="12" t="s">
        <v>334</v>
      </c>
      <c r="N281" s="13">
        <v>1.2048611111111111E-2</v>
      </c>
      <c r="O281" s="13">
        <v>7.7546296296296295E-3</v>
      </c>
      <c r="P281" s="13"/>
      <c r="Q281" s="13"/>
      <c r="R281" s="13"/>
      <c r="S281" s="13">
        <v>1.2222222222222223E-2</v>
      </c>
      <c r="T281" s="13">
        <v>4.1666666666666669E-4</v>
      </c>
      <c r="U281" s="13">
        <v>3.3796296296296296E-3</v>
      </c>
      <c r="V281" s="13"/>
      <c r="W281" s="13">
        <v>0.15334490740740742</v>
      </c>
    </row>
    <row r="282" spans="1:23" ht="15" customHeight="1" x14ac:dyDescent="0.25">
      <c r="A282" s="20">
        <v>46238</v>
      </c>
      <c r="B282" s="15" t="s">
        <v>215</v>
      </c>
      <c r="C282" s="16" t="s">
        <v>547</v>
      </c>
      <c r="D282" s="15" t="s">
        <v>601</v>
      </c>
      <c r="E282" s="16" t="s">
        <v>105</v>
      </c>
      <c r="F282" s="16" t="s">
        <v>33</v>
      </c>
      <c r="G282" s="16">
        <v>17</v>
      </c>
      <c r="H282" s="17">
        <v>0.22042824074074074</v>
      </c>
      <c r="I282" s="17">
        <v>0.21424768518518519</v>
      </c>
      <c r="J282" s="17">
        <v>1.2602805010893248E-2</v>
      </c>
      <c r="K282" s="17">
        <v>0.12633101851851852</v>
      </c>
      <c r="L282" s="18">
        <v>0.57311630349173015</v>
      </c>
      <c r="M282" s="16" t="s">
        <v>334</v>
      </c>
      <c r="N282" s="17">
        <v>1.2268518518518518E-3</v>
      </c>
      <c r="O282" s="17">
        <v>2.2731481481481481E-2</v>
      </c>
      <c r="P282" s="17">
        <v>2.3726851851851851E-3</v>
      </c>
      <c r="Q282" s="17"/>
      <c r="R282" s="17"/>
      <c r="S282" s="17">
        <v>1.457175925925926E-2</v>
      </c>
      <c r="T282" s="17">
        <v>8.1365740740740738E-3</v>
      </c>
      <c r="U282" s="17"/>
      <c r="V282" s="17"/>
      <c r="W282" s="17">
        <v>7.7291666666666661E-2</v>
      </c>
    </row>
    <row r="283" spans="1:23" ht="15" customHeight="1" x14ac:dyDescent="0.25">
      <c r="A283" s="19">
        <v>46238</v>
      </c>
      <c r="B283" s="11" t="s">
        <v>619</v>
      </c>
      <c r="C283" s="12" t="s">
        <v>640</v>
      </c>
      <c r="D283" s="11" t="s">
        <v>601</v>
      </c>
      <c r="E283" s="12" t="s">
        <v>105</v>
      </c>
      <c r="F283" s="12" t="s">
        <v>33</v>
      </c>
      <c r="G283" s="12">
        <v>14</v>
      </c>
      <c r="H283" s="13">
        <v>0.24331018518518518</v>
      </c>
      <c r="I283" s="13">
        <v>0.18805555555555556</v>
      </c>
      <c r="J283" s="13">
        <v>1.3432539682539683E-2</v>
      </c>
      <c r="K283" s="13">
        <v>0.17521990740740739</v>
      </c>
      <c r="L283" s="14">
        <v>0.72015031871372848</v>
      </c>
      <c r="M283" s="12" t="s">
        <v>334</v>
      </c>
      <c r="N283" s="13">
        <v>2.5578703703703705E-3</v>
      </c>
      <c r="O283" s="13">
        <v>9.432870370370371E-3</v>
      </c>
      <c r="P283" s="13"/>
      <c r="Q283" s="13"/>
      <c r="R283" s="13"/>
      <c r="S283" s="13"/>
      <c r="T283" s="13">
        <v>3.5879629629629629E-4</v>
      </c>
      <c r="U283" s="13">
        <v>1.9675925925925926E-4</v>
      </c>
      <c r="V283" s="13"/>
      <c r="W283" s="13">
        <v>0.16267361111111112</v>
      </c>
    </row>
    <row r="284" spans="1:23" ht="15" customHeight="1" x14ac:dyDescent="0.25">
      <c r="A284" s="20">
        <v>46238</v>
      </c>
      <c r="B284" s="15" t="s">
        <v>668</v>
      </c>
      <c r="C284" s="16" t="s">
        <v>669</v>
      </c>
      <c r="D284" s="15" t="s">
        <v>233</v>
      </c>
      <c r="E284" s="16" t="s">
        <v>32</v>
      </c>
      <c r="F284" s="16" t="s">
        <v>106</v>
      </c>
      <c r="G284" s="16">
        <v>40</v>
      </c>
      <c r="H284" s="17">
        <v>0.26237268518518519</v>
      </c>
      <c r="I284" s="17">
        <v>0.17092592592592593</v>
      </c>
      <c r="J284" s="17">
        <v>4.2731481481481483E-3</v>
      </c>
      <c r="K284" s="17">
        <v>4.553240740740741E-2</v>
      </c>
      <c r="L284" s="18">
        <v>0.17354095901892452</v>
      </c>
      <c r="M284" s="16" t="s">
        <v>334</v>
      </c>
      <c r="N284" s="17">
        <v>1.2025462962962963E-2</v>
      </c>
      <c r="O284" s="17">
        <v>2.1006944444444446E-2</v>
      </c>
      <c r="P284" s="17"/>
      <c r="Q284" s="17"/>
      <c r="R284" s="17"/>
      <c r="S284" s="17">
        <v>4.1666666666666669E-4</v>
      </c>
      <c r="T284" s="17">
        <v>1.0856481481481481E-2</v>
      </c>
      <c r="U284" s="17">
        <v>1.2268518518518518E-3</v>
      </c>
      <c r="V284" s="17"/>
      <c r="W284" s="17"/>
    </row>
    <row r="285" spans="1:23" ht="15" customHeight="1" x14ac:dyDescent="0.25">
      <c r="A285" s="19">
        <v>46238</v>
      </c>
      <c r="B285" s="11" t="s">
        <v>744</v>
      </c>
      <c r="C285" s="12" t="s">
        <v>670</v>
      </c>
      <c r="D285" s="11" t="s">
        <v>100</v>
      </c>
      <c r="E285" s="12" t="s">
        <v>32</v>
      </c>
      <c r="F285" s="12" t="s">
        <v>33</v>
      </c>
      <c r="G285" s="12">
        <v>33</v>
      </c>
      <c r="H285" s="13">
        <v>0.26004629629629628</v>
      </c>
      <c r="I285" s="13">
        <v>0.19296296296296298</v>
      </c>
      <c r="J285" s="13">
        <v>5.8473625140291804E-3</v>
      </c>
      <c r="K285" s="13">
        <v>6.446759259259259E-2</v>
      </c>
      <c r="L285" s="14">
        <v>0.24790813601566672</v>
      </c>
      <c r="M285" s="12" t="s">
        <v>334</v>
      </c>
      <c r="N285" s="13">
        <v>1.2199074074074074E-2</v>
      </c>
      <c r="O285" s="13">
        <v>1.3981481481481482E-2</v>
      </c>
      <c r="P285" s="13"/>
      <c r="Q285" s="13"/>
      <c r="R285" s="13">
        <v>8.518518518518519E-3</v>
      </c>
      <c r="S285" s="13">
        <v>1.3946759259259259E-2</v>
      </c>
      <c r="T285" s="13">
        <v>4.1666666666666669E-4</v>
      </c>
      <c r="U285" s="13">
        <v>1.5393518518518518E-2</v>
      </c>
      <c r="V285" s="13"/>
      <c r="W285" s="13"/>
    </row>
    <row r="286" spans="1:23" ht="15" customHeight="1" x14ac:dyDescent="0.25">
      <c r="A286" s="20">
        <v>46238</v>
      </c>
      <c r="B286" s="15" t="s">
        <v>219</v>
      </c>
      <c r="C286" s="16" t="s">
        <v>548</v>
      </c>
      <c r="D286" s="15" t="s">
        <v>104</v>
      </c>
      <c r="E286" s="16" t="s">
        <v>105</v>
      </c>
      <c r="F286" s="16" t="s">
        <v>106</v>
      </c>
      <c r="G286" s="16">
        <v>17</v>
      </c>
      <c r="H286" s="17">
        <v>0.24256944444444445</v>
      </c>
      <c r="I286" s="17">
        <v>0.17534722222222221</v>
      </c>
      <c r="J286" s="17">
        <v>1.0314542483660131E-2</v>
      </c>
      <c r="K286" s="17">
        <v>6.4270833333333333E-2</v>
      </c>
      <c r="L286" s="18">
        <v>0.26495848840538222</v>
      </c>
      <c r="M286" s="16" t="s">
        <v>334</v>
      </c>
      <c r="N286" s="17">
        <v>1.1180555555555555E-2</v>
      </c>
      <c r="O286" s="17">
        <v>1.5972222222222221E-2</v>
      </c>
      <c r="P286" s="17">
        <v>4.9189814814814816E-3</v>
      </c>
      <c r="Q286" s="17">
        <v>1.1678240740740741E-2</v>
      </c>
      <c r="R286" s="17"/>
      <c r="S286" s="17">
        <v>1.5243055555555555E-2</v>
      </c>
      <c r="T286" s="17">
        <v>1.4467592592592592E-3</v>
      </c>
      <c r="U286" s="17">
        <v>3.8078703703703703E-3</v>
      </c>
      <c r="V286" s="17"/>
      <c r="W286" s="17"/>
    </row>
    <row r="287" spans="1:23" ht="15" customHeight="1" x14ac:dyDescent="0.25">
      <c r="A287" s="19">
        <v>46238</v>
      </c>
      <c r="B287" s="11" t="s">
        <v>305</v>
      </c>
      <c r="C287" s="12" t="s">
        <v>306</v>
      </c>
      <c r="D287" s="11" t="s">
        <v>100</v>
      </c>
      <c r="E287" s="12" t="s">
        <v>32</v>
      </c>
      <c r="F287" s="12" t="s">
        <v>33</v>
      </c>
      <c r="G287" s="12">
        <v>44</v>
      </c>
      <c r="H287" s="13">
        <v>0.26087962962962963</v>
      </c>
      <c r="I287" s="13">
        <v>0.22738425925925926</v>
      </c>
      <c r="J287" s="13">
        <v>5.1678240740740738E-3</v>
      </c>
      <c r="K287" s="13">
        <v>4.7164351851851853E-2</v>
      </c>
      <c r="L287" s="14">
        <v>0.1807897071872227</v>
      </c>
      <c r="M287" s="12" t="s">
        <v>334</v>
      </c>
      <c r="N287" s="13">
        <v>1.2673611111111111E-2</v>
      </c>
      <c r="O287" s="13">
        <v>1.607638888888889E-2</v>
      </c>
      <c r="P287" s="13"/>
      <c r="Q287" s="13"/>
      <c r="R287" s="13"/>
      <c r="S287" s="13">
        <v>1.8333333333333333E-2</v>
      </c>
      <c r="T287" s="13">
        <v>8.1018518518518516E-5</v>
      </c>
      <c r="U287" s="13"/>
      <c r="V287" s="13"/>
      <c r="W287" s="13"/>
    </row>
    <row r="288" spans="1:23" ht="15" customHeight="1" x14ac:dyDescent="0.25">
      <c r="A288" s="20">
        <v>46238</v>
      </c>
      <c r="B288" s="15" t="s">
        <v>620</v>
      </c>
      <c r="C288" s="16" t="s">
        <v>641</v>
      </c>
      <c r="D288" s="15" t="s">
        <v>601</v>
      </c>
      <c r="E288" s="16" t="s">
        <v>105</v>
      </c>
      <c r="F288" s="16" t="s">
        <v>33</v>
      </c>
      <c r="G288" s="16">
        <v>9</v>
      </c>
      <c r="H288" s="17">
        <v>0.24069444444444443</v>
      </c>
      <c r="I288" s="17">
        <v>0.12261574074074075</v>
      </c>
      <c r="J288" s="17">
        <v>1.3623971193415638E-2</v>
      </c>
      <c r="K288" s="17">
        <v>0.17409722222222221</v>
      </c>
      <c r="L288" s="18">
        <v>0.72331217541834969</v>
      </c>
      <c r="M288" s="16" t="s">
        <v>334</v>
      </c>
      <c r="N288" s="17">
        <v>2.6840277777777779E-2</v>
      </c>
      <c r="O288" s="17">
        <v>1.5324074074074073E-2</v>
      </c>
      <c r="P288" s="17"/>
      <c r="Q288" s="17"/>
      <c r="R288" s="17"/>
      <c r="S288" s="17">
        <v>1.425925925925926E-2</v>
      </c>
      <c r="T288" s="17">
        <v>4.4791666666666669E-3</v>
      </c>
      <c r="U288" s="17">
        <v>1.8437499999999999E-2</v>
      </c>
      <c r="V288" s="17"/>
      <c r="W288" s="17">
        <v>9.4756944444444449E-2</v>
      </c>
    </row>
    <row r="289" spans="1:23" ht="15" customHeight="1" x14ac:dyDescent="0.25">
      <c r="A289" s="19">
        <v>46238</v>
      </c>
      <c r="B289" s="11" t="s">
        <v>138</v>
      </c>
      <c r="C289" s="12" t="s">
        <v>556</v>
      </c>
      <c r="D289" s="11" t="s">
        <v>104</v>
      </c>
      <c r="E289" s="12" t="s">
        <v>105</v>
      </c>
      <c r="F289" s="12" t="s">
        <v>106</v>
      </c>
      <c r="G289" s="12">
        <v>23</v>
      </c>
      <c r="H289" s="13">
        <v>0.25104166666666666</v>
      </c>
      <c r="I289" s="13">
        <v>0.28293981481481484</v>
      </c>
      <c r="J289" s="13">
        <v>1.2301731078904992E-2</v>
      </c>
      <c r="K289" s="13">
        <v>7.6793981481481477E-2</v>
      </c>
      <c r="L289" s="14">
        <v>0.305901337021669</v>
      </c>
      <c r="M289" s="12" t="s">
        <v>334</v>
      </c>
      <c r="N289" s="13">
        <v>2.3125E-2</v>
      </c>
      <c r="O289" s="13">
        <v>7.3495370370370372E-3</v>
      </c>
      <c r="P289" s="13">
        <v>9.780092592592592E-3</v>
      </c>
      <c r="Q289" s="13">
        <v>1.0243055555555556E-2</v>
      </c>
      <c r="R289" s="13"/>
      <c r="S289" s="13">
        <v>1.5370370370370371E-2</v>
      </c>
      <c r="T289" s="13">
        <v>4.2939814814814811E-3</v>
      </c>
      <c r="U289" s="13">
        <v>4.3981481481481481E-4</v>
      </c>
      <c r="V289" s="13"/>
      <c r="W289" s="13">
        <v>6.1805555555555555E-3</v>
      </c>
    </row>
    <row r="290" spans="1:23" ht="15" customHeight="1" x14ac:dyDescent="0.25">
      <c r="A290" s="20">
        <v>46238</v>
      </c>
      <c r="B290" s="15" t="s">
        <v>276</v>
      </c>
      <c r="C290" s="16" t="s">
        <v>532</v>
      </c>
      <c r="D290" s="15" t="s">
        <v>233</v>
      </c>
      <c r="E290" s="16" t="s">
        <v>32</v>
      </c>
      <c r="F290" s="16" t="s">
        <v>106</v>
      </c>
      <c r="G290" s="16">
        <v>48</v>
      </c>
      <c r="H290" s="17">
        <v>0.26204861111111111</v>
      </c>
      <c r="I290" s="17">
        <v>0.12770833333333334</v>
      </c>
      <c r="J290" s="17">
        <v>2.6605902777777778E-3</v>
      </c>
      <c r="K290" s="17">
        <v>6.1400462962962962E-2</v>
      </c>
      <c r="L290" s="18">
        <v>0.23430943862903583</v>
      </c>
      <c r="M290" s="16" t="s">
        <v>334</v>
      </c>
      <c r="N290" s="17">
        <v>1.1909722222222223E-2</v>
      </c>
      <c r="O290" s="17">
        <v>1.357638888888889E-2</v>
      </c>
      <c r="P290" s="17"/>
      <c r="Q290" s="17"/>
      <c r="R290" s="17"/>
      <c r="S290" s="17">
        <v>9.8148148148148144E-3</v>
      </c>
      <c r="T290" s="17">
        <v>2.5590277777777778E-2</v>
      </c>
      <c r="U290" s="17">
        <v>4.9768518518518521E-4</v>
      </c>
      <c r="V290" s="17"/>
      <c r="W290" s="17"/>
    </row>
    <row r="291" spans="1:23" ht="15" customHeight="1" x14ac:dyDescent="0.25">
      <c r="A291" s="19">
        <v>46238</v>
      </c>
      <c r="B291" s="11" t="s">
        <v>278</v>
      </c>
      <c r="C291" s="12" t="s">
        <v>533</v>
      </c>
      <c r="D291" s="11" t="s">
        <v>233</v>
      </c>
      <c r="E291" s="12" t="s">
        <v>32</v>
      </c>
      <c r="F291" s="12" t="s">
        <v>106</v>
      </c>
      <c r="G291" s="12">
        <v>28</v>
      </c>
      <c r="H291" s="13">
        <v>0.26708333333333334</v>
      </c>
      <c r="I291" s="13">
        <v>0.18296296296296297</v>
      </c>
      <c r="J291" s="13">
        <v>6.5343915343915341E-3</v>
      </c>
      <c r="K291" s="13">
        <v>3.9942129629629633E-2</v>
      </c>
      <c r="L291" s="14">
        <v>0.14954931530594556</v>
      </c>
      <c r="M291" s="12" t="s">
        <v>334</v>
      </c>
      <c r="N291" s="13">
        <v>7.3148148148148148E-3</v>
      </c>
      <c r="O291" s="13">
        <v>1.5289351851851853E-2</v>
      </c>
      <c r="P291" s="13"/>
      <c r="Q291" s="13"/>
      <c r="R291" s="13"/>
      <c r="S291" s="13">
        <v>1.4722222222222222E-2</v>
      </c>
      <c r="T291" s="13">
        <v>2.6157407407407405E-3</v>
      </c>
      <c r="U291" s="13"/>
      <c r="V291" s="13"/>
      <c r="W291" s="13"/>
    </row>
    <row r="292" spans="1:23" ht="15" customHeight="1" x14ac:dyDescent="0.25">
      <c r="A292" s="20">
        <v>46238</v>
      </c>
      <c r="B292" s="15" t="s">
        <v>313</v>
      </c>
      <c r="C292" s="16" t="s">
        <v>511</v>
      </c>
      <c r="D292" s="15" t="s">
        <v>78</v>
      </c>
      <c r="E292" s="16" t="s">
        <v>80</v>
      </c>
      <c r="F292" s="16" t="s">
        <v>81</v>
      </c>
      <c r="G292" s="16">
        <v>0</v>
      </c>
      <c r="H292" s="17">
        <v>0.20582175925925925</v>
      </c>
      <c r="I292" s="17">
        <v>0</v>
      </c>
      <c r="J292" s="17">
        <v>0</v>
      </c>
      <c r="K292" s="17">
        <v>2.7777777777777776E-2</v>
      </c>
      <c r="L292" s="18">
        <v>0.13496035539560255</v>
      </c>
      <c r="M292" s="16" t="s">
        <v>334</v>
      </c>
      <c r="N292" s="17">
        <v>5.37037037037037E-3</v>
      </c>
      <c r="O292" s="17">
        <v>1.3680555555555555E-2</v>
      </c>
      <c r="P292" s="17"/>
      <c r="Q292" s="17"/>
      <c r="R292" s="17"/>
      <c r="S292" s="17">
        <v>8.472222222222223E-3</v>
      </c>
      <c r="T292" s="17">
        <v>1.1574074074074075E-4</v>
      </c>
      <c r="U292" s="17">
        <v>1.1574074074074075E-4</v>
      </c>
      <c r="V292" s="17"/>
      <c r="W292" s="17"/>
    </row>
    <row r="293" spans="1:23" ht="15" customHeight="1" x14ac:dyDescent="0.25">
      <c r="A293" s="19">
        <v>46238</v>
      </c>
      <c r="B293" s="11" t="s">
        <v>673</v>
      </c>
      <c r="C293" s="12" t="s">
        <v>674</v>
      </c>
      <c r="D293" s="11" t="s">
        <v>104</v>
      </c>
      <c r="E293" s="12" t="s">
        <v>105</v>
      </c>
      <c r="F293" s="12" t="s">
        <v>106</v>
      </c>
      <c r="G293" s="12">
        <v>13</v>
      </c>
      <c r="H293" s="13">
        <v>0.26396990740740739</v>
      </c>
      <c r="I293" s="13">
        <v>0.18185185185185185</v>
      </c>
      <c r="J293" s="13">
        <v>1.3988603988603987E-2</v>
      </c>
      <c r="K293" s="13">
        <v>0.13445601851851852</v>
      </c>
      <c r="L293" s="14">
        <v>0.50936116104704698</v>
      </c>
      <c r="M293" s="12" t="s">
        <v>334</v>
      </c>
      <c r="N293" s="13"/>
      <c r="O293" s="13">
        <v>1.6469907407407409E-2</v>
      </c>
      <c r="P293" s="13"/>
      <c r="Q293" s="13"/>
      <c r="R293" s="13"/>
      <c r="S293" s="13">
        <v>1.5196759259259259E-2</v>
      </c>
      <c r="T293" s="13">
        <v>5.7870370370370373E-5</v>
      </c>
      <c r="U293" s="13">
        <v>5.37037037037037E-3</v>
      </c>
      <c r="V293" s="13"/>
      <c r="W293" s="13">
        <v>9.7361111111111107E-2</v>
      </c>
    </row>
    <row r="294" spans="1:23" ht="15" customHeight="1" x14ac:dyDescent="0.25">
      <c r="A294" s="20">
        <v>46238</v>
      </c>
      <c r="B294" s="15" t="s">
        <v>225</v>
      </c>
      <c r="C294" s="16" t="s">
        <v>549</v>
      </c>
      <c r="D294" s="15" t="s">
        <v>601</v>
      </c>
      <c r="E294" s="16" t="s">
        <v>105</v>
      </c>
      <c r="F294" s="16" t="s">
        <v>33</v>
      </c>
      <c r="G294" s="16">
        <v>12</v>
      </c>
      <c r="H294" s="17">
        <v>0.25373842592592594</v>
      </c>
      <c r="I294" s="17">
        <v>0.25709490740740742</v>
      </c>
      <c r="J294" s="17">
        <v>2.1424575617283951E-2</v>
      </c>
      <c r="K294" s="17">
        <v>7.1608796296296295E-2</v>
      </c>
      <c r="L294" s="18">
        <v>0.28221502531587828</v>
      </c>
      <c r="M294" s="16" t="s">
        <v>334</v>
      </c>
      <c r="N294" s="17">
        <v>4.4212962962962964E-3</v>
      </c>
      <c r="O294" s="17">
        <v>8.3796296296296292E-3</v>
      </c>
      <c r="P294" s="17"/>
      <c r="Q294" s="17"/>
      <c r="R294" s="17"/>
      <c r="S294" s="17">
        <v>1.4641203703703703E-2</v>
      </c>
      <c r="T294" s="17">
        <v>5.7870370370370373E-5</v>
      </c>
      <c r="U294" s="17">
        <v>1.7592592592592592E-3</v>
      </c>
      <c r="V294" s="17"/>
      <c r="W294" s="17">
        <v>4.2326388888888886E-2</v>
      </c>
    </row>
    <row r="295" spans="1:23" ht="15" customHeight="1" x14ac:dyDescent="0.25">
      <c r="A295" s="19">
        <v>46238</v>
      </c>
      <c r="B295" s="11" t="s">
        <v>70</v>
      </c>
      <c r="C295" s="12" t="s">
        <v>71</v>
      </c>
      <c r="D295" s="11" t="s">
        <v>78</v>
      </c>
      <c r="E295" s="12" t="s">
        <v>80</v>
      </c>
      <c r="F295" s="12" t="s">
        <v>33</v>
      </c>
      <c r="G295" s="12">
        <v>0</v>
      </c>
      <c r="H295" s="13">
        <v>0.28664351851851849</v>
      </c>
      <c r="I295" s="13">
        <v>0</v>
      </c>
      <c r="J295" s="13">
        <v>0</v>
      </c>
      <c r="K295" s="13">
        <v>0.19083333333333333</v>
      </c>
      <c r="L295" s="14">
        <v>0.66575143341678111</v>
      </c>
      <c r="M295" s="12" t="s">
        <v>334</v>
      </c>
      <c r="N295" s="13"/>
      <c r="O295" s="13">
        <v>4.1597222222222223E-2</v>
      </c>
      <c r="P295" s="13"/>
      <c r="Q295" s="13"/>
      <c r="R295" s="13"/>
      <c r="S295" s="13"/>
      <c r="T295" s="13">
        <v>1.0416666666666667E-4</v>
      </c>
      <c r="U295" s="13">
        <v>2.6041666666666665E-3</v>
      </c>
      <c r="V295" s="13"/>
      <c r="W295" s="13">
        <v>0.14652777777777778</v>
      </c>
    </row>
    <row r="296" spans="1:23" ht="15" customHeight="1" x14ac:dyDescent="0.25">
      <c r="A296" s="20">
        <v>46238</v>
      </c>
      <c r="B296" s="15" t="s">
        <v>280</v>
      </c>
      <c r="C296" s="16" t="s">
        <v>534</v>
      </c>
      <c r="D296" s="15" t="s">
        <v>233</v>
      </c>
      <c r="E296" s="16" t="s">
        <v>32</v>
      </c>
      <c r="F296" s="16" t="s">
        <v>106</v>
      </c>
      <c r="G296" s="16">
        <v>35</v>
      </c>
      <c r="H296" s="17">
        <v>0.2606134259259259</v>
      </c>
      <c r="I296" s="17">
        <v>0.13879629629629631</v>
      </c>
      <c r="J296" s="17">
        <v>3.9656084656084657E-3</v>
      </c>
      <c r="K296" s="17">
        <v>5.0983796296296298E-2</v>
      </c>
      <c r="L296" s="18">
        <v>0.19562996846826841</v>
      </c>
      <c r="M296" s="16" t="s">
        <v>334</v>
      </c>
      <c r="N296" s="17">
        <v>4.4791666666666669E-3</v>
      </c>
      <c r="O296" s="17">
        <v>1.96875E-2</v>
      </c>
      <c r="P296" s="17"/>
      <c r="Q296" s="17"/>
      <c r="R296" s="17"/>
      <c r="S296" s="17">
        <v>1.5497685185185186E-2</v>
      </c>
      <c r="T296" s="17">
        <v>4.363425925925926E-3</v>
      </c>
      <c r="U296" s="17">
        <v>3.9351851851851852E-4</v>
      </c>
      <c r="V296" s="17"/>
      <c r="W296" s="17">
        <v>6.5624999999999998E-3</v>
      </c>
    </row>
    <row r="297" spans="1:23" ht="15" customHeight="1" x14ac:dyDescent="0.25">
      <c r="A297" s="19">
        <v>46238</v>
      </c>
      <c r="B297" s="11" t="s">
        <v>299</v>
      </c>
      <c r="C297" s="12" t="s">
        <v>571</v>
      </c>
      <c r="D297" s="11" t="s">
        <v>104</v>
      </c>
      <c r="E297" s="12" t="s">
        <v>105</v>
      </c>
      <c r="F297" s="12" t="s">
        <v>106</v>
      </c>
      <c r="G297" s="12">
        <v>16</v>
      </c>
      <c r="H297" s="13">
        <v>0.25437500000000002</v>
      </c>
      <c r="I297" s="13">
        <v>0.24384259259259258</v>
      </c>
      <c r="J297" s="13">
        <v>1.5240162037037036E-2</v>
      </c>
      <c r="K297" s="13">
        <v>6.008101851851852E-2</v>
      </c>
      <c r="L297" s="14">
        <v>0.23619073619073619</v>
      </c>
      <c r="M297" s="12" t="s">
        <v>334</v>
      </c>
      <c r="N297" s="13"/>
      <c r="O297" s="13">
        <v>1.4872685185185185E-2</v>
      </c>
      <c r="P297" s="13"/>
      <c r="Q297" s="13"/>
      <c r="R297" s="13"/>
      <c r="S297" s="13">
        <v>1.1655092592592592E-2</v>
      </c>
      <c r="T297" s="13">
        <v>6.9444444444444444E-5</v>
      </c>
      <c r="U297" s="13">
        <v>2.0127314814814813E-2</v>
      </c>
      <c r="V297" s="13"/>
      <c r="W297" s="13">
        <v>1.3333333333333334E-2</v>
      </c>
    </row>
    <row r="298" spans="1:23" ht="15" customHeight="1" x14ac:dyDescent="0.25">
      <c r="A298" s="20">
        <v>46238</v>
      </c>
      <c r="B298" s="15" t="s">
        <v>598</v>
      </c>
      <c r="C298" s="16" t="s">
        <v>598</v>
      </c>
      <c r="D298" s="15" t="s">
        <v>284</v>
      </c>
      <c r="E298" s="16"/>
      <c r="F298" s="16"/>
      <c r="G298" s="16">
        <v>17</v>
      </c>
      <c r="H298" s="17">
        <v>0</v>
      </c>
      <c r="I298" s="17">
        <v>1.9675925925925926E-4</v>
      </c>
      <c r="J298" s="17">
        <v>1.1574074074074073E-5</v>
      </c>
      <c r="K298" s="17">
        <v>0</v>
      </c>
      <c r="L298" s="18">
        <v>0</v>
      </c>
      <c r="M298" s="16" t="s">
        <v>333</v>
      </c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spans="1:23" ht="15" customHeight="1" x14ac:dyDescent="0.25">
      <c r="A299" s="19">
        <v>46238</v>
      </c>
      <c r="B299" s="11" t="s">
        <v>227</v>
      </c>
      <c r="C299" s="12" t="s">
        <v>557</v>
      </c>
      <c r="D299" s="11" t="s">
        <v>146</v>
      </c>
      <c r="E299" s="12" t="s">
        <v>147</v>
      </c>
      <c r="F299" s="12" t="s">
        <v>106</v>
      </c>
      <c r="G299" s="12">
        <v>11</v>
      </c>
      <c r="H299" s="13">
        <v>0.28238425925925925</v>
      </c>
      <c r="I299" s="13">
        <v>5.4027777777777779E-2</v>
      </c>
      <c r="J299" s="13">
        <v>4.911616161616162E-3</v>
      </c>
      <c r="K299" s="13">
        <v>4.2777777777777776E-2</v>
      </c>
      <c r="L299" s="14">
        <v>0.151487826871055</v>
      </c>
      <c r="M299" s="12" t="s">
        <v>334</v>
      </c>
      <c r="N299" s="13">
        <v>5.0578703703703706E-3</v>
      </c>
      <c r="O299" s="13">
        <v>6.9907407407407409E-3</v>
      </c>
      <c r="P299" s="13">
        <v>4.2013888888888891E-3</v>
      </c>
      <c r="Q299" s="13">
        <v>1.0567129629629629E-2</v>
      </c>
      <c r="R299" s="13"/>
      <c r="S299" s="13">
        <v>1.4456018518518519E-2</v>
      </c>
      <c r="T299" s="13">
        <v>9.2592592592592588E-5</v>
      </c>
      <c r="U299" s="13">
        <v>1.3078703703703703E-3</v>
      </c>
      <c r="V299" s="13"/>
      <c r="W299" s="13"/>
    </row>
    <row r="300" spans="1:23" ht="15" customHeight="1" x14ac:dyDescent="0.25">
      <c r="A300" s="20">
        <v>46238</v>
      </c>
      <c r="B300" s="15" t="s">
        <v>282</v>
      </c>
      <c r="C300" s="16" t="s">
        <v>535</v>
      </c>
      <c r="D300" s="15" t="s">
        <v>233</v>
      </c>
      <c r="E300" s="16" t="s">
        <v>32</v>
      </c>
      <c r="F300" s="16" t="s">
        <v>106</v>
      </c>
      <c r="G300" s="16">
        <v>57</v>
      </c>
      <c r="H300" s="17">
        <v>0.24255787037037038</v>
      </c>
      <c r="I300" s="17">
        <v>0.14679398148148148</v>
      </c>
      <c r="J300" s="17">
        <v>2.5753330084470434E-3</v>
      </c>
      <c r="K300" s="17">
        <v>4.2256944444444444E-2</v>
      </c>
      <c r="L300" s="18">
        <v>0.17421386648852413</v>
      </c>
      <c r="M300" s="16" t="s">
        <v>334</v>
      </c>
      <c r="N300" s="17">
        <v>6.6319444444444446E-3</v>
      </c>
      <c r="O300" s="17">
        <v>1.7928240740740741E-2</v>
      </c>
      <c r="P300" s="17"/>
      <c r="Q300" s="17"/>
      <c r="R300" s="17"/>
      <c r="S300" s="17">
        <v>1.5520833333333333E-2</v>
      </c>
      <c r="T300" s="17">
        <v>1.8171296296296297E-3</v>
      </c>
      <c r="U300" s="17">
        <v>3.4722222222222224E-4</v>
      </c>
      <c r="V300" s="17"/>
      <c r="W300" s="17"/>
    </row>
    <row r="301" spans="1:23" ht="15" customHeight="1" x14ac:dyDescent="0.25">
      <c r="A301" s="19">
        <v>46238</v>
      </c>
      <c r="B301" s="11" t="s">
        <v>675</v>
      </c>
      <c r="C301" s="12" t="s">
        <v>676</v>
      </c>
      <c r="D301" s="11" t="s">
        <v>104</v>
      </c>
      <c r="E301" s="12" t="s">
        <v>105</v>
      </c>
      <c r="F301" s="12" t="s">
        <v>106</v>
      </c>
      <c r="G301" s="12">
        <v>12</v>
      </c>
      <c r="H301" s="13">
        <v>0.26503472222222224</v>
      </c>
      <c r="I301" s="13">
        <v>0.23034722222222223</v>
      </c>
      <c r="J301" s="13">
        <v>1.9195601851851853E-2</v>
      </c>
      <c r="K301" s="13">
        <v>9.0578703703703703E-2</v>
      </c>
      <c r="L301" s="14">
        <v>0.34176164898030481</v>
      </c>
      <c r="M301" s="12" t="s">
        <v>334</v>
      </c>
      <c r="N301" s="13"/>
      <c r="O301" s="13">
        <v>1.4317129629629629E-2</v>
      </c>
      <c r="P301" s="13"/>
      <c r="Q301" s="13"/>
      <c r="R301" s="13"/>
      <c r="S301" s="13">
        <v>1.3634259259259259E-2</v>
      </c>
      <c r="T301" s="13">
        <v>2.0833333333333335E-4</v>
      </c>
      <c r="U301" s="13">
        <v>1.3425925925925925E-3</v>
      </c>
      <c r="V301" s="13"/>
      <c r="W301" s="13">
        <v>6.1076388888888888E-2</v>
      </c>
    </row>
    <row r="302" spans="1:23" ht="15" customHeight="1" x14ac:dyDescent="0.25">
      <c r="A302" s="20">
        <v>46238</v>
      </c>
      <c r="B302" s="15" t="s">
        <v>677</v>
      </c>
      <c r="C302" s="16" t="s">
        <v>678</v>
      </c>
      <c r="D302" s="15" t="s">
        <v>274</v>
      </c>
      <c r="E302" s="16" t="s">
        <v>147</v>
      </c>
      <c r="F302" s="16" t="s">
        <v>33</v>
      </c>
      <c r="G302" s="16">
        <v>33</v>
      </c>
      <c r="H302" s="17">
        <v>0.26266203703703705</v>
      </c>
      <c r="I302" s="17">
        <v>7.5995370370370366E-2</v>
      </c>
      <c r="J302" s="17">
        <v>2.3028900112233444E-3</v>
      </c>
      <c r="K302" s="17">
        <v>3.2604166666666663E-2</v>
      </c>
      <c r="L302" s="18">
        <v>0.12412972591874505</v>
      </c>
      <c r="M302" s="16" t="s">
        <v>334</v>
      </c>
      <c r="N302" s="17">
        <v>2.1412037037037038E-3</v>
      </c>
      <c r="O302" s="17">
        <v>1.5729166666666666E-2</v>
      </c>
      <c r="P302" s="17"/>
      <c r="Q302" s="17"/>
      <c r="R302" s="17"/>
      <c r="S302" s="17">
        <v>1.3958333333333333E-2</v>
      </c>
      <c r="T302" s="17">
        <v>6.9444444444444444E-5</v>
      </c>
      <c r="U302" s="17">
        <v>6.5972222222222224E-4</v>
      </c>
      <c r="V302" s="17"/>
      <c r="W302" s="17"/>
    </row>
    <row r="303" spans="1:23" ht="15" customHeight="1" x14ac:dyDescent="0.25">
      <c r="A303" s="19">
        <v>46238</v>
      </c>
      <c r="B303" s="11" t="s">
        <v>679</v>
      </c>
      <c r="C303" s="12" t="s">
        <v>680</v>
      </c>
      <c r="D303" s="11" t="s">
        <v>274</v>
      </c>
      <c r="E303" s="12" t="s">
        <v>147</v>
      </c>
      <c r="F303" s="12" t="s">
        <v>33</v>
      </c>
      <c r="G303" s="12">
        <v>33</v>
      </c>
      <c r="H303" s="13">
        <v>0.24662037037037038</v>
      </c>
      <c r="I303" s="13">
        <v>7.7523148148148147E-2</v>
      </c>
      <c r="J303" s="13">
        <v>2.3491863075196409E-3</v>
      </c>
      <c r="K303" s="13">
        <v>3.30787037037037E-2</v>
      </c>
      <c r="L303" s="14">
        <v>0.13412802703210061</v>
      </c>
      <c r="M303" s="12" t="s">
        <v>334</v>
      </c>
      <c r="N303" s="13">
        <v>2.662037037037037E-3</v>
      </c>
      <c r="O303" s="13">
        <v>1.6053240740740739E-2</v>
      </c>
      <c r="P303" s="13"/>
      <c r="Q303" s="13"/>
      <c r="R303" s="13"/>
      <c r="S303" s="13">
        <v>1.4050925925925927E-2</v>
      </c>
      <c r="T303" s="13">
        <v>1.9675925925925926E-4</v>
      </c>
      <c r="U303" s="13"/>
      <c r="V303" s="13"/>
      <c r="W303" s="13"/>
    </row>
    <row r="304" spans="1:23" ht="15" customHeight="1" x14ac:dyDescent="0.25">
      <c r="A304" s="19">
        <v>46239</v>
      </c>
      <c r="B304" s="11" t="s">
        <v>186</v>
      </c>
      <c r="C304" s="12" t="s">
        <v>562</v>
      </c>
      <c r="D304" s="11" t="s">
        <v>78</v>
      </c>
      <c r="E304" s="12" t="s">
        <v>80</v>
      </c>
      <c r="F304" s="12" t="s">
        <v>33</v>
      </c>
      <c r="G304" s="12">
        <v>8</v>
      </c>
      <c r="H304" s="13">
        <v>0.26620370370370372</v>
      </c>
      <c r="I304" s="13">
        <v>3.4421296296296297E-2</v>
      </c>
      <c r="J304" s="13">
        <v>4.3026620370370371E-3</v>
      </c>
      <c r="K304" s="13">
        <v>4.0393518518518516E-2</v>
      </c>
      <c r="L304" s="14">
        <v>0.1517391304347826</v>
      </c>
      <c r="M304" s="12" t="s">
        <v>334</v>
      </c>
      <c r="N304" s="13">
        <v>6.7013888888888887E-3</v>
      </c>
      <c r="O304" s="13">
        <v>1.7164351851851851E-2</v>
      </c>
      <c r="P304" s="13"/>
      <c r="Q304" s="13"/>
      <c r="R304" s="13"/>
      <c r="S304" s="13">
        <v>1.6041666666666666E-2</v>
      </c>
      <c r="T304" s="13">
        <v>6.9444444444444444E-5</v>
      </c>
      <c r="U304" s="13">
        <v>4.0509259259259258E-4</v>
      </c>
      <c r="V304" s="13"/>
      <c r="W304" s="13"/>
    </row>
    <row r="305" spans="1:23" ht="15" customHeight="1" x14ac:dyDescent="0.25">
      <c r="A305" s="19">
        <v>46239</v>
      </c>
      <c r="B305" s="11" t="s">
        <v>643</v>
      </c>
      <c r="C305" s="12" t="s">
        <v>644</v>
      </c>
      <c r="D305" s="11" t="s">
        <v>233</v>
      </c>
      <c r="E305" s="12" t="s">
        <v>32</v>
      </c>
      <c r="F305" s="12" t="s">
        <v>106</v>
      </c>
      <c r="G305" s="12">
        <v>13</v>
      </c>
      <c r="H305" s="13">
        <v>0.24538194444444444</v>
      </c>
      <c r="I305" s="13">
        <v>8.773148148148148E-2</v>
      </c>
      <c r="J305" s="13">
        <v>6.7485754985754983E-3</v>
      </c>
      <c r="K305" s="13">
        <v>8.324074074074074E-2</v>
      </c>
      <c r="L305" s="14">
        <v>0.33922928163765859</v>
      </c>
      <c r="M305" s="12" t="s">
        <v>334</v>
      </c>
      <c r="N305" s="13">
        <v>1.9212962962962964E-3</v>
      </c>
      <c r="O305" s="13">
        <v>1.2615740740740742E-2</v>
      </c>
      <c r="P305" s="13">
        <v>3.8310185185185183E-3</v>
      </c>
      <c r="Q305" s="13">
        <v>4.853009259259259E-2</v>
      </c>
      <c r="R305" s="13"/>
      <c r="S305" s="13">
        <v>1.4652777777777778E-2</v>
      </c>
      <c r="T305" s="13">
        <v>5.9027777777777778E-4</v>
      </c>
      <c r="U305" s="13">
        <v>1.0648148148148149E-3</v>
      </c>
      <c r="V305" s="13"/>
      <c r="W305" s="13"/>
    </row>
    <row r="306" spans="1:23" ht="15" customHeight="1" x14ac:dyDescent="0.25">
      <c r="A306" s="19">
        <v>46239</v>
      </c>
      <c r="B306" s="11" t="s">
        <v>193</v>
      </c>
      <c r="C306" s="12" t="s">
        <v>563</v>
      </c>
      <c r="D306" s="11" t="s">
        <v>274</v>
      </c>
      <c r="E306" s="12" t="s">
        <v>147</v>
      </c>
      <c r="F306" s="12" t="s">
        <v>33</v>
      </c>
      <c r="G306" s="12">
        <v>20</v>
      </c>
      <c r="H306" s="13">
        <v>0.26138888888888889</v>
      </c>
      <c r="I306" s="13">
        <v>7.9351851851851854E-2</v>
      </c>
      <c r="J306" s="13">
        <v>3.9675925925925929E-3</v>
      </c>
      <c r="K306" s="13">
        <v>3.4363425925925929E-2</v>
      </c>
      <c r="L306" s="14">
        <v>0.13146475380800568</v>
      </c>
      <c r="M306" s="12" t="s">
        <v>334</v>
      </c>
      <c r="N306" s="13"/>
      <c r="O306" s="13">
        <v>1.3912037037037037E-2</v>
      </c>
      <c r="P306" s="13"/>
      <c r="Q306" s="13">
        <v>5.9490740740740745E-3</v>
      </c>
      <c r="R306" s="13"/>
      <c r="S306" s="13">
        <v>1.3969907407407407E-2</v>
      </c>
      <c r="T306" s="13">
        <v>5.7870370370370373E-5</v>
      </c>
      <c r="U306" s="13">
        <v>4.5138888888888887E-4</v>
      </c>
      <c r="V306" s="13"/>
      <c r="W306" s="13"/>
    </row>
    <row r="307" spans="1:23" ht="15" customHeight="1" x14ac:dyDescent="0.25">
      <c r="A307" s="19">
        <v>46239</v>
      </c>
      <c r="B307" s="11" t="s">
        <v>148</v>
      </c>
      <c r="C307" s="12" t="s">
        <v>513</v>
      </c>
      <c r="D307" s="11" t="s">
        <v>104</v>
      </c>
      <c r="E307" s="12" t="s">
        <v>105</v>
      </c>
      <c r="F307" s="12" t="s">
        <v>106</v>
      </c>
      <c r="G307" s="12">
        <v>10</v>
      </c>
      <c r="H307" s="13">
        <v>0.19681712962962963</v>
      </c>
      <c r="I307" s="13">
        <v>0.14827546296296296</v>
      </c>
      <c r="J307" s="13">
        <v>1.4827546296296295E-2</v>
      </c>
      <c r="K307" s="13">
        <v>8.5289351851851852E-2</v>
      </c>
      <c r="L307" s="14">
        <v>0.43334313437224348</v>
      </c>
      <c r="M307" s="12" t="s">
        <v>334</v>
      </c>
      <c r="N307" s="13"/>
      <c r="O307" s="13">
        <v>7.9166666666666673E-3</v>
      </c>
      <c r="P307" s="13"/>
      <c r="Q307" s="13"/>
      <c r="R307" s="13"/>
      <c r="S307" s="13">
        <v>1.525462962962963E-2</v>
      </c>
      <c r="T307" s="13">
        <v>6.0185185185185185E-3</v>
      </c>
      <c r="U307" s="13">
        <v>4.2824074074074075E-4</v>
      </c>
      <c r="V307" s="13"/>
      <c r="W307" s="13">
        <v>5.5659722222222222E-2</v>
      </c>
    </row>
    <row r="308" spans="1:23" ht="15" customHeight="1" x14ac:dyDescent="0.25">
      <c r="A308" s="19">
        <v>46239</v>
      </c>
      <c r="B308" s="11" t="s">
        <v>82</v>
      </c>
      <c r="C308" s="12" t="s">
        <v>83</v>
      </c>
      <c r="D308" s="11" t="s">
        <v>78</v>
      </c>
      <c r="E308" s="12" t="s">
        <v>80</v>
      </c>
      <c r="F308" s="12" t="s">
        <v>81</v>
      </c>
      <c r="G308" s="12">
        <v>0</v>
      </c>
      <c r="H308" s="13">
        <v>0.27202546296296298</v>
      </c>
      <c r="I308" s="13">
        <v>0</v>
      </c>
      <c r="J308" s="13">
        <v>0</v>
      </c>
      <c r="K308" s="13">
        <v>0.18505787037037036</v>
      </c>
      <c r="L308" s="14">
        <v>0.68029613240862863</v>
      </c>
      <c r="M308" s="12" t="s">
        <v>334</v>
      </c>
      <c r="N308" s="13"/>
      <c r="O308" s="13"/>
      <c r="P308" s="13"/>
      <c r="Q308" s="13"/>
      <c r="R308" s="13"/>
      <c r="S308" s="13">
        <v>0.12140046296296296</v>
      </c>
      <c r="T308" s="13">
        <v>6.3645833333333332E-2</v>
      </c>
      <c r="U308" s="13"/>
      <c r="V308" s="13"/>
      <c r="W308" s="13"/>
    </row>
    <row r="309" spans="1:23" ht="15" customHeight="1" x14ac:dyDescent="0.25">
      <c r="A309" s="19">
        <v>46239</v>
      </c>
      <c r="B309" s="11" t="s">
        <v>234</v>
      </c>
      <c r="C309" s="12" t="s">
        <v>550</v>
      </c>
      <c r="D309" s="11" t="s">
        <v>233</v>
      </c>
      <c r="E309" s="12" t="s">
        <v>32</v>
      </c>
      <c r="F309" s="12" t="s">
        <v>106</v>
      </c>
      <c r="G309" s="12">
        <v>58</v>
      </c>
      <c r="H309" s="13">
        <v>0.27031250000000001</v>
      </c>
      <c r="I309" s="13">
        <v>0.15671296296296297</v>
      </c>
      <c r="J309" s="13">
        <v>2.701947637292465E-3</v>
      </c>
      <c r="K309" s="13">
        <v>4.3310185185185188E-2</v>
      </c>
      <c r="L309" s="14">
        <v>0.16022265039606079</v>
      </c>
      <c r="M309" s="12" t="s">
        <v>334</v>
      </c>
      <c r="N309" s="13">
        <v>8.3796296296296292E-3</v>
      </c>
      <c r="O309" s="13">
        <v>1.3981481481481482E-2</v>
      </c>
      <c r="P309" s="13"/>
      <c r="Q309" s="13">
        <v>4.6296296296296294E-5</v>
      </c>
      <c r="R309" s="13"/>
      <c r="S309" s="13">
        <v>1.4583333333333334E-2</v>
      </c>
      <c r="T309" s="13">
        <v>6.3194444444444444E-3</v>
      </c>
      <c r="U309" s="13"/>
      <c r="V309" s="13"/>
      <c r="W309" s="13"/>
    </row>
    <row r="310" spans="1:23" ht="15" customHeight="1" x14ac:dyDescent="0.25">
      <c r="A310" s="19">
        <v>46239</v>
      </c>
      <c r="B310" s="11" t="s">
        <v>34</v>
      </c>
      <c r="C310" s="12" t="s">
        <v>505</v>
      </c>
      <c r="D310" s="11" t="s">
        <v>233</v>
      </c>
      <c r="E310" s="12" t="s">
        <v>32</v>
      </c>
      <c r="F310" s="12" t="s">
        <v>106</v>
      </c>
      <c r="G310" s="12">
        <v>38</v>
      </c>
      <c r="H310" s="13">
        <v>0.26081018518518517</v>
      </c>
      <c r="I310" s="13">
        <v>0.17737268518518517</v>
      </c>
      <c r="J310" s="13">
        <v>4.6677022417153996E-3</v>
      </c>
      <c r="K310" s="13">
        <v>4.3657407407407409E-2</v>
      </c>
      <c r="L310" s="14">
        <v>0.1673914972929795</v>
      </c>
      <c r="M310" s="12" t="s">
        <v>334</v>
      </c>
      <c r="N310" s="13">
        <v>2.1180555555555558E-3</v>
      </c>
      <c r="O310" s="13">
        <v>1.3958333333333333E-2</v>
      </c>
      <c r="P310" s="13"/>
      <c r="Q310" s="13"/>
      <c r="R310" s="13"/>
      <c r="S310" s="13">
        <v>1.3530092592592592E-2</v>
      </c>
      <c r="T310" s="13">
        <v>1.2256944444444445E-2</v>
      </c>
      <c r="U310" s="13">
        <v>1.1574074074074075E-4</v>
      </c>
      <c r="V310" s="13"/>
      <c r="W310" s="13"/>
    </row>
    <row r="311" spans="1:23" ht="15" customHeight="1" x14ac:dyDescent="0.25">
      <c r="A311" s="19">
        <v>46239</v>
      </c>
      <c r="B311" s="11" t="s">
        <v>493</v>
      </c>
      <c r="C311" s="12" t="s">
        <v>569</v>
      </c>
      <c r="D311" s="11" t="s">
        <v>104</v>
      </c>
      <c r="E311" s="12" t="s">
        <v>105</v>
      </c>
      <c r="F311" s="12" t="s">
        <v>106</v>
      </c>
      <c r="G311" s="12">
        <v>26</v>
      </c>
      <c r="H311" s="13">
        <v>0.25185185185185183</v>
      </c>
      <c r="I311" s="13">
        <v>0.29354166666666665</v>
      </c>
      <c r="J311" s="13">
        <v>1.1290064102564102E-2</v>
      </c>
      <c r="K311" s="13">
        <v>4.9398148148148149E-2</v>
      </c>
      <c r="L311" s="14">
        <v>0.19613970588235297</v>
      </c>
      <c r="M311" s="12" t="s">
        <v>334</v>
      </c>
      <c r="N311" s="13">
        <v>1.0231481481481482E-2</v>
      </c>
      <c r="O311" s="13">
        <v>1.8981481481481481E-2</v>
      </c>
      <c r="P311" s="13"/>
      <c r="Q311" s="13"/>
      <c r="R311" s="13"/>
      <c r="S311" s="13">
        <v>1.6168981481481482E-2</v>
      </c>
      <c r="T311" s="13">
        <v>8.1018518518518516E-5</v>
      </c>
      <c r="U311" s="13">
        <v>2.9745370370370373E-3</v>
      </c>
      <c r="V311" s="13"/>
      <c r="W311" s="13">
        <v>9.1435185185185185E-4</v>
      </c>
    </row>
    <row r="312" spans="1:23" ht="15" customHeight="1" x14ac:dyDescent="0.25">
      <c r="A312" s="19">
        <v>46239</v>
      </c>
      <c r="B312" s="11" t="s">
        <v>236</v>
      </c>
      <c r="C312" s="12" t="s">
        <v>551</v>
      </c>
      <c r="D312" s="11" t="s">
        <v>233</v>
      </c>
      <c r="E312" s="12" t="s">
        <v>32</v>
      </c>
      <c r="F312" s="12" t="s">
        <v>106</v>
      </c>
      <c r="G312" s="12">
        <v>5</v>
      </c>
      <c r="H312" s="13">
        <v>0.235625</v>
      </c>
      <c r="I312" s="13">
        <v>2.1678240740740741E-2</v>
      </c>
      <c r="J312" s="13">
        <v>4.3356481481481484E-3</v>
      </c>
      <c r="K312" s="13">
        <v>0.20569444444444446</v>
      </c>
      <c r="L312" s="14">
        <v>0.87297376952549377</v>
      </c>
      <c r="M312" s="12" t="s">
        <v>334</v>
      </c>
      <c r="N312" s="13">
        <v>3.4375E-3</v>
      </c>
      <c r="O312" s="13">
        <v>7.2337962962962963E-3</v>
      </c>
      <c r="P312" s="13"/>
      <c r="Q312" s="13"/>
      <c r="R312" s="13"/>
      <c r="S312" s="13"/>
      <c r="T312" s="13">
        <v>5.8217592592592592E-3</v>
      </c>
      <c r="U312" s="13"/>
      <c r="V312" s="13"/>
      <c r="W312" s="13">
        <v>0.18920138888888888</v>
      </c>
    </row>
    <row r="313" spans="1:23" ht="15" customHeight="1" x14ac:dyDescent="0.25">
      <c r="A313" s="19">
        <v>46239</v>
      </c>
      <c r="B313" s="11" t="s">
        <v>238</v>
      </c>
      <c r="C313" s="12" t="s">
        <v>526</v>
      </c>
      <c r="D313" s="11" t="s">
        <v>233</v>
      </c>
      <c r="E313" s="12" t="s">
        <v>32</v>
      </c>
      <c r="F313" s="12" t="s">
        <v>106</v>
      </c>
      <c r="G313" s="12">
        <v>3</v>
      </c>
      <c r="H313" s="13">
        <v>0.21773148148148147</v>
      </c>
      <c r="I313" s="13">
        <v>2.3252314814814816E-2</v>
      </c>
      <c r="J313" s="13">
        <v>7.7507716049382723E-3</v>
      </c>
      <c r="K313" s="13">
        <v>0.19562499999999999</v>
      </c>
      <c r="L313" s="14">
        <v>0.89846906230065915</v>
      </c>
      <c r="M313" s="12" t="s">
        <v>334</v>
      </c>
      <c r="N313" s="13"/>
      <c r="O313" s="13"/>
      <c r="P313" s="13"/>
      <c r="Q313" s="13"/>
      <c r="R313" s="13"/>
      <c r="S313" s="13">
        <v>1.2592592592592593E-2</v>
      </c>
      <c r="T313" s="13">
        <v>4.5138888888888887E-4</v>
      </c>
      <c r="U313" s="13"/>
      <c r="V313" s="13"/>
      <c r="W313" s="13">
        <v>0.18258101851851852</v>
      </c>
    </row>
    <row r="314" spans="1:23" ht="15" customHeight="1" x14ac:dyDescent="0.25">
      <c r="A314" s="19">
        <v>46239</v>
      </c>
      <c r="B314" s="11" t="s">
        <v>608</v>
      </c>
      <c r="C314" s="12" t="s">
        <v>631</v>
      </c>
      <c r="D314" s="11" t="s">
        <v>601</v>
      </c>
      <c r="E314" s="12" t="s">
        <v>105</v>
      </c>
      <c r="F314" s="12" t="s">
        <v>33</v>
      </c>
      <c r="G314" s="12">
        <v>12</v>
      </c>
      <c r="H314" s="13">
        <v>0.25101851851851853</v>
      </c>
      <c r="I314" s="13">
        <v>0.24277777777777779</v>
      </c>
      <c r="J314" s="13">
        <v>2.0231481481481482E-2</v>
      </c>
      <c r="K314" s="13">
        <v>0.12635416666666666</v>
      </c>
      <c r="L314" s="14">
        <v>0.50336591663592767</v>
      </c>
      <c r="M314" s="12" t="s">
        <v>334</v>
      </c>
      <c r="N314" s="13"/>
      <c r="O314" s="13">
        <v>1.2280092592592592E-2</v>
      </c>
      <c r="P314" s="13"/>
      <c r="Q314" s="13"/>
      <c r="R314" s="13"/>
      <c r="S314" s="13">
        <v>1.4513888888888889E-2</v>
      </c>
      <c r="T314" s="13">
        <v>1.0185185185185184E-3</v>
      </c>
      <c r="U314" s="13">
        <v>5.0520833333333334E-2</v>
      </c>
      <c r="V314" s="13"/>
      <c r="W314" s="13">
        <v>4.8020833333333332E-2</v>
      </c>
    </row>
    <row r="315" spans="1:23" ht="15" customHeight="1" x14ac:dyDescent="0.25">
      <c r="A315" s="19">
        <v>46239</v>
      </c>
      <c r="B315" s="11" t="s">
        <v>307</v>
      </c>
      <c r="C315" s="12" t="s">
        <v>308</v>
      </c>
      <c r="D315" s="11" t="s">
        <v>78</v>
      </c>
      <c r="E315" s="12" t="s">
        <v>80</v>
      </c>
      <c r="F315" s="12" t="s">
        <v>81</v>
      </c>
      <c r="G315" s="12">
        <v>0</v>
      </c>
      <c r="H315" s="13">
        <v>0.34</v>
      </c>
      <c r="I315" s="13">
        <v>0</v>
      </c>
      <c r="J315" s="13">
        <v>0</v>
      </c>
      <c r="K315" s="13">
        <v>4.6944444444444441E-2</v>
      </c>
      <c r="L315" s="14">
        <v>0.13807189542483658</v>
      </c>
      <c r="M315" s="12" t="s">
        <v>334</v>
      </c>
      <c r="N315" s="13"/>
      <c r="O315" s="13"/>
      <c r="P315" s="13"/>
      <c r="Q315" s="13"/>
      <c r="R315" s="13">
        <v>2.7870370370370372E-2</v>
      </c>
      <c r="S315" s="13">
        <v>7.766203703703704E-3</v>
      </c>
      <c r="T315" s="13"/>
      <c r="U315" s="13">
        <v>1.1261574074074075E-2</v>
      </c>
      <c r="V315" s="13"/>
      <c r="W315" s="13"/>
    </row>
    <row r="316" spans="1:23" ht="15" customHeight="1" x14ac:dyDescent="0.25">
      <c r="A316" s="19">
        <v>46239</v>
      </c>
      <c r="B316" s="11" t="s">
        <v>197</v>
      </c>
      <c r="C316" s="12" t="s">
        <v>564</v>
      </c>
      <c r="D316" s="11" t="s">
        <v>601</v>
      </c>
      <c r="E316" s="12" t="s">
        <v>105</v>
      </c>
      <c r="F316" s="12" t="s">
        <v>33</v>
      </c>
      <c r="G316" s="12">
        <v>10</v>
      </c>
      <c r="H316" s="13">
        <v>0.26145833333333335</v>
      </c>
      <c r="I316" s="13">
        <v>0.15241898148148147</v>
      </c>
      <c r="J316" s="13">
        <v>1.5241898148148147E-2</v>
      </c>
      <c r="K316" s="13">
        <v>0.16120370370370371</v>
      </c>
      <c r="L316" s="14">
        <v>0.61655599822930496</v>
      </c>
      <c r="M316" s="12" t="s">
        <v>334</v>
      </c>
      <c r="N316" s="13"/>
      <c r="O316" s="13">
        <v>8.4004629629629624E-2</v>
      </c>
      <c r="P316" s="13"/>
      <c r="Q316" s="13">
        <v>1.4780092592592593E-2</v>
      </c>
      <c r="R316" s="13"/>
      <c r="S316" s="13">
        <v>1.636574074074074E-2</v>
      </c>
      <c r="T316" s="13">
        <v>3.9351851851851852E-4</v>
      </c>
      <c r="U316" s="13">
        <v>2.6562499999999999E-2</v>
      </c>
      <c r="V316" s="13"/>
      <c r="W316" s="13">
        <v>1.9097222222222224E-2</v>
      </c>
    </row>
    <row r="317" spans="1:23" ht="15" customHeight="1" x14ac:dyDescent="0.25">
      <c r="A317" s="19">
        <v>46239</v>
      </c>
      <c r="B317" s="11" t="s">
        <v>150</v>
      </c>
      <c r="C317" s="12" t="s">
        <v>514</v>
      </c>
      <c r="D317" s="11" t="s">
        <v>146</v>
      </c>
      <c r="E317" s="12" t="s">
        <v>147</v>
      </c>
      <c r="F317" s="12" t="s">
        <v>106</v>
      </c>
      <c r="G317" s="12">
        <v>17</v>
      </c>
      <c r="H317" s="13">
        <v>0.26150462962962961</v>
      </c>
      <c r="I317" s="13">
        <v>5.7893518518518518E-2</v>
      </c>
      <c r="J317" s="13">
        <v>3.4055010893246189E-3</v>
      </c>
      <c r="K317" s="13">
        <v>7.4282407407407408E-2</v>
      </c>
      <c r="L317" s="14">
        <v>0.28405771443746131</v>
      </c>
      <c r="M317" s="12" t="s">
        <v>334</v>
      </c>
      <c r="N317" s="13"/>
      <c r="O317" s="13">
        <v>1.3553240740740741E-2</v>
      </c>
      <c r="P317" s="13"/>
      <c r="Q317" s="13"/>
      <c r="R317" s="13"/>
      <c r="S317" s="13">
        <v>1.3425925925925926E-2</v>
      </c>
      <c r="T317" s="13">
        <v>1.8518518518518518E-4</v>
      </c>
      <c r="U317" s="13">
        <v>2.7777777777777778E-4</v>
      </c>
      <c r="V317" s="13"/>
      <c r="W317" s="13">
        <v>4.6793981481481478E-2</v>
      </c>
    </row>
    <row r="318" spans="1:23" ht="15" customHeight="1" x14ac:dyDescent="0.25">
      <c r="A318" s="19">
        <v>46239</v>
      </c>
      <c r="B318" s="11" t="s">
        <v>38</v>
      </c>
      <c r="C318" s="12" t="s">
        <v>536</v>
      </c>
      <c r="D318" s="11" t="s">
        <v>100</v>
      </c>
      <c r="E318" s="12" t="s">
        <v>32</v>
      </c>
      <c r="F318" s="12" t="s">
        <v>33</v>
      </c>
      <c r="G318" s="12">
        <v>4</v>
      </c>
      <c r="H318" s="13">
        <v>0.21604166666666666</v>
      </c>
      <c r="I318" s="13">
        <v>4.5266203703703704E-2</v>
      </c>
      <c r="J318" s="13">
        <v>1.1316550925925926E-2</v>
      </c>
      <c r="K318" s="13">
        <v>0.17024305555555555</v>
      </c>
      <c r="L318" s="14">
        <v>0.78801028608164581</v>
      </c>
      <c r="M318" s="12" t="s">
        <v>334</v>
      </c>
      <c r="N318" s="13">
        <v>9.2013888888888892E-3</v>
      </c>
      <c r="O318" s="13">
        <v>7.2106481481481483E-3</v>
      </c>
      <c r="P318" s="13"/>
      <c r="Q318" s="13"/>
      <c r="R318" s="13"/>
      <c r="S318" s="13">
        <v>1.4108796296296296E-2</v>
      </c>
      <c r="T318" s="13">
        <v>2.638888888888889E-3</v>
      </c>
      <c r="U318" s="13"/>
      <c r="V318" s="13"/>
      <c r="W318" s="13">
        <v>0.13708333333333333</v>
      </c>
    </row>
    <row r="319" spans="1:23" ht="15" customHeight="1" x14ac:dyDescent="0.25">
      <c r="A319" s="19">
        <v>46239</v>
      </c>
      <c r="B319" s="11" t="s">
        <v>681</v>
      </c>
      <c r="C319" s="12" t="s">
        <v>682</v>
      </c>
      <c r="D319" s="11" t="s">
        <v>601</v>
      </c>
      <c r="E319" s="12" t="s">
        <v>105</v>
      </c>
      <c r="F319" s="12" t="s">
        <v>33</v>
      </c>
      <c r="G319" s="12">
        <v>10</v>
      </c>
      <c r="H319" s="13">
        <v>0.23511574074074074</v>
      </c>
      <c r="I319" s="13">
        <v>0.19909722222222223</v>
      </c>
      <c r="J319" s="13">
        <v>1.9909722222222224E-2</v>
      </c>
      <c r="K319" s="13">
        <v>0.13776620370370371</v>
      </c>
      <c r="L319" s="14">
        <v>0.5859505759574678</v>
      </c>
      <c r="M319" s="12" t="s">
        <v>334</v>
      </c>
      <c r="N319" s="13">
        <v>5.3356481481481484E-3</v>
      </c>
      <c r="O319" s="13">
        <v>1.3912037037037037E-2</v>
      </c>
      <c r="P319" s="13"/>
      <c r="Q319" s="13">
        <v>8.7847222222222215E-3</v>
      </c>
      <c r="R319" s="13"/>
      <c r="S319" s="13">
        <v>1.3715277777777778E-2</v>
      </c>
      <c r="T319" s="13">
        <v>9.2592592592592588E-5</v>
      </c>
      <c r="U319" s="13">
        <v>5.0462962962962966E-2</v>
      </c>
      <c r="V319" s="13"/>
      <c r="W319" s="13">
        <v>4.5462962962962962E-2</v>
      </c>
    </row>
    <row r="320" spans="1:23" ht="15" customHeight="1" x14ac:dyDescent="0.25">
      <c r="A320" s="19">
        <v>46239</v>
      </c>
      <c r="B320" s="11" t="s">
        <v>154</v>
      </c>
      <c r="C320" s="12" t="s">
        <v>515</v>
      </c>
      <c r="D320" s="11" t="s">
        <v>146</v>
      </c>
      <c r="E320" s="12" t="s">
        <v>147</v>
      </c>
      <c r="F320" s="12" t="s">
        <v>106</v>
      </c>
      <c r="G320" s="12">
        <v>17</v>
      </c>
      <c r="H320" s="13">
        <v>0.26400462962962962</v>
      </c>
      <c r="I320" s="13">
        <v>3.6342592592592593E-2</v>
      </c>
      <c r="J320" s="13">
        <v>2.1377995642701524E-3</v>
      </c>
      <c r="K320" s="13">
        <v>4.6307870370370367E-2</v>
      </c>
      <c r="L320" s="14">
        <v>0.17540552389302938</v>
      </c>
      <c r="M320" s="12" t="s">
        <v>334</v>
      </c>
      <c r="N320" s="13">
        <v>6.076388888888889E-3</v>
      </c>
      <c r="O320" s="13">
        <v>1.3657407407407408E-2</v>
      </c>
      <c r="P320" s="13"/>
      <c r="Q320" s="13">
        <v>9.1898148148148156E-3</v>
      </c>
      <c r="R320" s="13"/>
      <c r="S320" s="13">
        <v>1.4699074074074074E-2</v>
      </c>
      <c r="T320" s="13">
        <v>2.3148148148148149E-4</v>
      </c>
      <c r="U320" s="13">
        <v>2.2453703703703702E-3</v>
      </c>
      <c r="V320" s="13"/>
      <c r="W320" s="13"/>
    </row>
    <row r="321" spans="1:23" ht="15" customHeight="1" x14ac:dyDescent="0.25">
      <c r="A321" s="19">
        <v>46239</v>
      </c>
      <c r="B321" s="11" t="s">
        <v>112</v>
      </c>
      <c r="C321" s="12" t="s">
        <v>570</v>
      </c>
      <c r="D321" s="11" t="s">
        <v>104</v>
      </c>
      <c r="E321" s="12" t="s">
        <v>105</v>
      </c>
      <c r="F321" s="12" t="s">
        <v>106</v>
      </c>
      <c r="G321" s="12">
        <v>10</v>
      </c>
      <c r="H321" s="13">
        <v>0.24763888888888888</v>
      </c>
      <c r="I321" s="13">
        <v>0.17038194444444443</v>
      </c>
      <c r="J321" s="13">
        <v>1.7038194444444443E-2</v>
      </c>
      <c r="K321" s="13">
        <v>8.5289351851851852E-2</v>
      </c>
      <c r="L321" s="14">
        <v>0.3444101701252571</v>
      </c>
      <c r="M321" s="12" t="s">
        <v>334</v>
      </c>
      <c r="N321" s="13">
        <v>2.6898148148148147E-2</v>
      </c>
      <c r="O321" s="13">
        <v>1.2962962962962963E-2</v>
      </c>
      <c r="P321" s="13">
        <v>3.2708333333333332E-2</v>
      </c>
      <c r="Q321" s="13">
        <v>5.3587962962962964E-3</v>
      </c>
      <c r="R321" s="13"/>
      <c r="S321" s="13"/>
      <c r="T321" s="13">
        <v>2.9861111111111113E-3</v>
      </c>
      <c r="U321" s="13">
        <v>2.7662037037037039E-3</v>
      </c>
      <c r="V321" s="13"/>
      <c r="W321" s="13">
        <v>1.6087962962962963E-3</v>
      </c>
    </row>
    <row r="322" spans="1:23" ht="15" customHeight="1" x14ac:dyDescent="0.25">
      <c r="A322" s="19">
        <v>46239</v>
      </c>
      <c r="B322" s="11" t="s">
        <v>42</v>
      </c>
      <c r="C322" s="12" t="s">
        <v>537</v>
      </c>
      <c r="D322" s="11" t="s">
        <v>104</v>
      </c>
      <c r="E322" s="12" t="s">
        <v>105</v>
      </c>
      <c r="F322" s="12" t="s">
        <v>106</v>
      </c>
      <c r="G322" s="12">
        <v>9</v>
      </c>
      <c r="H322" s="13">
        <v>0.20629629629629628</v>
      </c>
      <c r="I322" s="13">
        <v>0.13299768518518518</v>
      </c>
      <c r="J322" s="13">
        <v>1.4777520576131686E-2</v>
      </c>
      <c r="K322" s="13">
        <v>0.10357638888888888</v>
      </c>
      <c r="L322" s="14">
        <v>0.50207585278276479</v>
      </c>
      <c r="M322" s="12" t="s">
        <v>334</v>
      </c>
      <c r="N322" s="13">
        <v>7.0254629629629634E-3</v>
      </c>
      <c r="O322" s="13">
        <v>1.3935185185185186E-2</v>
      </c>
      <c r="P322" s="13"/>
      <c r="Q322" s="13"/>
      <c r="R322" s="13"/>
      <c r="S322" s="13">
        <v>1.4201388888888888E-2</v>
      </c>
      <c r="T322" s="13">
        <v>5.2083333333333333E-4</v>
      </c>
      <c r="U322" s="13">
        <v>4.0509259259259258E-4</v>
      </c>
      <c r="V322" s="13"/>
      <c r="W322" s="13">
        <v>6.7488425925925924E-2</v>
      </c>
    </row>
    <row r="323" spans="1:23" ht="15" customHeight="1" x14ac:dyDescent="0.25">
      <c r="A323" s="19">
        <v>46239</v>
      </c>
      <c r="B323" s="11" t="s">
        <v>156</v>
      </c>
      <c r="C323" s="12" t="s">
        <v>516</v>
      </c>
      <c r="D323" s="11" t="s">
        <v>146</v>
      </c>
      <c r="E323" s="12" t="s">
        <v>147</v>
      </c>
      <c r="F323" s="12" t="s">
        <v>106</v>
      </c>
      <c r="G323" s="12">
        <v>18</v>
      </c>
      <c r="H323" s="13">
        <v>0.27614583333333331</v>
      </c>
      <c r="I323" s="13">
        <v>5.9050925925925923E-2</v>
      </c>
      <c r="J323" s="13">
        <v>3.2806069958847737E-3</v>
      </c>
      <c r="K323" s="13">
        <v>4.2268518518518518E-2</v>
      </c>
      <c r="L323" s="14">
        <v>0.15306592899953897</v>
      </c>
      <c r="M323" s="12" t="s">
        <v>334</v>
      </c>
      <c r="N323" s="13"/>
      <c r="O323" s="13">
        <v>1.4791666666666667E-2</v>
      </c>
      <c r="P323" s="13"/>
      <c r="Q323" s="13">
        <v>5.1041666666666666E-3</v>
      </c>
      <c r="R323" s="13"/>
      <c r="S323" s="13">
        <v>1.2083333333333333E-2</v>
      </c>
      <c r="T323" s="13">
        <v>9.0162037037037034E-3</v>
      </c>
      <c r="U323" s="13">
        <v>1.2268518518518518E-3</v>
      </c>
      <c r="V323" s="13"/>
      <c r="W323" s="13"/>
    </row>
    <row r="324" spans="1:23" ht="15" customHeight="1" x14ac:dyDescent="0.25">
      <c r="A324" s="19">
        <v>46239</v>
      </c>
      <c r="B324" s="11" t="s">
        <v>114</v>
      </c>
      <c r="C324" s="12" t="s">
        <v>541</v>
      </c>
      <c r="D324" s="11" t="s">
        <v>104</v>
      </c>
      <c r="E324" s="12" t="s">
        <v>105</v>
      </c>
      <c r="F324" s="12" t="s">
        <v>106</v>
      </c>
      <c r="G324" s="12">
        <v>17</v>
      </c>
      <c r="H324" s="13">
        <v>0.25627314814814817</v>
      </c>
      <c r="I324" s="13">
        <v>0.24692129629629631</v>
      </c>
      <c r="J324" s="13">
        <v>1.4524782135076254E-2</v>
      </c>
      <c r="K324" s="13">
        <v>0.11528935185185185</v>
      </c>
      <c r="L324" s="14">
        <v>0.4498690271881492</v>
      </c>
      <c r="M324" s="12" t="s">
        <v>334</v>
      </c>
      <c r="N324" s="13">
        <v>1.0625000000000001E-2</v>
      </c>
      <c r="O324" s="13">
        <v>1.8726851851851852E-2</v>
      </c>
      <c r="P324" s="13"/>
      <c r="Q324" s="13">
        <v>7.4537037037037037E-3</v>
      </c>
      <c r="R324" s="13"/>
      <c r="S324" s="13">
        <v>1.5891203703703703E-2</v>
      </c>
      <c r="T324" s="13">
        <v>6.2025462962962963E-2</v>
      </c>
      <c r="U324" s="13">
        <v>5.6712962962962967E-4</v>
      </c>
      <c r="V324" s="13"/>
      <c r="W324" s="13"/>
    </row>
    <row r="325" spans="1:23" ht="15" customHeight="1" x14ac:dyDescent="0.25">
      <c r="A325" s="19">
        <v>46239</v>
      </c>
      <c r="B325" s="11" t="s">
        <v>44</v>
      </c>
      <c r="C325" s="12" t="s">
        <v>506</v>
      </c>
      <c r="D325" s="11" t="s">
        <v>100</v>
      </c>
      <c r="E325" s="12" t="s">
        <v>32</v>
      </c>
      <c r="F325" s="12" t="s">
        <v>33</v>
      </c>
      <c r="G325" s="12">
        <v>25</v>
      </c>
      <c r="H325" s="13">
        <v>0.26024305555555555</v>
      </c>
      <c r="I325" s="13">
        <v>0.24</v>
      </c>
      <c r="J325" s="13">
        <v>9.5999999999999992E-3</v>
      </c>
      <c r="K325" s="13">
        <v>3.3564814814814818E-2</v>
      </c>
      <c r="L325" s="14">
        <v>0.12897487213698022</v>
      </c>
      <c r="M325" s="12" t="s">
        <v>334</v>
      </c>
      <c r="N325" s="13"/>
      <c r="O325" s="13">
        <v>1.4768518518518519E-2</v>
      </c>
      <c r="P325" s="13"/>
      <c r="Q325" s="13"/>
      <c r="R325" s="13"/>
      <c r="S325" s="13">
        <v>1.5949074074074074E-2</v>
      </c>
      <c r="T325" s="13">
        <v>1.3194444444444445E-3</v>
      </c>
      <c r="U325" s="13">
        <v>1.5046296296296296E-3</v>
      </c>
      <c r="V325" s="13"/>
      <c r="W325" s="13"/>
    </row>
    <row r="326" spans="1:23" ht="15" customHeight="1" x14ac:dyDescent="0.25">
      <c r="A326" s="19">
        <v>46239</v>
      </c>
      <c r="B326" s="11" t="s">
        <v>609</v>
      </c>
      <c r="C326" s="12" t="s">
        <v>632</v>
      </c>
      <c r="D326" s="11" t="s">
        <v>601</v>
      </c>
      <c r="E326" s="12" t="s">
        <v>105</v>
      </c>
      <c r="F326" s="12" t="s">
        <v>33</v>
      </c>
      <c r="G326" s="12">
        <v>13</v>
      </c>
      <c r="H326" s="13">
        <v>0.21546296296296297</v>
      </c>
      <c r="I326" s="13">
        <v>0.19396990740740741</v>
      </c>
      <c r="J326" s="13">
        <v>1.4920762108262108E-2</v>
      </c>
      <c r="K326" s="13">
        <v>0.14060185185185184</v>
      </c>
      <c r="L326" s="14">
        <v>0.6525569402664374</v>
      </c>
      <c r="M326" s="12" t="s">
        <v>334</v>
      </c>
      <c r="N326" s="13">
        <v>8.9583333333333338E-3</v>
      </c>
      <c r="O326" s="13">
        <v>1.2534722222222221E-2</v>
      </c>
      <c r="P326" s="13"/>
      <c r="Q326" s="13"/>
      <c r="R326" s="13"/>
      <c r="S326" s="13">
        <v>1.4849537037037038E-2</v>
      </c>
      <c r="T326" s="13">
        <v>2.7777777777777778E-4</v>
      </c>
      <c r="U326" s="13">
        <v>4.5509259259259256E-2</v>
      </c>
      <c r="V326" s="13"/>
      <c r="W326" s="13">
        <v>5.8472222222222224E-2</v>
      </c>
    </row>
    <row r="327" spans="1:23" ht="15" customHeight="1" x14ac:dyDescent="0.25">
      <c r="A327" s="19">
        <v>46239</v>
      </c>
      <c r="B327" s="11" t="s">
        <v>240</v>
      </c>
      <c r="C327" s="12" t="s">
        <v>527</v>
      </c>
      <c r="D327" s="11" t="s">
        <v>233</v>
      </c>
      <c r="E327" s="12" t="s">
        <v>32</v>
      </c>
      <c r="F327" s="12" t="s">
        <v>106</v>
      </c>
      <c r="G327" s="12">
        <v>4</v>
      </c>
      <c r="H327" s="13">
        <v>0.24035879629629631</v>
      </c>
      <c r="I327" s="13">
        <v>3.8275462962962963E-2</v>
      </c>
      <c r="J327" s="13">
        <v>9.5688657407407406E-3</v>
      </c>
      <c r="K327" s="13">
        <v>0.20386574074074074</v>
      </c>
      <c r="L327" s="14">
        <v>0.84817258149949437</v>
      </c>
      <c r="M327" s="12" t="s">
        <v>334</v>
      </c>
      <c r="N327" s="13">
        <v>1.1898148148148149E-2</v>
      </c>
      <c r="O327" s="13">
        <v>1.2615740740740742E-2</v>
      </c>
      <c r="P327" s="13"/>
      <c r="Q327" s="13"/>
      <c r="R327" s="13"/>
      <c r="S327" s="13">
        <v>1.3981481481481482E-2</v>
      </c>
      <c r="T327" s="13">
        <v>3.9351851851851852E-4</v>
      </c>
      <c r="U327" s="13">
        <v>5.7870370370370373E-5</v>
      </c>
      <c r="V327" s="13"/>
      <c r="W327" s="13">
        <v>0.16491898148148149</v>
      </c>
    </row>
    <row r="328" spans="1:23" ht="15" customHeight="1" x14ac:dyDescent="0.25">
      <c r="A328" s="19">
        <v>46239</v>
      </c>
      <c r="B328" s="11" t="s">
        <v>497</v>
      </c>
      <c r="C328" s="12" t="s">
        <v>498</v>
      </c>
      <c r="D328" s="11" t="s">
        <v>78</v>
      </c>
      <c r="E328" s="12" t="s">
        <v>80</v>
      </c>
      <c r="F328" s="12" t="s">
        <v>81</v>
      </c>
      <c r="G328" s="12">
        <v>0</v>
      </c>
      <c r="H328" s="13">
        <v>0.34096064814814814</v>
      </c>
      <c r="I328" s="13">
        <v>0</v>
      </c>
      <c r="J328" s="13">
        <v>0</v>
      </c>
      <c r="K328" s="13">
        <v>5.4583333333333331E-2</v>
      </c>
      <c r="L328" s="14">
        <v>0.16008690043789672</v>
      </c>
      <c r="M328" s="12" t="s">
        <v>334</v>
      </c>
      <c r="N328" s="13"/>
      <c r="O328" s="13">
        <v>1.2118055555555556E-2</v>
      </c>
      <c r="P328" s="13"/>
      <c r="Q328" s="13"/>
      <c r="R328" s="13"/>
      <c r="S328" s="13">
        <v>4.2118055555555554E-2</v>
      </c>
      <c r="T328" s="13">
        <v>3.2407407407407406E-4</v>
      </c>
      <c r="U328" s="13"/>
      <c r="V328" s="13"/>
      <c r="W328" s="13"/>
    </row>
    <row r="329" spans="1:23" ht="15" customHeight="1" x14ac:dyDescent="0.25">
      <c r="A329" s="19">
        <v>46239</v>
      </c>
      <c r="B329" s="11" t="s">
        <v>309</v>
      </c>
      <c r="C329" s="12" t="s">
        <v>310</v>
      </c>
      <c r="D329" s="11" t="s">
        <v>78</v>
      </c>
      <c r="E329" s="12" t="s">
        <v>80</v>
      </c>
      <c r="F329" s="12" t="s">
        <v>81</v>
      </c>
      <c r="G329" s="12">
        <v>1</v>
      </c>
      <c r="H329" s="13">
        <v>0.35166666666666668</v>
      </c>
      <c r="I329" s="13">
        <v>2.5416666666666667E-2</v>
      </c>
      <c r="J329" s="13">
        <v>2.5416666666666667E-2</v>
      </c>
      <c r="K329" s="13">
        <v>6.4039351851851847E-2</v>
      </c>
      <c r="L329" s="14">
        <v>0.18210242232754079</v>
      </c>
      <c r="M329" s="12" t="s">
        <v>334</v>
      </c>
      <c r="N329" s="13">
        <v>5.6597222222222222E-3</v>
      </c>
      <c r="O329" s="13">
        <v>4.1562500000000002E-2</v>
      </c>
      <c r="P329" s="13"/>
      <c r="Q329" s="13"/>
      <c r="R329" s="13"/>
      <c r="S329" s="13">
        <v>1.5775462962962963E-2</v>
      </c>
      <c r="T329" s="13">
        <v>2.7777777777777778E-4</v>
      </c>
      <c r="U329" s="13">
        <v>7.0601851851851847E-4</v>
      </c>
      <c r="V329" s="13"/>
      <c r="W329" s="13"/>
    </row>
    <row r="330" spans="1:23" ht="15" customHeight="1" x14ac:dyDescent="0.25">
      <c r="A330" s="19">
        <v>46239</v>
      </c>
      <c r="B330" s="11" t="s">
        <v>160</v>
      </c>
      <c r="C330" s="12" t="s">
        <v>544</v>
      </c>
      <c r="D330" s="11" t="s">
        <v>146</v>
      </c>
      <c r="E330" s="12" t="s">
        <v>147</v>
      </c>
      <c r="F330" s="12" t="s">
        <v>106</v>
      </c>
      <c r="G330" s="12">
        <v>16</v>
      </c>
      <c r="H330" s="13">
        <v>0.26100694444444444</v>
      </c>
      <c r="I330" s="13">
        <v>3.5717592592592592E-2</v>
      </c>
      <c r="J330" s="13">
        <v>2.232349537037037E-3</v>
      </c>
      <c r="K330" s="13">
        <v>7.2361111111111112E-2</v>
      </c>
      <c r="L330" s="14">
        <v>0.27723825994412665</v>
      </c>
      <c r="M330" s="12" t="s">
        <v>334</v>
      </c>
      <c r="N330" s="13">
        <v>7.9976851851851858E-3</v>
      </c>
      <c r="O330" s="13">
        <v>1.5486111111111112E-2</v>
      </c>
      <c r="P330" s="13"/>
      <c r="Q330" s="13">
        <v>2.4328703703703703E-2</v>
      </c>
      <c r="R330" s="13"/>
      <c r="S330" s="13">
        <v>1.443287037037037E-2</v>
      </c>
      <c r="T330" s="13">
        <v>2.0833333333333335E-4</v>
      </c>
      <c r="U330" s="13">
        <v>7.7199074074074071E-3</v>
      </c>
      <c r="V330" s="13"/>
      <c r="W330" s="13">
        <v>1.8171296296296297E-3</v>
      </c>
    </row>
    <row r="331" spans="1:23" ht="15" customHeight="1" x14ac:dyDescent="0.25">
      <c r="A331" s="19">
        <v>46239</v>
      </c>
      <c r="B331" s="11" t="s">
        <v>645</v>
      </c>
      <c r="C331" s="12" t="s">
        <v>646</v>
      </c>
      <c r="D331" s="11" t="s">
        <v>100</v>
      </c>
      <c r="E331" s="12" t="s">
        <v>32</v>
      </c>
      <c r="F331" s="12" t="s">
        <v>33</v>
      </c>
      <c r="G331" s="12">
        <v>36</v>
      </c>
      <c r="H331" s="13">
        <v>0.2618402777777778</v>
      </c>
      <c r="I331" s="13">
        <v>0.25113425925925925</v>
      </c>
      <c r="J331" s="13">
        <v>6.9759516460905346E-3</v>
      </c>
      <c r="K331" s="13">
        <v>3.2569444444444443E-2</v>
      </c>
      <c r="L331" s="14">
        <v>0.12438668611589973</v>
      </c>
      <c r="M331" s="12" t="s">
        <v>334</v>
      </c>
      <c r="N331" s="13">
        <v>4.5601851851851853E-3</v>
      </c>
      <c r="O331" s="13">
        <v>1.2592592592592593E-2</v>
      </c>
      <c r="P331" s="13"/>
      <c r="Q331" s="13"/>
      <c r="R331" s="13"/>
      <c r="S331" s="13">
        <v>1.4351851851851852E-2</v>
      </c>
      <c r="T331" s="13">
        <v>3.8194444444444446E-4</v>
      </c>
      <c r="U331" s="13">
        <v>6.4814814814814813E-4</v>
      </c>
      <c r="V331" s="13"/>
      <c r="W331" s="13"/>
    </row>
    <row r="332" spans="1:23" ht="15" customHeight="1" x14ac:dyDescent="0.25">
      <c r="A332" s="19">
        <v>46239</v>
      </c>
      <c r="B332" s="11" t="s">
        <v>120</v>
      </c>
      <c r="C332" s="12" t="s">
        <v>558</v>
      </c>
      <c r="D332" s="11" t="s">
        <v>233</v>
      </c>
      <c r="E332" s="12" t="s">
        <v>32</v>
      </c>
      <c r="F332" s="12" t="s">
        <v>106</v>
      </c>
      <c r="G332" s="12">
        <v>52</v>
      </c>
      <c r="H332" s="13">
        <v>0.26228009259259261</v>
      </c>
      <c r="I332" s="13">
        <v>0.16472222222222221</v>
      </c>
      <c r="J332" s="13">
        <v>3.1677350427350426E-3</v>
      </c>
      <c r="K332" s="13">
        <v>5.108796296296296E-2</v>
      </c>
      <c r="L332" s="14">
        <v>0.19478399011517583</v>
      </c>
      <c r="M332" s="12" t="s">
        <v>334</v>
      </c>
      <c r="N332" s="13">
        <v>5.7291666666666663E-3</v>
      </c>
      <c r="O332" s="13">
        <v>1.3414351851851853E-2</v>
      </c>
      <c r="P332" s="13"/>
      <c r="Q332" s="13"/>
      <c r="R332" s="13"/>
      <c r="S332" s="13">
        <v>1.2210648148148148E-2</v>
      </c>
      <c r="T332" s="13">
        <v>1.7905092592592594E-2</v>
      </c>
      <c r="U332" s="13">
        <v>1.8287037037037037E-3</v>
      </c>
      <c r="V332" s="13"/>
      <c r="W332" s="13"/>
    </row>
    <row r="333" spans="1:23" ht="15" customHeight="1" x14ac:dyDescent="0.25">
      <c r="A333" s="19">
        <v>46239</v>
      </c>
      <c r="B333" s="11" t="s">
        <v>46</v>
      </c>
      <c r="C333" s="12" t="s">
        <v>507</v>
      </c>
      <c r="D333" s="11" t="s">
        <v>100</v>
      </c>
      <c r="E333" s="12" t="s">
        <v>32</v>
      </c>
      <c r="F333" s="12" t="s">
        <v>33</v>
      </c>
      <c r="G333" s="12">
        <v>30</v>
      </c>
      <c r="H333" s="13">
        <v>0.2678935185185185</v>
      </c>
      <c r="I333" s="13">
        <v>0.23185185185185186</v>
      </c>
      <c r="J333" s="13">
        <v>7.7283950617283957E-3</v>
      </c>
      <c r="K333" s="13">
        <v>3.1585648148148147E-2</v>
      </c>
      <c r="L333" s="14">
        <v>0.11790374146720817</v>
      </c>
      <c r="M333" s="12" t="s">
        <v>334</v>
      </c>
      <c r="N333" s="13">
        <v>2.3379629629629631E-3</v>
      </c>
      <c r="O333" s="13">
        <v>1.4421296296296297E-2</v>
      </c>
      <c r="P333" s="13"/>
      <c r="Q333" s="13"/>
      <c r="R333" s="13"/>
      <c r="S333" s="13">
        <v>1.3888888888888888E-2</v>
      </c>
      <c r="T333" s="13">
        <v>5.7870370370370373E-5</v>
      </c>
      <c r="U333" s="13">
        <v>8.3333333333333339E-4</v>
      </c>
      <c r="V333" s="13"/>
      <c r="W333" s="13"/>
    </row>
    <row r="334" spans="1:23" ht="15" customHeight="1" x14ac:dyDescent="0.25">
      <c r="A334" s="19">
        <v>46239</v>
      </c>
      <c r="B334" s="11" t="s">
        <v>287</v>
      </c>
      <c r="C334" s="12" t="s">
        <v>542</v>
      </c>
      <c r="D334" s="11" t="s">
        <v>104</v>
      </c>
      <c r="E334" s="12" t="s">
        <v>105</v>
      </c>
      <c r="F334" s="12" t="s">
        <v>106</v>
      </c>
      <c r="G334" s="12">
        <v>5</v>
      </c>
      <c r="H334" s="13">
        <v>0.1890162037037037</v>
      </c>
      <c r="I334" s="13">
        <v>7.7175925925925926E-2</v>
      </c>
      <c r="J334" s="13">
        <v>1.5435185185185185E-2</v>
      </c>
      <c r="K334" s="13">
        <v>0.11540509259259259</v>
      </c>
      <c r="L334" s="14">
        <v>0.61055661012797746</v>
      </c>
      <c r="M334" s="12" t="s">
        <v>334</v>
      </c>
      <c r="N334" s="13">
        <v>1.2233796296296296E-2</v>
      </c>
      <c r="O334" s="13">
        <v>1.2847222222222222E-2</v>
      </c>
      <c r="P334" s="13"/>
      <c r="Q334" s="13"/>
      <c r="R334" s="13"/>
      <c r="S334" s="13">
        <v>1.5729166666666666E-2</v>
      </c>
      <c r="T334" s="13">
        <v>5.7407407407407407E-3</v>
      </c>
      <c r="U334" s="13">
        <v>2.7893518518518519E-3</v>
      </c>
      <c r="V334" s="13"/>
      <c r="W334" s="13">
        <v>6.6064814814814812E-2</v>
      </c>
    </row>
    <row r="335" spans="1:23" ht="15" customHeight="1" x14ac:dyDescent="0.25">
      <c r="A335" s="19">
        <v>46239</v>
      </c>
      <c r="B335" s="11" t="s">
        <v>499</v>
      </c>
      <c r="C335" s="12" t="s">
        <v>517</v>
      </c>
      <c r="D335" s="11" t="s">
        <v>146</v>
      </c>
      <c r="E335" s="12" t="s">
        <v>147</v>
      </c>
      <c r="F335" s="12" t="s">
        <v>106</v>
      </c>
      <c r="G335" s="12">
        <v>10</v>
      </c>
      <c r="H335" s="13">
        <v>0.21649305555555556</v>
      </c>
      <c r="I335" s="13">
        <v>5.0972222222222224E-2</v>
      </c>
      <c r="J335" s="13">
        <v>5.0972222222222226E-3</v>
      </c>
      <c r="K335" s="13">
        <v>4.9074074074074076E-2</v>
      </c>
      <c r="L335" s="14">
        <v>0.22667735899492114</v>
      </c>
      <c r="M335" s="12" t="s">
        <v>334</v>
      </c>
      <c r="N335" s="13">
        <v>3.7037037037037038E-3</v>
      </c>
      <c r="O335" s="13">
        <v>1.4768518518518519E-2</v>
      </c>
      <c r="P335" s="13">
        <v>7.5231481481481482E-4</v>
      </c>
      <c r="Q335" s="13">
        <v>4.8263888888888887E-3</v>
      </c>
      <c r="R335" s="13"/>
      <c r="S335" s="13">
        <v>1.375E-2</v>
      </c>
      <c r="T335" s="13">
        <v>6.5393518518518517E-3</v>
      </c>
      <c r="U335" s="13">
        <v>2.5925925925925925E-3</v>
      </c>
      <c r="V335" s="13"/>
      <c r="W335" s="13">
        <v>2.1064814814814813E-3</v>
      </c>
    </row>
    <row r="336" spans="1:23" ht="15" customHeight="1" x14ac:dyDescent="0.25">
      <c r="A336" s="19">
        <v>46239</v>
      </c>
      <c r="B336" s="11" t="s">
        <v>647</v>
      </c>
      <c r="C336" s="12" t="s">
        <v>648</v>
      </c>
      <c r="D336" s="11" t="s">
        <v>233</v>
      </c>
      <c r="E336" s="12" t="s">
        <v>32</v>
      </c>
      <c r="F336" s="12" t="s">
        <v>106</v>
      </c>
      <c r="G336" s="12">
        <v>28</v>
      </c>
      <c r="H336" s="13">
        <v>0.24541666666666667</v>
      </c>
      <c r="I336" s="13">
        <v>9.3356481481481485E-2</v>
      </c>
      <c r="J336" s="13">
        <v>3.3341600529100531E-3</v>
      </c>
      <c r="K336" s="13">
        <v>8.1747685185185187E-2</v>
      </c>
      <c r="L336" s="14">
        <v>0.33309752876815696</v>
      </c>
      <c r="M336" s="12" t="s">
        <v>334</v>
      </c>
      <c r="N336" s="13">
        <v>8.1134259259259267E-3</v>
      </c>
      <c r="O336" s="13">
        <v>1.3784722222222223E-2</v>
      </c>
      <c r="P336" s="13"/>
      <c r="Q336" s="13">
        <v>4.4849537037037035E-2</v>
      </c>
      <c r="R336" s="13"/>
      <c r="S336" s="13">
        <v>1.337962962962963E-2</v>
      </c>
      <c r="T336" s="13">
        <v>1.6203703703703703E-3</v>
      </c>
      <c r="U336" s="13"/>
      <c r="V336" s="13"/>
      <c r="W336" s="13"/>
    </row>
    <row r="337" spans="1:23" ht="15" customHeight="1" x14ac:dyDescent="0.25">
      <c r="A337" s="19">
        <v>46239</v>
      </c>
      <c r="B337" s="11" t="s">
        <v>649</v>
      </c>
      <c r="C337" s="12" t="s">
        <v>650</v>
      </c>
      <c r="D337" s="11" t="s">
        <v>104</v>
      </c>
      <c r="E337" s="12" t="s">
        <v>105</v>
      </c>
      <c r="F337" s="12" t="s">
        <v>106</v>
      </c>
      <c r="G337" s="12">
        <v>12</v>
      </c>
      <c r="H337" s="13">
        <v>0.26370370370370372</v>
      </c>
      <c r="I337" s="13">
        <v>0.19259259259259259</v>
      </c>
      <c r="J337" s="13">
        <v>1.6049382716049384E-2</v>
      </c>
      <c r="K337" s="13">
        <v>0.13226851851851851</v>
      </c>
      <c r="L337" s="14">
        <v>0.50158005617977519</v>
      </c>
      <c r="M337" s="12" t="s">
        <v>334</v>
      </c>
      <c r="N337" s="13">
        <v>1.0636574074074074E-2</v>
      </c>
      <c r="O337" s="13">
        <v>1.4293981481481482E-2</v>
      </c>
      <c r="P337" s="13"/>
      <c r="Q337" s="13"/>
      <c r="R337" s="13"/>
      <c r="S337" s="13">
        <v>1.6087962962962964E-2</v>
      </c>
      <c r="T337" s="13">
        <v>3.9351851851851852E-4</v>
      </c>
      <c r="U337" s="13">
        <v>3.6990740740740741E-2</v>
      </c>
      <c r="V337" s="13"/>
      <c r="W337" s="13">
        <v>5.3865740740740742E-2</v>
      </c>
    </row>
    <row r="338" spans="1:23" ht="15" customHeight="1" x14ac:dyDescent="0.25">
      <c r="A338" s="19">
        <v>46239</v>
      </c>
      <c r="B338" s="11" t="s">
        <v>651</v>
      </c>
      <c r="C338" s="12" t="s">
        <v>652</v>
      </c>
      <c r="D338" s="11" t="s">
        <v>100</v>
      </c>
      <c r="E338" s="12" t="s">
        <v>32</v>
      </c>
      <c r="F338" s="12" t="s">
        <v>33</v>
      </c>
      <c r="G338" s="12">
        <v>26</v>
      </c>
      <c r="H338" s="13">
        <v>0.26219907407407406</v>
      </c>
      <c r="I338" s="13">
        <v>0.23711805555555557</v>
      </c>
      <c r="J338" s="13">
        <v>9.1199252136752139E-3</v>
      </c>
      <c r="K338" s="13">
        <v>4.6319444444444448E-2</v>
      </c>
      <c r="L338" s="14">
        <v>0.17665754392160327</v>
      </c>
      <c r="M338" s="12" t="s">
        <v>334</v>
      </c>
      <c r="N338" s="13">
        <v>1.3368055555555555E-2</v>
      </c>
      <c r="O338" s="13">
        <v>1.7187500000000001E-2</v>
      </c>
      <c r="P338" s="13"/>
      <c r="Q338" s="13"/>
      <c r="R338" s="13"/>
      <c r="S338" s="13">
        <v>1.4525462962962962E-2</v>
      </c>
      <c r="T338" s="13">
        <v>2.3148148148148149E-4</v>
      </c>
      <c r="U338" s="13">
        <v>1.0069444444444444E-3</v>
      </c>
      <c r="V338" s="13"/>
      <c r="W338" s="13"/>
    </row>
    <row r="339" spans="1:23" ht="15" customHeight="1" x14ac:dyDescent="0.25">
      <c r="A339" s="19">
        <v>46239</v>
      </c>
      <c r="B339" s="11" t="s">
        <v>48</v>
      </c>
      <c r="C339" s="12" t="s">
        <v>508</v>
      </c>
      <c r="D339" s="11" t="s">
        <v>100</v>
      </c>
      <c r="E339" s="12" t="s">
        <v>32</v>
      </c>
      <c r="F339" s="12" t="s">
        <v>33</v>
      </c>
      <c r="G339" s="12">
        <v>28</v>
      </c>
      <c r="H339" s="13">
        <v>0.2654050925925926</v>
      </c>
      <c r="I339" s="13">
        <v>0.21357638888888889</v>
      </c>
      <c r="J339" s="13">
        <v>7.6277281746031742E-3</v>
      </c>
      <c r="K339" s="13">
        <v>6.356481481481481E-2</v>
      </c>
      <c r="L339" s="14">
        <v>0.2395011120317474</v>
      </c>
      <c r="M339" s="12" t="s">
        <v>334</v>
      </c>
      <c r="N339" s="13">
        <v>6.5162037037037037E-3</v>
      </c>
      <c r="O339" s="13">
        <v>1.4490740740740742E-2</v>
      </c>
      <c r="P339" s="13"/>
      <c r="Q339" s="13"/>
      <c r="R339" s="13">
        <v>2.3611111111111111E-3</v>
      </c>
      <c r="S339" s="13">
        <v>1.4513888888888889E-2</v>
      </c>
      <c r="T339" s="13">
        <v>9.2592592592592588E-5</v>
      </c>
      <c r="U339" s="13">
        <v>1.0416666666666667E-4</v>
      </c>
      <c r="V339" s="13"/>
      <c r="W339" s="13">
        <v>2.5474537037037039E-2</v>
      </c>
    </row>
    <row r="340" spans="1:23" ht="15" customHeight="1" x14ac:dyDescent="0.25">
      <c r="A340" s="19">
        <v>46239</v>
      </c>
      <c r="B340" s="11" t="s">
        <v>50</v>
      </c>
      <c r="C340" s="12" t="s">
        <v>538</v>
      </c>
      <c r="D340" s="11" t="s">
        <v>100</v>
      </c>
      <c r="E340" s="12" t="s">
        <v>32</v>
      </c>
      <c r="F340" s="12" t="s">
        <v>33</v>
      </c>
      <c r="G340" s="12">
        <v>10</v>
      </c>
      <c r="H340" s="13">
        <v>0.22109953703703702</v>
      </c>
      <c r="I340" s="13">
        <v>4.0196759259259258E-2</v>
      </c>
      <c r="J340" s="13">
        <v>4.0196759259259257E-3</v>
      </c>
      <c r="K340" s="13">
        <v>0.18099537037037036</v>
      </c>
      <c r="L340" s="14">
        <v>0.81861487724441184</v>
      </c>
      <c r="M340" s="12" t="s">
        <v>334</v>
      </c>
      <c r="N340" s="13">
        <v>9.4907407407407406E-3</v>
      </c>
      <c r="O340" s="13">
        <v>7.905092592592592E-3</v>
      </c>
      <c r="P340" s="13"/>
      <c r="Q340" s="13"/>
      <c r="R340" s="13"/>
      <c r="S340" s="13">
        <v>3.472222222222222E-3</v>
      </c>
      <c r="T340" s="13">
        <v>1.1921296296296296E-2</v>
      </c>
      <c r="U340" s="13">
        <v>1.7824074074074075E-3</v>
      </c>
      <c r="V340" s="13"/>
      <c r="W340" s="13">
        <v>0.14641203703703703</v>
      </c>
    </row>
    <row r="341" spans="1:23" ht="15" customHeight="1" x14ac:dyDescent="0.25">
      <c r="A341" s="19">
        <v>46239</v>
      </c>
      <c r="B341" s="11" t="s">
        <v>242</v>
      </c>
      <c r="C341" s="12" t="s">
        <v>603</v>
      </c>
      <c r="D341" s="11" t="s">
        <v>233</v>
      </c>
      <c r="E341" s="12" t="s">
        <v>32</v>
      </c>
      <c r="F341" s="12" t="s">
        <v>106</v>
      </c>
      <c r="G341" s="12">
        <v>34</v>
      </c>
      <c r="H341" s="13">
        <v>0.23295138888888889</v>
      </c>
      <c r="I341" s="13">
        <v>0.23401620370370371</v>
      </c>
      <c r="J341" s="13">
        <v>6.8828295206971677E-3</v>
      </c>
      <c r="K341" s="13">
        <v>2.2337962962962962E-3</v>
      </c>
      <c r="L341" s="14">
        <v>9.5891091568539762E-3</v>
      </c>
      <c r="M341" s="12" t="s">
        <v>334</v>
      </c>
      <c r="N341" s="13"/>
      <c r="O341" s="13"/>
      <c r="P341" s="13"/>
      <c r="Q341" s="13"/>
      <c r="R341" s="13"/>
      <c r="S341" s="13"/>
      <c r="T341" s="13">
        <v>1.0416666666666667E-4</v>
      </c>
      <c r="U341" s="13">
        <v>2.0486111111111113E-3</v>
      </c>
      <c r="V341" s="13"/>
      <c r="W341" s="13">
        <v>3.4722222222222222E-5</v>
      </c>
    </row>
    <row r="342" spans="1:23" ht="15" customHeight="1" x14ac:dyDescent="0.25">
      <c r="A342" s="19">
        <v>46239</v>
      </c>
      <c r="B342" s="11" t="s">
        <v>248</v>
      </c>
      <c r="C342" s="12" t="s">
        <v>249</v>
      </c>
      <c r="D342" s="11" t="s">
        <v>78</v>
      </c>
      <c r="E342" s="12" t="s">
        <v>80</v>
      </c>
      <c r="F342" s="12" t="s">
        <v>81</v>
      </c>
      <c r="G342" s="12">
        <v>0</v>
      </c>
      <c r="H342" s="13">
        <v>0.34609953703703705</v>
      </c>
      <c r="I342" s="13">
        <v>0</v>
      </c>
      <c r="J342" s="13">
        <v>0</v>
      </c>
      <c r="K342" s="13">
        <v>1.5625000000000001E-3</v>
      </c>
      <c r="L342" s="14">
        <v>4.5145971976055911E-3</v>
      </c>
      <c r="M342" s="12" t="s">
        <v>334</v>
      </c>
      <c r="N342" s="13"/>
      <c r="O342" s="13"/>
      <c r="P342" s="13"/>
      <c r="Q342" s="13"/>
      <c r="R342" s="13"/>
      <c r="S342" s="13"/>
      <c r="T342" s="13">
        <v>2.4305555555555555E-4</v>
      </c>
      <c r="U342" s="13">
        <v>1.2962962962962963E-3</v>
      </c>
      <c r="V342" s="13"/>
      <c r="W342" s="13"/>
    </row>
    <row r="343" spans="1:23" ht="15" customHeight="1" x14ac:dyDescent="0.25">
      <c r="A343" s="19">
        <v>46239</v>
      </c>
      <c r="B343" s="11" t="s">
        <v>289</v>
      </c>
      <c r="C343" s="12" t="s">
        <v>559</v>
      </c>
      <c r="D343" s="11" t="s">
        <v>104</v>
      </c>
      <c r="E343" s="12" t="s">
        <v>105</v>
      </c>
      <c r="F343" s="12" t="s">
        <v>106</v>
      </c>
      <c r="G343" s="12">
        <v>7</v>
      </c>
      <c r="H343" s="13">
        <v>0.18513888888888888</v>
      </c>
      <c r="I343" s="13">
        <v>0.10836805555555555</v>
      </c>
      <c r="J343" s="13">
        <v>1.5481150793650793E-2</v>
      </c>
      <c r="K343" s="13">
        <v>8.6099537037037044E-2</v>
      </c>
      <c r="L343" s="14">
        <v>0.46505376344086025</v>
      </c>
      <c r="M343" s="12" t="s">
        <v>334</v>
      </c>
      <c r="N343" s="13">
        <v>7.905092592592592E-3</v>
      </c>
      <c r="O343" s="13"/>
      <c r="P343" s="13"/>
      <c r="Q343" s="13"/>
      <c r="R343" s="13"/>
      <c r="S343" s="13"/>
      <c r="T343" s="13">
        <v>7.6504629629629631E-3</v>
      </c>
      <c r="U343" s="13">
        <v>1.3171296296296296E-2</v>
      </c>
      <c r="V343" s="13"/>
      <c r="W343" s="13">
        <v>5.7361111111111113E-2</v>
      </c>
    </row>
    <row r="344" spans="1:23" ht="15" customHeight="1" x14ac:dyDescent="0.25">
      <c r="A344" s="19">
        <v>46239</v>
      </c>
      <c r="B344" s="11" t="s">
        <v>252</v>
      </c>
      <c r="C344" s="12" t="s">
        <v>553</v>
      </c>
      <c r="D344" s="11" t="s">
        <v>78</v>
      </c>
      <c r="E344" s="12" t="s">
        <v>80</v>
      </c>
      <c r="F344" s="12" t="s">
        <v>81</v>
      </c>
      <c r="G344" s="12">
        <v>1</v>
      </c>
      <c r="H344" s="13">
        <v>0.38260416666666669</v>
      </c>
      <c r="I344" s="13">
        <v>4.2476851851851851E-3</v>
      </c>
      <c r="J344" s="13">
        <v>4.2476851851851851E-3</v>
      </c>
      <c r="K344" s="13">
        <v>3.3564814814814812E-4</v>
      </c>
      <c r="L344" s="14">
        <v>8.7727258976918641E-4</v>
      </c>
      <c r="M344" s="12" t="s">
        <v>334</v>
      </c>
      <c r="N344" s="13"/>
      <c r="O344" s="13"/>
      <c r="P344" s="13"/>
      <c r="Q344" s="13"/>
      <c r="R344" s="13"/>
      <c r="S344" s="13"/>
      <c r="T344" s="13">
        <v>5.7870370370370373E-5</v>
      </c>
      <c r="U344" s="13">
        <v>2.7777777777777778E-4</v>
      </c>
      <c r="V344" s="13"/>
      <c r="W344" s="13"/>
    </row>
    <row r="345" spans="1:23" ht="15" customHeight="1" x14ac:dyDescent="0.25">
      <c r="A345" s="19">
        <v>46239</v>
      </c>
      <c r="B345" s="11" t="s">
        <v>500</v>
      </c>
      <c r="C345" s="12" t="s">
        <v>518</v>
      </c>
      <c r="D345" s="11" t="s">
        <v>274</v>
      </c>
      <c r="E345" s="12" t="s">
        <v>147</v>
      </c>
      <c r="F345" s="12" t="s">
        <v>33</v>
      </c>
      <c r="G345" s="12">
        <v>23</v>
      </c>
      <c r="H345" s="13">
        <v>0.3021875</v>
      </c>
      <c r="I345" s="13">
        <v>0.11828703703703704</v>
      </c>
      <c r="J345" s="13">
        <v>5.1429146537842188E-3</v>
      </c>
      <c r="K345" s="13">
        <v>3.9178240740740743E-2</v>
      </c>
      <c r="L345" s="14">
        <v>0.12964878011413689</v>
      </c>
      <c r="M345" s="12" t="s">
        <v>334</v>
      </c>
      <c r="N345" s="13">
        <v>2.0717592592592593E-3</v>
      </c>
      <c r="O345" s="13">
        <v>1.3298611111111112E-2</v>
      </c>
      <c r="P345" s="13"/>
      <c r="Q345" s="13">
        <v>9.6064814814814815E-3</v>
      </c>
      <c r="R345" s="13"/>
      <c r="S345" s="13">
        <v>1.380787037037037E-2</v>
      </c>
      <c r="T345" s="13">
        <v>2.199074074074074E-4</v>
      </c>
      <c r="U345" s="13">
        <v>1.6203703703703703E-4</v>
      </c>
      <c r="V345" s="13"/>
      <c r="W345" s="13"/>
    </row>
    <row r="346" spans="1:23" ht="15" customHeight="1" x14ac:dyDescent="0.25">
      <c r="A346" s="19">
        <v>46239</v>
      </c>
      <c r="B346" s="11" t="s">
        <v>683</v>
      </c>
      <c r="C346" s="12" t="s">
        <v>684</v>
      </c>
      <c r="D346" s="11" t="s">
        <v>233</v>
      </c>
      <c r="E346" s="12" t="s">
        <v>32</v>
      </c>
      <c r="F346" s="12" t="s">
        <v>106</v>
      </c>
      <c r="G346" s="12">
        <v>23</v>
      </c>
      <c r="H346" s="13">
        <v>0.25770833333333332</v>
      </c>
      <c r="I346" s="13">
        <v>0.17666666666666667</v>
      </c>
      <c r="J346" s="13">
        <v>7.6811594202898549E-3</v>
      </c>
      <c r="K346" s="13">
        <v>5.7164351851851855E-2</v>
      </c>
      <c r="L346" s="14">
        <v>0.22181801850354804</v>
      </c>
      <c r="M346" s="12" t="s">
        <v>334</v>
      </c>
      <c r="N346" s="13">
        <v>9.0624999999999994E-3</v>
      </c>
      <c r="O346" s="13">
        <v>2.2326388888888889E-2</v>
      </c>
      <c r="P346" s="13"/>
      <c r="Q346" s="13"/>
      <c r="R346" s="13"/>
      <c r="S346" s="13"/>
      <c r="T346" s="13">
        <v>7.0486111111111114E-3</v>
      </c>
      <c r="U346" s="13">
        <v>1.7476851851851851E-2</v>
      </c>
      <c r="V346" s="13"/>
      <c r="W346" s="13">
        <v>1.25E-3</v>
      </c>
    </row>
    <row r="347" spans="1:23" ht="15" customHeight="1" x14ac:dyDescent="0.25">
      <c r="A347" s="19">
        <v>46239</v>
      </c>
      <c r="B347" s="11" t="s">
        <v>653</v>
      </c>
      <c r="C347" s="12" t="s">
        <v>654</v>
      </c>
      <c r="D347" s="11" t="s">
        <v>100</v>
      </c>
      <c r="E347" s="12" t="s">
        <v>32</v>
      </c>
      <c r="F347" s="12" t="s">
        <v>33</v>
      </c>
      <c r="G347" s="12">
        <v>21</v>
      </c>
      <c r="H347" s="13">
        <v>0.25224537037037037</v>
      </c>
      <c r="I347" s="13">
        <v>0.20505787037037038</v>
      </c>
      <c r="J347" s="13">
        <v>9.7646604938271611E-3</v>
      </c>
      <c r="K347" s="13">
        <v>3.5312499999999997E-2</v>
      </c>
      <c r="L347" s="14">
        <v>0.13999265852987058</v>
      </c>
      <c r="M347" s="12" t="s">
        <v>334</v>
      </c>
      <c r="N347" s="13">
        <v>3.3564814814814816E-3</v>
      </c>
      <c r="O347" s="13">
        <v>1.4444444444444444E-2</v>
      </c>
      <c r="P347" s="13"/>
      <c r="Q347" s="13"/>
      <c r="R347" s="13"/>
      <c r="S347" s="13">
        <v>1.4212962962962964E-2</v>
      </c>
      <c r="T347" s="13">
        <v>6.134259259259259E-4</v>
      </c>
      <c r="U347" s="13">
        <v>2.0486111111111113E-3</v>
      </c>
      <c r="V347" s="13"/>
      <c r="W347" s="13">
        <v>5.7870370370370367E-4</v>
      </c>
    </row>
    <row r="348" spans="1:23" ht="15" customHeight="1" x14ac:dyDescent="0.25">
      <c r="A348" s="19">
        <v>46239</v>
      </c>
      <c r="B348" s="11" t="s">
        <v>52</v>
      </c>
      <c r="C348" s="12" t="s">
        <v>509</v>
      </c>
      <c r="D348" s="11" t="s">
        <v>100</v>
      </c>
      <c r="E348" s="12" t="s">
        <v>32</v>
      </c>
      <c r="F348" s="12" t="s">
        <v>33</v>
      </c>
      <c r="G348" s="12">
        <v>9</v>
      </c>
      <c r="H348" s="13">
        <v>0.23498842592592592</v>
      </c>
      <c r="I348" s="13">
        <v>7.391203703703704E-2</v>
      </c>
      <c r="J348" s="13">
        <v>8.2124485596707826E-3</v>
      </c>
      <c r="K348" s="13">
        <v>0.17318287037037036</v>
      </c>
      <c r="L348" s="14">
        <v>0.73698468206668966</v>
      </c>
      <c r="M348" s="12" t="s">
        <v>334</v>
      </c>
      <c r="N348" s="13">
        <v>3.8773148148148148E-3</v>
      </c>
      <c r="O348" s="13">
        <v>1.4502314814814815E-2</v>
      </c>
      <c r="P348" s="13"/>
      <c r="Q348" s="13"/>
      <c r="R348" s="13"/>
      <c r="S348" s="13">
        <v>1.4421296296296297E-2</v>
      </c>
      <c r="T348" s="13">
        <v>1.9212962962962964E-3</v>
      </c>
      <c r="U348" s="13">
        <v>2.7777777777777778E-4</v>
      </c>
      <c r="V348" s="13"/>
      <c r="W348" s="13">
        <v>0.13817129629629629</v>
      </c>
    </row>
    <row r="349" spans="1:23" ht="15" customHeight="1" x14ac:dyDescent="0.25">
      <c r="A349" s="19">
        <v>46239</v>
      </c>
      <c r="B349" s="11" t="s">
        <v>164</v>
      </c>
      <c r="C349" s="12" t="s">
        <v>519</v>
      </c>
      <c r="D349" s="11" t="s">
        <v>146</v>
      </c>
      <c r="E349" s="12" t="s">
        <v>147</v>
      </c>
      <c r="F349" s="12" t="s">
        <v>106</v>
      </c>
      <c r="G349" s="12">
        <v>18</v>
      </c>
      <c r="H349" s="13">
        <v>0.26627314814814818</v>
      </c>
      <c r="I349" s="13">
        <v>5.0405092592592592E-2</v>
      </c>
      <c r="J349" s="13">
        <v>2.8002829218106997E-3</v>
      </c>
      <c r="K349" s="13">
        <v>2.7627314814814816E-2</v>
      </c>
      <c r="L349" s="14">
        <v>0.10375554203251325</v>
      </c>
      <c r="M349" s="12" t="s">
        <v>334</v>
      </c>
      <c r="N349" s="13"/>
      <c r="O349" s="13">
        <v>7.4768518518518517E-3</v>
      </c>
      <c r="P349" s="13">
        <v>6.5972222222222222E-3</v>
      </c>
      <c r="Q349" s="13"/>
      <c r="R349" s="13"/>
      <c r="S349" s="13">
        <v>1.2280092592592592E-2</v>
      </c>
      <c r="T349" s="13">
        <v>6.9444444444444444E-5</v>
      </c>
      <c r="U349" s="13">
        <v>1.1111111111111111E-3</v>
      </c>
      <c r="V349" s="13"/>
      <c r="W349" s="13"/>
    </row>
    <row r="350" spans="1:23" ht="15" customHeight="1" x14ac:dyDescent="0.25">
      <c r="A350" s="19">
        <v>46239</v>
      </c>
      <c r="B350" s="11" t="s">
        <v>655</v>
      </c>
      <c r="C350" s="12" t="s">
        <v>656</v>
      </c>
      <c r="D350" s="11" t="s">
        <v>100</v>
      </c>
      <c r="E350" s="12" t="s">
        <v>32</v>
      </c>
      <c r="F350" s="12" t="s">
        <v>33</v>
      </c>
      <c r="G350" s="12">
        <v>26</v>
      </c>
      <c r="H350" s="13">
        <v>0.26197916666666665</v>
      </c>
      <c r="I350" s="13">
        <v>0.18623842592592593</v>
      </c>
      <c r="J350" s="13">
        <v>7.1630163817663819E-3</v>
      </c>
      <c r="K350" s="13">
        <v>3.3090277777777781E-2</v>
      </c>
      <c r="L350" s="14">
        <v>0.12630881378396291</v>
      </c>
      <c r="M350" s="12" t="s">
        <v>334</v>
      </c>
      <c r="N350" s="13">
        <v>2.3958333333333331E-3</v>
      </c>
      <c r="O350" s="13">
        <v>1.3715277777777778E-2</v>
      </c>
      <c r="P350" s="13"/>
      <c r="Q350" s="13"/>
      <c r="R350" s="13"/>
      <c r="S350" s="13">
        <v>1.4884259259259259E-2</v>
      </c>
      <c r="T350" s="13">
        <v>1.273148148148148E-4</v>
      </c>
      <c r="U350" s="13">
        <v>1.9212962962962964E-3</v>
      </c>
      <c r="V350" s="13"/>
      <c r="W350" s="13"/>
    </row>
    <row r="351" spans="1:23" ht="15" customHeight="1" x14ac:dyDescent="0.25">
      <c r="A351" s="19">
        <v>46239</v>
      </c>
      <c r="B351" s="11" t="s">
        <v>657</v>
      </c>
      <c r="C351" s="12" t="s">
        <v>658</v>
      </c>
      <c r="D351" s="11" t="s">
        <v>274</v>
      </c>
      <c r="E351" s="12" t="s">
        <v>147</v>
      </c>
      <c r="F351" s="12" t="s">
        <v>33</v>
      </c>
      <c r="G351" s="12">
        <v>14</v>
      </c>
      <c r="H351" s="13">
        <v>0.26233796296296297</v>
      </c>
      <c r="I351" s="13">
        <v>6.8784722222222219E-2</v>
      </c>
      <c r="J351" s="13">
        <v>4.913194444444444E-3</v>
      </c>
      <c r="K351" s="13">
        <v>5.6180555555555553E-2</v>
      </c>
      <c r="L351" s="14">
        <v>0.21415335745168973</v>
      </c>
      <c r="M351" s="12" t="s">
        <v>334</v>
      </c>
      <c r="N351" s="13">
        <v>8.1481481481481474E-3</v>
      </c>
      <c r="O351" s="13">
        <v>1.7372685185185185E-2</v>
      </c>
      <c r="P351" s="13"/>
      <c r="Q351" s="13">
        <v>1.525462962962963E-2</v>
      </c>
      <c r="R351" s="13"/>
      <c r="S351" s="13">
        <v>1.4131944444444445E-2</v>
      </c>
      <c r="T351" s="13">
        <v>6.9444444444444444E-5</v>
      </c>
      <c r="U351" s="13">
        <v>5.3240740740740744E-4</v>
      </c>
      <c r="V351" s="13"/>
      <c r="W351" s="13"/>
    </row>
    <row r="352" spans="1:23" ht="15" customHeight="1" x14ac:dyDescent="0.25">
      <c r="A352" s="19">
        <v>46239</v>
      </c>
      <c r="B352" s="11" t="s">
        <v>166</v>
      </c>
      <c r="C352" s="12" t="s">
        <v>167</v>
      </c>
      <c r="D352" s="11" t="s">
        <v>146</v>
      </c>
      <c r="E352" s="12" t="s">
        <v>147</v>
      </c>
      <c r="F352" s="12" t="s">
        <v>106</v>
      </c>
      <c r="G352" s="12">
        <v>23</v>
      </c>
      <c r="H352" s="13">
        <v>0.25430555555555556</v>
      </c>
      <c r="I352" s="13">
        <v>5.9537037037037034E-2</v>
      </c>
      <c r="J352" s="13">
        <v>2.5885668276972623E-3</v>
      </c>
      <c r="K352" s="13">
        <v>3.6076388888888887E-2</v>
      </c>
      <c r="L352" s="14">
        <v>0.14186237028945931</v>
      </c>
      <c r="M352" s="12" t="s">
        <v>334</v>
      </c>
      <c r="N352" s="13">
        <v>3.8194444444444443E-3</v>
      </c>
      <c r="O352" s="13">
        <v>1.1817129629629629E-2</v>
      </c>
      <c r="P352" s="13"/>
      <c r="Q352" s="13">
        <v>5.7523148148148151E-3</v>
      </c>
      <c r="R352" s="13"/>
      <c r="S352" s="13">
        <v>1.3275462962962963E-2</v>
      </c>
      <c r="T352" s="13">
        <v>8.1018518518518516E-5</v>
      </c>
      <c r="U352" s="13">
        <v>7.8703703703703705E-4</v>
      </c>
      <c r="V352" s="13"/>
      <c r="W352" s="13">
        <v>5.3240740740740744E-4</v>
      </c>
    </row>
    <row r="353" spans="1:23" ht="15" customHeight="1" x14ac:dyDescent="0.25">
      <c r="A353" s="19">
        <v>46239</v>
      </c>
      <c r="B353" s="11" t="s">
        <v>659</v>
      </c>
      <c r="C353" s="12" t="s">
        <v>660</v>
      </c>
      <c r="D353" s="11" t="s">
        <v>100</v>
      </c>
      <c r="E353" s="12" t="s">
        <v>32</v>
      </c>
      <c r="F353" s="12" t="s">
        <v>33</v>
      </c>
      <c r="G353" s="12">
        <v>8</v>
      </c>
      <c r="H353" s="13">
        <v>0.2399537037037037</v>
      </c>
      <c r="I353" s="13">
        <v>5.2638888888888888E-2</v>
      </c>
      <c r="J353" s="13">
        <v>6.579861111111111E-3</v>
      </c>
      <c r="K353" s="13">
        <v>0.19469907407407408</v>
      </c>
      <c r="L353" s="14">
        <v>0.81140266255064641</v>
      </c>
      <c r="M353" s="12" t="s">
        <v>334</v>
      </c>
      <c r="N353" s="13">
        <v>8.1712962962962963E-3</v>
      </c>
      <c r="O353" s="13">
        <v>1.1099537037037036E-2</v>
      </c>
      <c r="P353" s="13"/>
      <c r="Q353" s="13"/>
      <c r="R353" s="13"/>
      <c r="S353" s="13">
        <v>1.6064814814814816E-2</v>
      </c>
      <c r="T353" s="13">
        <v>4.9768518518518521E-4</v>
      </c>
      <c r="U353" s="13">
        <v>2.0833333333333335E-4</v>
      </c>
      <c r="V353" s="13"/>
      <c r="W353" s="13">
        <v>0.15864583333333335</v>
      </c>
    </row>
    <row r="354" spans="1:23" ht="15" customHeight="1" x14ac:dyDescent="0.25">
      <c r="A354" s="19">
        <v>46239</v>
      </c>
      <c r="B354" s="11" t="s">
        <v>254</v>
      </c>
      <c r="C354" s="12" t="s">
        <v>528</v>
      </c>
      <c r="D354" s="11" t="s">
        <v>233</v>
      </c>
      <c r="E354" s="12" t="s">
        <v>32</v>
      </c>
      <c r="F354" s="12" t="s">
        <v>106</v>
      </c>
      <c r="G354" s="12">
        <v>25</v>
      </c>
      <c r="H354" s="13">
        <v>0.26515046296296296</v>
      </c>
      <c r="I354" s="13">
        <v>0.16215277777777778</v>
      </c>
      <c r="J354" s="13">
        <v>6.4861111111111118E-3</v>
      </c>
      <c r="K354" s="13">
        <v>5.5648148148148148E-2</v>
      </c>
      <c r="L354" s="14">
        <v>0.20987384870574882</v>
      </c>
      <c r="M354" s="12" t="s">
        <v>334</v>
      </c>
      <c r="N354" s="13">
        <v>1.726851851851852E-2</v>
      </c>
      <c r="O354" s="13">
        <v>1.2037037037037037E-2</v>
      </c>
      <c r="P354" s="13"/>
      <c r="Q354" s="13">
        <v>1.6666666666666668E-3</v>
      </c>
      <c r="R354" s="13"/>
      <c r="S354" s="13">
        <v>1.2962962962962963E-2</v>
      </c>
      <c r="T354" s="13">
        <v>1.0486111111111111E-2</v>
      </c>
      <c r="U354" s="13">
        <v>1.2037037037037038E-3</v>
      </c>
      <c r="V354" s="13"/>
      <c r="W354" s="13"/>
    </row>
    <row r="355" spans="1:23" ht="15" customHeight="1" x14ac:dyDescent="0.25">
      <c r="A355" s="19">
        <v>46239</v>
      </c>
      <c r="B355" s="11" t="s">
        <v>201</v>
      </c>
      <c r="C355" s="12" t="s">
        <v>545</v>
      </c>
      <c r="D355" s="11" t="s">
        <v>601</v>
      </c>
      <c r="E355" s="12" t="s">
        <v>600</v>
      </c>
      <c r="F355" s="12" t="s">
        <v>33</v>
      </c>
      <c r="G355" s="12">
        <v>32</v>
      </c>
      <c r="H355" s="13">
        <v>0.24052083333333332</v>
      </c>
      <c r="I355" s="13">
        <v>7.4652777777777776E-2</v>
      </c>
      <c r="J355" s="13">
        <v>2.3328993055555555E-3</v>
      </c>
      <c r="K355" s="13">
        <v>4.6956018518518522E-2</v>
      </c>
      <c r="L355" s="14">
        <v>0.19522640873875177</v>
      </c>
      <c r="M355" s="12" t="s">
        <v>334</v>
      </c>
      <c r="N355" s="13">
        <v>1.5046296296296297E-4</v>
      </c>
      <c r="O355" s="13">
        <v>2.5775462962962962E-2</v>
      </c>
      <c r="P355" s="13">
        <v>2.4305555555555555E-4</v>
      </c>
      <c r="Q355" s="13"/>
      <c r="R355" s="13"/>
      <c r="S355" s="13">
        <v>1.8090277777777778E-2</v>
      </c>
      <c r="T355" s="13">
        <v>2.6967592592592594E-3</v>
      </c>
      <c r="U355" s="13"/>
      <c r="V355" s="13"/>
      <c r="W355" s="13"/>
    </row>
    <row r="356" spans="1:23" ht="15" customHeight="1" x14ac:dyDescent="0.25">
      <c r="A356" s="19">
        <v>46239</v>
      </c>
      <c r="B356" s="11" t="s">
        <v>168</v>
      </c>
      <c r="C356" s="12" t="s">
        <v>520</v>
      </c>
      <c r="D356" s="11" t="s">
        <v>274</v>
      </c>
      <c r="E356" s="12" t="s">
        <v>147</v>
      </c>
      <c r="F356" s="12" t="s">
        <v>33</v>
      </c>
      <c r="G356" s="12">
        <v>17</v>
      </c>
      <c r="H356" s="13">
        <v>0.28078703703703706</v>
      </c>
      <c r="I356" s="13">
        <v>5.3541666666666668E-2</v>
      </c>
      <c r="J356" s="13">
        <v>3.1495098039215686E-3</v>
      </c>
      <c r="K356" s="13">
        <v>4.974537037037037E-2</v>
      </c>
      <c r="L356" s="14">
        <v>0.17716405605935695</v>
      </c>
      <c r="M356" s="12" t="s">
        <v>334</v>
      </c>
      <c r="N356" s="13">
        <v>9.7453703703703695E-3</v>
      </c>
      <c r="O356" s="13">
        <v>9.3749999999999997E-3</v>
      </c>
      <c r="P356" s="13"/>
      <c r="Q356" s="13">
        <v>7.1875000000000003E-3</v>
      </c>
      <c r="R356" s="13">
        <v>6.4467592592592588E-3</v>
      </c>
      <c r="S356" s="13">
        <v>1.6215277777777776E-2</v>
      </c>
      <c r="T356" s="13">
        <v>4.9768518518518521E-4</v>
      </c>
      <c r="U356" s="13"/>
      <c r="V356" s="13"/>
      <c r="W356" s="13"/>
    </row>
    <row r="357" spans="1:23" ht="15" customHeight="1" x14ac:dyDescent="0.25">
      <c r="A357" s="19">
        <v>46239</v>
      </c>
      <c r="B357" s="11" t="s">
        <v>170</v>
      </c>
      <c r="C357" s="12" t="s">
        <v>521</v>
      </c>
      <c r="D357" s="11" t="s">
        <v>146</v>
      </c>
      <c r="E357" s="12" t="s">
        <v>147</v>
      </c>
      <c r="F357" s="12" t="s">
        <v>106</v>
      </c>
      <c r="G357" s="12">
        <v>12</v>
      </c>
      <c r="H357" s="13">
        <v>0.26238425925925923</v>
      </c>
      <c r="I357" s="13">
        <v>8.1111111111111106E-2</v>
      </c>
      <c r="J357" s="13">
        <v>6.7592592592592591E-3</v>
      </c>
      <c r="K357" s="13">
        <v>5.6412037037037038E-2</v>
      </c>
      <c r="L357" s="14">
        <v>0.21499779444199385</v>
      </c>
      <c r="M357" s="12" t="s">
        <v>334</v>
      </c>
      <c r="N357" s="13">
        <v>1.1331018518518518E-2</v>
      </c>
      <c r="O357" s="13">
        <v>1.9351851851851853E-2</v>
      </c>
      <c r="P357" s="13"/>
      <c r="Q357" s="13">
        <v>1.0648148148148148E-2</v>
      </c>
      <c r="R357" s="13"/>
      <c r="S357" s="13">
        <v>1.3831018518518519E-2</v>
      </c>
      <c r="T357" s="13">
        <v>6.9444444444444444E-5</v>
      </c>
      <c r="U357" s="13">
        <v>1.1458333333333333E-3</v>
      </c>
      <c r="V357" s="13"/>
      <c r="W357" s="13"/>
    </row>
    <row r="358" spans="1:23" ht="15" customHeight="1" x14ac:dyDescent="0.25">
      <c r="A358" s="19">
        <v>46239</v>
      </c>
      <c r="B358" s="11" t="s">
        <v>92</v>
      </c>
      <c r="C358" s="12" t="s">
        <v>93</v>
      </c>
      <c r="D358" s="11" t="s">
        <v>78</v>
      </c>
      <c r="E358" s="12" t="s">
        <v>80</v>
      </c>
      <c r="F358" s="12" t="s">
        <v>81</v>
      </c>
      <c r="G358" s="12">
        <v>0</v>
      </c>
      <c r="H358" s="13">
        <v>0</v>
      </c>
      <c r="I358" s="13">
        <v>0</v>
      </c>
      <c r="J358" s="13">
        <v>0</v>
      </c>
      <c r="K358" s="13">
        <v>0</v>
      </c>
      <c r="L358" s="14">
        <v>0</v>
      </c>
      <c r="M358" s="12" t="s">
        <v>333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5" customHeight="1" x14ac:dyDescent="0.25">
      <c r="A359" s="19">
        <v>46239</v>
      </c>
      <c r="B359" s="11" t="s">
        <v>94</v>
      </c>
      <c r="C359" s="12" t="s">
        <v>95</v>
      </c>
      <c r="D359" s="11" t="s">
        <v>78</v>
      </c>
      <c r="E359" s="12" t="s">
        <v>80</v>
      </c>
      <c r="F359" s="12" t="s">
        <v>81</v>
      </c>
      <c r="G359" s="12">
        <v>0</v>
      </c>
      <c r="H359" s="13">
        <v>0.3432986111111111</v>
      </c>
      <c r="I359" s="13">
        <v>0</v>
      </c>
      <c r="J359" s="13">
        <v>0</v>
      </c>
      <c r="K359" s="13">
        <v>7.9097222222222222E-2</v>
      </c>
      <c r="L359" s="14">
        <v>0.23040356023060585</v>
      </c>
      <c r="M359" s="12" t="s">
        <v>334</v>
      </c>
      <c r="N359" s="13"/>
      <c r="O359" s="13"/>
      <c r="P359" s="13"/>
      <c r="Q359" s="13"/>
      <c r="R359" s="13">
        <v>6.5625000000000003E-2</v>
      </c>
      <c r="S359" s="13">
        <v>1.3171296296296296E-2</v>
      </c>
      <c r="T359" s="13">
        <v>1.273148148148148E-4</v>
      </c>
      <c r="U359" s="13">
        <v>1.5046296296296297E-4</v>
      </c>
      <c r="V359" s="13"/>
      <c r="W359" s="13"/>
    </row>
    <row r="360" spans="1:23" ht="15" customHeight="1" x14ac:dyDescent="0.25">
      <c r="A360" s="19">
        <v>46239</v>
      </c>
      <c r="B360" s="11" t="s">
        <v>293</v>
      </c>
      <c r="C360" s="12" t="s">
        <v>543</v>
      </c>
      <c r="D360" s="11" t="s">
        <v>104</v>
      </c>
      <c r="E360" s="12" t="s">
        <v>600</v>
      </c>
      <c r="F360" s="12" t="s">
        <v>106</v>
      </c>
      <c r="G360" s="12">
        <v>29</v>
      </c>
      <c r="H360" s="13">
        <v>0.24886574074074075</v>
      </c>
      <c r="I360" s="13">
        <v>0.10622685185185185</v>
      </c>
      <c r="J360" s="13">
        <v>3.6629948914431673E-3</v>
      </c>
      <c r="K360" s="13">
        <v>0.12047453703703703</v>
      </c>
      <c r="L360" s="14">
        <v>0.48409450283694538</v>
      </c>
      <c r="M360" s="12" t="s">
        <v>334</v>
      </c>
      <c r="N360" s="13">
        <v>1.1307870370370371E-2</v>
      </c>
      <c r="O360" s="13">
        <v>2.105324074074074E-2</v>
      </c>
      <c r="P360" s="13"/>
      <c r="Q360" s="13"/>
      <c r="R360" s="13">
        <v>6.8287037037037036E-4</v>
      </c>
      <c r="S360" s="13">
        <v>1.8136574074074076E-2</v>
      </c>
      <c r="T360" s="13">
        <v>7.6504629629629631E-3</v>
      </c>
      <c r="U360" s="13">
        <v>2.199074074074074E-4</v>
      </c>
      <c r="V360" s="13"/>
      <c r="W360" s="13">
        <v>6.1412037037037036E-2</v>
      </c>
    </row>
    <row r="361" spans="1:23" ht="15" customHeight="1" x14ac:dyDescent="0.25">
      <c r="A361" s="19">
        <v>46239</v>
      </c>
      <c r="B361" s="11" t="s">
        <v>606</v>
      </c>
      <c r="C361" s="12" t="s">
        <v>633</v>
      </c>
      <c r="D361" s="11" t="s">
        <v>146</v>
      </c>
      <c r="E361" s="12" t="s">
        <v>147</v>
      </c>
      <c r="F361" s="12" t="s">
        <v>106</v>
      </c>
      <c r="G361" s="12">
        <v>11</v>
      </c>
      <c r="H361" s="13">
        <v>0.26504629629629628</v>
      </c>
      <c r="I361" s="13">
        <v>6.8553240740740734E-2</v>
      </c>
      <c r="J361" s="13">
        <v>6.2321127946127937E-3</v>
      </c>
      <c r="K361" s="13">
        <v>7.5289351851851857E-2</v>
      </c>
      <c r="L361" s="14">
        <v>0.28406113537117905</v>
      </c>
      <c r="M361" s="12" t="s">
        <v>334</v>
      </c>
      <c r="N361" s="13">
        <v>1.0543981481481482E-2</v>
      </c>
      <c r="O361" s="13">
        <v>1.5462962962962963E-2</v>
      </c>
      <c r="P361" s="13"/>
      <c r="Q361" s="13">
        <v>3.8425925925925928E-3</v>
      </c>
      <c r="R361" s="13"/>
      <c r="S361" s="13">
        <v>1.3761574074074074E-2</v>
      </c>
      <c r="T361" s="13">
        <v>2.0949074074074073E-3</v>
      </c>
      <c r="U361" s="13">
        <v>2.9513888888888888E-2</v>
      </c>
      <c r="V361" s="13"/>
      <c r="W361" s="13"/>
    </row>
    <row r="362" spans="1:23" ht="15" customHeight="1" x14ac:dyDescent="0.25">
      <c r="A362" s="19">
        <v>46239</v>
      </c>
      <c r="B362" s="11" t="s">
        <v>256</v>
      </c>
      <c r="C362" s="12" t="s">
        <v>529</v>
      </c>
      <c r="D362" s="11" t="s">
        <v>233</v>
      </c>
      <c r="E362" s="12" t="s">
        <v>32</v>
      </c>
      <c r="F362" s="12" t="s">
        <v>106</v>
      </c>
      <c r="G362" s="12">
        <v>21</v>
      </c>
      <c r="H362" s="13">
        <v>0.26023148148148151</v>
      </c>
      <c r="I362" s="13">
        <v>0.15212962962962964</v>
      </c>
      <c r="J362" s="13">
        <v>7.2442680776014113E-3</v>
      </c>
      <c r="K362" s="13">
        <v>5.3368055555555557E-2</v>
      </c>
      <c r="L362" s="14">
        <v>0.20507916740793453</v>
      </c>
      <c r="M362" s="12" t="s">
        <v>334</v>
      </c>
      <c r="N362" s="13">
        <v>8.4259259259259253E-3</v>
      </c>
      <c r="O362" s="13">
        <v>1.5034722222222222E-2</v>
      </c>
      <c r="P362" s="13"/>
      <c r="Q362" s="13"/>
      <c r="R362" s="13">
        <v>4.6180555555555558E-3</v>
      </c>
      <c r="S362" s="13">
        <v>1.5717592592592592E-2</v>
      </c>
      <c r="T362" s="13">
        <v>8.1018518518518516E-5</v>
      </c>
      <c r="U362" s="13">
        <v>5.0347222222222225E-3</v>
      </c>
      <c r="V362" s="13"/>
      <c r="W362" s="13">
        <v>4.43287037037037E-3</v>
      </c>
    </row>
    <row r="363" spans="1:23" ht="15" customHeight="1" x14ac:dyDescent="0.25">
      <c r="A363" s="19">
        <v>46239</v>
      </c>
      <c r="B363" s="11" t="s">
        <v>612</v>
      </c>
      <c r="C363" s="12" t="s">
        <v>634</v>
      </c>
      <c r="D363" s="11" t="s">
        <v>601</v>
      </c>
      <c r="E363" s="12" t="s">
        <v>105</v>
      </c>
      <c r="F363" s="12" t="s">
        <v>33</v>
      </c>
      <c r="G363" s="12">
        <v>10</v>
      </c>
      <c r="H363" s="13">
        <v>0.25349537037037034</v>
      </c>
      <c r="I363" s="13">
        <v>0.19253472222222223</v>
      </c>
      <c r="J363" s="13">
        <v>1.9253472222222224E-2</v>
      </c>
      <c r="K363" s="13">
        <v>0.15987268518518519</v>
      </c>
      <c r="L363" s="14">
        <v>0.6306729978997353</v>
      </c>
      <c r="M363" s="12" t="s">
        <v>334</v>
      </c>
      <c r="N363" s="13">
        <v>2.7291666666666665E-2</v>
      </c>
      <c r="O363" s="13">
        <v>2.6331018518518517E-2</v>
      </c>
      <c r="P363" s="13"/>
      <c r="Q363" s="13">
        <v>1.8749999999999999E-2</v>
      </c>
      <c r="R363" s="13"/>
      <c r="S363" s="13">
        <v>1.6932870370370369E-2</v>
      </c>
      <c r="T363" s="13">
        <v>1.6435185185185185E-3</v>
      </c>
      <c r="U363" s="13">
        <v>4.3437499999999997E-2</v>
      </c>
      <c r="V363" s="13"/>
      <c r="W363" s="13">
        <v>2.5486111111111112E-2</v>
      </c>
    </row>
    <row r="364" spans="1:23" ht="15" customHeight="1" x14ac:dyDescent="0.25">
      <c r="A364" s="19">
        <v>46239</v>
      </c>
      <c r="B364" s="11" t="s">
        <v>258</v>
      </c>
      <c r="C364" s="12" t="s">
        <v>554</v>
      </c>
      <c r="D364" s="11" t="s">
        <v>233</v>
      </c>
      <c r="E364" s="12" t="s">
        <v>32</v>
      </c>
      <c r="F364" s="12" t="s">
        <v>106</v>
      </c>
      <c r="G364" s="12">
        <v>5</v>
      </c>
      <c r="H364" s="13">
        <v>0.1900462962962963</v>
      </c>
      <c r="I364" s="13">
        <v>5.2928240740740741E-2</v>
      </c>
      <c r="J364" s="13">
        <v>1.0585648148148148E-2</v>
      </c>
      <c r="K364" s="13">
        <v>0.15329861111111112</v>
      </c>
      <c r="L364" s="14">
        <v>0.80663824604141299</v>
      </c>
      <c r="M364" s="12" t="s">
        <v>334</v>
      </c>
      <c r="N364" s="13"/>
      <c r="O364" s="13"/>
      <c r="P364" s="13"/>
      <c r="Q364" s="13"/>
      <c r="R364" s="13"/>
      <c r="S364" s="13">
        <v>1.4247685185185184E-2</v>
      </c>
      <c r="T364" s="13">
        <v>3.3564814814814812E-4</v>
      </c>
      <c r="U364" s="13"/>
      <c r="V364" s="13"/>
      <c r="W364" s="13">
        <v>0.13871527777777778</v>
      </c>
    </row>
    <row r="365" spans="1:23" ht="15" customHeight="1" x14ac:dyDescent="0.25">
      <c r="A365" s="19">
        <v>46239</v>
      </c>
      <c r="B365" s="11" t="s">
        <v>661</v>
      </c>
      <c r="C365" s="12" t="s">
        <v>662</v>
      </c>
      <c r="D365" s="11" t="s">
        <v>100</v>
      </c>
      <c r="E365" s="12" t="s">
        <v>32</v>
      </c>
      <c r="F365" s="12" t="s">
        <v>33</v>
      </c>
      <c r="G365" s="12">
        <v>24</v>
      </c>
      <c r="H365" s="13">
        <v>0.26105324074074077</v>
      </c>
      <c r="I365" s="13">
        <v>0.2101851851851852</v>
      </c>
      <c r="J365" s="13">
        <v>8.7577160493827171E-3</v>
      </c>
      <c r="K365" s="13">
        <v>4.3888888888888887E-2</v>
      </c>
      <c r="L365" s="14">
        <v>0.16812236754599866</v>
      </c>
      <c r="M365" s="12" t="s">
        <v>334</v>
      </c>
      <c r="N365" s="13">
        <v>1.25E-3</v>
      </c>
      <c r="O365" s="13">
        <v>1.7187500000000001E-2</v>
      </c>
      <c r="P365" s="13"/>
      <c r="Q365" s="13"/>
      <c r="R365" s="13"/>
      <c r="S365" s="13">
        <v>1.5162037037037036E-2</v>
      </c>
      <c r="T365" s="13">
        <v>4.5254629629629629E-3</v>
      </c>
      <c r="U365" s="13">
        <v>1.0300925925925926E-3</v>
      </c>
      <c r="V365" s="13"/>
      <c r="W365" s="13">
        <v>4.7106481481481478E-3</v>
      </c>
    </row>
    <row r="366" spans="1:23" ht="15" customHeight="1" x14ac:dyDescent="0.25">
      <c r="A366" s="19">
        <v>46239</v>
      </c>
      <c r="B366" s="11" t="s">
        <v>663</v>
      </c>
      <c r="C366" s="12" t="s">
        <v>664</v>
      </c>
      <c r="D366" s="11" t="s">
        <v>233</v>
      </c>
      <c r="E366" s="12" t="s">
        <v>32</v>
      </c>
      <c r="F366" s="12" t="s">
        <v>106</v>
      </c>
      <c r="G366" s="12">
        <v>20</v>
      </c>
      <c r="H366" s="13">
        <v>0.24888888888888888</v>
      </c>
      <c r="I366" s="13">
        <v>0.17737268518518517</v>
      </c>
      <c r="J366" s="13">
        <v>8.8686342592592584E-3</v>
      </c>
      <c r="K366" s="13">
        <v>3.3136574074074075E-2</v>
      </c>
      <c r="L366" s="14">
        <v>0.13313802083333334</v>
      </c>
      <c r="M366" s="12" t="s">
        <v>334</v>
      </c>
      <c r="N366" s="13">
        <v>5.4166666666666669E-3</v>
      </c>
      <c r="O366" s="13">
        <v>8.9930555555555562E-3</v>
      </c>
      <c r="P366" s="13"/>
      <c r="Q366" s="13"/>
      <c r="R366" s="13">
        <v>5.6712962962962967E-4</v>
      </c>
      <c r="S366" s="13">
        <v>1.4479166666666666E-2</v>
      </c>
      <c r="T366" s="13">
        <v>5.7870370370370367E-4</v>
      </c>
      <c r="U366" s="13"/>
      <c r="V366" s="13"/>
      <c r="W366" s="13">
        <v>3.1018518518518517E-3</v>
      </c>
    </row>
    <row r="367" spans="1:23" ht="15" customHeight="1" x14ac:dyDescent="0.25">
      <c r="A367" s="19">
        <v>46239</v>
      </c>
      <c r="B367" s="11" t="s">
        <v>203</v>
      </c>
      <c r="C367" s="12" t="s">
        <v>565</v>
      </c>
      <c r="D367" s="11" t="s">
        <v>601</v>
      </c>
      <c r="E367" s="12" t="s">
        <v>105</v>
      </c>
      <c r="F367" s="12" t="s">
        <v>33</v>
      </c>
      <c r="G367" s="12">
        <v>7</v>
      </c>
      <c r="H367" s="13">
        <v>0.19519675925925925</v>
      </c>
      <c r="I367" s="13">
        <v>0.11488425925925926</v>
      </c>
      <c r="J367" s="13">
        <v>1.6412037037037037E-2</v>
      </c>
      <c r="K367" s="13">
        <v>0.141875</v>
      </c>
      <c r="L367" s="14">
        <v>0.72683071449748005</v>
      </c>
      <c r="M367" s="12" t="s">
        <v>334</v>
      </c>
      <c r="N367" s="13"/>
      <c r="O367" s="13">
        <v>3.0358796296296297E-2</v>
      </c>
      <c r="P367" s="13"/>
      <c r="Q367" s="13"/>
      <c r="R367" s="13"/>
      <c r="S367" s="13">
        <v>1.6053240740740739E-2</v>
      </c>
      <c r="T367" s="13">
        <v>3.7037037037037035E-4</v>
      </c>
      <c r="U367" s="13">
        <v>4.565972222222222E-2</v>
      </c>
      <c r="V367" s="13"/>
      <c r="W367" s="13">
        <v>4.943287037037037E-2</v>
      </c>
    </row>
    <row r="368" spans="1:23" ht="15" customHeight="1" x14ac:dyDescent="0.25">
      <c r="A368" s="19">
        <v>46239</v>
      </c>
      <c r="B368" s="11" t="s">
        <v>665</v>
      </c>
      <c r="C368" s="12" t="s">
        <v>666</v>
      </c>
      <c r="D368" s="11" t="s">
        <v>100</v>
      </c>
      <c r="E368" s="12" t="s">
        <v>32</v>
      </c>
      <c r="F368" s="12" t="s">
        <v>33</v>
      </c>
      <c r="G368" s="12">
        <v>28</v>
      </c>
      <c r="H368" s="13">
        <v>0.26418981481481479</v>
      </c>
      <c r="I368" s="13">
        <v>0.22866898148148149</v>
      </c>
      <c r="J368" s="13">
        <v>8.1667493386243396E-3</v>
      </c>
      <c r="K368" s="13">
        <v>3.1863425925925927E-2</v>
      </c>
      <c r="L368" s="14">
        <v>0.12060807850696575</v>
      </c>
      <c r="M368" s="12" t="s">
        <v>334</v>
      </c>
      <c r="N368" s="13"/>
      <c r="O368" s="13">
        <v>1.412037037037037E-2</v>
      </c>
      <c r="P368" s="13"/>
      <c r="Q368" s="13">
        <v>1.25E-3</v>
      </c>
      <c r="R368" s="13"/>
      <c r="S368" s="13">
        <v>1.4224537037037037E-2</v>
      </c>
      <c r="T368" s="13">
        <v>1.6203703703703703E-4</v>
      </c>
      <c r="U368" s="13">
        <v>2.0486111111111113E-3</v>
      </c>
      <c r="V368" s="13"/>
      <c r="W368" s="13"/>
    </row>
    <row r="369" spans="1:23" ht="15" customHeight="1" x14ac:dyDescent="0.25">
      <c r="A369" s="19">
        <v>46239</v>
      </c>
      <c r="B369" s="11" t="s">
        <v>264</v>
      </c>
      <c r="C369" s="12" t="s">
        <v>530</v>
      </c>
      <c r="D369" s="11" t="s">
        <v>78</v>
      </c>
      <c r="E369" s="12" t="s">
        <v>80</v>
      </c>
      <c r="F369" s="12" t="s">
        <v>106</v>
      </c>
      <c r="G369" s="12">
        <v>0</v>
      </c>
      <c r="H369" s="13">
        <v>0.30562499999999998</v>
      </c>
      <c r="I369" s="13">
        <v>0</v>
      </c>
      <c r="J369" s="13">
        <v>0</v>
      </c>
      <c r="K369" s="13">
        <v>9.0277777777777774E-4</v>
      </c>
      <c r="L369" s="14">
        <v>2.9538741195182915E-3</v>
      </c>
      <c r="M369" s="12" t="s">
        <v>334</v>
      </c>
      <c r="N369" s="13"/>
      <c r="O369" s="13"/>
      <c r="P369" s="13"/>
      <c r="Q369" s="13"/>
      <c r="R369" s="13"/>
      <c r="S369" s="13"/>
      <c r="T369" s="13">
        <v>2.0833333333333335E-4</v>
      </c>
      <c r="U369" s="13">
        <v>6.2500000000000001E-4</v>
      </c>
      <c r="V369" s="13"/>
      <c r="W369" s="13"/>
    </row>
    <row r="370" spans="1:23" ht="15" customHeight="1" x14ac:dyDescent="0.25">
      <c r="A370" s="19">
        <v>46239</v>
      </c>
      <c r="B370" s="11" t="s">
        <v>128</v>
      </c>
      <c r="C370" s="12" t="s">
        <v>555</v>
      </c>
      <c r="D370" s="11" t="s">
        <v>233</v>
      </c>
      <c r="E370" s="12" t="s">
        <v>32</v>
      </c>
      <c r="F370" s="12" t="s">
        <v>106</v>
      </c>
      <c r="G370" s="12">
        <v>43</v>
      </c>
      <c r="H370" s="13">
        <v>0.25171296296296297</v>
      </c>
      <c r="I370" s="13">
        <v>0.16351851851851851</v>
      </c>
      <c r="J370" s="13">
        <v>3.8027562446167093E-3</v>
      </c>
      <c r="K370" s="13">
        <v>4.6006944444444448E-2</v>
      </c>
      <c r="L370" s="14">
        <v>0.18277542762552879</v>
      </c>
      <c r="M370" s="12" t="s">
        <v>334</v>
      </c>
      <c r="N370" s="13">
        <v>1.2731481481481481E-2</v>
      </c>
      <c r="O370" s="13">
        <v>1.6689814814814814E-2</v>
      </c>
      <c r="P370" s="13"/>
      <c r="Q370" s="13"/>
      <c r="R370" s="13"/>
      <c r="S370" s="13">
        <v>1.4317129629629629E-2</v>
      </c>
      <c r="T370" s="13">
        <v>9.1435185185185185E-4</v>
      </c>
      <c r="U370" s="13">
        <v>1.2847222222222223E-3</v>
      </c>
      <c r="V370" s="13"/>
      <c r="W370" s="13"/>
    </row>
    <row r="371" spans="1:23" ht="15" customHeight="1" x14ac:dyDescent="0.25">
      <c r="A371" s="19">
        <v>46239</v>
      </c>
      <c r="B371" s="11" t="s">
        <v>178</v>
      </c>
      <c r="C371" s="12" t="s">
        <v>522</v>
      </c>
      <c r="D371" s="11" t="s">
        <v>146</v>
      </c>
      <c r="E371" s="12" t="s">
        <v>147</v>
      </c>
      <c r="F371" s="12" t="s">
        <v>106</v>
      </c>
      <c r="G371" s="12">
        <v>19</v>
      </c>
      <c r="H371" s="13">
        <v>0.2638888888888889</v>
      </c>
      <c r="I371" s="13">
        <v>0.10215277777777777</v>
      </c>
      <c r="J371" s="13">
        <v>5.376461988304093E-3</v>
      </c>
      <c r="K371" s="13">
        <v>3.9027777777777779E-2</v>
      </c>
      <c r="L371" s="14">
        <v>0.14789473684210527</v>
      </c>
      <c r="M371" s="12" t="s">
        <v>334</v>
      </c>
      <c r="N371" s="13">
        <v>3.2986111111111111E-3</v>
      </c>
      <c r="O371" s="13">
        <v>1.4837962962962963E-2</v>
      </c>
      <c r="P371" s="13"/>
      <c r="Q371" s="13">
        <v>3.7499999999999999E-3</v>
      </c>
      <c r="R371" s="13"/>
      <c r="S371" s="13">
        <v>1.4722222222222222E-2</v>
      </c>
      <c r="T371" s="13">
        <v>1.3888888888888889E-4</v>
      </c>
      <c r="U371" s="13">
        <v>2.2453703703703702E-3</v>
      </c>
      <c r="V371" s="13"/>
      <c r="W371" s="13"/>
    </row>
    <row r="372" spans="1:23" ht="15" customHeight="1" x14ac:dyDescent="0.25">
      <c r="A372" s="19">
        <v>46239</v>
      </c>
      <c r="B372" s="11" t="s">
        <v>266</v>
      </c>
      <c r="C372" s="12" t="s">
        <v>531</v>
      </c>
      <c r="D372" s="11" t="s">
        <v>233</v>
      </c>
      <c r="E372" s="12" t="s">
        <v>32</v>
      </c>
      <c r="F372" s="12" t="s">
        <v>106</v>
      </c>
      <c r="G372" s="12">
        <v>4</v>
      </c>
      <c r="H372" s="13">
        <v>0.25738425925925928</v>
      </c>
      <c r="I372" s="13">
        <v>3.3599537037037039E-2</v>
      </c>
      <c r="J372" s="13">
        <v>8.3998842592592597E-3</v>
      </c>
      <c r="K372" s="13">
        <v>0.23697916666666666</v>
      </c>
      <c r="L372" s="14">
        <v>0.92072128788560115</v>
      </c>
      <c r="M372" s="12" t="s">
        <v>334</v>
      </c>
      <c r="N372" s="13"/>
      <c r="O372" s="13">
        <v>1.2743055555555556E-2</v>
      </c>
      <c r="P372" s="13"/>
      <c r="Q372" s="13"/>
      <c r="R372" s="13"/>
      <c r="S372" s="13">
        <v>1.3425925925925926E-2</v>
      </c>
      <c r="T372" s="13">
        <v>2.2106481481481482E-3</v>
      </c>
      <c r="U372" s="13"/>
      <c r="V372" s="13"/>
      <c r="W372" s="13">
        <v>0.20859953703703704</v>
      </c>
    </row>
    <row r="373" spans="1:23" ht="15" customHeight="1" x14ac:dyDescent="0.25">
      <c r="A373" s="19">
        <v>46239</v>
      </c>
      <c r="B373" s="11" t="s">
        <v>297</v>
      </c>
      <c r="C373" s="12" t="s">
        <v>667</v>
      </c>
      <c r="D373" s="11" t="s">
        <v>104</v>
      </c>
      <c r="E373" s="12" t="s">
        <v>105</v>
      </c>
      <c r="F373" s="12" t="s">
        <v>106</v>
      </c>
      <c r="G373" s="12">
        <v>18</v>
      </c>
      <c r="H373" s="13">
        <v>0.24019675925925926</v>
      </c>
      <c r="I373" s="13">
        <v>0.27459490740740738</v>
      </c>
      <c r="J373" s="13">
        <v>1.5255272633744855E-2</v>
      </c>
      <c r="K373" s="13">
        <v>6.9826388888888882E-2</v>
      </c>
      <c r="L373" s="14">
        <v>0.29070495831927912</v>
      </c>
      <c r="M373" s="12" t="s">
        <v>334</v>
      </c>
      <c r="N373" s="13">
        <v>1.3668981481481482E-2</v>
      </c>
      <c r="O373" s="13">
        <v>1.9618055555555555E-2</v>
      </c>
      <c r="P373" s="13"/>
      <c r="Q373" s="13"/>
      <c r="R373" s="13"/>
      <c r="S373" s="13">
        <v>1.4247685185185184E-2</v>
      </c>
      <c r="T373" s="13">
        <v>7.3958333333333333E-3</v>
      </c>
      <c r="U373" s="13">
        <v>5.7870370370370373E-5</v>
      </c>
      <c r="V373" s="13"/>
      <c r="W373" s="13">
        <v>1.4837962962962963E-2</v>
      </c>
    </row>
    <row r="374" spans="1:23" ht="15" customHeight="1" x14ac:dyDescent="0.25">
      <c r="A374" s="19">
        <v>46239</v>
      </c>
      <c r="B374" s="11" t="s">
        <v>207</v>
      </c>
      <c r="C374" s="12" t="s">
        <v>566</v>
      </c>
      <c r="D374" s="11" t="s">
        <v>274</v>
      </c>
      <c r="E374" s="12" t="s">
        <v>147</v>
      </c>
      <c r="F374" s="12" t="s">
        <v>33</v>
      </c>
      <c r="G374" s="12">
        <v>12</v>
      </c>
      <c r="H374" s="13">
        <v>0.24853009259259259</v>
      </c>
      <c r="I374" s="13">
        <v>6.5937499999999996E-2</v>
      </c>
      <c r="J374" s="13">
        <v>5.4947916666666661E-3</v>
      </c>
      <c r="K374" s="13">
        <v>2.7511574074074074E-2</v>
      </c>
      <c r="L374" s="14">
        <v>0.11069715456619941</v>
      </c>
      <c r="M374" s="12" t="s">
        <v>334</v>
      </c>
      <c r="N374" s="13">
        <v>5.1504629629629626E-3</v>
      </c>
      <c r="O374" s="13">
        <v>1.5277777777777777E-2</v>
      </c>
      <c r="P374" s="13"/>
      <c r="Q374" s="13">
        <v>3.2407407407407406E-3</v>
      </c>
      <c r="R374" s="13">
        <v>2.0949074074074073E-3</v>
      </c>
      <c r="S374" s="13"/>
      <c r="T374" s="13">
        <v>1.7361111111111112E-4</v>
      </c>
      <c r="U374" s="13">
        <v>9.3749999999999997E-4</v>
      </c>
      <c r="V374" s="13"/>
      <c r="W374" s="13"/>
    </row>
    <row r="375" spans="1:23" ht="15" customHeight="1" x14ac:dyDescent="0.25">
      <c r="A375" s="19">
        <v>46239</v>
      </c>
      <c r="B375" s="11" t="s">
        <v>614</v>
      </c>
      <c r="C375" s="12" t="s">
        <v>635</v>
      </c>
      <c r="D375" s="11" t="s">
        <v>601</v>
      </c>
      <c r="E375" s="12" t="s">
        <v>105</v>
      </c>
      <c r="F375" s="12" t="s">
        <v>33</v>
      </c>
      <c r="G375" s="12">
        <v>13</v>
      </c>
      <c r="H375" s="13">
        <v>0.2442013888888889</v>
      </c>
      <c r="I375" s="13">
        <v>0.20396990740740742</v>
      </c>
      <c r="J375" s="13">
        <v>1.5689992877492877E-2</v>
      </c>
      <c r="K375" s="13">
        <v>0.13475694444444444</v>
      </c>
      <c r="L375" s="14">
        <v>0.55182710081046493</v>
      </c>
      <c r="M375" s="12" t="s">
        <v>334</v>
      </c>
      <c r="N375" s="13"/>
      <c r="O375" s="13">
        <v>1.9699074074074074E-2</v>
      </c>
      <c r="P375" s="13"/>
      <c r="Q375" s="13"/>
      <c r="R375" s="13"/>
      <c r="S375" s="13"/>
      <c r="T375" s="13">
        <v>1.1307870370370371E-2</v>
      </c>
      <c r="U375" s="13">
        <v>3.3333333333333333E-2</v>
      </c>
      <c r="V375" s="13"/>
      <c r="W375" s="13">
        <v>7.0416666666666669E-2</v>
      </c>
    </row>
    <row r="376" spans="1:23" ht="15" customHeight="1" x14ac:dyDescent="0.25">
      <c r="A376" s="19">
        <v>46239</v>
      </c>
      <c r="B376" s="11" t="s">
        <v>96</v>
      </c>
      <c r="C376" s="12" t="s">
        <v>97</v>
      </c>
      <c r="D376" s="11" t="s">
        <v>78</v>
      </c>
      <c r="E376" s="12" t="s">
        <v>80</v>
      </c>
      <c r="F376" s="12" t="s">
        <v>81</v>
      </c>
      <c r="G376" s="12">
        <v>0</v>
      </c>
      <c r="H376" s="13">
        <v>0.32347222222222222</v>
      </c>
      <c r="I376" s="13">
        <v>0</v>
      </c>
      <c r="J376" s="13">
        <v>0</v>
      </c>
      <c r="K376" s="13">
        <v>0.20337962962962963</v>
      </c>
      <c r="L376" s="14">
        <v>0.62873908687562619</v>
      </c>
      <c r="M376" s="12" t="s">
        <v>334</v>
      </c>
      <c r="N376" s="13">
        <v>3.2060185185185185E-2</v>
      </c>
      <c r="O376" s="13">
        <v>7.6388888888888895E-2</v>
      </c>
      <c r="P376" s="13"/>
      <c r="Q376" s="13"/>
      <c r="R376" s="13"/>
      <c r="S376" s="13"/>
      <c r="T376" s="13">
        <v>1.273148148148148E-4</v>
      </c>
      <c r="U376" s="13"/>
      <c r="V376" s="13"/>
      <c r="W376" s="13">
        <v>9.4803240740740743E-2</v>
      </c>
    </row>
    <row r="377" spans="1:23" ht="15" customHeight="1" x14ac:dyDescent="0.25">
      <c r="A377" s="19">
        <v>46239</v>
      </c>
      <c r="B377" s="11" t="s">
        <v>180</v>
      </c>
      <c r="C377" s="12" t="s">
        <v>523</v>
      </c>
      <c r="D377" s="11" t="s">
        <v>146</v>
      </c>
      <c r="E377" s="12" t="s">
        <v>147</v>
      </c>
      <c r="F377" s="12" t="s">
        <v>106</v>
      </c>
      <c r="G377" s="12">
        <v>17</v>
      </c>
      <c r="H377" s="13">
        <v>0.32966435185185183</v>
      </c>
      <c r="I377" s="13">
        <v>9.5844907407407406E-2</v>
      </c>
      <c r="J377" s="13">
        <v>5.6379357298474942E-3</v>
      </c>
      <c r="K377" s="13">
        <v>5.4050925925925926E-2</v>
      </c>
      <c r="L377" s="14">
        <v>0.16395744830249623</v>
      </c>
      <c r="M377" s="12" t="s">
        <v>334</v>
      </c>
      <c r="N377" s="13">
        <v>4.6064814814814814E-3</v>
      </c>
      <c r="O377" s="13">
        <v>1.4363425925925925E-2</v>
      </c>
      <c r="P377" s="13"/>
      <c r="Q377" s="13">
        <v>1.892361111111111E-2</v>
      </c>
      <c r="R377" s="13"/>
      <c r="S377" s="13">
        <v>1.4039351851851851E-2</v>
      </c>
      <c r="T377" s="13">
        <v>2.3148148148148149E-4</v>
      </c>
      <c r="U377" s="13">
        <v>1.8634259259259259E-3</v>
      </c>
      <c r="V377" s="13"/>
      <c r="W377" s="13"/>
    </row>
    <row r="378" spans="1:23" ht="15" customHeight="1" x14ac:dyDescent="0.25">
      <c r="A378" s="19">
        <v>46239</v>
      </c>
      <c r="B378" s="11" t="s">
        <v>615</v>
      </c>
      <c r="C378" s="12" t="s">
        <v>636</v>
      </c>
      <c r="D378" s="11" t="s">
        <v>601</v>
      </c>
      <c r="E378" s="12" t="s">
        <v>105</v>
      </c>
      <c r="F378" s="12" t="s">
        <v>33</v>
      </c>
      <c r="G378" s="12">
        <v>10</v>
      </c>
      <c r="H378" s="13">
        <v>0.21682870370370369</v>
      </c>
      <c r="I378" s="13">
        <v>0.13818287037037036</v>
      </c>
      <c r="J378" s="13">
        <v>1.3818287037037035E-2</v>
      </c>
      <c r="K378" s="13">
        <v>0.15916666666666668</v>
      </c>
      <c r="L378" s="14">
        <v>0.73406640333084239</v>
      </c>
      <c r="M378" s="12" t="s">
        <v>334</v>
      </c>
      <c r="N378" s="13">
        <v>4.1435185185185186E-3</v>
      </c>
      <c r="O378" s="13">
        <v>1.7511574074074075E-2</v>
      </c>
      <c r="P378" s="13"/>
      <c r="Q378" s="13"/>
      <c r="R378" s="13"/>
      <c r="S378" s="13">
        <v>1.2650462962962962E-2</v>
      </c>
      <c r="T378" s="13">
        <v>9.2013888888888892E-3</v>
      </c>
      <c r="U378" s="13">
        <v>5.1273148148148151E-2</v>
      </c>
      <c r="V378" s="13"/>
      <c r="W378" s="13">
        <v>6.4386574074074068E-2</v>
      </c>
    </row>
    <row r="379" spans="1:23" ht="15" customHeight="1" x14ac:dyDescent="0.25">
      <c r="A379" s="19">
        <v>46239</v>
      </c>
      <c r="B379" s="11" t="s">
        <v>616</v>
      </c>
      <c r="C379" s="12" t="s">
        <v>637</v>
      </c>
      <c r="D379" s="11" t="s">
        <v>601</v>
      </c>
      <c r="E379" s="12" t="s">
        <v>105</v>
      </c>
      <c r="F379" s="12" t="s">
        <v>33</v>
      </c>
      <c r="G379" s="12">
        <v>6</v>
      </c>
      <c r="H379" s="13">
        <v>0.20951388888888889</v>
      </c>
      <c r="I379" s="13">
        <v>9.8935185185185182E-2</v>
      </c>
      <c r="J379" s="13">
        <v>1.6489197530864197E-2</v>
      </c>
      <c r="K379" s="13">
        <v>0.13599537037037038</v>
      </c>
      <c r="L379" s="14">
        <v>0.64909954701137995</v>
      </c>
      <c r="M379" s="12" t="s">
        <v>334</v>
      </c>
      <c r="N379" s="13">
        <v>4.6643518518518518E-3</v>
      </c>
      <c r="O379" s="13">
        <v>1.5231481481481481E-2</v>
      </c>
      <c r="P379" s="13"/>
      <c r="Q379" s="13"/>
      <c r="R379" s="13"/>
      <c r="S379" s="13">
        <v>1.4918981481481481E-2</v>
      </c>
      <c r="T379" s="13">
        <v>6.018518518518519E-4</v>
      </c>
      <c r="U379" s="13">
        <v>6.2986111111111118E-2</v>
      </c>
      <c r="V379" s="13"/>
      <c r="W379" s="13">
        <v>3.7592592592592594E-2</v>
      </c>
    </row>
    <row r="380" spans="1:23" ht="15" customHeight="1" x14ac:dyDescent="0.25">
      <c r="A380" s="19">
        <v>46239</v>
      </c>
      <c r="B380" s="11" t="s">
        <v>209</v>
      </c>
      <c r="C380" s="12" t="s">
        <v>567</v>
      </c>
      <c r="D380" s="11" t="s">
        <v>601</v>
      </c>
      <c r="E380" s="12" t="s">
        <v>105</v>
      </c>
      <c r="F380" s="12" t="s">
        <v>33</v>
      </c>
      <c r="G380" s="12">
        <v>8</v>
      </c>
      <c r="H380" s="13">
        <v>0.24094907407407407</v>
      </c>
      <c r="I380" s="13">
        <v>0.18759259259259259</v>
      </c>
      <c r="J380" s="13">
        <v>2.3449074074074074E-2</v>
      </c>
      <c r="K380" s="13">
        <v>0.10803240740740741</v>
      </c>
      <c r="L380" s="14">
        <v>0.44836199442789898</v>
      </c>
      <c r="M380" s="12" t="s">
        <v>334</v>
      </c>
      <c r="N380" s="13">
        <v>7.1643518518518514E-3</v>
      </c>
      <c r="O380" s="13">
        <v>8.1828703703703699E-3</v>
      </c>
      <c r="P380" s="13">
        <v>2.2280092592592591E-2</v>
      </c>
      <c r="Q380" s="13"/>
      <c r="R380" s="13"/>
      <c r="S380" s="13"/>
      <c r="T380" s="13">
        <v>7.013888888888889E-3</v>
      </c>
      <c r="U380" s="13">
        <v>6.33912037037037E-2</v>
      </c>
      <c r="V380" s="13"/>
      <c r="W380" s="13"/>
    </row>
    <row r="381" spans="1:23" ht="15" customHeight="1" x14ac:dyDescent="0.25">
      <c r="A381" s="19">
        <v>46239</v>
      </c>
      <c r="B381" s="11" t="s">
        <v>60</v>
      </c>
      <c r="C381" s="12" t="s">
        <v>510</v>
      </c>
      <c r="D381" s="11" t="s">
        <v>100</v>
      </c>
      <c r="E381" s="12" t="s">
        <v>32</v>
      </c>
      <c r="F381" s="12" t="s">
        <v>33</v>
      </c>
      <c r="G381" s="12">
        <v>39</v>
      </c>
      <c r="H381" s="13">
        <v>0.26583333333333331</v>
      </c>
      <c r="I381" s="13">
        <v>0.25423611111111111</v>
      </c>
      <c r="J381" s="13">
        <v>6.5188746438746437E-3</v>
      </c>
      <c r="K381" s="13">
        <v>3.1944444444444442E-2</v>
      </c>
      <c r="L381" s="14">
        <v>0.12016718913270638</v>
      </c>
      <c r="M381" s="12" t="s">
        <v>334</v>
      </c>
      <c r="N381" s="13">
        <v>1.8518518518518519E-3</v>
      </c>
      <c r="O381" s="13">
        <v>1.361111111111111E-2</v>
      </c>
      <c r="P381" s="13"/>
      <c r="Q381" s="13"/>
      <c r="R381" s="13"/>
      <c r="S381" s="13">
        <v>1.4317129629629629E-2</v>
      </c>
      <c r="T381" s="13">
        <v>1.273148148148148E-4</v>
      </c>
      <c r="U381" s="13">
        <v>2.0023148148148148E-3</v>
      </c>
      <c r="V381" s="13"/>
      <c r="W381" s="13"/>
    </row>
    <row r="382" spans="1:23" ht="15" customHeight="1" x14ac:dyDescent="0.25">
      <c r="A382" s="19">
        <v>46239</v>
      </c>
      <c r="B382" s="11" t="s">
        <v>132</v>
      </c>
      <c r="C382" s="12" t="s">
        <v>512</v>
      </c>
      <c r="D382" s="11" t="s">
        <v>104</v>
      </c>
      <c r="E382" s="12" t="s">
        <v>105</v>
      </c>
      <c r="F382" s="12" t="s">
        <v>106</v>
      </c>
      <c r="G382" s="12">
        <v>14</v>
      </c>
      <c r="H382" s="13">
        <v>0.25219907407407405</v>
      </c>
      <c r="I382" s="13">
        <v>0.21025462962962962</v>
      </c>
      <c r="J382" s="13">
        <v>1.501818783068783E-2</v>
      </c>
      <c r="K382" s="13">
        <v>7.0219907407407411E-2</v>
      </c>
      <c r="L382" s="14">
        <v>0.27843047269389631</v>
      </c>
      <c r="M382" s="12" t="s">
        <v>334</v>
      </c>
      <c r="N382" s="13">
        <v>4.0046296296296297E-3</v>
      </c>
      <c r="O382" s="13">
        <v>8.7962962962962968E-3</v>
      </c>
      <c r="P382" s="13">
        <v>1.545138888888889E-2</v>
      </c>
      <c r="Q382" s="13"/>
      <c r="R382" s="13"/>
      <c r="S382" s="13">
        <v>1.4548611111111111E-2</v>
      </c>
      <c r="T382" s="13">
        <v>1.0625000000000001E-2</v>
      </c>
      <c r="U382" s="13">
        <v>1.1481481481481481E-2</v>
      </c>
      <c r="V382" s="13"/>
      <c r="W382" s="13">
        <v>5.3125000000000004E-3</v>
      </c>
    </row>
    <row r="383" spans="1:23" ht="15" customHeight="1" x14ac:dyDescent="0.25">
      <c r="A383" s="19">
        <v>46239</v>
      </c>
      <c r="B383" s="11" t="s">
        <v>134</v>
      </c>
      <c r="C383" s="12" t="s">
        <v>560</v>
      </c>
      <c r="D383" s="11" t="s">
        <v>104</v>
      </c>
      <c r="E383" s="12" t="s">
        <v>105</v>
      </c>
      <c r="F383" s="12" t="s">
        <v>106</v>
      </c>
      <c r="G383" s="12">
        <v>17</v>
      </c>
      <c r="H383" s="13">
        <v>0.26318287037037036</v>
      </c>
      <c r="I383" s="13">
        <v>0.24490740740740741</v>
      </c>
      <c r="J383" s="13">
        <v>1.4406318082788671E-2</v>
      </c>
      <c r="K383" s="13">
        <v>6.0763888888888888E-2</v>
      </c>
      <c r="L383" s="14">
        <v>0.23088086547341571</v>
      </c>
      <c r="M383" s="12" t="s">
        <v>334</v>
      </c>
      <c r="N383" s="13">
        <v>1.6168981481481482E-2</v>
      </c>
      <c r="O383" s="13">
        <v>1.5104166666666667E-2</v>
      </c>
      <c r="P383" s="13">
        <v>3.1712962962962962E-3</v>
      </c>
      <c r="Q383" s="13"/>
      <c r="R383" s="13"/>
      <c r="S383" s="13">
        <v>1.1307870370370371E-2</v>
      </c>
      <c r="T383" s="13">
        <v>6.0185185185185185E-3</v>
      </c>
      <c r="U383" s="13">
        <v>5.5787037037037038E-3</v>
      </c>
      <c r="V383" s="13"/>
      <c r="W383" s="13">
        <v>3.4027777777777776E-3</v>
      </c>
    </row>
    <row r="384" spans="1:23" ht="15" customHeight="1" x14ac:dyDescent="0.25">
      <c r="A384" s="19">
        <v>46239</v>
      </c>
      <c r="B384" s="11" t="s">
        <v>211</v>
      </c>
      <c r="C384" s="12" t="s">
        <v>546</v>
      </c>
      <c r="D384" s="11" t="s">
        <v>104</v>
      </c>
      <c r="E384" s="12" t="s">
        <v>105</v>
      </c>
      <c r="F384" s="12" t="s">
        <v>106</v>
      </c>
      <c r="G384" s="12">
        <v>9</v>
      </c>
      <c r="H384" s="13">
        <v>0.21635416666666665</v>
      </c>
      <c r="I384" s="13">
        <v>0.10956018518518519</v>
      </c>
      <c r="J384" s="13">
        <v>1.2173353909465022E-2</v>
      </c>
      <c r="K384" s="13">
        <v>7.5543981481481476E-2</v>
      </c>
      <c r="L384" s="14">
        <v>0.34916813780559569</v>
      </c>
      <c r="M384" s="12" t="s">
        <v>334</v>
      </c>
      <c r="N384" s="13"/>
      <c r="O384" s="13">
        <v>7.4421296296296293E-3</v>
      </c>
      <c r="P384" s="13"/>
      <c r="Q384" s="13"/>
      <c r="R384" s="13"/>
      <c r="S384" s="13">
        <v>1.3773148148148149E-2</v>
      </c>
      <c r="T384" s="13">
        <v>1.9328703703703704E-3</v>
      </c>
      <c r="U384" s="13">
        <v>3.1481481481481482E-3</v>
      </c>
      <c r="V384" s="13"/>
      <c r="W384" s="13">
        <v>4.9247685185185186E-2</v>
      </c>
    </row>
    <row r="385" spans="1:23" ht="15" customHeight="1" x14ac:dyDescent="0.25">
      <c r="A385" s="19">
        <v>46239</v>
      </c>
      <c r="B385" s="11" t="s">
        <v>617</v>
      </c>
      <c r="C385" s="12" t="s">
        <v>638</v>
      </c>
      <c r="D385" s="11" t="s">
        <v>601</v>
      </c>
      <c r="E385" s="12" t="s">
        <v>105</v>
      </c>
      <c r="F385" s="12" t="s">
        <v>33</v>
      </c>
      <c r="G385" s="12">
        <v>8</v>
      </c>
      <c r="H385" s="13">
        <v>0.25829861111111113</v>
      </c>
      <c r="I385" s="13">
        <v>0.21314814814814814</v>
      </c>
      <c r="J385" s="13">
        <v>2.6643518518518518E-2</v>
      </c>
      <c r="K385" s="13">
        <v>0.12965277777777778</v>
      </c>
      <c r="L385" s="14">
        <v>0.50194918671864497</v>
      </c>
      <c r="M385" s="12" t="s">
        <v>334</v>
      </c>
      <c r="N385" s="13">
        <v>8.7037037037037031E-3</v>
      </c>
      <c r="O385" s="13">
        <v>1.5844907407407408E-2</v>
      </c>
      <c r="P385" s="13"/>
      <c r="Q385" s="13"/>
      <c r="R385" s="13"/>
      <c r="S385" s="13">
        <v>1.2800925925925926E-2</v>
      </c>
      <c r="T385" s="13">
        <v>6.5972222222222224E-4</v>
      </c>
      <c r="U385" s="13">
        <v>4.9560185185185186E-2</v>
      </c>
      <c r="V385" s="13"/>
      <c r="W385" s="13">
        <v>4.2083333333333334E-2</v>
      </c>
    </row>
    <row r="386" spans="1:23" ht="15" customHeight="1" x14ac:dyDescent="0.25">
      <c r="A386" s="19">
        <v>46239</v>
      </c>
      <c r="B386" s="11" t="s">
        <v>136</v>
      </c>
      <c r="C386" s="12" t="s">
        <v>561</v>
      </c>
      <c r="D386" s="11" t="s">
        <v>104</v>
      </c>
      <c r="E386" s="12" t="s">
        <v>105</v>
      </c>
      <c r="F386" s="12" t="s">
        <v>106</v>
      </c>
      <c r="G386" s="12">
        <v>15</v>
      </c>
      <c r="H386" s="13">
        <v>0.26200231481481484</v>
      </c>
      <c r="I386" s="13">
        <v>0.24032407407407408</v>
      </c>
      <c r="J386" s="13">
        <v>1.6021604938271605E-2</v>
      </c>
      <c r="K386" s="13">
        <v>8.324074074074074E-2</v>
      </c>
      <c r="L386" s="14">
        <v>0.31770994389715951</v>
      </c>
      <c r="M386" s="12" t="s">
        <v>334</v>
      </c>
      <c r="N386" s="13">
        <v>2.6157407407407405E-3</v>
      </c>
      <c r="O386" s="13">
        <v>1.6006944444444445E-2</v>
      </c>
      <c r="P386" s="13"/>
      <c r="Q386" s="13">
        <v>9.7685185185185184E-3</v>
      </c>
      <c r="R386" s="13"/>
      <c r="S386" s="13">
        <v>1.3900462962962963E-2</v>
      </c>
      <c r="T386" s="13">
        <v>1.6203703703703703E-4</v>
      </c>
      <c r="U386" s="13">
        <v>8.1018518518518516E-4</v>
      </c>
      <c r="V386" s="13"/>
      <c r="W386" s="13">
        <v>3.9976851851851854E-2</v>
      </c>
    </row>
    <row r="387" spans="1:23" ht="15" customHeight="1" x14ac:dyDescent="0.25">
      <c r="A387" s="19">
        <v>46239</v>
      </c>
      <c r="B387" s="11" t="s">
        <v>618</v>
      </c>
      <c r="C387" s="12" t="s">
        <v>639</v>
      </c>
      <c r="D387" s="11" t="s">
        <v>601</v>
      </c>
      <c r="E387" s="12" t="s">
        <v>105</v>
      </c>
      <c r="F387" s="12" t="s">
        <v>33</v>
      </c>
      <c r="G387" s="12">
        <v>11</v>
      </c>
      <c r="H387" s="13">
        <v>0.23627314814814815</v>
      </c>
      <c r="I387" s="13">
        <v>0.16</v>
      </c>
      <c r="J387" s="13">
        <v>1.4545454545454545E-2</v>
      </c>
      <c r="K387" s="13">
        <v>0.16394675925925925</v>
      </c>
      <c r="L387" s="14">
        <v>0.69388654844714404</v>
      </c>
      <c r="M387" s="12" t="s">
        <v>334</v>
      </c>
      <c r="N387" s="13">
        <v>4.1435185185185186E-3</v>
      </c>
      <c r="O387" s="13">
        <v>2.3969907407407409E-2</v>
      </c>
      <c r="P387" s="13"/>
      <c r="Q387" s="13"/>
      <c r="R387" s="13"/>
      <c r="S387" s="13">
        <v>1.7256944444444443E-2</v>
      </c>
      <c r="T387" s="13">
        <v>9.4560185185185181E-3</v>
      </c>
      <c r="U387" s="13">
        <v>9.1909722222222226E-2</v>
      </c>
      <c r="V387" s="13"/>
      <c r="W387" s="13">
        <v>1.7210648148148149E-2</v>
      </c>
    </row>
    <row r="388" spans="1:23" ht="15" customHeight="1" x14ac:dyDescent="0.25">
      <c r="A388" s="19">
        <v>46239</v>
      </c>
      <c r="B388" s="11" t="s">
        <v>501</v>
      </c>
      <c r="C388" s="12" t="s">
        <v>524</v>
      </c>
      <c r="D388" s="11" t="s">
        <v>274</v>
      </c>
      <c r="E388" s="12" t="s">
        <v>147</v>
      </c>
      <c r="F388" s="12" t="s">
        <v>33</v>
      </c>
      <c r="G388" s="12">
        <v>26</v>
      </c>
      <c r="H388" s="13">
        <v>0.29920138888888886</v>
      </c>
      <c r="I388" s="13">
        <v>5.679398148148148E-2</v>
      </c>
      <c r="J388" s="13">
        <v>2.184383903133903E-3</v>
      </c>
      <c r="K388" s="13">
        <v>4.1365740740740738E-2</v>
      </c>
      <c r="L388" s="14">
        <v>0.1382538393098913</v>
      </c>
      <c r="M388" s="12" t="s">
        <v>334</v>
      </c>
      <c r="N388" s="13">
        <v>5.9027777777777778E-4</v>
      </c>
      <c r="O388" s="13">
        <v>1.7569444444444443E-2</v>
      </c>
      <c r="P388" s="13"/>
      <c r="Q388" s="13">
        <v>6.7129629629629631E-3</v>
      </c>
      <c r="R388" s="13">
        <v>2.5694444444444445E-3</v>
      </c>
      <c r="S388" s="13">
        <v>1.3043981481481481E-2</v>
      </c>
      <c r="T388" s="13">
        <v>2.8935185185185184E-4</v>
      </c>
      <c r="U388" s="13">
        <v>1.3888888888888889E-4</v>
      </c>
      <c r="V388" s="13"/>
      <c r="W388" s="13"/>
    </row>
    <row r="389" spans="1:23" ht="15" customHeight="1" x14ac:dyDescent="0.25">
      <c r="A389" s="19">
        <v>46239</v>
      </c>
      <c r="B389" s="11" t="s">
        <v>213</v>
      </c>
      <c r="C389" s="12" t="s">
        <v>572</v>
      </c>
      <c r="D389" s="11" t="s">
        <v>601</v>
      </c>
      <c r="E389" s="12" t="s">
        <v>105</v>
      </c>
      <c r="F389" s="12" t="s">
        <v>33</v>
      </c>
      <c r="G389" s="12">
        <v>20</v>
      </c>
      <c r="H389" s="13">
        <v>0.27886574074074072</v>
      </c>
      <c r="I389" s="13">
        <v>0.25626157407407407</v>
      </c>
      <c r="J389" s="13">
        <v>1.2813078703703703E-2</v>
      </c>
      <c r="K389" s="13">
        <v>0.16875000000000001</v>
      </c>
      <c r="L389" s="14">
        <v>0.60512990786087828</v>
      </c>
      <c r="M389" s="12" t="s">
        <v>334</v>
      </c>
      <c r="N389" s="13">
        <v>1.1875E-2</v>
      </c>
      <c r="O389" s="13">
        <v>1.0937499999999999E-2</v>
      </c>
      <c r="P389" s="13"/>
      <c r="Q389" s="13">
        <v>1.7060185185185185E-2</v>
      </c>
      <c r="R389" s="13"/>
      <c r="S389" s="13">
        <v>1.7604166666666667E-2</v>
      </c>
      <c r="T389" s="13">
        <v>6.7939814814814816E-3</v>
      </c>
      <c r="U389" s="13">
        <v>4.0115740740740743E-2</v>
      </c>
      <c r="V389" s="13"/>
      <c r="W389" s="13">
        <v>6.4363425925925921E-2</v>
      </c>
    </row>
    <row r="390" spans="1:23" ht="15" customHeight="1" x14ac:dyDescent="0.25">
      <c r="A390" s="19">
        <v>46239</v>
      </c>
      <c r="B390" s="11" t="s">
        <v>215</v>
      </c>
      <c r="C390" s="12" t="s">
        <v>547</v>
      </c>
      <c r="D390" s="11" t="s">
        <v>601</v>
      </c>
      <c r="E390" s="12" t="s">
        <v>105</v>
      </c>
      <c r="F390" s="12" t="s">
        <v>33</v>
      </c>
      <c r="G390" s="12">
        <v>9</v>
      </c>
      <c r="H390" s="13">
        <v>0.24224537037037036</v>
      </c>
      <c r="I390" s="13">
        <v>0.15520833333333334</v>
      </c>
      <c r="J390" s="13">
        <v>1.7245370370370369E-2</v>
      </c>
      <c r="K390" s="13">
        <v>0.13464120370370369</v>
      </c>
      <c r="L390" s="14">
        <v>0.55580506450071665</v>
      </c>
      <c r="M390" s="12" t="s">
        <v>334</v>
      </c>
      <c r="N390" s="13">
        <v>7.5347222222222222E-3</v>
      </c>
      <c r="O390" s="13">
        <v>2.7025462962962963E-2</v>
      </c>
      <c r="P390" s="13"/>
      <c r="Q390" s="13"/>
      <c r="R390" s="13"/>
      <c r="S390" s="13">
        <v>2.7141203703703702E-2</v>
      </c>
      <c r="T390" s="13">
        <v>6.0416666666666665E-3</v>
      </c>
      <c r="U390" s="13">
        <v>5.5925925925925928E-2</v>
      </c>
      <c r="V390" s="13"/>
      <c r="W390" s="13">
        <v>1.0972222222222222E-2</v>
      </c>
    </row>
    <row r="391" spans="1:23" ht="15" customHeight="1" x14ac:dyDescent="0.25">
      <c r="A391" s="19">
        <v>46239</v>
      </c>
      <c r="B391" s="11" t="s">
        <v>619</v>
      </c>
      <c r="C391" s="12" t="s">
        <v>640</v>
      </c>
      <c r="D391" s="11" t="s">
        <v>601</v>
      </c>
      <c r="E391" s="12" t="s">
        <v>105</v>
      </c>
      <c r="F391" s="12" t="s">
        <v>33</v>
      </c>
      <c r="G391" s="12">
        <v>9</v>
      </c>
      <c r="H391" s="13">
        <v>0.21211805555555555</v>
      </c>
      <c r="I391" s="13">
        <v>0.12883101851851853</v>
      </c>
      <c r="J391" s="13">
        <v>1.4314557613168724E-2</v>
      </c>
      <c r="K391" s="13">
        <v>0.16091435185185185</v>
      </c>
      <c r="L391" s="14">
        <v>0.75860751896109568</v>
      </c>
      <c r="M391" s="12" t="s">
        <v>334</v>
      </c>
      <c r="N391" s="13"/>
      <c r="O391" s="13">
        <v>4.2708333333333331E-3</v>
      </c>
      <c r="P391" s="13"/>
      <c r="Q391" s="13"/>
      <c r="R391" s="13"/>
      <c r="S391" s="13">
        <v>2.2488425925925926E-2</v>
      </c>
      <c r="T391" s="13">
        <v>2.1759259259259258E-3</v>
      </c>
      <c r="U391" s="13">
        <v>2.3113425925925926E-2</v>
      </c>
      <c r="V391" s="13"/>
      <c r="W391" s="13">
        <v>0.10886574074074074</v>
      </c>
    </row>
    <row r="392" spans="1:23" ht="15" customHeight="1" x14ac:dyDescent="0.25">
      <c r="A392" s="19">
        <v>46239</v>
      </c>
      <c r="B392" s="11" t="s">
        <v>668</v>
      </c>
      <c r="C392" s="12" t="s">
        <v>669</v>
      </c>
      <c r="D392" s="11" t="s">
        <v>233</v>
      </c>
      <c r="E392" s="12" t="s">
        <v>32</v>
      </c>
      <c r="F392" s="12" t="s">
        <v>106</v>
      </c>
      <c r="G392" s="12">
        <v>21</v>
      </c>
      <c r="H392" s="13">
        <v>0.22640046296296296</v>
      </c>
      <c r="I392" s="13">
        <v>9.0983796296296299E-2</v>
      </c>
      <c r="J392" s="13">
        <v>4.3325617283950617E-3</v>
      </c>
      <c r="K392" s="13">
        <v>7.946759259259259E-2</v>
      </c>
      <c r="L392" s="14">
        <v>0.35100454986963858</v>
      </c>
      <c r="M392" s="12" t="s">
        <v>334</v>
      </c>
      <c r="N392" s="13">
        <v>2.1990740740740742E-3</v>
      </c>
      <c r="O392" s="13">
        <v>6.7824074074074071E-3</v>
      </c>
      <c r="P392" s="13"/>
      <c r="Q392" s="13">
        <v>9.479166666666667E-3</v>
      </c>
      <c r="R392" s="13"/>
      <c r="S392" s="13">
        <v>1.3113425925925926E-2</v>
      </c>
      <c r="T392" s="13">
        <v>1.1759259259259259E-2</v>
      </c>
      <c r="U392" s="13">
        <v>3.3796296296296296E-3</v>
      </c>
      <c r="V392" s="13"/>
      <c r="W392" s="13">
        <v>3.2743055555555553E-2</v>
      </c>
    </row>
    <row r="393" spans="1:23" ht="15" customHeight="1" x14ac:dyDescent="0.25">
      <c r="A393" s="19">
        <v>46239</v>
      </c>
      <c r="B393" s="11" t="s">
        <v>744</v>
      </c>
      <c r="C393" s="12" t="s">
        <v>670</v>
      </c>
      <c r="D393" s="11" t="s">
        <v>100</v>
      </c>
      <c r="E393" s="12" t="s">
        <v>32</v>
      </c>
      <c r="F393" s="12" t="s">
        <v>33</v>
      </c>
      <c r="G393" s="12">
        <v>27</v>
      </c>
      <c r="H393" s="13">
        <v>0.26175925925925925</v>
      </c>
      <c r="I393" s="13">
        <v>0.20034722222222223</v>
      </c>
      <c r="J393" s="13">
        <v>7.4202674897119346E-3</v>
      </c>
      <c r="K393" s="13">
        <v>5.859953703703704E-2</v>
      </c>
      <c r="L393" s="14">
        <v>0.22386805801202692</v>
      </c>
      <c r="M393" s="12" t="s">
        <v>334</v>
      </c>
      <c r="N393" s="13">
        <v>2.2754629629629628E-2</v>
      </c>
      <c r="O393" s="13">
        <v>1.4409722222222223E-2</v>
      </c>
      <c r="P393" s="13"/>
      <c r="Q393" s="13"/>
      <c r="R393" s="13"/>
      <c r="S393" s="13">
        <v>1.3993055555555555E-2</v>
      </c>
      <c r="T393" s="13">
        <v>3.8194444444444446E-4</v>
      </c>
      <c r="U393" s="13">
        <v>7.037037037037037E-3</v>
      </c>
      <c r="V393" s="13"/>
      <c r="W393" s="13"/>
    </row>
    <row r="394" spans="1:23" ht="15" customHeight="1" x14ac:dyDescent="0.25">
      <c r="A394" s="19">
        <v>46239</v>
      </c>
      <c r="B394" s="11" t="s">
        <v>219</v>
      </c>
      <c r="C394" s="12" t="s">
        <v>548</v>
      </c>
      <c r="D394" s="11" t="s">
        <v>104</v>
      </c>
      <c r="E394" s="12" t="s">
        <v>105</v>
      </c>
      <c r="F394" s="12" t="s">
        <v>106</v>
      </c>
      <c r="G394" s="12">
        <v>9</v>
      </c>
      <c r="H394" s="13">
        <v>0.1922800925925926</v>
      </c>
      <c r="I394" s="13">
        <v>9.6539351851851848E-2</v>
      </c>
      <c r="J394" s="13">
        <v>1.0726594650205762E-2</v>
      </c>
      <c r="K394" s="13">
        <v>9.5289351851851847E-2</v>
      </c>
      <c r="L394" s="14">
        <v>0.49557575392764697</v>
      </c>
      <c r="M394" s="12" t="s">
        <v>334</v>
      </c>
      <c r="N394" s="13">
        <v>1.0844907407407407E-2</v>
      </c>
      <c r="O394" s="13">
        <v>1.1585648148148149E-2</v>
      </c>
      <c r="P394" s="13">
        <v>3.5763888888888889E-3</v>
      </c>
      <c r="Q394" s="13"/>
      <c r="R394" s="13"/>
      <c r="S394" s="13">
        <v>1.7407407407407406E-2</v>
      </c>
      <c r="T394" s="13">
        <v>2.2685185185185187E-3</v>
      </c>
      <c r="U394" s="13"/>
      <c r="V394" s="13"/>
      <c r="W394" s="13">
        <v>4.9606481481481481E-2</v>
      </c>
    </row>
    <row r="395" spans="1:23" ht="15" customHeight="1" x14ac:dyDescent="0.25">
      <c r="A395" s="19">
        <v>46239</v>
      </c>
      <c r="B395" s="11" t="s">
        <v>305</v>
      </c>
      <c r="C395" s="12" t="s">
        <v>306</v>
      </c>
      <c r="D395" s="11" t="s">
        <v>100</v>
      </c>
      <c r="E395" s="12" t="s">
        <v>32</v>
      </c>
      <c r="F395" s="12" t="s">
        <v>33</v>
      </c>
      <c r="G395" s="12">
        <v>46</v>
      </c>
      <c r="H395" s="13">
        <v>0.26266203703703705</v>
      </c>
      <c r="I395" s="13">
        <v>0.27462962962962961</v>
      </c>
      <c r="J395" s="13">
        <v>5.9702093397745572E-3</v>
      </c>
      <c r="K395" s="13">
        <v>4.2604166666666665E-2</v>
      </c>
      <c r="L395" s="14">
        <v>0.1622014629417467</v>
      </c>
      <c r="M395" s="12" t="s">
        <v>334</v>
      </c>
      <c r="N395" s="13">
        <v>9.7453703703703695E-3</v>
      </c>
      <c r="O395" s="13">
        <v>1.638888888888889E-2</v>
      </c>
      <c r="P395" s="13"/>
      <c r="Q395" s="13"/>
      <c r="R395" s="13"/>
      <c r="S395" s="13">
        <v>1.6099537037037037E-2</v>
      </c>
      <c r="T395" s="13">
        <v>3.7037037037037035E-4</v>
      </c>
      <c r="U395" s="13"/>
      <c r="V395" s="13"/>
      <c r="W395" s="13"/>
    </row>
    <row r="396" spans="1:23" ht="15" customHeight="1" x14ac:dyDescent="0.25">
      <c r="A396" s="19">
        <v>46239</v>
      </c>
      <c r="B396" s="11" t="s">
        <v>620</v>
      </c>
      <c r="C396" s="12" t="s">
        <v>641</v>
      </c>
      <c r="D396" s="11" t="s">
        <v>601</v>
      </c>
      <c r="E396" s="12" t="s">
        <v>105</v>
      </c>
      <c r="F396" s="12" t="s">
        <v>33</v>
      </c>
      <c r="G396" s="12">
        <v>12</v>
      </c>
      <c r="H396" s="13">
        <v>0.22755787037037037</v>
      </c>
      <c r="I396" s="13">
        <v>0.16149305555555554</v>
      </c>
      <c r="J396" s="13">
        <v>1.3457754629629629E-2</v>
      </c>
      <c r="K396" s="13">
        <v>0.15979166666666667</v>
      </c>
      <c r="L396" s="14">
        <v>0.7022023294847668</v>
      </c>
      <c r="M396" s="12" t="s">
        <v>334</v>
      </c>
      <c r="N396" s="13">
        <v>7.0254629629629634E-3</v>
      </c>
      <c r="O396" s="13">
        <v>1.7453703703703704E-2</v>
      </c>
      <c r="P396" s="13"/>
      <c r="Q396" s="13"/>
      <c r="R396" s="13"/>
      <c r="S396" s="13">
        <v>1.4699074074074074E-3</v>
      </c>
      <c r="T396" s="13">
        <v>4.5787037037037036E-2</v>
      </c>
      <c r="U396" s="13">
        <v>3.7256944444444447E-2</v>
      </c>
      <c r="V396" s="13"/>
      <c r="W396" s="13">
        <v>5.0798611111111114E-2</v>
      </c>
    </row>
    <row r="397" spans="1:23" ht="15" customHeight="1" x14ac:dyDescent="0.25">
      <c r="A397" s="19">
        <v>46239</v>
      </c>
      <c r="B397" s="11" t="s">
        <v>138</v>
      </c>
      <c r="C397" s="12" t="s">
        <v>556</v>
      </c>
      <c r="D397" s="11" t="s">
        <v>104</v>
      </c>
      <c r="E397" s="12" t="s">
        <v>105</v>
      </c>
      <c r="F397" s="12" t="s">
        <v>106</v>
      </c>
      <c r="G397" s="12">
        <v>22</v>
      </c>
      <c r="H397" s="13">
        <v>0.24997685185185184</v>
      </c>
      <c r="I397" s="13">
        <v>0.27988425925925925</v>
      </c>
      <c r="J397" s="13">
        <v>1.2722011784511784E-2</v>
      </c>
      <c r="K397" s="13">
        <v>6.4861111111111105E-2</v>
      </c>
      <c r="L397" s="14">
        <v>0.25946846930271322</v>
      </c>
      <c r="M397" s="12" t="s">
        <v>334</v>
      </c>
      <c r="N397" s="13">
        <v>2.0694444444444446E-2</v>
      </c>
      <c r="O397" s="13">
        <v>8.4143518518518517E-3</v>
      </c>
      <c r="P397" s="13"/>
      <c r="Q397" s="13"/>
      <c r="R397" s="13">
        <v>1.0185185185185186E-2</v>
      </c>
      <c r="S397" s="13">
        <v>1.357638888888889E-2</v>
      </c>
      <c r="T397" s="13">
        <v>9.0624999999999994E-3</v>
      </c>
      <c r="U397" s="13">
        <v>5.6712962962962967E-4</v>
      </c>
      <c r="V397" s="13"/>
      <c r="W397" s="13">
        <v>2.3611111111111111E-3</v>
      </c>
    </row>
    <row r="398" spans="1:23" ht="15" customHeight="1" x14ac:dyDescent="0.25">
      <c r="A398" s="19">
        <v>46239</v>
      </c>
      <c r="B398" s="11" t="s">
        <v>276</v>
      </c>
      <c r="C398" s="12" t="s">
        <v>532</v>
      </c>
      <c r="D398" s="11" t="s">
        <v>233</v>
      </c>
      <c r="E398" s="12" t="s">
        <v>32</v>
      </c>
      <c r="F398" s="12" t="s">
        <v>106</v>
      </c>
      <c r="G398" s="12">
        <v>26</v>
      </c>
      <c r="H398" s="13">
        <v>0.24767361111111111</v>
      </c>
      <c r="I398" s="13">
        <v>8.835648148148148E-2</v>
      </c>
      <c r="J398" s="13">
        <v>3.3983262108262108E-3</v>
      </c>
      <c r="K398" s="13">
        <v>9.2175925925925925E-2</v>
      </c>
      <c r="L398" s="14">
        <v>0.37216692368802279</v>
      </c>
      <c r="M398" s="12" t="s">
        <v>334</v>
      </c>
      <c r="N398" s="13">
        <v>9.4560185185185181E-3</v>
      </c>
      <c r="O398" s="13">
        <v>8.1250000000000003E-3</v>
      </c>
      <c r="P398" s="13"/>
      <c r="Q398" s="13"/>
      <c r="R398" s="13"/>
      <c r="S398" s="13">
        <v>1.1261574074074075E-2</v>
      </c>
      <c r="T398" s="13">
        <v>2.1122685185185185E-2</v>
      </c>
      <c r="U398" s="13"/>
      <c r="V398" s="13"/>
      <c r="W398" s="13">
        <v>4.221064814814815E-2</v>
      </c>
    </row>
    <row r="399" spans="1:23" ht="15" customHeight="1" x14ac:dyDescent="0.25">
      <c r="A399" s="19">
        <v>46239</v>
      </c>
      <c r="B399" s="11" t="s">
        <v>278</v>
      </c>
      <c r="C399" s="12" t="s">
        <v>533</v>
      </c>
      <c r="D399" s="11" t="s">
        <v>233</v>
      </c>
      <c r="E399" s="12" t="s">
        <v>32</v>
      </c>
      <c r="F399" s="12" t="s">
        <v>106</v>
      </c>
      <c r="G399" s="12">
        <v>24</v>
      </c>
      <c r="H399" s="13">
        <v>0.26526620370370368</v>
      </c>
      <c r="I399" s="13">
        <v>0.15878472222222223</v>
      </c>
      <c r="J399" s="13">
        <v>6.6160300925925926E-3</v>
      </c>
      <c r="K399" s="13">
        <v>3.6249999999999998E-2</v>
      </c>
      <c r="L399" s="14">
        <v>0.13665517692744011</v>
      </c>
      <c r="M399" s="12" t="s">
        <v>334</v>
      </c>
      <c r="N399" s="13">
        <v>3.8078703703703703E-3</v>
      </c>
      <c r="O399" s="13">
        <v>1.4525462962962962E-2</v>
      </c>
      <c r="P399" s="13"/>
      <c r="Q399" s="13">
        <v>1.8287037037037037E-3</v>
      </c>
      <c r="R399" s="13"/>
      <c r="S399" s="13">
        <v>1.4722222222222222E-2</v>
      </c>
      <c r="T399" s="13">
        <v>1.3657407407407407E-3</v>
      </c>
      <c r="U399" s="13"/>
      <c r="V399" s="13"/>
      <c r="W399" s="13"/>
    </row>
    <row r="400" spans="1:23" ht="15" customHeight="1" x14ac:dyDescent="0.25">
      <c r="A400" s="19">
        <v>46239</v>
      </c>
      <c r="B400" s="11" t="s">
        <v>313</v>
      </c>
      <c r="C400" s="12" t="s">
        <v>511</v>
      </c>
      <c r="D400" s="11" t="s">
        <v>78</v>
      </c>
      <c r="E400" s="12" t="s">
        <v>80</v>
      </c>
      <c r="F400" s="12" t="s">
        <v>81</v>
      </c>
      <c r="G400" s="12">
        <v>6</v>
      </c>
      <c r="H400" s="13">
        <v>0.23947916666666666</v>
      </c>
      <c r="I400" s="13">
        <v>9.479166666666667E-3</v>
      </c>
      <c r="J400" s="13">
        <v>1.5798611111111111E-3</v>
      </c>
      <c r="K400" s="13">
        <v>2.2893518518518518E-2</v>
      </c>
      <c r="L400" s="14">
        <v>9.5597119520564502E-2</v>
      </c>
      <c r="M400" s="12" t="s">
        <v>334</v>
      </c>
      <c r="N400" s="13"/>
      <c r="O400" s="13">
        <v>1.8217592592592594E-2</v>
      </c>
      <c r="P400" s="13"/>
      <c r="Q400" s="13"/>
      <c r="R400" s="13"/>
      <c r="S400" s="13">
        <v>3.6689814814814814E-3</v>
      </c>
      <c r="T400" s="13">
        <v>6.9444444444444444E-5</v>
      </c>
      <c r="U400" s="13">
        <v>9.2592592592592596E-4</v>
      </c>
      <c r="V400" s="13"/>
      <c r="W400" s="13"/>
    </row>
    <row r="401" spans="1:23" ht="15" customHeight="1" x14ac:dyDescent="0.25">
      <c r="A401" s="19">
        <v>46239</v>
      </c>
      <c r="B401" s="11" t="s">
        <v>673</v>
      </c>
      <c r="C401" s="12" t="s">
        <v>674</v>
      </c>
      <c r="D401" s="11" t="s">
        <v>104</v>
      </c>
      <c r="E401" s="12" t="s">
        <v>105</v>
      </c>
      <c r="F401" s="12" t="s">
        <v>106</v>
      </c>
      <c r="G401" s="12">
        <v>11</v>
      </c>
      <c r="H401" s="13">
        <v>0.25600694444444444</v>
      </c>
      <c r="I401" s="13">
        <v>0.18481481481481482</v>
      </c>
      <c r="J401" s="13">
        <v>1.6801346801346803E-2</v>
      </c>
      <c r="K401" s="13">
        <v>0.11967592592592592</v>
      </c>
      <c r="L401" s="14">
        <v>0.46747140467471404</v>
      </c>
      <c r="M401" s="12" t="s">
        <v>334</v>
      </c>
      <c r="N401" s="13">
        <v>5.3587962962962964E-3</v>
      </c>
      <c r="O401" s="13">
        <v>1.5636574074074074E-2</v>
      </c>
      <c r="P401" s="13"/>
      <c r="Q401" s="13"/>
      <c r="R401" s="13"/>
      <c r="S401" s="13">
        <v>1.6157407407407409E-2</v>
      </c>
      <c r="T401" s="13">
        <v>4.6296296296296294E-5</v>
      </c>
      <c r="U401" s="13">
        <v>1.273148148148148E-4</v>
      </c>
      <c r="V401" s="13"/>
      <c r="W401" s="13">
        <v>8.2349537037037041E-2</v>
      </c>
    </row>
    <row r="402" spans="1:23" ht="15" customHeight="1" x14ac:dyDescent="0.25">
      <c r="A402" s="19">
        <v>46239</v>
      </c>
      <c r="B402" s="11" t="s">
        <v>225</v>
      </c>
      <c r="C402" s="12" t="s">
        <v>549</v>
      </c>
      <c r="D402" s="11" t="s">
        <v>601</v>
      </c>
      <c r="E402" s="12" t="s">
        <v>105</v>
      </c>
      <c r="F402" s="12" t="s">
        <v>33</v>
      </c>
      <c r="G402" s="12">
        <v>9</v>
      </c>
      <c r="H402" s="13">
        <v>0.22325231481481481</v>
      </c>
      <c r="I402" s="13">
        <v>0.20053240740740741</v>
      </c>
      <c r="J402" s="13">
        <v>2.2281378600823045E-2</v>
      </c>
      <c r="K402" s="13">
        <v>7.4988425925925931E-2</v>
      </c>
      <c r="L402" s="14">
        <v>0.33589092228731404</v>
      </c>
      <c r="M402" s="12" t="s">
        <v>334</v>
      </c>
      <c r="N402" s="13">
        <v>4.2708333333333331E-3</v>
      </c>
      <c r="O402" s="13">
        <v>6.1342592592592594E-3</v>
      </c>
      <c r="P402" s="13"/>
      <c r="Q402" s="13"/>
      <c r="R402" s="13"/>
      <c r="S402" s="13">
        <v>1.3506944444444445E-2</v>
      </c>
      <c r="T402" s="13">
        <v>1.3888888888888889E-4</v>
      </c>
      <c r="U402" s="13">
        <v>8.564814814814815E-3</v>
      </c>
      <c r="V402" s="13"/>
      <c r="W402" s="13">
        <v>4.234953703703704E-2</v>
      </c>
    </row>
    <row r="403" spans="1:23" ht="15" customHeight="1" x14ac:dyDescent="0.25">
      <c r="A403" s="19">
        <v>46239</v>
      </c>
      <c r="B403" s="11" t="s">
        <v>70</v>
      </c>
      <c r="C403" s="12" t="s">
        <v>71</v>
      </c>
      <c r="D403" s="11" t="s">
        <v>78</v>
      </c>
      <c r="E403" s="12" t="s">
        <v>80</v>
      </c>
      <c r="F403" s="12" t="s">
        <v>33</v>
      </c>
      <c r="G403" s="12">
        <v>0</v>
      </c>
      <c r="H403" s="13">
        <v>0.34046296296296297</v>
      </c>
      <c r="I403" s="13">
        <v>0</v>
      </c>
      <c r="J403" s="13">
        <v>0</v>
      </c>
      <c r="K403" s="13">
        <v>0.1315162037037037</v>
      </c>
      <c r="L403" s="14">
        <v>0.38628637476203426</v>
      </c>
      <c r="M403" s="12" t="s">
        <v>334</v>
      </c>
      <c r="N403" s="13"/>
      <c r="O403" s="13">
        <v>4.297453703703704E-2</v>
      </c>
      <c r="P403" s="13"/>
      <c r="Q403" s="13"/>
      <c r="R403" s="13"/>
      <c r="S403" s="13">
        <v>1.7638888888888888E-2</v>
      </c>
      <c r="T403" s="13">
        <v>5.5185185185185184E-2</v>
      </c>
      <c r="U403" s="13">
        <v>1.5682870370370371E-2</v>
      </c>
      <c r="V403" s="13"/>
      <c r="W403" s="13"/>
    </row>
    <row r="404" spans="1:23" ht="15" customHeight="1" x14ac:dyDescent="0.25">
      <c r="A404" s="19">
        <v>46239</v>
      </c>
      <c r="B404" s="11" t="s">
        <v>280</v>
      </c>
      <c r="C404" s="12" t="s">
        <v>534</v>
      </c>
      <c r="D404" s="11" t="s">
        <v>233</v>
      </c>
      <c r="E404" s="12" t="s">
        <v>32</v>
      </c>
      <c r="F404" s="12" t="s">
        <v>106</v>
      </c>
      <c r="G404" s="12">
        <v>39</v>
      </c>
      <c r="H404" s="13">
        <v>0.25849537037037035</v>
      </c>
      <c r="I404" s="13">
        <v>0.13907407407407407</v>
      </c>
      <c r="J404" s="13">
        <v>3.5660018993352327E-3</v>
      </c>
      <c r="K404" s="13">
        <v>3.667824074074074E-2</v>
      </c>
      <c r="L404" s="14">
        <v>0.14189128682725891</v>
      </c>
      <c r="M404" s="12" t="s">
        <v>334</v>
      </c>
      <c r="N404" s="13">
        <v>2.3611111111111111E-3</v>
      </c>
      <c r="O404" s="13">
        <v>1.4513888888888889E-2</v>
      </c>
      <c r="P404" s="13"/>
      <c r="Q404" s="13"/>
      <c r="R404" s="13"/>
      <c r="S404" s="13">
        <v>1.4849537037037038E-2</v>
      </c>
      <c r="T404" s="13">
        <v>4.0509259259259258E-4</v>
      </c>
      <c r="U404" s="13"/>
      <c r="V404" s="13"/>
      <c r="W404" s="13">
        <v>4.5486111111111109E-3</v>
      </c>
    </row>
    <row r="405" spans="1:23" ht="15" customHeight="1" x14ac:dyDescent="0.25">
      <c r="A405" s="19">
        <v>46239</v>
      </c>
      <c r="B405" s="11" t="s">
        <v>299</v>
      </c>
      <c r="C405" s="12" t="s">
        <v>571</v>
      </c>
      <c r="D405" s="11" t="s">
        <v>104</v>
      </c>
      <c r="E405" s="12" t="s">
        <v>105</v>
      </c>
      <c r="F405" s="12" t="s">
        <v>106</v>
      </c>
      <c r="G405" s="12">
        <v>15</v>
      </c>
      <c r="H405" s="13">
        <v>0.26222222222222225</v>
      </c>
      <c r="I405" s="13">
        <v>0.25929398148148147</v>
      </c>
      <c r="J405" s="13">
        <v>1.7286265432098765E-2</v>
      </c>
      <c r="K405" s="13">
        <v>7.9629629629629634E-2</v>
      </c>
      <c r="L405" s="14">
        <v>0.3036723163841808</v>
      </c>
      <c r="M405" s="12" t="s">
        <v>334</v>
      </c>
      <c r="N405" s="13">
        <v>1.8402777777777777E-3</v>
      </c>
      <c r="O405" s="13">
        <v>1.425925925925926E-2</v>
      </c>
      <c r="P405" s="13"/>
      <c r="Q405" s="13"/>
      <c r="R405" s="13"/>
      <c r="S405" s="13">
        <v>1.4826388888888889E-2</v>
      </c>
      <c r="T405" s="13">
        <v>1.273148148148148E-4</v>
      </c>
      <c r="U405" s="13">
        <v>2.1238425925925924E-2</v>
      </c>
      <c r="V405" s="13"/>
      <c r="W405" s="13">
        <v>2.7337962962962963E-2</v>
      </c>
    </row>
    <row r="406" spans="1:23" ht="15" customHeight="1" x14ac:dyDescent="0.25">
      <c r="A406" s="19">
        <v>46239</v>
      </c>
      <c r="B406" s="11" t="s">
        <v>227</v>
      </c>
      <c r="C406" s="12" t="s">
        <v>557</v>
      </c>
      <c r="D406" s="11" t="s">
        <v>146</v>
      </c>
      <c r="E406" s="12" t="s">
        <v>147</v>
      </c>
      <c r="F406" s="12" t="s">
        <v>106</v>
      </c>
      <c r="G406" s="12">
        <v>11</v>
      </c>
      <c r="H406" s="13">
        <v>0.26290509259259259</v>
      </c>
      <c r="I406" s="13">
        <v>8.0810185185185179E-2</v>
      </c>
      <c r="J406" s="13">
        <v>7.3463804713804707E-3</v>
      </c>
      <c r="K406" s="13">
        <v>3.5648148148148151E-2</v>
      </c>
      <c r="L406" s="14">
        <v>0.13559322033898305</v>
      </c>
      <c r="M406" s="12" t="s">
        <v>334</v>
      </c>
      <c r="N406" s="13">
        <v>6.9097222222222225E-3</v>
      </c>
      <c r="O406" s="13">
        <v>6.7939814814814816E-3</v>
      </c>
      <c r="P406" s="13">
        <v>1.1574074074074073E-5</v>
      </c>
      <c r="Q406" s="13">
        <v>3.7847222222222223E-3</v>
      </c>
      <c r="R406" s="13">
        <v>3.4027777777777776E-3</v>
      </c>
      <c r="S406" s="13">
        <v>1.3854166666666667E-2</v>
      </c>
      <c r="T406" s="13">
        <v>1.1574074074074075E-4</v>
      </c>
      <c r="U406" s="13">
        <v>7.1759259259259259E-4</v>
      </c>
      <c r="V406" s="13"/>
      <c r="W406" s="13"/>
    </row>
    <row r="407" spans="1:23" ht="15" customHeight="1" x14ac:dyDescent="0.25">
      <c r="A407" s="19">
        <v>46239</v>
      </c>
      <c r="B407" s="11" t="s">
        <v>282</v>
      </c>
      <c r="C407" s="12" t="s">
        <v>535</v>
      </c>
      <c r="D407" s="11" t="s">
        <v>233</v>
      </c>
      <c r="E407" s="12" t="s">
        <v>32</v>
      </c>
      <c r="F407" s="12" t="s">
        <v>106</v>
      </c>
      <c r="G407" s="12">
        <v>30</v>
      </c>
      <c r="H407" s="13">
        <v>0.23754629629629628</v>
      </c>
      <c r="I407" s="13">
        <v>6.267361111111111E-2</v>
      </c>
      <c r="J407" s="13">
        <v>2.0891203703703705E-3</v>
      </c>
      <c r="K407" s="13">
        <v>8.1215277777777775E-2</v>
      </c>
      <c r="L407" s="14">
        <v>0.34189241863184566</v>
      </c>
      <c r="M407" s="12" t="s">
        <v>334</v>
      </c>
      <c r="N407" s="13">
        <v>5.2893518518518515E-3</v>
      </c>
      <c r="O407" s="13">
        <v>1.4687499999999999E-2</v>
      </c>
      <c r="P407" s="13"/>
      <c r="Q407" s="13"/>
      <c r="R407" s="13"/>
      <c r="S407" s="13">
        <v>1.5578703703703704E-2</v>
      </c>
      <c r="T407" s="13">
        <v>3.5648148148148149E-3</v>
      </c>
      <c r="U407" s="13"/>
      <c r="V407" s="13"/>
      <c r="W407" s="13">
        <v>4.2094907407407407E-2</v>
      </c>
    </row>
    <row r="408" spans="1:23" ht="15" customHeight="1" x14ac:dyDescent="0.25">
      <c r="A408" s="19">
        <v>46239</v>
      </c>
      <c r="B408" s="11" t="s">
        <v>675</v>
      </c>
      <c r="C408" s="12" t="s">
        <v>676</v>
      </c>
      <c r="D408" s="11" t="s">
        <v>104</v>
      </c>
      <c r="E408" s="12" t="s">
        <v>105</v>
      </c>
      <c r="F408" s="12" t="s">
        <v>106</v>
      </c>
      <c r="G408" s="12">
        <v>10</v>
      </c>
      <c r="H408" s="13">
        <v>0.25899305555555557</v>
      </c>
      <c r="I408" s="13">
        <v>0.26458333333333334</v>
      </c>
      <c r="J408" s="13">
        <v>2.6458333333333334E-2</v>
      </c>
      <c r="K408" s="13">
        <v>4.9733796296296297E-2</v>
      </c>
      <c r="L408" s="14">
        <v>0.19202752826562988</v>
      </c>
      <c r="M408" s="12" t="s">
        <v>334</v>
      </c>
      <c r="N408" s="13"/>
      <c r="O408" s="13">
        <v>1.480324074074074E-2</v>
      </c>
      <c r="P408" s="13"/>
      <c r="Q408" s="13"/>
      <c r="R408" s="13"/>
      <c r="S408" s="13">
        <v>1.3877314814814815E-2</v>
      </c>
      <c r="T408" s="13">
        <v>6.7013888888888887E-3</v>
      </c>
      <c r="U408" s="13"/>
      <c r="V408" s="13"/>
      <c r="W408" s="13">
        <v>1.4351851851851852E-2</v>
      </c>
    </row>
    <row r="409" spans="1:23" ht="15" customHeight="1" x14ac:dyDescent="0.25">
      <c r="A409" s="19">
        <v>46239</v>
      </c>
      <c r="B409" s="11" t="s">
        <v>677</v>
      </c>
      <c r="C409" s="12" t="s">
        <v>678</v>
      </c>
      <c r="D409" s="11" t="s">
        <v>274</v>
      </c>
      <c r="E409" s="12" t="s">
        <v>147</v>
      </c>
      <c r="F409" s="12" t="s">
        <v>33</v>
      </c>
      <c r="G409" s="12">
        <v>18</v>
      </c>
      <c r="H409" s="13">
        <v>0.26020833333333332</v>
      </c>
      <c r="I409" s="13">
        <v>7.6574074074074072E-2</v>
      </c>
      <c r="J409" s="13">
        <v>4.2541152263374481E-3</v>
      </c>
      <c r="K409" s="13">
        <v>4.4652777777777777E-2</v>
      </c>
      <c r="L409" s="14">
        <v>0.17160394982652791</v>
      </c>
      <c r="M409" s="12" t="s">
        <v>334</v>
      </c>
      <c r="N409" s="13">
        <v>1.2627314814814815E-2</v>
      </c>
      <c r="O409" s="13">
        <v>1.4097222222222223E-2</v>
      </c>
      <c r="P409" s="13"/>
      <c r="Q409" s="13">
        <v>3.7962962962962963E-3</v>
      </c>
      <c r="R409" s="13"/>
      <c r="S409" s="13">
        <v>1.3993055555555555E-2</v>
      </c>
      <c r="T409" s="13">
        <v>9.2592592592592588E-5</v>
      </c>
      <c r="U409" s="13">
        <v>4.6296296296296294E-5</v>
      </c>
      <c r="V409" s="13"/>
      <c r="W409" s="13"/>
    </row>
    <row r="410" spans="1:23" ht="15" customHeight="1" x14ac:dyDescent="0.25">
      <c r="A410" s="19">
        <v>46239</v>
      </c>
      <c r="B410" s="11" t="s">
        <v>679</v>
      </c>
      <c r="C410" s="12" t="s">
        <v>680</v>
      </c>
      <c r="D410" s="11" t="s">
        <v>274</v>
      </c>
      <c r="E410" s="12" t="s">
        <v>147</v>
      </c>
      <c r="F410" s="12" t="s">
        <v>33</v>
      </c>
      <c r="G410" s="12">
        <v>18</v>
      </c>
      <c r="H410" s="13">
        <v>0.25871527777777775</v>
      </c>
      <c r="I410" s="13">
        <v>4.6388888888888889E-2</v>
      </c>
      <c r="J410" s="13">
        <v>2.5771604938271604E-3</v>
      </c>
      <c r="K410" s="13">
        <v>7.121527777777778E-2</v>
      </c>
      <c r="L410" s="14">
        <v>0.27526506509193399</v>
      </c>
      <c r="M410" s="12" t="s">
        <v>334</v>
      </c>
      <c r="N410" s="13">
        <v>3.6226851851851854E-3</v>
      </c>
      <c r="O410" s="13">
        <v>1.4166666666666666E-2</v>
      </c>
      <c r="P410" s="13"/>
      <c r="Q410" s="13">
        <v>3.7106481481481483E-2</v>
      </c>
      <c r="R410" s="13"/>
      <c r="S410" s="13">
        <v>1.6250000000000001E-2</v>
      </c>
      <c r="T410" s="13">
        <v>6.9444444444444444E-5</v>
      </c>
      <c r="U410" s="13"/>
      <c r="V410" s="13"/>
      <c r="W410" s="13"/>
    </row>
    <row r="411" spans="1:23" ht="15" customHeight="1" x14ac:dyDescent="0.25">
      <c r="A411" s="19">
        <v>46240</v>
      </c>
      <c r="B411" s="11" t="s">
        <v>186</v>
      </c>
      <c r="C411" s="12" t="s">
        <v>562</v>
      </c>
      <c r="D411" s="11" t="s">
        <v>78</v>
      </c>
      <c r="E411" s="12" t="s">
        <v>80</v>
      </c>
      <c r="F411" s="12" t="s">
        <v>33</v>
      </c>
      <c r="G411" s="12">
        <v>0</v>
      </c>
      <c r="H411" s="13">
        <v>0.27108796296296295</v>
      </c>
      <c r="I411" s="13">
        <v>0</v>
      </c>
      <c r="J411" s="13">
        <v>0</v>
      </c>
      <c r="K411" s="13">
        <v>3.3738425925925929E-2</v>
      </c>
      <c r="L411" s="14">
        <v>0.12445563999658442</v>
      </c>
      <c r="M411" s="12" t="s">
        <v>334</v>
      </c>
      <c r="N411" s="13">
        <v>6.030092592592593E-3</v>
      </c>
      <c r="O411" s="13">
        <v>1.4178240740740741E-2</v>
      </c>
      <c r="P411" s="13"/>
      <c r="Q411" s="13"/>
      <c r="R411" s="13"/>
      <c r="S411" s="13">
        <v>1.3171296296296296E-2</v>
      </c>
      <c r="T411" s="13">
        <v>9.2592592592592588E-5</v>
      </c>
      <c r="U411" s="13">
        <v>2.4305555555555555E-4</v>
      </c>
      <c r="V411" s="13"/>
      <c r="W411" s="13"/>
    </row>
    <row r="412" spans="1:23" ht="15" customHeight="1" x14ac:dyDescent="0.25">
      <c r="A412" s="19">
        <v>46240</v>
      </c>
      <c r="B412" s="11" t="s">
        <v>643</v>
      </c>
      <c r="C412" s="12" t="s">
        <v>644</v>
      </c>
      <c r="D412" s="11" t="s">
        <v>233</v>
      </c>
      <c r="E412" s="12" t="s">
        <v>32</v>
      </c>
      <c r="F412" s="12" t="s">
        <v>106</v>
      </c>
      <c r="G412" s="12">
        <v>17</v>
      </c>
      <c r="H412" s="13">
        <v>0.27319444444444446</v>
      </c>
      <c r="I412" s="13">
        <v>0.13548611111111111</v>
      </c>
      <c r="J412" s="13">
        <v>7.9697712418300651E-3</v>
      </c>
      <c r="K412" s="13">
        <v>4.7997685185185185E-2</v>
      </c>
      <c r="L412" s="14">
        <v>0.17569056092187763</v>
      </c>
      <c r="M412" s="12" t="s">
        <v>334</v>
      </c>
      <c r="N412" s="13">
        <v>1.4710648148148148E-2</v>
      </c>
      <c r="O412" s="13">
        <v>1.3680555555555555E-2</v>
      </c>
      <c r="P412" s="13">
        <v>1.9097222222222222E-3</v>
      </c>
      <c r="Q412" s="13"/>
      <c r="R412" s="13"/>
      <c r="S412" s="13">
        <v>1.3935185185185186E-2</v>
      </c>
      <c r="T412" s="13">
        <v>1.1226851851851851E-3</v>
      </c>
      <c r="U412" s="13">
        <v>2.5925925925925925E-3</v>
      </c>
      <c r="V412" s="13"/>
      <c r="W412" s="13"/>
    </row>
    <row r="413" spans="1:23" ht="15" customHeight="1" x14ac:dyDescent="0.25">
      <c r="A413" s="19">
        <v>46240</v>
      </c>
      <c r="B413" s="11" t="s">
        <v>193</v>
      </c>
      <c r="C413" s="12" t="s">
        <v>563</v>
      </c>
      <c r="D413" s="11" t="s">
        <v>274</v>
      </c>
      <c r="E413" s="12" t="s">
        <v>147</v>
      </c>
      <c r="F413" s="12" t="s">
        <v>33</v>
      </c>
      <c r="G413" s="12">
        <v>16</v>
      </c>
      <c r="H413" s="13">
        <v>0.26275462962962964</v>
      </c>
      <c r="I413" s="13">
        <v>8.8888888888888892E-2</v>
      </c>
      <c r="J413" s="13">
        <v>5.5555555555555558E-3</v>
      </c>
      <c r="K413" s="13">
        <v>2.9374999999999998E-2</v>
      </c>
      <c r="L413" s="14">
        <v>0.11179631750506562</v>
      </c>
      <c r="M413" s="12" t="s">
        <v>334</v>
      </c>
      <c r="N413" s="13"/>
      <c r="O413" s="13">
        <v>1.4004629629629629E-2</v>
      </c>
      <c r="P413" s="13"/>
      <c r="Q413" s="13"/>
      <c r="R413" s="13"/>
      <c r="S413" s="13">
        <v>1.3969907407407407E-2</v>
      </c>
      <c r="T413" s="13">
        <v>5.7870370370370373E-5</v>
      </c>
      <c r="U413" s="13">
        <v>1.25E-3</v>
      </c>
      <c r="V413" s="13"/>
      <c r="W413" s="13"/>
    </row>
    <row r="414" spans="1:23" ht="15" customHeight="1" x14ac:dyDescent="0.25">
      <c r="A414" s="19">
        <v>46240</v>
      </c>
      <c r="B414" s="11" t="s">
        <v>148</v>
      </c>
      <c r="C414" s="12" t="s">
        <v>513</v>
      </c>
      <c r="D414" s="11" t="s">
        <v>104</v>
      </c>
      <c r="E414" s="12" t="s">
        <v>105</v>
      </c>
      <c r="F414" s="12" t="s">
        <v>106</v>
      </c>
      <c r="G414" s="12">
        <v>16</v>
      </c>
      <c r="H414" s="13">
        <v>0.25288194444444445</v>
      </c>
      <c r="I414" s="13">
        <v>0.22996527777777778</v>
      </c>
      <c r="J414" s="13">
        <v>1.4372829861111111E-2</v>
      </c>
      <c r="K414" s="13">
        <v>5.3946759259259257E-2</v>
      </c>
      <c r="L414" s="14">
        <v>0.21332784109112543</v>
      </c>
      <c r="M414" s="12" t="s">
        <v>334</v>
      </c>
      <c r="N414" s="13">
        <v>7.5810185185185182E-3</v>
      </c>
      <c r="O414" s="13">
        <v>8.1597222222222227E-3</v>
      </c>
      <c r="P414" s="13"/>
      <c r="Q414" s="13"/>
      <c r="R414" s="13"/>
      <c r="S414" s="13">
        <v>1.4594907407407407E-2</v>
      </c>
      <c r="T414" s="13">
        <v>1.7013888888888888E-3</v>
      </c>
      <c r="U414" s="13">
        <v>9.837962962962962E-4</v>
      </c>
      <c r="V414" s="13"/>
      <c r="W414" s="13">
        <v>2.0914351851851851E-2</v>
      </c>
    </row>
    <row r="415" spans="1:23" ht="15" customHeight="1" x14ac:dyDescent="0.25">
      <c r="A415" s="19">
        <v>46240</v>
      </c>
      <c r="B415" s="11" t="s">
        <v>82</v>
      </c>
      <c r="C415" s="12" t="s">
        <v>83</v>
      </c>
      <c r="D415" s="11" t="s">
        <v>78</v>
      </c>
      <c r="E415" s="12" t="s">
        <v>80</v>
      </c>
      <c r="F415" s="12" t="s">
        <v>81</v>
      </c>
      <c r="G415" s="12">
        <v>0</v>
      </c>
      <c r="H415" s="13">
        <v>0.38718750000000002</v>
      </c>
      <c r="I415" s="13">
        <v>0</v>
      </c>
      <c r="J415" s="13">
        <v>0</v>
      </c>
      <c r="K415" s="13">
        <v>0.18791666666666668</v>
      </c>
      <c r="L415" s="14">
        <v>0.48533763788001077</v>
      </c>
      <c r="M415" s="12" t="s">
        <v>334</v>
      </c>
      <c r="N415" s="13"/>
      <c r="O415" s="13"/>
      <c r="P415" s="13"/>
      <c r="Q415" s="13"/>
      <c r="R415" s="13">
        <v>1.0416666666666667E-4</v>
      </c>
      <c r="S415" s="13">
        <v>9.762731481481482E-2</v>
      </c>
      <c r="T415" s="13">
        <v>9.0162037037037041E-2</v>
      </c>
      <c r="U415" s="13"/>
      <c r="V415" s="13"/>
      <c r="W415" s="13"/>
    </row>
    <row r="416" spans="1:23" ht="15" customHeight="1" x14ac:dyDescent="0.25">
      <c r="A416" s="19">
        <v>46240</v>
      </c>
      <c r="B416" s="11" t="s">
        <v>234</v>
      </c>
      <c r="C416" s="12" t="s">
        <v>550</v>
      </c>
      <c r="D416" s="11" t="s">
        <v>233</v>
      </c>
      <c r="E416" s="12" t="s">
        <v>32</v>
      </c>
      <c r="F416" s="12" t="s">
        <v>106</v>
      </c>
      <c r="G416" s="12">
        <v>12</v>
      </c>
      <c r="H416" s="13">
        <v>8.1574074074074077E-2</v>
      </c>
      <c r="I416" s="13">
        <v>4.7442129629629633E-2</v>
      </c>
      <c r="J416" s="13">
        <v>3.9535108024691358E-3</v>
      </c>
      <c r="K416" s="13">
        <v>3.4953703703703705E-3</v>
      </c>
      <c r="L416" s="14">
        <v>4.2849035187287172E-2</v>
      </c>
      <c r="M416" s="12" t="s">
        <v>334</v>
      </c>
      <c r="N416" s="13">
        <v>2.6157407407407405E-3</v>
      </c>
      <c r="O416" s="13"/>
      <c r="P416" s="13"/>
      <c r="Q416" s="13">
        <v>4.2824074074074075E-4</v>
      </c>
      <c r="R416" s="13"/>
      <c r="S416" s="13"/>
      <c r="T416" s="13">
        <v>4.5138888888888887E-4</v>
      </c>
      <c r="U416" s="13"/>
      <c r="V416" s="13"/>
      <c r="W416" s="13"/>
    </row>
    <row r="417" spans="1:23" ht="15" customHeight="1" x14ac:dyDescent="0.25">
      <c r="A417" s="19">
        <v>46240</v>
      </c>
      <c r="B417" s="11" t="s">
        <v>34</v>
      </c>
      <c r="C417" s="12" t="s">
        <v>505</v>
      </c>
      <c r="D417" s="11" t="s">
        <v>233</v>
      </c>
      <c r="E417" s="12" t="s">
        <v>32</v>
      </c>
      <c r="F417" s="12" t="s">
        <v>106</v>
      </c>
      <c r="G417" s="12">
        <v>21</v>
      </c>
      <c r="H417" s="13">
        <v>0.23069444444444445</v>
      </c>
      <c r="I417" s="13">
        <v>7.4270833333333328E-2</v>
      </c>
      <c r="J417" s="13">
        <v>3.5367063492063489E-3</v>
      </c>
      <c r="K417" s="13">
        <v>8.9756944444444445E-2</v>
      </c>
      <c r="L417" s="14">
        <v>0.38907284768211919</v>
      </c>
      <c r="M417" s="12" t="s">
        <v>334</v>
      </c>
      <c r="N417" s="13">
        <v>2.5694444444444445E-3</v>
      </c>
      <c r="O417" s="13">
        <v>1.3622685185185186E-2</v>
      </c>
      <c r="P417" s="13"/>
      <c r="Q417" s="13"/>
      <c r="R417" s="13"/>
      <c r="S417" s="13">
        <v>1.4282407407407407E-2</v>
      </c>
      <c r="T417" s="13">
        <v>1.3460648148148149E-2</v>
      </c>
      <c r="U417" s="13">
        <v>3.4375E-3</v>
      </c>
      <c r="V417" s="13"/>
      <c r="W417" s="13">
        <v>4.238425925925926E-2</v>
      </c>
    </row>
    <row r="418" spans="1:23" ht="15" customHeight="1" x14ac:dyDescent="0.25">
      <c r="A418" s="19">
        <v>46240</v>
      </c>
      <c r="B418" s="11" t="s">
        <v>493</v>
      </c>
      <c r="C418" s="12" t="s">
        <v>569</v>
      </c>
      <c r="D418" s="11" t="s">
        <v>104</v>
      </c>
      <c r="E418" s="12" t="s">
        <v>105</v>
      </c>
      <c r="F418" s="12" t="s">
        <v>106</v>
      </c>
      <c r="G418" s="12">
        <v>21</v>
      </c>
      <c r="H418" s="13">
        <v>0.24484953703703705</v>
      </c>
      <c r="I418" s="13">
        <v>0.20946759259259259</v>
      </c>
      <c r="J418" s="13">
        <v>9.9746472663139324E-3</v>
      </c>
      <c r="K418" s="13">
        <v>5.6921296296296296E-2</v>
      </c>
      <c r="L418" s="14">
        <v>0.23247459229496573</v>
      </c>
      <c r="M418" s="12" t="s">
        <v>334</v>
      </c>
      <c r="N418" s="13">
        <v>1.4039351851851851E-2</v>
      </c>
      <c r="O418" s="13">
        <v>1.6712962962962964E-2</v>
      </c>
      <c r="P418" s="13">
        <v>9.4907407407407408E-4</v>
      </c>
      <c r="Q418" s="13"/>
      <c r="R418" s="13"/>
      <c r="S418" s="13">
        <v>1.4722222222222222E-2</v>
      </c>
      <c r="T418" s="13">
        <v>1.5509259259259259E-3</v>
      </c>
      <c r="U418" s="13">
        <v>8.9236111111111113E-3</v>
      </c>
      <c r="V418" s="13"/>
      <c r="W418" s="13"/>
    </row>
    <row r="419" spans="1:23" ht="15" customHeight="1" x14ac:dyDescent="0.25">
      <c r="A419" s="19">
        <v>46240</v>
      </c>
      <c r="B419" s="11" t="s">
        <v>236</v>
      </c>
      <c r="C419" s="12" t="s">
        <v>551</v>
      </c>
      <c r="D419" s="11" t="s">
        <v>233</v>
      </c>
      <c r="E419" s="12" t="s">
        <v>32</v>
      </c>
      <c r="F419" s="12" t="s">
        <v>106</v>
      </c>
      <c r="G419" s="12">
        <v>5</v>
      </c>
      <c r="H419" s="13">
        <v>0.23019675925925925</v>
      </c>
      <c r="I419" s="13">
        <v>9.8263888888888897E-3</v>
      </c>
      <c r="J419" s="13">
        <v>1.965277777777778E-3</v>
      </c>
      <c r="K419" s="13">
        <v>0.20246527777777779</v>
      </c>
      <c r="L419" s="14">
        <v>0.87953139926592594</v>
      </c>
      <c r="M419" s="12" t="s">
        <v>334</v>
      </c>
      <c r="N419" s="13">
        <v>2.4270833333333332E-2</v>
      </c>
      <c r="O419" s="13">
        <v>1.0462962962962962E-2</v>
      </c>
      <c r="P419" s="13"/>
      <c r="Q419" s="13"/>
      <c r="R419" s="13"/>
      <c r="S419" s="13">
        <v>1.9421296296296298E-2</v>
      </c>
      <c r="T419" s="13">
        <v>1.5856481481481481E-3</v>
      </c>
      <c r="U419" s="13">
        <v>1.0416666666666667E-4</v>
      </c>
      <c r="V419" s="13"/>
      <c r="W419" s="13">
        <v>0.14662037037037037</v>
      </c>
    </row>
    <row r="420" spans="1:23" ht="15" customHeight="1" x14ac:dyDescent="0.25">
      <c r="A420" s="19">
        <v>46240</v>
      </c>
      <c r="B420" s="11" t="s">
        <v>238</v>
      </c>
      <c r="C420" s="12" t="s">
        <v>526</v>
      </c>
      <c r="D420" s="11" t="s">
        <v>233</v>
      </c>
      <c r="E420" s="12" t="s">
        <v>32</v>
      </c>
      <c r="F420" s="12" t="s">
        <v>106</v>
      </c>
      <c r="G420" s="12">
        <v>3</v>
      </c>
      <c r="H420" s="13">
        <v>0.21092592592592593</v>
      </c>
      <c r="I420" s="13">
        <v>1.0358796296296297E-2</v>
      </c>
      <c r="J420" s="13">
        <v>3.4529320987654322E-3</v>
      </c>
      <c r="K420" s="13">
        <v>0.18531249999999999</v>
      </c>
      <c r="L420" s="14">
        <v>0.87856672519754164</v>
      </c>
      <c r="M420" s="12" t="s">
        <v>334</v>
      </c>
      <c r="N420" s="13"/>
      <c r="O420" s="13"/>
      <c r="P420" s="13"/>
      <c r="Q420" s="13"/>
      <c r="R420" s="13"/>
      <c r="S420" s="13">
        <v>3.9583333333333337E-3</v>
      </c>
      <c r="T420" s="13">
        <v>4.861111111111111E-4</v>
      </c>
      <c r="U420" s="13">
        <v>2.3148148148148149E-4</v>
      </c>
      <c r="V420" s="13"/>
      <c r="W420" s="13">
        <v>0.18063657407407407</v>
      </c>
    </row>
    <row r="421" spans="1:23" ht="15" customHeight="1" x14ac:dyDescent="0.25">
      <c r="A421" s="19">
        <v>46240</v>
      </c>
      <c r="B421" s="11" t="s">
        <v>608</v>
      </c>
      <c r="C421" s="12" t="s">
        <v>631</v>
      </c>
      <c r="D421" s="11" t="s">
        <v>601</v>
      </c>
      <c r="E421" s="12" t="s">
        <v>105</v>
      </c>
      <c r="F421" s="12" t="s">
        <v>33</v>
      </c>
      <c r="G421" s="12">
        <v>4</v>
      </c>
      <c r="H421" s="13">
        <v>0.12072916666666667</v>
      </c>
      <c r="I421" s="13">
        <v>9.6805555555555561E-2</v>
      </c>
      <c r="J421" s="13">
        <v>2.420138888888889E-2</v>
      </c>
      <c r="K421" s="13">
        <v>8.5520833333333338E-2</v>
      </c>
      <c r="L421" s="14">
        <v>0.70836928386540121</v>
      </c>
      <c r="M421" s="12" t="s">
        <v>334</v>
      </c>
      <c r="N421" s="13"/>
      <c r="O421" s="13">
        <v>6.4930555555555557E-3</v>
      </c>
      <c r="P421" s="13"/>
      <c r="Q421" s="13"/>
      <c r="R421" s="13"/>
      <c r="S421" s="13">
        <v>5.3819444444444444E-3</v>
      </c>
      <c r="T421" s="13">
        <v>7.8703703703703705E-4</v>
      </c>
      <c r="U421" s="13">
        <v>9.4675925925925934E-3</v>
      </c>
      <c r="V421" s="13"/>
      <c r="W421" s="13">
        <v>6.33912037037037E-2</v>
      </c>
    </row>
    <row r="422" spans="1:23" ht="15" customHeight="1" x14ac:dyDescent="0.25">
      <c r="A422" s="19">
        <v>46240</v>
      </c>
      <c r="B422" s="11" t="s">
        <v>307</v>
      </c>
      <c r="C422" s="12" t="s">
        <v>308</v>
      </c>
      <c r="D422" s="11" t="s">
        <v>78</v>
      </c>
      <c r="E422" s="12" t="s">
        <v>80</v>
      </c>
      <c r="F422" s="12" t="s">
        <v>81</v>
      </c>
      <c r="G422" s="12">
        <v>0</v>
      </c>
      <c r="H422" s="13">
        <v>0.34228009259259257</v>
      </c>
      <c r="I422" s="13">
        <v>0</v>
      </c>
      <c r="J422" s="13">
        <v>0</v>
      </c>
      <c r="K422" s="13">
        <v>1.9444444444444445E-2</v>
      </c>
      <c r="L422" s="14">
        <v>5.6808575389713595E-2</v>
      </c>
      <c r="M422" s="12" t="s">
        <v>334</v>
      </c>
      <c r="N422" s="13"/>
      <c r="O422" s="13"/>
      <c r="P422" s="13"/>
      <c r="Q422" s="13"/>
      <c r="R422" s="13">
        <v>8.5879629629629622E-3</v>
      </c>
      <c r="S422" s="13">
        <v>9.8495370370370369E-3</v>
      </c>
      <c r="T422" s="13">
        <v>6.9444444444444444E-5</v>
      </c>
      <c r="U422" s="13">
        <v>8.9120370370370373E-4</v>
      </c>
      <c r="V422" s="13"/>
      <c r="W422" s="13"/>
    </row>
    <row r="423" spans="1:23" ht="15" customHeight="1" x14ac:dyDescent="0.25">
      <c r="A423" s="19">
        <v>46240</v>
      </c>
      <c r="B423" s="11" t="s">
        <v>197</v>
      </c>
      <c r="C423" s="12" t="s">
        <v>564</v>
      </c>
      <c r="D423" s="11" t="s">
        <v>601</v>
      </c>
      <c r="E423" s="12" t="s">
        <v>105</v>
      </c>
      <c r="F423" s="12" t="s">
        <v>33</v>
      </c>
      <c r="G423" s="12">
        <v>7</v>
      </c>
      <c r="H423" s="13">
        <v>0.23768518518518519</v>
      </c>
      <c r="I423" s="13">
        <v>0.13116898148148148</v>
      </c>
      <c r="J423" s="13">
        <v>1.8738425925925926E-2</v>
      </c>
      <c r="K423" s="13">
        <v>0.16650462962962964</v>
      </c>
      <c r="L423" s="14">
        <v>0.70052590572652906</v>
      </c>
      <c r="M423" s="12" t="s">
        <v>334</v>
      </c>
      <c r="N423" s="13">
        <v>5.2546296296296299E-3</v>
      </c>
      <c r="O423" s="13">
        <v>3.7071759259259263E-2</v>
      </c>
      <c r="P423" s="13"/>
      <c r="Q423" s="13"/>
      <c r="R423" s="13"/>
      <c r="S423" s="13">
        <v>1.726851851851852E-2</v>
      </c>
      <c r="T423" s="13">
        <v>1.7361111111111112E-4</v>
      </c>
      <c r="U423" s="13">
        <v>2.9259259259259259E-2</v>
      </c>
      <c r="V423" s="13"/>
      <c r="W423" s="13">
        <v>7.7476851851851852E-2</v>
      </c>
    </row>
    <row r="424" spans="1:23" ht="15" customHeight="1" x14ac:dyDescent="0.25">
      <c r="A424" s="19">
        <v>46240</v>
      </c>
      <c r="B424" s="11" t="s">
        <v>38</v>
      </c>
      <c r="C424" s="12" t="s">
        <v>536</v>
      </c>
      <c r="D424" s="11" t="s">
        <v>100</v>
      </c>
      <c r="E424" s="12" t="s">
        <v>32</v>
      </c>
      <c r="F424" s="12" t="s">
        <v>33</v>
      </c>
      <c r="G424" s="12">
        <v>3</v>
      </c>
      <c r="H424" s="13">
        <v>0.23379629629629631</v>
      </c>
      <c r="I424" s="13">
        <v>1.4282407407407407E-2</v>
      </c>
      <c r="J424" s="13">
        <v>4.760802469135802E-3</v>
      </c>
      <c r="K424" s="13">
        <v>0.21539351851851851</v>
      </c>
      <c r="L424" s="14">
        <v>0.92128712871287122</v>
      </c>
      <c r="M424" s="12" t="s">
        <v>334</v>
      </c>
      <c r="N424" s="13">
        <v>6.3310185185185188E-3</v>
      </c>
      <c r="O424" s="13">
        <v>8.0555555555555554E-3</v>
      </c>
      <c r="P424" s="13"/>
      <c r="Q424" s="13"/>
      <c r="R424" s="13"/>
      <c r="S424" s="13">
        <v>9.7453703703703695E-3</v>
      </c>
      <c r="T424" s="13">
        <v>3.5879629629629629E-4</v>
      </c>
      <c r="U424" s="13"/>
      <c r="V424" s="13"/>
      <c r="W424" s="13">
        <v>0.19090277777777778</v>
      </c>
    </row>
    <row r="425" spans="1:23" ht="15" customHeight="1" x14ac:dyDescent="0.25">
      <c r="A425" s="19">
        <v>46240</v>
      </c>
      <c r="B425" s="11" t="s">
        <v>681</v>
      </c>
      <c r="C425" s="12" t="s">
        <v>682</v>
      </c>
      <c r="D425" s="11" t="s">
        <v>601</v>
      </c>
      <c r="E425" s="12" t="s">
        <v>105</v>
      </c>
      <c r="F425" s="12" t="s">
        <v>33</v>
      </c>
      <c r="G425" s="12">
        <v>5</v>
      </c>
      <c r="H425" s="13">
        <v>0.20659722222222221</v>
      </c>
      <c r="I425" s="13">
        <v>8.8819444444444451E-2</v>
      </c>
      <c r="J425" s="13">
        <v>1.7763888888888892E-2</v>
      </c>
      <c r="K425" s="13">
        <v>0.15886574074074075</v>
      </c>
      <c r="L425" s="14">
        <v>0.76896358543417376</v>
      </c>
      <c r="M425" s="12" t="s">
        <v>334</v>
      </c>
      <c r="N425" s="13">
        <v>5.8912037037037041E-3</v>
      </c>
      <c r="O425" s="13">
        <v>1.1331018518518518E-2</v>
      </c>
      <c r="P425" s="13"/>
      <c r="Q425" s="13">
        <v>1.5208333333333334E-2</v>
      </c>
      <c r="R425" s="13"/>
      <c r="S425" s="13">
        <v>1.3888888888888888E-2</v>
      </c>
      <c r="T425" s="13">
        <v>3.9351851851851852E-4</v>
      </c>
      <c r="U425" s="13">
        <v>7.1006944444444442E-2</v>
      </c>
      <c r="V425" s="13"/>
      <c r="W425" s="13">
        <v>4.1145833333333333E-2</v>
      </c>
    </row>
    <row r="426" spans="1:23" ht="15" customHeight="1" x14ac:dyDescent="0.25">
      <c r="A426" s="19">
        <v>46240</v>
      </c>
      <c r="B426" s="11" t="s">
        <v>154</v>
      </c>
      <c r="C426" s="12" t="s">
        <v>515</v>
      </c>
      <c r="D426" s="11" t="s">
        <v>146</v>
      </c>
      <c r="E426" s="12" t="s">
        <v>147</v>
      </c>
      <c r="F426" s="12" t="s">
        <v>106</v>
      </c>
      <c r="G426" s="12">
        <v>20</v>
      </c>
      <c r="H426" s="13">
        <v>0.26295138888888892</v>
      </c>
      <c r="I426" s="13">
        <v>4.715277777777778E-2</v>
      </c>
      <c r="J426" s="13">
        <v>2.3576388888888892E-3</v>
      </c>
      <c r="K426" s="13">
        <v>4.2013888888888892E-2</v>
      </c>
      <c r="L426" s="14">
        <v>0.15977815924996699</v>
      </c>
      <c r="M426" s="12" t="s">
        <v>334</v>
      </c>
      <c r="N426" s="13">
        <v>7.5810185185185182E-3</v>
      </c>
      <c r="O426" s="13">
        <v>1.0706018518518519E-2</v>
      </c>
      <c r="P426" s="13"/>
      <c r="Q426" s="13">
        <v>7.6388888888888886E-3</v>
      </c>
      <c r="R426" s="13"/>
      <c r="S426" s="13">
        <v>1.4097222222222223E-2</v>
      </c>
      <c r="T426" s="13">
        <v>2.5462962962962961E-4</v>
      </c>
      <c r="U426" s="13">
        <v>1.5856481481481481E-3</v>
      </c>
      <c r="V426" s="13"/>
      <c r="W426" s="13"/>
    </row>
    <row r="427" spans="1:23" ht="15" customHeight="1" x14ac:dyDescent="0.25">
      <c r="A427" s="19">
        <v>46240</v>
      </c>
      <c r="B427" s="11" t="s">
        <v>112</v>
      </c>
      <c r="C427" s="12" t="s">
        <v>570</v>
      </c>
      <c r="D427" s="11" t="s">
        <v>104</v>
      </c>
      <c r="E427" s="12" t="s">
        <v>105</v>
      </c>
      <c r="F427" s="12" t="s">
        <v>106</v>
      </c>
      <c r="G427" s="12">
        <v>10</v>
      </c>
      <c r="H427" s="13">
        <v>0.24159722222222221</v>
      </c>
      <c r="I427" s="13">
        <v>0.19586805555555556</v>
      </c>
      <c r="J427" s="13">
        <v>1.9586805555555555E-2</v>
      </c>
      <c r="K427" s="13">
        <v>8.1122685185185187E-2</v>
      </c>
      <c r="L427" s="14">
        <v>0.33577656414678547</v>
      </c>
      <c r="M427" s="12" t="s">
        <v>334</v>
      </c>
      <c r="N427" s="13">
        <v>3.5868055555555556E-2</v>
      </c>
      <c r="O427" s="13">
        <v>2.3761574074074074E-2</v>
      </c>
      <c r="P427" s="13"/>
      <c r="Q427" s="13"/>
      <c r="R427" s="13"/>
      <c r="S427" s="13">
        <v>1.3946759259259259E-2</v>
      </c>
      <c r="T427" s="13">
        <v>5.2893518518518515E-3</v>
      </c>
      <c r="U427" s="13">
        <v>2.0949074074074073E-3</v>
      </c>
      <c r="V427" s="13"/>
      <c r="W427" s="13">
        <v>1.6203703703703703E-4</v>
      </c>
    </row>
    <row r="428" spans="1:23" ht="15" customHeight="1" x14ac:dyDescent="0.25">
      <c r="A428" s="19">
        <v>46240</v>
      </c>
      <c r="B428" s="11" t="s">
        <v>42</v>
      </c>
      <c r="C428" s="12" t="s">
        <v>537</v>
      </c>
      <c r="D428" s="11" t="s">
        <v>104</v>
      </c>
      <c r="E428" s="12" t="s">
        <v>105</v>
      </c>
      <c r="F428" s="12" t="s">
        <v>106</v>
      </c>
      <c r="G428" s="12">
        <v>14</v>
      </c>
      <c r="H428" s="13">
        <v>0.25206018518518519</v>
      </c>
      <c r="I428" s="13">
        <v>0.22571759259259258</v>
      </c>
      <c r="J428" s="13">
        <v>1.6122685185185184E-2</v>
      </c>
      <c r="K428" s="13">
        <v>8.0694444444444444E-2</v>
      </c>
      <c r="L428" s="14">
        <v>0.32013959041234274</v>
      </c>
      <c r="M428" s="12" t="s">
        <v>334</v>
      </c>
      <c r="N428" s="13">
        <v>1.2916666666666667E-2</v>
      </c>
      <c r="O428" s="13">
        <v>1.3703703703703704E-2</v>
      </c>
      <c r="P428" s="13"/>
      <c r="Q428" s="13"/>
      <c r="R428" s="13"/>
      <c r="S428" s="13">
        <v>1.357638888888889E-2</v>
      </c>
      <c r="T428" s="13">
        <v>2.0833333333333335E-4</v>
      </c>
      <c r="U428" s="13">
        <v>1.0532407407407407E-3</v>
      </c>
      <c r="V428" s="13"/>
      <c r="W428" s="13">
        <v>3.9212962962962963E-2</v>
      </c>
    </row>
    <row r="429" spans="1:23" ht="15" customHeight="1" x14ac:dyDescent="0.25">
      <c r="A429" s="19">
        <v>46240</v>
      </c>
      <c r="B429" s="11" t="s">
        <v>156</v>
      </c>
      <c r="C429" s="12" t="s">
        <v>516</v>
      </c>
      <c r="D429" s="11" t="s">
        <v>146</v>
      </c>
      <c r="E429" s="12" t="s">
        <v>147</v>
      </c>
      <c r="F429" s="12" t="s">
        <v>106</v>
      </c>
      <c r="G429" s="12">
        <v>21</v>
      </c>
      <c r="H429" s="13">
        <v>0.27407407407407408</v>
      </c>
      <c r="I429" s="13">
        <v>7.5578703703703703E-2</v>
      </c>
      <c r="J429" s="13">
        <v>3.5989858906525572E-3</v>
      </c>
      <c r="K429" s="13">
        <v>4.8032407407407406E-2</v>
      </c>
      <c r="L429" s="14">
        <v>0.17525337837837837</v>
      </c>
      <c r="M429" s="12" t="s">
        <v>334</v>
      </c>
      <c r="N429" s="13">
        <v>4.2939814814814811E-3</v>
      </c>
      <c r="O429" s="13">
        <v>1.5775462962962963E-2</v>
      </c>
      <c r="P429" s="13"/>
      <c r="Q429" s="13">
        <v>1.3541666666666667E-3</v>
      </c>
      <c r="R429" s="13"/>
      <c r="S429" s="13">
        <v>1.2349537037037037E-2</v>
      </c>
      <c r="T429" s="13">
        <v>1.2199074074074074E-2</v>
      </c>
      <c r="U429" s="13">
        <v>2.0370370370370369E-3</v>
      </c>
      <c r="V429" s="13"/>
      <c r="W429" s="13"/>
    </row>
    <row r="430" spans="1:23" ht="15" customHeight="1" x14ac:dyDescent="0.25">
      <c r="A430" s="19">
        <v>46240</v>
      </c>
      <c r="B430" s="11" t="s">
        <v>114</v>
      </c>
      <c r="C430" s="12" t="s">
        <v>541</v>
      </c>
      <c r="D430" s="11" t="s">
        <v>104</v>
      </c>
      <c r="E430" s="12" t="s">
        <v>105</v>
      </c>
      <c r="F430" s="12" t="s">
        <v>106</v>
      </c>
      <c r="G430" s="12">
        <v>9</v>
      </c>
      <c r="H430" s="13">
        <v>0.20105324074074074</v>
      </c>
      <c r="I430" s="13">
        <v>0.11665509259259259</v>
      </c>
      <c r="J430" s="13">
        <v>1.296167695473251E-2</v>
      </c>
      <c r="K430" s="13">
        <v>0.1193287037037037</v>
      </c>
      <c r="L430" s="14">
        <v>0.59351793218582694</v>
      </c>
      <c r="M430" s="12" t="s">
        <v>334</v>
      </c>
      <c r="N430" s="13">
        <v>8.3217592592592596E-3</v>
      </c>
      <c r="O430" s="13">
        <v>8.3564814814814821E-3</v>
      </c>
      <c r="P430" s="13"/>
      <c r="Q430" s="13"/>
      <c r="R430" s="13"/>
      <c r="S430" s="13">
        <v>1.7824074074074076E-2</v>
      </c>
      <c r="T430" s="13">
        <v>4.2291666666666665E-2</v>
      </c>
      <c r="U430" s="13">
        <v>3.8194444444444446E-4</v>
      </c>
      <c r="V430" s="13"/>
      <c r="W430" s="13">
        <v>4.2152777777777775E-2</v>
      </c>
    </row>
    <row r="431" spans="1:23" ht="15" customHeight="1" x14ac:dyDescent="0.25">
      <c r="A431" s="19">
        <v>46240</v>
      </c>
      <c r="B431" s="11" t="s">
        <v>44</v>
      </c>
      <c r="C431" s="12" t="s">
        <v>506</v>
      </c>
      <c r="D431" s="11" t="s">
        <v>100</v>
      </c>
      <c r="E431" s="12" t="s">
        <v>32</v>
      </c>
      <c r="F431" s="12" t="s">
        <v>33</v>
      </c>
      <c r="G431" s="12">
        <v>30</v>
      </c>
      <c r="H431" s="13">
        <v>0.26027777777777777</v>
      </c>
      <c r="I431" s="13">
        <v>0.16190972222222222</v>
      </c>
      <c r="J431" s="13">
        <v>5.3969907407407404E-3</v>
      </c>
      <c r="K431" s="13">
        <v>5.1909722222222225E-2</v>
      </c>
      <c r="L431" s="14">
        <v>0.19943970117395945</v>
      </c>
      <c r="M431" s="12" t="s">
        <v>334</v>
      </c>
      <c r="N431" s="13">
        <v>4.1435185185185186E-3</v>
      </c>
      <c r="O431" s="13">
        <v>1.40625E-2</v>
      </c>
      <c r="P431" s="13"/>
      <c r="Q431" s="13">
        <v>1.4837962962962963E-2</v>
      </c>
      <c r="R431" s="13"/>
      <c r="S431" s="13">
        <v>1.4652777777777778E-2</v>
      </c>
      <c r="T431" s="13">
        <v>1.9675925925925924E-3</v>
      </c>
      <c r="U431" s="13">
        <v>2.1990740740740742E-3</v>
      </c>
      <c r="V431" s="13"/>
      <c r="W431" s="13"/>
    </row>
    <row r="432" spans="1:23" ht="15" customHeight="1" x14ac:dyDescent="0.25">
      <c r="A432" s="19">
        <v>46240</v>
      </c>
      <c r="B432" s="11" t="s">
        <v>609</v>
      </c>
      <c r="C432" s="12" t="s">
        <v>632</v>
      </c>
      <c r="D432" s="11" t="s">
        <v>601</v>
      </c>
      <c r="E432" s="12" t="s">
        <v>105</v>
      </c>
      <c r="F432" s="12" t="s">
        <v>33</v>
      </c>
      <c r="G432" s="12">
        <v>6</v>
      </c>
      <c r="H432" s="13">
        <v>0.17937500000000001</v>
      </c>
      <c r="I432" s="13">
        <v>6.9675925925925933E-2</v>
      </c>
      <c r="J432" s="13">
        <v>1.1612654320987655E-2</v>
      </c>
      <c r="K432" s="13">
        <v>0.13824074074074075</v>
      </c>
      <c r="L432" s="14">
        <v>0.77068008775325847</v>
      </c>
      <c r="M432" s="12" t="s">
        <v>334</v>
      </c>
      <c r="N432" s="13">
        <v>5.8217592592592592E-3</v>
      </c>
      <c r="O432" s="13">
        <v>8.9467592592592585E-3</v>
      </c>
      <c r="P432" s="13"/>
      <c r="Q432" s="13"/>
      <c r="R432" s="13"/>
      <c r="S432" s="13">
        <v>1.6273148148148148E-2</v>
      </c>
      <c r="T432" s="13">
        <v>1.8518518518518518E-4</v>
      </c>
      <c r="U432" s="13">
        <v>6.9155092592592587E-2</v>
      </c>
      <c r="V432" s="13"/>
      <c r="W432" s="13">
        <v>3.7858796296296293E-2</v>
      </c>
    </row>
    <row r="433" spans="1:23" ht="15" customHeight="1" x14ac:dyDescent="0.25">
      <c r="A433" s="19">
        <v>46240</v>
      </c>
      <c r="B433" s="11" t="s">
        <v>240</v>
      </c>
      <c r="C433" s="12" t="s">
        <v>527</v>
      </c>
      <c r="D433" s="11" t="s">
        <v>233</v>
      </c>
      <c r="E433" s="12" t="s">
        <v>32</v>
      </c>
      <c r="F433" s="12" t="s">
        <v>106</v>
      </c>
      <c r="G433" s="12">
        <v>1</v>
      </c>
      <c r="H433" s="13">
        <v>0.24113425925925927</v>
      </c>
      <c r="I433" s="13">
        <v>3.2754629629629631E-3</v>
      </c>
      <c r="J433" s="13">
        <v>3.2754629629629631E-3</v>
      </c>
      <c r="K433" s="13">
        <v>0.22750000000000001</v>
      </c>
      <c r="L433" s="14">
        <v>0.94345780935010082</v>
      </c>
      <c r="M433" s="12" t="s">
        <v>334</v>
      </c>
      <c r="N433" s="13">
        <v>1.337962962962963E-2</v>
      </c>
      <c r="O433" s="13">
        <v>1.3113425925925926E-2</v>
      </c>
      <c r="P433" s="13"/>
      <c r="Q433" s="13"/>
      <c r="R433" s="13"/>
      <c r="S433" s="13">
        <v>1.3888888888888888E-2</v>
      </c>
      <c r="T433" s="13">
        <v>4.5347222222222219E-2</v>
      </c>
      <c r="U433" s="13"/>
      <c r="V433" s="13"/>
      <c r="W433" s="13">
        <v>0.14177083333333335</v>
      </c>
    </row>
    <row r="434" spans="1:23" ht="15" customHeight="1" x14ac:dyDescent="0.25">
      <c r="A434" s="19">
        <v>46240</v>
      </c>
      <c r="B434" s="11" t="s">
        <v>497</v>
      </c>
      <c r="C434" s="12" t="s">
        <v>498</v>
      </c>
      <c r="D434" s="11" t="s">
        <v>78</v>
      </c>
      <c r="E434" s="12" t="s">
        <v>80</v>
      </c>
      <c r="F434" s="12" t="s">
        <v>81</v>
      </c>
      <c r="G434" s="12">
        <v>0</v>
      </c>
      <c r="H434" s="13">
        <v>0.34199074074074076</v>
      </c>
      <c r="I434" s="13">
        <v>0</v>
      </c>
      <c r="J434" s="13">
        <v>0</v>
      </c>
      <c r="K434" s="13">
        <v>5.5972222222222222E-2</v>
      </c>
      <c r="L434" s="14">
        <v>0.16366589955326924</v>
      </c>
      <c r="M434" s="12" t="s">
        <v>334</v>
      </c>
      <c r="N434" s="13"/>
      <c r="O434" s="13">
        <v>1.3888888888888888E-2</v>
      </c>
      <c r="P434" s="13"/>
      <c r="Q434" s="13"/>
      <c r="R434" s="13"/>
      <c r="S434" s="13">
        <v>4.1192129629629627E-2</v>
      </c>
      <c r="T434" s="13">
        <v>8.4490740740740739E-4</v>
      </c>
      <c r="U434" s="13"/>
      <c r="V434" s="13"/>
      <c r="W434" s="13"/>
    </row>
    <row r="435" spans="1:23" ht="15" customHeight="1" x14ac:dyDescent="0.25">
      <c r="A435" s="19">
        <v>46240</v>
      </c>
      <c r="B435" s="11" t="s">
        <v>309</v>
      </c>
      <c r="C435" s="12" t="s">
        <v>310</v>
      </c>
      <c r="D435" s="11" t="s">
        <v>78</v>
      </c>
      <c r="E435" s="12" t="s">
        <v>80</v>
      </c>
      <c r="F435" s="12" t="s">
        <v>81</v>
      </c>
      <c r="G435" s="12">
        <v>0</v>
      </c>
      <c r="H435" s="13">
        <v>0.33906249999999999</v>
      </c>
      <c r="I435" s="13">
        <v>0</v>
      </c>
      <c r="J435" s="13">
        <v>0</v>
      </c>
      <c r="K435" s="13">
        <v>6.5752314814814819E-2</v>
      </c>
      <c r="L435" s="14">
        <v>0.19392387779484554</v>
      </c>
      <c r="M435" s="12" t="s">
        <v>334</v>
      </c>
      <c r="N435" s="13">
        <v>1.1307870370370371E-2</v>
      </c>
      <c r="O435" s="13">
        <v>4.1435185185185186E-2</v>
      </c>
      <c r="P435" s="13"/>
      <c r="Q435" s="13"/>
      <c r="R435" s="13"/>
      <c r="S435" s="13">
        <v>8.1134259259259267E-3</v>
      </c>
      <c r="T435" s="13">
        <v>4.3055555555555555E-3</v>
      </c>
      <c r="U435" s="13">
        <v>5.6712962962962967E-4</v>
      </c>
      <c r="V435" s="13"/>
      <c r="W435" s="13"/>
    </row>
    <row r="436" spans="1:23" ht="15" customHeight="1" x14ac:dyDescent="0.25">
      <c r="A436" s="19">
        <v>46240</v>
      </c>
      <c r="B436" s="11" t="s">
        <v>160</v>
      </c>
      <c r="C436" s="12" t="s">
        <v>544</v>
      </c>
      <c r="D436" s="11" t="s">
        <v>146</v>
      </c>
      <c r="E436" s="12" t="s">
        <v>147</v>
      </c>
      <c r="F436" s="12" t="s">
        <v>106</v>
      </c>
      <c r="G436" s="12">
        <v>16</v>
      </c>
      <c r="H436" s="13">
        <v>0.25135416666666666</v>
      </c>
      <c r="I436" s="13">
        <v>4.7418981481481479E-2</v>
      </c>
      <c r="J436" s="13">
        <v>2.9636863425925924E-3</v>
      </c>
      <c r="K436" s="13">
        <v>5.662037037037037E-2</v>
      </c>
      <c r="L436" s="14">
        <v>0.22526131601970806</v>
      </c>
      <c r="M436" s="12" t="s">
        <v>334</v>
      </c>
      <c r="N436" s="13">
        <v>8.1597222222222227E-3</v>
      </c>
      <c r="O436" s="13">
        <v>1.6354166666666666E-2</v>
      </c>
      <c r="P436" s="13"/>
      <c r="Q436" s="13">
        <v>9.3981481481481485E-3</v>
      </c>
      <c r="R436" s="13"/>
      <c r="S436" s="13">
        <v>1.5173611111111112E-2</v>
      </c>
      <c r="T436" s="13">
        <v>1.5046296296296297E-4</v>
      </c>
      <c r="U436" s="13">
        <v>6.9560185185185185E-3</v>
      </c>
      <c r="V436" s="13"/>
      <c r="W436" s="13"/>
    </row>
    <row r="437" spans="1:23" ht="15" customHeight="1" x14ac:dyDescent="0.25">
      <c r="A437" s="19">
        <v>46240</v>
      </c>
      <c r="B437" s="11" t="s">
        <v>645</v>
      </c>
      <c r="C437" s="12" t="s">
        <v>646</v>
      </c>
      <c r="D437" s="11" t="s">
        <v>100</v>
      </c>
      <c r="E437" s="12" t="s">
        <v>32</v>
      </c>
      <c r="F437" s="12" t="s">
        <v>33</v>
      </c>
      <c r="G437" s="12">
        <v>29</v>
      </c>
      <c r="H437" s="13">
        <v>0.2645601851851852</v>
      </c>
      <c r="I437" s="13">
        <v>0.20215277777777776</v>
      </c>
      <c r="J437" s="13">
        <v>6.9707854406130263E-3</v>
      </c>
      <c r="K437" s="13">
        <v>3.1504629629629632E-2</v>
      </c>
      <c r="L437" s="14">
        <v>0.11908303438621053</v>
      </c>
      <c r="M437" s="12" t="s">
        <v>334</v>
      </c>
      <c r="N437" s="13">
        <v>2.3726851851851851E-3</v>
      </c>
      <c r="O437" s="13">
        <v>1.3819444444444445E-2</v>
      </c>
      <c r="P437" s="13"/>
      <c r="Q437" s="13"/>
      <c r="R437" s="13"/>
      <c r="S437" s="13">
        <v>1.3796296296296296E-2</v>
      </c>
      <c r="T437" s="13">
        <v>7.7546296296296293E-4</v>
      </c>
      <c r="U437" s="13">
        <v>6.9444444444444447E-4</v>
      </c>
      <c r="V437" s="13"/>
      <c r="W437" s="13"/>
    </row>
    <row r="438" spans="1:23" ht="15" customHeight="1" x14ac:dyDescent="0.25">
      <c r="A438" s="19">
        <v>46240</v>
      </c>
      <c r="B438" s="11" t="s">
        <v>120</v>
      </c>
      <c r="C438" s="12" t="s">
        <v>558</v>
      </c>
      <c r="D438" s="11" t="s">
        <v>233</v>
      </c>
      <c r="E438" s="12" t="s">
        <v>32</v>
      </c>
      <c r="F438" s="12" t="s">
        <v>106</v>
      </c>
      <c r="G438" s="12">
        <v>26</v>
      </c>
      <c r="H438" s="13">
        <v>0.23315972222222223</v>
      </c>
      <c r="I438" s="13">
        <v>7.4664351851851857E-2</v>
      </c>
      <c r="J438" s="13">
        <v>2.8717058404558408E-3</v>
      </c>
      <c r="K438" s="13">
        <v>0.10174768518518519</v>
      </c>
      <c r="L438" s="14">
        <v>0.43638620004964013</v>
      </c>
      <c r="M438" s="12" t="s">
        <v>334</v>
      </c>
      <c r="N438" s="13">
        <v>7.2569444444444443E-3</v>
      </c>
      <c r="O438" s="13">
        <v>1.3645833333333333E-2</v>
      </c>
      <c r="P438" s="13"/>
      <c r="Q438" s="13"/>
      <c r="R438" s="13"/>
      <c r="S438" s="13">
        <v>1.3865740740740741E-2</v>
      </c>
      <c r="T438" s="13">
        <v>2.1365740740740741E-2</v>
      </c>
      <c r="U438" s="13">
        <v>3.0787037037037037E-3</v>
      </c>
      <c r="V438" s="13"/>
      <c r="W438" s="13">
        <v>4.2534722222222224E-2</v>
      </c>
    </row>
    <row r="439" spans="1:23" ht="15" customHeight="1" x14ac:dyDescent="0.25">
      <c r="A439" s="19">
        <v>46240</v>
      </c>
      <c r="B439" s="11" t="s">
        <v>46</v>
      </c>
      <c r="C439" s="12" t="s">
        <v>507</v>
      </c>
      <c r="D439" s="11" t="s">
        <v>100</v>
      </c>
      <c r="E439" s="12" t="s">
        <v>32</v>
      </c>
      <c r="F439" s="12" t="s">
        <v>33</v>
      </c>
      <c r="G439" s="12">
        <v>30</v>
      </c>
      <c r="H439" s="13">
        <v>0.28113425925925928</v>
      </c>
      <c r="I439" s="13">
        <v>0.15489583333333334</v>
      </c>
      <c r="J439" s="13">
        <v>5.1631944444444451E-3</v>
      </c>
      <c r="K439" s="13">
        <v>4.2997685185185187E-2</v>
      </c>
      <c r="L439" s="14">
        <v>0.15294359818855496</v>
      </c>
      <c r="M439" s="12" t="s">
        <v>334</v>
      </c>
      <c r="N439" s="13">
        <v>3.1597222222222222E-3</v>
      </c>
      <c r="O439" s="13">
        <v>1.4293981481481482E-2</v>
      </c>
      <c r="P439" s="13"/>
      <c r="Q439" s="13"/>
      <c r="R439" s="13"/>
      <c r="S439" s="13">
        <v>1.4155092592592592E-2</v>
      </c>
      <c r="T439" s="13">
        <v>2.6620370370370372E-4</v>
      </c>
      <c r="U439" s="13">
        <v>1.8171296296296297E-3</v>
      </c>
      <c r="V439" s="13"/>
      <c r="W439" s="13">
        <v>9.2476851851851852E-3</v>
      </c>
    </row>
    <row r="440" spans="1:23" ht="15" customHeight="1" x14ac:dyDescent="0.25">
      <c r="A440" s="19">
        <v>46240</v>
      </c>
      <c r="B440" s="11" t="s">
        <v>287</v>
      </c>
      <c r="C440" s="12" t="s">
        <v>542</v>
      </c>
      <c r="D440" s="11" t="s">
        <v>104</v>
      </c>
      <c r="E440" s="12" t="s">
        <v>105</v>
      </c>
      <c r="F440" s="12" t="s">
        <v>106</v>
      </c>
      <c r="G440" s="12">
        <v>3</v>
      </c>
      <c r="H440" s="13">
        <v>0.23534722222222224</v>
      </c>
      <c r="I440" s="13">
        <v>0.13769675925925925</v>
      </c>
      <c r="J440" s="13">
        <v>4.5898919753086416E-2</v>
      </c>
      <c r="K440" s="13">
        <v>0.10256944444444445</v>
      </c>
      <c r="L440" s="14">
        <v>0.43582177633520214</v>
      </c>
      <c r="M440" s="12" t="s">
        <v>334</v>
      </c>
      <c r="N440" s="13">
        <v>2.4618055555555556E-2</v>
      </c>
      <c r="O440" s="13">
        <v>2.0694444444444446E-2</v>
      </c>
      <c r="P440" s="13"/>
      <c r="Q440" s="13"/>
      <c r="R440" s="13"/>
      <c r="S440" s="13">
        <v>1.3483796296296296E-2</v>
      </c>
      <c r="T440" s="13">
        <v>4.9768518518518521E-4</v>
      </c>
      <c r="U440" s="13"/>
      <c r="V440" s="13"/>
      <c r="W440" s="13">
        <v>4.327546296296296E-2</v>
      </c>
    </row>
    <row r="441" spans="1:23" ht="15" customHeight="1" x14ac:dyDescent="0.25">
      <c r="A441" s="19">
        <v>46240</v>
      </c>
      <c r="B441" s="11" t="s">
        <v>499</v>
      </c>
      <c r="C441" s="12" t="s">
        <v>517</v>
      </c>
      <c r="D441" s="11" t="s">
        <v>146</v>
      </c>
      <c r="E441" s="12" t="s">
        <v>147</v>
      </c>
      <c r="F441" s="12" t="s">
        <v>106</v>
      </c>
      <c r="G441" s="12">
        <v>17</v>
      </c>
      <c r="H441" s="13">
        <v>0.31574074074074077</v>
      </c>
      <c r="I441" s="13">
        <v>5.5046296296296295E-2</v>
      </c>
      <c r="J441" s="13">
        <v>3.2380174291938998E-3</v>
      </c>
      <c r="K441" s="13">
        <v>0.10319444444444445</v>
      </c>
      <c r="L441" s="14">
        <v>0.32683284457478007</v>
      </c>
      <c r="M441" s="12" t="s">
        <v>334</v>
      </c>
      <c r="N441" s="13">
        <v>9.1898148148148156E-3</v>
      </c>
      <c r="O441" s="13">
        <v>1.3622685185185186E-2</v>
      </c>
      <c r="P441" s="13"/>
      <c r="Q441" s="13">
        <v>2.9479166666666667E-2</v>
      </c>
      <c r="R441" s="13"/>
      <c r="S441" s="13">
        <v>1.4212962962962964E-2</v>
      </c>
      <c r="T441" s="13">
        <v>2.8935185185185184E-4</v>
      </c>
      <c r="U441" s="13">
        <v>6.9444444444444447E-4</v>
      </c>
      <c r="V441" s="13"/>
      <c r="W441" s="13">
        <v>3.5694444444444445E-2</v>
      </c>
    </row>
    <row r="442" spans="1:23" ht="15" customHeight="1" x14ac:dyDescent="0.25">
      <c r="A442" s="19">
        <v>46240</v>
      </c>
      <c r="B442" s="11" t="s">
        <v>647</v>
      </c>
      <c r="C442" s="12" t="s">
        <v>648</v>
      </c>
      <c r="D442" s="11" t="s">
        <v>233</v>
      </c>
      <c r="E442" s="12" t="s">
        <v>32</v>
      </c>
      <c r="F442" s="12" t="s">
        <v>106</v>
      </c>
      <c r="G442" s="12">
        <v>15</v>
      </c>
      <c r="H442" s="13">
        <v>0.12560185185185185</v>
      </c>
      <c r="I442" s="13">
        <v>5.707175925925926E-2</v>
      </c>
      <c r="J442" s="13">
        <v>3.8047839506172841E-3</v>
      </c>
      <c r="K442" s="13">
        <v>1.9375E-2</v>
      </c>
      <c r="L442" s="14">
        <v>0.15425727976409878</v>
      </c>
      <c r="M442" s="12" t="s">
        <v>334</v>
      </c>
      <c r="N442" s="13">
        <v>4.6527777777777774E-3</v>
      </c>
      <c r="O442" s="13"/>
      <c r="P442" s="13"/>
      <c r="Q442" s="13">
        <v>9.2013888888888892E-3</v>
      </c>
      <c r="R442" s="13"/>
      <c r="S442" s="13"/>
      <c r="T442" s="13">
        <v>5.3009259259259259E-3</v>
      </c>
      <c r="U442" s="13">
        <v>2.0833333333333335E-4</v>
      </c>
      <c r="V442" s="13"/>
      <c r="W442" s="13"/>
    </row>
    <row r="443" spans="1:23" ht="15" customHeight="1" x14ac:dyDescent="0.25">
      <c r="A443" s="19">
        <v>46240</v>
      </c>
      <c r="B443" s="11" t="s">
        <v>649</v>
      </c>
      <c r="C443" s="12" t="s">
        <v>650</v>
      </c>
      <c r="D443" s="11" t="s">
        <v>104</v>
      </c>
      <c r="E443" s="12" t="s">
        <v>105</v>
      </c>
      <c r="F443" s="12" t="s">
        <v>106</v>
      </c>
      <c r="G443" s="12">
        <v>12</v>
      </c>
      <c r="H443" s="13">
        <v>0.25472222222222224</v>
      </c>
      <c r="I443" s="13">
        <v>0.18118055555555557</v>
      </c>
      <c r="J443" s="13">
        <v>1.509837962962963E-2</v>
      </c>
      <c r="K443" s="13">
        <v>9.1076388888888887E-2</v>
      </c>
      <c r="L443" s="14">
        <v>0.35755179934569242</v>
      </c>
      <c r="M443" s="12" t="s">
        <v>334</v>
      </c>
      <c r="N443" s="13">
        <v>6.5393518518518517E-3</v>
      </c>
      <c r="O443" s="13">
        <v>1.4687499999999999E-2</v>
      </c>
      <c r="P443" s="13"/>
      <c r="Q443" s="13"/>
      <c r="R443" s="13"/>
      <c r="S443" s="13">
        <v>1.3738425925925926E-2</v>
      </c>
      <c r="T443" s="13">
        <v>1.273148148148148E-4</v>
      </c>
      <c r="U443" s="13">
        <v>1.5821759259259258E-2</v>
      </c>
      <c r="V443" s="13"/>
      <c r="W443" s="13">
        <v>4.0162037037037038E-2</v>
      </c>
    </row>
    <row r="444" spans="1:23" ht="15" customHeight="1" x14ac:dyDescent="0.25">
      <c r="A444" s="19">
        <v>46240</v>
      </c>
      <c r="B444" s="11" t="s">
        <v>651</v>
      </c>
      <c r="C444" s="12" t="s">
        <v>652</v>
      </c>
      <c r="D444" s="11" t="s">
        <v>100</v>
      </c>
      <c r="E444" s="12" t="s">
        <v>32</v>
      </c>
      <c r="F444" s="12" t="s">
        <v>33</v>
      </c>
      <c r="G444" s="12">
        <v>30</v>
      </c>
      <c r="H444" s="13">
        <v>0.26396990740740739</v>
      </c>
      <c r="I444" s="13">
        <v>0.18190972222222221</v>
      </c>
      <c r="J444" s="13">
        <v>6.0636574074074074E-3</v>
      </c>
      <c r="K444" s="13">
        <v>4.611111111111111E-2</v>
      </c>
      <c r="L444" s="14">
        <v>0.17468321129477793</v>
      </c>
      <c r="M444" s="12" t="s">
        <v>334</v>
      </c>
      <c r="N444" s="13">
        <v>4.363425925925926E-3</v>
      </c>
      <c r="O444" s="13">
        <v>1.8587962962962962E-2</v>
      </c>
      <c r="P444" s="13"/>
      <c r="Q444" s="13">
        <v>1.4699074074074074E-3</v>
      </c>
      <c r="R444" s="13"/>
      <c r="S444" s="13">
        <v>1.9328703703703702E-2</v>
      </c>
      <c r="T444" s="13">
        <v>1.8981481481481482E-3</v>
      </c>
      <c r="U444" s="13">
        <v>4.6296296296296298E-4</v>
      </c>
      <c r="V444" s="13"/>
      <c r="W444" s="13"/>
    </row>
    <row r="445" spans="1:23" ht="15" customHeight="1" x14ac:dyDescent="0.25">
      <c r="A445" s="19">
        <v>46240</v>
      </c>
      <c r="B445" s="11" t="s">
        <v>246</v>
      </c>
      <c r="C445" s="12" t="s">
        <v>568</v>
      </c>
      <c r="D445" s="11" t="s">
        <v>233</v>
      </c>
      <c r="E445" s="12" t="s">
        <v>32</v>
      </c>
      <c r="F445" s="12" t="s">
        <v>106</v>
      </c>
      <c r="G445" s="12">
        <v>19</v>
      </c>
      <c r="H445" s="13">
        <v>0.22508101851851853</v>
      </c>
      <c r="I445" s="13">
        <v>7.8472222222222221E-2</v>
      </c>
      <c r="J445" s="13">
        <v>4.1301169590643276E-3</v>
      </c>
      <c r="K445" s="13">
        <v>8.6504629629629626E-2</v>
      </c>
      <c r="L445" s="14">
        <v>0.38432663135702161</v>
      </c>
      <c r="M445" s="12" t="s">
        <v>334</v>
      </c>
      <c r="N445" s="13">
        <v>5.5439814814814813E-3</v>
      </c>
      <c r="O445" s="13">
        <v>1.3599537037037037E-2</v>
      </c>
      <c r="P445" s="13"/>
      <c r="Q445" s="13">
        <v>4.0740740740740737E-3</v>
      </c>
      <c r="R445" s="13">
        <v>2.1990740740740742E-3</v>
      </c>
      <c r="S445" s="13">
        <v>1.4016203703703704E-2</v>
      </c>
      <c r="T445" s="13">
        <v>4.0625000000000001E-3</v>
      </c>
      <c r="U445" s="13">
        <v>2.6620370370370372E-4</v>
      </c>
      <c r="V445" s="13"/>
      <c r="W445" s="13">
        <v>4.2731481481481481E-2</v>
      </c>
    </row>
    <row r="446" spans="1:23" ht="15" customHeight="1" x14ac:dyDescent="0.25">
      <c r="A446" s="19">
        <v>46240</v>
      </c>
      <c r="B446" s="11" t="s">
        <v>48</v>
      </c>
      <c r="C446" s="12" t="s">
        <v>508</v>
      </c>
      <c r="D446" s="11" t="s">
        <v>100</v>
      </c>
      <c r="E446" s="12" t="s">
        <v>32</v>
      </c>
      <c r="F446" s="12" t="s">
        <v>33</v>
      </c>
      <c r="G446" s="12">
        <v>32</v>
      </c>
      <c r="H446" s="13">
        <v>0.26571759259259259</v>
      </c>
      <c r="I446" s="13">
        <v>0.13071759259259258</v>
      </c>
      <c r="J446" s="13">
        <v>4.0849247685185181E-3</v>
      </c>
      <c r="K446" s="13">
        <v>5.9421296296296298E-2</v>
      </c>
      <c r="L446" s="14">
        <v>0.22362575137207075</v>
      </c>
      <c r="M446" s="12" t="s">
        <v>334</v>
      </c>
      <c r="N446" s="13">
        <v>6.145833333333333E-3</v>
      </c>
      <c r="O446" s="13">
        <v>1.5324074074074073E-2</v>
      </c>
      <c r="P446" s="13"/>
      <c r="Q446" s="13"/>
      <c r="R446" s="13"/>
      <c r="S446" s="13">
        <v>1.3912037037037037E-2</v>
      </c>
      <c r="T446" s="13">
        <v>1.273148148148148E-4</v>
      </c>
      <c r="U446" s="13"/>
      <c r="V446" s="13"/>
      <c r="W446" s="13">
        <v>2.3912037037037037E-2</v>
      </c>
    </row>
    <row r="447" spans="1:23" ht="15" customHeight="1" x14ac:dyDescent="0.25">
      <c r="A447" s="19">
        <v>46240</v>
      </c>
      <c r="B447" s="11" t="s">
        <v>50</v>
      </c>
      <c r="C447" s="12" t="s">
        <v>538</v>
      </c>
      <c r="D447" s="11" t="s">
        <v>100</v>
      </c>
      <c r="E447" s="12" t="s">
        <v>32</v>
      </c>
      <c r="F447" s="12" t="s">
        <v>33</v>
      </c>
      <c r="G447" s="12">
        <v>5</v>
      </c>
      <c r="H447" s="13">
        <v>0.20140046296296296</v>
      </c>
      <c r="I447" s="13">
        <v>5.8159722222222224E-2</v>
      </c>
      <c r="J447" s="13">
        <v>1.1631944444444445E-2</v>
      </c>
      <c r="K447" s="13">
        <v>0.16903935185185184</v>
      </c>
      <c r="L447" s="14">
        <v>0.83931957933452095</v>
      </c>
      <c r="M447" s="12" t="s">
        <v>334</v>
      </c>
      <c r="N447" s="13">
        <v>1.0243055555555556E-2</v>
      </c>
      <c r="O447" s="13">
        <v>8.5879629629629622E-3</v>
      </c>
      <c r="P447" s="13"/>
      <c r="Q447" s="13"/>
      <c r="R447" s="13"/>
      <c r="S447" s="13">
        <v>5.9143518518518521E-3</v>
      </c>
      <c r="T447" s="13">
        <v>2.1412037037037038E-3</v>
      </c>
      <c r="U447" s="13">
        <v>4.2824074074074075E-4</v>
      </c>
      <c r="V447" s="13"/>
      <c r="W447" s="13">
        <v>0.14172453703703702</v>
      </c>
    </row>
    <row r="448" spans="1:23" ht="15" customHeight="1" x14ac:dyDescent="0.25">
      <c r="A448" s="19">
        <v>46240</v>
      </c>
      <c r="B448" s="11" t="s">
        <v>242</v>
      </c>
      <c r="C448" s="12" t="s">
        <v>603</v>
      </c>
      <c r="D448" s="11" t="s">
        <v>233</v>
      </c>
      <c r="E448" s="12" t="s">
        <v>32</v>
      </c>
      <c r="F448" s="12" t="s">
        <v>106</v>
      </c>
      <c r="G448" s="12">
        <v>29</v>
      </c>
      <c r="H448" s="13">
        <v>0.28152777777777777</v>
      </c>
      <c r="I448" s="13">
        <v>0.19902777777777778</v>
      </c>
      <c r="J448" s="13">
        <v>6.8630268199233718E-3</v>
      </c>
      <c r="K448" s="13">
        <v>9.0509259259259258E-3</v>
      </c>
      <c r="L448" s="14">
        <v>3.2149317546456176E-2</v>
      </c>
      <c r="M448" s="12" t="s">
        <v>334</v>
      </c>
      <c r="N448" s="13"/>
      <c r="O448" s="13"/>
      <c r="P448" s="13"/>
      <c r="Q448" s="13">
        <v>5.8333333333333336E-3</v>
      </c>
      <c r="R448" s="13"/>
      <c r="S448" s="13"/>
      <c r="T448" s="13">
        <v>2.6620370370370372E-4</v>
      </c>
      <c r="U448" s="13">
        <v>1.9560185185185184E-3</v>
      </c>
      <c r="V448" s="13"/>
      <c r="W448" s="13">
        <v>2.3148148148148147E-5</v>
      </c>
    </row>
    <row r="449" spans="1:23" ht="15" customHeight="1" x14ac:dyDescent="0.25">
      <c r="A449" s="19">
        <v>46240</v>
      </c>
      <c r="B449" s="11" t="s">
        <v>248</v>
      </c>
      <c r="C449" s="12" t="s">
        <v>249</v>
      </c>
      <c r="D449" s="11" t="s">
        <v>78</v>
      </c>
      <c r="E449" s="12" t="s">
        <v>80</v>
      </c>
      <c r="F449" s="12" t="s">
        <v>81</v>
      </c>
      <c r="G449" s="12">
        <v>0</v>
      </c>
      <c r="H449" s="13">
        <v>0.34651620370370373</v>
      </c>
      <c r="I449" s="13">
        <v>0</v>
      </c>
      <c r="J449" s="13">
        <v>0</v>
      </c>
      <c r="K449" s="13">
        <v>1.2430555555555556E-2</v>
      </c>
      <c r="L449" s="14">
        <v>3.5872941648017631E-2</v>
      </c>
      <c r="M449" s="12" t="s">
        <v>334</v>
      </c>
      <c r="N449" s="13"/>
      <c r="O449" s="13"/>
      <c r="P449" s="13"/>
      <c r="Q449" s="13"/>
      <c r="R449" s="13"/>
      <c r="S449" s="13"/>
      <c r="T449" s="13">
        <v>5.7870370370370373E-5</v>
      </c>
      <c r="U449" s="13">
        <v>1.1689814814814816E-3</v>
      </c>
      <c r="V449" s="13"/>
      <c r="W449" s="13">
        <v>1.1111111111111112E-2</v>
      </c>
    </row>
    <row r="450" spans="1:23" ht="15" customHeight="1" x14ac:dyDescent="0.25">
      <c r="A450" s="19">
        <v>46240</v>
      </c>
      <c r="B450" s="11" t="s">
        <v>289</v>
      </c>
      <c r="C450" s="12" t="s">
        <v>559</v>
      </c>
      <c r="D450" s="11" t="s">
        <v>104</v>
      </c>
      <c r="E450" s="12" t="s">
        <v>105</v>
      </c>
      <c r="F450" s="12" t="s">
        <v>106</v>
      </c>
      <c r="G450" s="12">
        <v>13</v>
      </c>
      <c r="H450" s="13">
        <v>0.24560185185185185</v>
      </c>
      <c r="I450" s="13">
        <v>0.18</v>
      </c>
      <c r="J450" s="13">
        <v>1.3846153846153845E-2</v>
      </c>
      <c r="K450" s="13">
        <v>8.0289351851851848E-2</v>
      </c>
      <c r="L450" s="14">
        <v>0.32690857681432611</v>
      </c>
      <c r="M450" s="12" t="s">
        <v>334</v>
      </c>
      <c r="N450" s="13">
        <v>2.3101851851851853E-2</v>
      </c>
      <c r="O450" s="13">
        <v>2.4722222222222222E-2</v>
      </c>
      <c r="P450" s="13"/>
      <c r="Q450" s="13"/>
      <c r="R450" s="13"/>
      <c r="S450" s="13">
        <v>2.0613425925925927E-2</v>
      </c>
      <c r="T450" s="13">
        <v>1.0879629629629629E-3</v>
      </c>
      <c r="U450" s="13">
        <v>2.199074074074074E-4</v>
      </c>
      <c r="V450" s="13"/>
      <c r="W450" s="13">
        <v>1.0532407407407407E-2</v>
      </c>
    </row>
    <row r="451" spans="1:23" ht="15" customHeight="1" x14ac:dyDescent="0.25">
      <c r="A451" s="19">
        <v>46240</v>
      </c>
      <c r="B451" s="11" t="s">
        <v>252</v>
      </c>
      <c r="C451" s="12" t="s">
        <v>553</v>
      </c>
      <c r="D451" s="11" t="s">
        <v>78</v>
      </c>
      <c r="E451" s="12" t="s">
        <v>80</v>
      </c>
      <c r="F451" s="12" t="s">
        <v>81</v>
      </c>
      <c r="G451" s="12">
        <v>0</v>
      </c>
      <c r="H451" s="13">
        <v>0.35197916666666668</v>
      </c>
      <c r="I451" s="13">
        <v>0</v>
      </c>
      <c r="J451" s="13">
        <v>0</v>
      </c>
      <c r="K451" s="13">
        <v>9.6226851851851855E-2</v>
      </c>
      <c r="L451" s="14">
        <v>0.27338791884515473</v>
      </c>
      <c r="M451" s="12" t="s">
        <v>334</v>
      </c>
      <c r="N451" s="13"/>
      <c r="O451" s="13"/>
      <c r="P451" s="13"/>
      <c r="Q451" s="13"/>
      <c r="R451" s="13">
        <v>9.6226851851851855E-2</v>
      </c>
      <c r="S451" s="13"/>
      <c r="T451" s="13"/>
      <c r="U451" s="13"/>
      <c r="V451" s="13"/>
      <c r="W451" s="13"/>
    </row>
    <row r="452" spans="1:23" ht="15" customHeight="1" x14ac:dyDescent="0.25">
      <c r="A452" s="19">
        <v>46240</v>
      </c>
      <c r="B452" s="11" t="s">
        <v>500</v>
      </c>
      <c r="C452" s="12" t="s">
        <v>518</v>
      </c>
      <c r="D452" s="11" t="s">
        <v>274</v>
      </c>
      <c r="E452" s="12" t="s">
        <v>147</v>
      </c>
      <c r="F452" s="12" t="s">
        <v>33</v>
      </c>
      <c r="G452" s="12">
        <v>22</v>
      </c>
      <c r="H452" s="13">
        <v>0.26591435185185186</v>
      </c>
      <c r="I452" s="13">
        <v>9.1099537037037034E-2</v>
      </c>
      <c r="J452" s="13">
        <v>4.1408880471380466E-3</v>
      </c>
      <c r="K452" s="13">
        <v>3.1678240740740743E-2</v>
      </c>
      <c r="L452" s="14">
        <v>0.11912948857453755</v>
      </c>
      <c r="M452" s="12" t="s">
        <v>334</v>
      </c>
      <c r="N452" s="13">
        <v>2.1412037037037038E-3</v>
      </c>
      <c r="O452" s="13">
        <v>1.4409722222222223E-2</v>
      </c>
      <c r="P452" s="13"/>
      <c r="Q452" s="13"/>
      <c r="R452" s="13"/>
      <c r="S452" s="13">
        <v>1.3703703703703704E-2</v>
      </c>
      <c r="T452" s="13">
        <v>6.9444444444444444E-5</v>
      </c>
      <c r="U452" s="13">
        <v>1.238425925925926E-3</v>
      </c>
      <c r="V452" s="13"/>
      <c r="W452" s="13"/>
    </row>
    <row r="453" spans="1:23" ht="15" customHeight="1" x14ac:dyDescent="0.25">
      <c r="A453" s="19">
        <v>46240</v>
      </c>
      <c r="B453" s="11" t="s">
        <v>683</v>
      </c>
      <c r="C453" s="12" t="s">
        <v>684</v>
      </c>
      <c r="D453" s="11" t="s">
        <v>233</v>
      </c>
      <c r="E453" s="12" t="s">
        <v>32</v>
      </c>
      <c r="F453" s="12" t="s">
        <v>106</v>
      </c>
      <c r="G453" s="12">
        <v>35</v>
      </c>
      <c r="H453" s="13">
        <v>0.26429398148148148</v>
      </c>
      <c r="I453" s="13">
        <v>0.16804398148148147</v>
      </c>
      <c r="J453" s="13">
        <v>4.8012566137566135E-3</v>
      </c>
      <c r="K453" s="13">
        <v>5.4722222222222221E-2</v>
      </c>
      <c r="L453" s="14">
        <v>0.20705058024961681</v>
      </c>
      <c r="M453" s="12" t="s">
        <v>334</v>
      </c>
      <c r="N453" s="13">
        <v>8.1828703703703699E-3</v>
      </c>
      <c r="O453" s="13">
        <v>1.8865740740740742E-2</v>
      </c>
      <c r="P453" s="13"/>
      <c r="Q453" s="13"/>
      <c r="R453" s="13"/>
      <c r="S453" s="13">
        <v>1.3703703703703704E-2</v>
      </c>
      <c r="T453" s="13">
        <v>6.7129629629629625E-4</v>
      </c>
      <c r="U453" s="13">
        <v>1.3287037037037036E-2</v>
      </c>
      <c r="V453" s="13"/>
      <c r="W453" s="13"/>
    </row>
    <row r="454" spans="1:23" ht="15" customHeight="1" x14ac:dyDescent="0.25">
      <c r="A454" s="19">
        <v>46240</v>
      </c>
      <c r="B454" s="11" t="s">
        <v>653</v>
      </c>
      <c r="C454" s="12" t="s">
        <v>654</v>
      </c>
      <c r="D454" s="11" t="s">
        <v>100</v>
      </c>
      <c r="E454" s="12" t="s">
        <v>32</v>
      </c>
      <c r="F454" s="12" t="s">
        <v>33</v>
      </c>
      <c r="G454" s="12">
        <v>25</v>
      </c>
      <c r="H454" s="13">
        <v>0.2555324074074074</v>
      </c>
      <c r="I454" s="13">
        <v>0.16787037037037036</v>
      </c>
      <c r="J454" s="13">
        <v>6.714814814814815E-3</v>
      </c>
      <c r="K454" s="13">
        <v>4.6273148148148147E-2</v>
      </c>
      <c r="L454" s="14">
        <v>0.18108524322855332</v>
      </c>
      <c r="M454" s="12" t="s">
        <v>334</v>
      </c>
      <c r="N454" s="13">
        <v>1.269675925925926E-2</v>
      </c>
      <c r="O454" s="13">
        <v>1.4583333333333334E-2</v>
      </c>
      <c r="P454" s="13"/>
      <c r="Q454" s="13">
        <v>3.8194444444444446E-4</v>
      </c>
      <c r="R454" s="13"/>
      <c r="S454" s="13">
        <v>1.4247685185185184E-2</v>
      </c>
      <c r="T454" s="13">
        <v>2.5115740740740741E-3</v>
      </c>
      <c r="U454" s="13">
        <v>1.7939814814814815E-3</v>
      </c>
      <c r="V454" s="13"/>
      <c r="W454" s="13"/>
    </row>
    <row r="455" spans="1:23" ht="15" customHeight="1" x14ac:dyDescent="0.25">
      <c r="A455" s="19">
        <v>46240</v>
      </c>
      <c r="B455" s="11" t="s">
        <v>52</v>
      </c>
      <c r="C455" s="12" t="s">
        <v>509</v>
      </c>
      <c r="D455" s="11" t="s">
        <v>100</v>
      </c>
      <c r="E455" s="12" t="s">
        <v>32</v>
      </c>
      <c r="F455" s="12" t="s">
        <v>33</v>
      </c>
      <c r="G455" s="12">
        <v>9</v>
      </c>
      <c r="H455" s="13">
        <v>0.26063657407407409</v>
      </c>
      <c r="I455" s="13">
        <v>4.3807870370370372E-2</v>
      </c>
      <c r="J455" s="13">
        <v>4.8675411522633751E-3</v>
      </c>
      <c r="K455" s="13">
        <v>0.21311342592592591</v>
      </c>
      <c r="L455" s="14">
        <v>0.81766508281895278</v>
      </c>
      <c r="M455" s="12" t="s">
        <v>334</v>
      </c>
      <c r="N455" s="13">
        <v>4.2592592592592595E-3</v>
      </c>
      <c r="O455" s="13">
        <v>1.4699074074074074E-2</v>
      </c>
      <c r="P455" s="13"/>
      <c r="Q455" s="13"/>
      <c r="R455" s="13"/>
      <c r="S455" s="13">
        <v>1.3888888888888888E-2</v>
      </c>
      <c r="T455" s="13">
        <v>5.3240740740740744E-4</v>
      </c>
      <c r="U455" s="13">
        <v>2.4305555555555555E-4</v>
      </c>
      <c r="V455" s="13"/>
      <c r="W455" s="13">
        <v>0.17947916666666666</v>
      </c>
    </row>
    <row r="456" spans="1:23" ht="15" customHeight="1" x14ac:dyDescent="0.25">
      <c r="A456" s="19">
        <v>46240</v>
      </c>
      <c r="B456" s="11" t="s">
        <v>164</v>
      </c>
      <c r="C456" s="12" t="s">
        <v>519</v>
      </c>
      <c r="D456" s="11" t="s">
        <v>146</v>
      </c>
      <c r="E456" s="12" t="s">
        <v>147</v>
      </c>
      <c r="F456" s="12" t="s">
        <v>106</v>
      </c>
      <c r="G456" s="12">
        <v>20</v>
      </c>
      <c r="H456" s="13">
        <v>0.26527777777777778</v>
      </c>
      <c r="I456" s="13">
        <v>4.9618055555555554E-2</v>
      </c>
      <c r="J456" s="13">
        <v>2.4809027777777776E-3</v>
      </c>
      <c r="K456" s="13">
        <v>4.8877314814814818E-2</v>
      </c>
      <c r="L456" s="14">
        <v>0.18424956369982548</v>
      </c>
      <c r="M456" s="12" t="s">
        <v>334</v>
      </c>
      <c r="N456" s="13">
        <v>8.1018518518518516E-5</v>
      </c>
      <c r="O456" s="13">
        <v>2.5462962962962962E-2</v>
      </c>
      <c r="P456" s="13"/>
      <c r="Q456" s="13">
        <v>4.1435185185185186E-3</v>
      </c>
      <c r="R456" s="13"/>
      <c r="S456" s="13">
        <v>1.8414351851851852E-2</v>
      </c>
      <c r="T456" s="13">
        <v>5.7870370370370373E-5</v>
      </c>
      <c r="U456" s="13">
        <v>6.4814814814814813E-4</v>
      </c>
      <c r="V456" s="13"/>
      <c r="W456" s="13"/>
    </row>
    <row r="457" spans="1:23" ht="15" customHeight="1" x14ac:dyDescent="0.25">
      <c r="A457" s="19">
        <v>46240</v>
      </c>
      <c r="B457" s="11" t="s">
        <v>655</v>
      </c>
      <c r="C457" s="12" t="s">
        <v>656</v>
      </c>
      <c r="D457" s="11" t="s">
        <v>100</v>
      </c>
      <c r="E457" s="12" t="s">
        <v>32</v>
      </c>
      <c r="F457" s="12" t="s">
        <v>33</v>
      </c>
      <c r="G457" s="12">
        <v>19</v>
      </c>
      <c r="H457" s="13">
        <v>0.26155092592592594</v>
      </c>
      <c r="I457" s="13">
        <v>0.1700925925925926</v>
      </c>
      <c r="J457" s="13">
        <v>8.9522417153996107E-3</v>
      </c>
      <c r="K457" s="13">
        <v>4.0497685185185185E-2</v>
      </c>
      <c r="L457" s="14">
        <v>0.15483671121338172</v>
      </c>
      <c r="M457" s="12" t="s">
        <v>334</v>
      </c>
      <c r="N457" s="13">
        <v>1.0844907407407407E-2</v>
      </c>
      <c r="O457" s="13">
        <v>1.3738425925925926E-2</v>
      </c>
      <c r="P457" s="13"/>
      <c r="Q457" s="13">
        <v>8.2175925925925927E-4</v>
      </c>
      <c r="R457" s="13"/>
      <c r="S457" s="13">
        <v>1.3564814814814814E-2</v>
      </c>
      <c r="T457" s="13">
        <v>9.2592592592592588E-5</v>
      </c>
      <c r="U457" s="13">
        <v>1.3888888888888889E-3</v>
      </c>
      <c r="V457" s="13"/>
      <c r="W457" s="13"/>
    </row>
    <row r="458" spans="1:23" ht="15" customHeight="1" x14ac:dyDescent="0.25">
      <c r="A458" s="19">
        <v>46240</v>
      </c>
      <c r="B458" s="11" t="s">
        <v>657</v>
      </c>
      <c r="C458" s="12" t="s">
        <v>658</v>
      </c>
      <c r="D458" s="11" t="s">
        <v>274</v>
      </c>
      <c r="E458" s="12" t="s">
        <v>147</v>
      </c>
      <c r="F458" s="12" t="s">
        <v>33</v>
      </c>
      <c r="G458" s="12">
        <v>14</v>
      </c>
      <c r="H458" s="13">
        <v>0.25738425925925928</v>
      </c>
      <c r="I458" s="13">
        <v>6.5300925925925929E-2</v>
      </c>
      <c r="J458" s="13">
        <v>4.6643518518518518E-3</v>
      </c>
      <c r="K458" s="13">
        <v>5.7905092592592591E-2</v>
      </c>
      <c r="L458" s="14">
        <v>0.22497526756003236</v>
      </c>
      <c r="M458" s="12" t="s">
        <v>334</v>
      </c>
      <c r="N458" s="13">
        <v>6.5509259259259262E-3</v>
      </c>
      <c r="O458" s="13">
        <v>1.7534722222222222E-2</v>
      </c>
      <c r="P458" s="13"/>
      <c r="Q458" s="13"/>
      <c r="R458" s="13">
        <v>4.1666666666666666E-3</v>
      </c>
      <c r="S458" s="13">
        <v>1.5486111111111112E-2</v>
      </c>
      <c r="T458" s="13">
        <v>1.9675925925925926E-4</v>
      </c>
      <c r="U458" s="13">
        <v>2.9861111111111113E-3</v>
      </c>
      <c r="V458" s="13"/>
      <c r="W458" s="13"/>
    </row>
    <row r="459" spans="1:23" ht="15" customHeight="1" x14ac:dyDescent="0.25">
      <c r="A459" s="19">
        <v>46240</v>
      </c>
      <c r="B459" s="11" t="s">
        <v>166</v>
      </c>
      <c r="C459" s="12" t="s">
        <v>167</v>
      </c>
      <c r="D459" s="11" t="s">
        <v>146</v>
      </c>
      <c r="E459" s="12" t="s">
        <v>147</v>
      </c>
      <c r="F459" s="12" t="s">
        <v>106</v>
      </c>
      <c r="G459" s="12">
        <v>14</v>
      </c>
      <c r="H459" s="13">
        <v>0.25585648148148149</v>
      </c>
      <c r="I459" s="13">
        <v>5.5555555555555552E-2</v>
      </c>
      <c r="J459" s="13">
        <v>3.968253968253968E-3</v>
      </c>
      <c r="K459" s="13">
        <v>4.4236111111111108E-2</v>
      </c>
      <c r="L459" s="14">
        <v>0.17289423685877137</v>
      </c>
      <c r="M459" s="12" t="s">
        <v>334</v>
      </c>
      <c r="N459" s="13">
        <v>7.7199074074074071E-3</v>
      </c>
      <c r="O459" s="13">
        <v>1.4351851851851852E-2</v>
      </c>
      <c r="P459" s="13"/>
      <c r="Q459" s="13">
        <v>8.067129629629629E-3</v>
      </c>
      <c r="R459" s="13"/>
      <c r="S459" s="13">
        <v>1.361111111111111E-2</v>
      </c>
      <c r="T459" s="13">
        <v>5.7870370370370373E-5</v>
      </c>
      <c r="U459" s="13">
        <v>4.1666666666666669E-4</v>
      </c>
      <c r="V459" s="13"/>
      <c r="W459" s="13"/>
    </row>
    <row r="460" spans="1:23" ht="15" customHeight="1" x14ac:dyDescent="0.25">
      <c r="A460" s="19">
        <v>46240</v>
      </c>
      <c r="B460" s="11" t="s">
        <v>659</v>
      </c>
      <c r="C460" s="12" t="s">
        <v>660</v>
      </c>
      <c r="D460" s="11" t="s">
        <v>100</v>
      </c>
      <c r="E460" s="12" t="s">
        <v>32</v>
      </c>
      <c r="F460" s="12" t="s">
        <v>33</v>
      </c>
      <c r="G460" s="12">
        <v>4</v>
      </c>
      <c r="H460" s="13">
        <v>0.22734953703703703</v>
      </c>
      <c r="I460" s="13">
        <v>1.5902777777777776E-2</v>
      </c>
      <c r="J460" s="13">
        <v>3.975694444444444E-3</v>
      </c>
      <c r="K460" s="13">
        <v>0.20755787037037038</v>
      </c>
      <c r="L460" s="14">
        <v>0.912946087664817</v>
      </c>
      <c r="M460" s="12" t="s">
        <v>334</v>
      </c>
      <c r="N460" s="13">
        <v>4.2361111111111113E-2</v>
      </c>
      <c r="O460" s="13">
        <v>3.3275462962962965E-2</v>
      </c>
      <c r="P460" s="13"/>
      <c r="Q460" s="13">
        <v>4.1666666666666666E-3</v>
      </c>
      <c r="R460" s="13"/>
      <c r="S460" s="13">
        <v>8.0787037037037043E-3</v>
      </c>
      <c r="T460" s="13">
        <v>9.1203703703703707E-3</v>
      </c>
      <c r="U460" s="13">
        <v>2.8935185185185184E-4</v>
      </c>
      <c r="V460" s="13"/>
      <c r="W460" s="13">
        <v>0.11025462962962963</v>
      </c>
    </row>
    <row r="461" spans="1:23" ht="15" customHeight="1" x14ac:dyDescent="0.25">
      <c r="A461" s="19">
        <v>46240</v>
      </c>
      <c r="B461" s="11" t="s">
        <v>254</v>
      </c>
      <c r="C461" s="12" t="s">
        <v>528</v>
      </c>
      <c r="D461" s="11" t="s">
        <v>233</v>
      </c>
      <c r="E461" s="12" t="s">
        <v>32</v>
      </c>
      <c r="F461" s="12" t="s">
        <v>106</v>
      </c>
      <c r="G461" s="12">
        <v>18</v>
      </c>
      <c r="H461" s="13">
        <v>0.23624999999999999</v>
      </c>
      <c r="I461" s="13">
        <v>7.1597222222222229E-2</v>
      </c>
      <c r="J461" s="13">
        <v>3.9776234567901235E-3</v>
      </c>
      <c r="K461" s="13">
        <v>9.7812499999999997E-2</v>
      </c>
      <c r="L461" s="14">
        <v>0.41402116402116401</v>
      </c>
      <c r="M461" s="12" t="s">
        <v>334</v>
      </c>
      <c r="N461" s="13">
        <v>1.6944444444444446E-2</v>
      </c>
      <c r="O461" s="13">
        <v>1.4178240740740741E-2</v>
      </c>
      <c r="P461" s="13"/>
      <c r="Q461" s="13"/>
      <c r="R461" s="13"/>
      <c r="S461" s="13">
        <v>1.3935185185185186E-2</v>
      </c>
      <c r="T461" s="13">
        <v>9.8379629629629633E-3</v>
      </c>
      <c r="U461" s="13">
        <v>1.6203703703703703E-4</v>
      </c>
      <c r="V461" s="13"/>
      <c r="W461" s="13">
        <v>4.2743055555555555E-2</v>
      </c>
    </row>
    <row r="462" spans="1:23" ht="15" customHeight="1" x14ac:dyDescent="0.25">
      <c r="A462" s="19">
        <v>46240</v>
      </c>
      <c r="B462" s="11" t="s">
        <v>201</v>
      </c>
      <c r="C462" s="12" t="s">
        <v>545</v>
      </c>
      <c r="D462" s="11" t="s">
        <v>601</v>
      </c>
      <c r="E462" s="12" t="s">
        <v>600</v>
      </c>
      <c r="F462" s="12" t="s">
        <v>33</v>
      </c>
      <c r="G462" s="12">
        <v>36</v>
      </c>
      <c r="H462" s="13">
        <v>0.25216435185185188</v>
      </c>
      <c r="I462" s="13">
        <v>8.1655092592592599E-2</v>
      </c>
      <c r="J462" s="13">
        <v>2.2681970164609056E-3</v>
      </c>
      <c r="K462" s="13">
        <v>6.9293981481481484E-2</v>
      </c>
      <c r="L462" s="14">
        <v>0.27479689723229445</v>
      </c>
      <c r="M462" s="12" t="s">
        <v>334</v>
      </c>
      <c r="N462" s="13">
        <v>1.6655092592592593E-2</v>
      </c>
      <c r="O462" s="13">
        <v>2.4155092592592593E-2</v>
      </c>
      <c r="P462" s="13"/>
      <c r="Q462" s="13">
        <v>8.773148148148148E-3</v>
      </c>
      <c r="R462" s="13"/>
      <c r="S462" s="13">
        <v>1.653935185185185E-2</v>
      </c>
      <c r="T462" s="13">
        <v>3.1712962962962962E-3</v>
      </c>
      <c r="U462" s="13"/>
      <c r="V462" s="13"/>
      <c r="W462" s="13"/>
    </row>
    <row r="463" spans="1:23" ht="15" customHeight="1" x14ac:dyDescent="0.25">
      <c r="A463" s="19">
        <v>46240</v>
      </c>
      <c r="B463" s="11" t="s">
        <v>168</v>
      </c>
      <c r="C463" s="12" t="s">
        <v>520</v>
      </c>
      <c r="D463" s="11" t="s">
        <v>274</v>
      </c>
      <c r="E463" s="12" t="s">
        <v>147</v>
      </c>
      <c r="F463" s="12" t="s">
        <v>33</v>
      </c>
      <c r="G463" s="12">
        <v>16</v>
      </c>
      <c r="H463" s="13">
        <v>0.26665509259259257</v>
      </c>
      <c r="I463" s="13">
        <v>7.0706018518518515E-2</v>
      </c>
      <c r="J463" s="13">
        <v>4.4191261574074072E-3</v>
      </c>
      <c r="K463" s="13">
        <v>4.2268518518518518E-2</v>
      </c>
      <c r="L463" s="14">
        <v>0.15851382438473893</v>
      </c>
      <c r="M463" s="12" t="s">
        <v>334</v>
      </c>
      <c r="N463" s="13">
        <v>4.7800925925925927E-3</v>
      </c>
      <c r="O463" s="13">
        <v>1.6759259259259258E-2</v>
      </c>
      <c r="P463" s="13"/>
      <c r="Q463" s="13"/>
      <c r="R463" s="13">
        <v>1.4236111111111112E-3</v>
      </c>
      <c r="S463" s="13">
        <v>1.7118055555555556E-2</v>
      </c>
      <c r="T463" s="13">
        <v>1.8518518518518518E-4</v>
      </c>
      <c r="U463" s="13">
        <v>1.8981481481481482E-3</v>
      </c>
      <c r="V463" s="13"/>
      <c r="W463" s="13"/>
    </row>
    <row r="464" spans="1:23" ht="15" customHeight="1" x14ac:dyDescent="0.25">
      <c r="A464" s="19">
        <v>46240</v>
      </c>
      <c r="B464" s="11" t="s">
        <v>170</v>
      </c>
      <c r="C464" s="12" t="s">
        <v>521</v>
      </c>
      <c r="D464" s="11" t="s">
        <v>146</v>
      </c>
      <c r="E464" s="12" t="s">
        <v>147</v>
      </c>
      <c r="F464" s="12" t="s">
        <v>106</v>
      </c>
      <c r="G464" s="12">
        <v>16</v>
      </c>
      <c r="H464" s="13">
        <v>0.26866898148148149</v>
      </c>
      <c r="I464" s="13">
        <v>8.6319444444444449E-2</v>
      </c>
      <c r="J464" s="13">
        <v>5.394965277777778E-3</v>
      </c>
      <c r="K464" s="13">
        <v>4.5416666666666668E-2</v>
      </c>
      <c r="L464" s="14">
        <v>0.16904320854693491</v>
      </c>
      <c r="M464" s="12" t="s">
        <v>334</v>
      </c>
      <c r="N464" s="13">
        <v>2.9050925925925928E-3</v>
      </c>
      <c r="O464" s="13">
        <v>1.2523148148148148E-2</v>
      </c>
      <c r="P464" s="13"/>
      <c r="Q464" s="13">
        <v>1.2743055555555556E-2</v>
      </c>
      <c r="R464" s="13"/>
      <c r="S464" s="13">
        <v>1.6458333333333332E-2</v>
      </c>
      <c r="T464" s="13">
        <v>6.9444444444444444E-5</v>
      </c>
      <c r="U464" s="13">
        <v>6.9444444444444447E-4</v>
      </c>
      <c r="V464" s="13"/>
      <c r="W464" s="13"/>
    </row>
    <row r="465" spans="1:23" ht="15" customHeight="1" x14ac:dyDescent="0.25">
      <c r="A465" s="19">
        <v>46240</v>
      </c>
      <c r="B465" s="11" t="s">
        <v>92</v>
      </c>
      <c r="C465" s="12" t="s">
        <v>93</v>
      </c>
      <c r="D465" s="11" t="s">
        <v>78</v>
      </c>
      <c r="E465" s="12" t="s">
        <v>80</v>
      </c>
      <c r="F465" s="12" t="s">
        <v>81</v>
      </c>
      <c r="G465" s="12">
        <v>0</v>
      </c>
      <c r="H465" s="13">
        <v>0.3414699074074074</v>
      </c>
      <c r="I465" s="13">
        <v>0</v>
      </c>
      <c r="J465" s="13">
        <v>0</v>
      </c>
      <c r="K465" s="13">
        <v>0.23734953703703704</v>
      </c>
      <c r="L465" s="14">
        <v>0.69508185608243234</v>
      </c>
      <c r="M465" s="12" t="s">
        <v>334</v>
      </c>
      <c r="N465" s="13">
        <v>2.4305555555555556E-3</v>
      </c>
      <c r="O465" s="13">
        <v>0.1700925925925926</v>
      </c>
      <c r="P465" s="13"/>
      <c r="Q465" s="13"/>
      <c r="R465" s="13"/>
      <c r="S465" s="13">
        <v>7.905092592592592E-3</v>
      </c>
      <c r="T465" s="13">
        <v>5.6921296296296296E-2</v>
      </c>
      <c r="U465" s="13"/>
      <c r="V465" s="13"/>
      <c r="W465" s="13"/>
    </row>
    <row r="466" spans="1:23" ht="15" customHeight="1" x14ac:dyDescent="0.25">
      <c r="A466" s="19">
        <v>46240</v>
      </c>
      <c r="B466" s="11" t="s">
        <v>94</v>
      </c>
      <c r="C466" s="12" t="s">
        <v>95</v>
      </c>
      <c r="D466" s="11" t="s">
        <v>78</v>
      </c>
      <c r="E466" s="12" t="s">
        <v>80</v>
      </c>
      <c r="F466" s="12" t="s">
        <v>81</v>
      </c>
      <c r="G466" s="12">
        <v>0</v>
      </c>
      <c r="H466" s="13">
        <v>0.24460648148148148</v>
      </c>
      <c r="I466" s="13">
        <v>0</v>
      </c>
      <c r="J466" s="13">
        <v>0</v>
      </c>
      <c r="K466" s="13">
        <v>2.3831018518518519E-2</v>
      </c>
      <c r="L466" s="14">
        <v>9.7425948708242643E-2</v>
      </c>
      <c r="M466" s="12" t="s">
        <v>334</v>
      </c>
      <c r="N466" s="13">
        <v>3.4722222222222222E-5</v>
      </c>
      <c r="O466" s="13"/>
      <c r="P466" s="13"/>
      <c r="Q466" s="13"/>
      <c r="R466" s="13">
        <v>1.238425925925926E-2</v>
      </c>
      <c r="S466" s="13">
        <v>1.1412037037037037E-2</v>
      </c>
      <c r="T466" s="13"/>
      <c r="U466" s="13"/>
      <c r="V466" s="13"/>
      <c r="W466" s="13"/>
    </row>
    <row r="467" spans="1:23" ht="15" customHeight="1" x14ac:dyDescent="0.25">
      <c r="A467" s="19">
        <v>46240</v>
      </c>
      <c r="B467" s="11" t="s">
        <v>293</v>
      </c>
      <c r="C467" s="12" t="s">
        <v>543</v>
      </c>
      <c r="D467" s="11" t="s">
        <v>104</v>
      </c>
      <c r="E467" s="12" t="s">
        <v>600</v>
      </c>
      <c r="F467" s="12" t="s">
        <v>106</v>
      </c>
      <c r="G467" s="12">
        <v>21</v>
      </c>
      <c r="H467" s="13">
        <v>0.24453703703703702</v>
      </c>
      <c r="I467" s="13">
        <v>5.3854166666666668E-2</v>
      </c>
      <c r="J467" s="13">
        <v>2.5644841269841269E-3</v>
      </c>
      <c r="K467" s="13">
        <v>0.15265046296296297</v>
      </c>
      <c r="L467" s="14">
        <v>0.62424271109428253</v>
      </c>
      <c r="M467" s="12" t="s">
        <v>334</v>
      </c>
      <c r="N467" s="13">
        <v>1.5902777777777776E-2</v>
      </c>
      <c r="O467" s="13">
        <v>2.3229166666666665E-2</v>
      </c>
      <c r="P467" s="13"/>
      <c r="Q467" s="13"/>
      <c r="R467" s="13"/>
      <c r="S467" s="13"/>
      <c r="T467" s="13">
        <v>3.6574074074074074E-3</v>
      </c>
      <c r="U467" s="13">
        <v>3.1250000000000001E-4</v>
      </c>
      <c r="V467" s="13"/>
      <c r="W467" s="13">
        <v>0.10952546296296296</v>
      </c>
    </row>
    <row r="468" spans="1:23" ht="15" customHeight="1" x14ac:dyDescent="0.25">
      <c r="A468" s="19">
        <v>46240</v>
      </c>
      <c r="B468" s="11" t="s">
        <v>606</v>
      </c>
      <c r="C468" s="12" t="s">
        <v>633</v>
      </c>
      <c r="D468" s="11" t="s">
        <v>146</v>
      </c>
      <c r="E468" s="12" t="s">
        <v>147</v>
      </c>
      <c r="F468" s="12" t="s">
        <v>106</v>
      </c>
      <c r="G468" s="12">
        <v>9</v>
      </c>
      <c r="H468" s="13">
        <v>0.26104166666666667</v>
      </c>
      <c r="I468" s="13">
        <v>4.4780092592592594E-2</v>
      </c>
      <c r="J468" s="13">
        <v>4.9755658436213997E-3</v>
      </c>
      <c r="K468" s="13">
        <v>9.3344907407407404E-2</v>
      </c>
      <c r="L468" s="14">
        <v>0.35758623747450563</v>
      </c>
      <c r="M468" s="12" t="s">
        <v>334</v>
      </c>
      <c r="N468" s="13">
        <v>9.2939814814814812E-3</v>
      </c>
      <c r="O468" s="13">
        <v>1.40625E-2</v>
      </c>
      <c r="P468" s="13"/>
      <c r="Q468" s="13"/>
      <c r="R468" s="13"/>
      <c r="S468" s="13">
        <v>1.7905092592592594E-2</v>
      </c>
      <c r="T468" s="13">
        <v>2.0486111111111113E-3</v>
      </c>
      <c r="U468" s="13">
        <v>4.6099537037037036E-2</v>
      </c>
      <c r="V468" s="13"/>
      <c r="W468" s="13">
        <v>3.9120370370370368E-3</v>
      </c>
    </row>
    <row r="469" spans="1:23" ht="15" customHeight="1" x14ac:dyDescent="0.25">
      <c r="A469" s="19">
        <v>46240</v>
      </c>
      <c r="B469" s="11" t="s">
        <v>256</v>
      </c>
      <c r="C469" s="12" t="s">
        <v>529</v>
      </c>
      <c r="D469" s="11" t="s">
        <v>233</v>
      </c>
      <c r="E469" s="12" t="s">
        <v>32</v>
      </c>
      <c r="F469" s="12" t="s">
        <v>106</v>
      </c>
      <c r="G469" s="12">
        <v>22</v>
      </c>
      <c r="H469" s="13">
        <v>0.25362268518518516</v>
      </c>
      <c r="I469" s="13">
        <v>0.13625000000000001</v>
      </c>
      <c r="J469" s="13">
        <v>6.193181818181819E-3</v>
      </c>
      <c r="K469" s="13">
        <v>4.9733796296296297E-2</v>
      </c>
      <c r="L469" s="14">
        <v>0.19609364304294258</v>
      </c>
      <c r="M469" s="12" t="s">
        <v>334</v>
      </c>
      <c r="N469" s="13">
        <v>1.7037037037037038E-2</v>
      </c>
      <c r="O469" s="13">
        <v>1.6122685185185184E-2</v>
      </c>
      <c r="P469" s="13"/>
      <c r="Q469" s="13"/>
      <c r="R469" s="13"/>
      <c r="S469" s="13">
        <v>1.3935185185185186E-2</v>
      </c>
      <c r="T469" s="13">
        <v>6.134259259259259E-4</v>
      </c>
      <c r="U469" s="13">
        <v>1.9791666666666668E-3</v>
      </c>
      <c r="V469" s="13"/>
      <c r="W469" s="13"/>
    </row>
    <row r="470" spans="1:23" ht="15" customHeight="1" x14ac:dyDescent="0.25">
      <c r="A470" s="19">
        <v>46240</v>
      </c>
      <c r="B470" s="11" t="s">
        <v>612</v>
      </c>
      <c r="C470" s="12" t="s">
        <v>634</v>
      </c>
      <c r="D470" s="11" t="s">
        <v>601</v>
      </c>
      <c r="E470" s="12" t="s">
        <v>105</v>
      </c>
      <c r="F470" s="12" t="s">
        <v>33</v>
      </c>
      <c r="G470" s="12">
        <v>6</v>
      </c>
      <c r="H470" s="13">
        <v>0.15190972222222221</v>
      </c>
      <c r="I470" s="13">
        <v>6.7581018518518512E-2</v>
      </c>
      <c r="J470" s="13">
        <v>1.1263503086419753E-2</v>
      </c>
      <c r="K470" s="13">
        <v>0.11814814814814815</v>
      </c>
      <c r="L470" s="14">
        <v>0.77775238095238108</v>
      </c>
      <c r="M470" s="12" t="s">
        <v>334</v>
      </c>
      <c r="N470" s="13">
        <v>1.9074074074074073E-2</v>
      </c>
      <c r="O470" s="13">
        <v>1.4560185185185185E-2</v>
      </c>
      <c r="P470" s="13"/>
      <c r="Q470" s="13"/>
      <c r="R470" s="13"/>
      <c r="S470" s="13">
        <v>1.2662037037037038E-2</v>
      </c>
      <c r="T470" s="13">
        <v>2.9976851851851853E-3</v>
      </c>
      <c r="U470" s="13">
        <v>2.1956018518518517E-2</v>
      </c>
      <c r="V470" s="13"/>
      <c r="W470" s="13">
        <v>4.6898148148148147E-2</v>
      </c>
    </row>
    <row r="471" spans="1:23" ht="15" customHeight="1" x14ac:dyDescent="0.25">
      <c r="A471" s="19">
        <v>46240</v>
      </c>
      <c r="B471" s="11" t="s">
        <v>258</v>
      </c>
      <c r="C471" s="12" t="s">
        <v>554</v>
      </c>
      <c r="D471" s="11" t="s">
        <v>233</v>
      </c>
      <c r="E471" s="12" t="s">
        <v>32</v>
      </c>
      <c r="F471" s="12" t="s">
        <v>106</v>
      </c>
      <c r="G471" s="12">
        <v>7</v>
      </c>
      <c r="H471" s="13">
        <v>0.24543981481481481</v>
      </c>
      <c r="I471" s="13">
        <v>1.4560185185185185E-2</v>
      </c>
      <c r="J471" s="13">
        <v>2.0800264550264549E-3</v>
      </c>
      <c r="K471" s="13">
        <v>0.21430555555555555</v>
      </c>
      <c r="L471" s="14">
        <v>0.87314910874280871</v>
      </c>
      <c r="M471" s="12" t="s">
        <v>334</v>
      </c>
      <c r="N471" s="13"/>
      <c r="O471" s="13"/>
      <c r="P471" s="13"/>
      <c r="Q471" s="13"/>
      <c r="R471" s="13"/>
      <c r="S471" s="13">
        <v>1.4016203703703704E-2</v>
      </c>
      <c r="T471" s="13">
        <v>3.7037037037037035E-4</v>
      </c>
      <c r="U471" s="13"/>
      <c r="V471" s="13"/>
      <c r="W471" s="13">
        <v>0.19991898148148149</v>
      </c>
    </row>
    <row r="472" spans="1:23" ht="15" customHeight="1" x14ac:dyDescent="0.25">
      <c r="A472" s="19">
        <v>46240</v>
      </c>
      <c r="B472" s="11" t="s">
        <v>661</v>
      </c>
      <c r="C472" s="12" t="s">
        <v>662</v>
      </c>
      <c r="D472" s="11" t="s">
        <v>100</v>
      </c>
      <c r="E472" s="12" t="s">
        <v>32</v>
      </c>
      <c r="F472" s="12" t="s">
        <v>33</v>
      </c>
      <c r="G472" s="12">
        <v>22</v>
      </c>
      <c r="H472" s="13">
        <v>0.25885416666666666</v>
      </c>
      <c r="I472" s="13">
        <v>0.1909837962962963</v>
      </c>
      <c r="J472" s="13">
        <v>8.6810816498316505E-3</v>
      </c>
      <c r="K472" s="13">
        <v>3.9710648148148148E-2</v>
      </c>
      <c r="L472" s="14">
        <v>0.15340934495864073</v>
      </c>
      <c r="M472" s="12" t="s">
        <v>334</v>
      </c>
      <c r="N472" s="13">
        <v>1.0879629629629629E-3</v>
      </c>
      <c r="O472" s="13">
        <v>1.6655092592592593E-2</v>
      </c>
      <c r="P472" s="13"/>
      <c r="Q472" s="13">
        <v>1.4930555555555556E-3</v>
      </c>
      <c r="R472" s="13"/>
      <c r="S472" s="13">
        <v>1.5069444444444444E-2</v>
      </c>
      <c r="T472" s="13">
        <v>2.9166666666666668E-3</v>
      </c>
      <c r="U472" s="13">
        <v>2.476851851851852E-3</v>
      </c>
      <c r="V472" s="13"/>
      <c r="W472" s="13"/>
    </row>
    <row r="473" spans="1:23" ht="15" customHeight="1" x14ac:dyDescent="0.25">
      <c r="A473" s="19">
        <v>46240</v>
      </c>
      <c r="B473" s="11" t="s">
        <v>663</v>
      </c>
      <c r="C473" s="12" t="s">
        <v>664</v>
      </c>
      <c r="D473" s="11" t="s">
        <v>233</v>
      </c>
      <c r="E473" s="12" t="s">
        <v>32</v>
      </c>
      <c r="F473" s="12" t="s">
        <v>106</v>
      </c>
      <c r="G473" s="12">
        <v>20</v>
      </c>
      <c r="H473" s="13">
        <v>0.25194444444444447</v>
      </c>
      <c r="I473" s="13">
        <v>0.16780092592592594</v>
      </c>
      <c r="J473" s="13">
        <v>8.3900462962962965E-3</v>
      </c>
      <c r="K473" s="13">
        <v>3.5648148148148151E-2</v>
      </c>
      <c r="L473" s="14">
        <v>0.14149209849320102</v>
      </c>
      <c r="M473" s="12" t="s">
        <v>334</v>
      </c>
      <c r="N473" s="13">
        <v>1.9155092592592592E-2</v>
      </c>
      <c r="O473" s="13">
        <v>1.5486111111111112E-2</v>
      </c>
      <c r="P473" s="13"/>
      <c r="Q473" s="13"/>
      <c r="R473" s="13"/>
      <c r="S473" s="13"/>
      <c r="T473" s="13">
        <v>6.9444444444444444E-5</v>
      </c>
      <c r="U473" s="13">
        <v>9.1435185185185185E-4</v>
      </c>
      <c r="V473" s="13"/>
      <c r="W473" s="13"/>
    </row>
    <row r="474" spans="1:23" ht="15" customHeight="1" x14ac:dyDescent="0.25">
      <c r="A474" s="19">
        <v>46240</v>
      </c>
      <c r="B474" s="11" t="s">
        <v>203</v>
      </c>
      <c r="C474" s="12" t="s">
        <v>565</v>
      </c>
      <c r="D474" s="11" t="s">
        <v>601</v>
      </c>
      <c r="E474" s="12" t="s">
        <v>105</v>
      </c>
      <c r="F474" s="12" t="s">
        <v>33</v>
      </c>
      <c r="G474" s="12">
        <v>11</v>
      </c>
      <c r="H474" s="13">
        <v>0.21916666666666668</v>
      </c>
      <c r="I474" s="13">
        <v>0.11013888888888888</v>
      </c>
      <c r="J474" s="13">
        <v>1.0012626262626263E-2</v>
      </c>
      <c r="K474" s="13">
        <v>0.1657986111111111</v>
      </c>
      <c r="L474" s="14">
        <v>0.75649556400506968</v>
      </c>
      <c r="M474" s="12" t="s">
        <v>334</v>
      </c>
      <c r="N474" s="13">
        <v>9.0972222222222218E-3</v>
      </c>
      <c r="O474" s="13">
        <v>1.8206018518518517E-2</v>
      </c>
      <c r="P474" s="13"/>
      <c r="Q474" s="13"/>
      <c r="R474" s="13"/>
      <c r="S474" s="13">
        <v>1.6886574074074075E-2</v>
      </c>
      <c r="T474" s="13">
        <v>1.6550925925925926E-3</v>
      </c>
      <c r="U474" s="13">
        <v>4.2025462962962966E-2</v>
      </c>
      <c r="V474" s="13"/>
      <c r="W474" s="13">
        <v>7.7928240740740742E-2</v>
      </c>
    </row>
    <row r="475" spans="1:23" ht="15" customHeight="1" x14ac:dyDescent="0.25">
      <c r="A475" s="19">
        <v>46240</v>
      </c>
      <c r="B475" s="11" t="s">
        <v>665</v>
      </c>
      <c r="C475" s="12" t="s">
        <v>666</v>
      </c>
      <c r="D475" s="11" t="s">
        <v>100</v>
      </c>
      <c r="E475" s="12" t="s">
        <v>32</v>
      </c>
      <c r="F475" s="12" t="s">
        <v>33</v>
      </c>
      <c r="G475" s="12">
        <v>38</v>
      </c>
      <c r="H475" s="13">
        <v>0.26342592592592595</v>
      </c>
      <c r="I475" s="13">
        <v>0.17694444444444443</v>
      </c>
      <c r="J475" s="13">
        <v>4.6564327485380114E-3</v>
      </c>
      <c r="K475" s="13">
        <v>4.6724537037037037E-2</v>
      </c>
      <c r="L475" s="14">
        <v>0.1773725834797891</v>
      </c>
      <c r="M475" s="12" t="s">
        <v>334</v>
      </c>
      <c r="N475" s="13"/>
      <c r="O475" s="13">
        <v>1.4004629629629629E-2</v>
      </c>
      <c r="P475" s="13"/>
      <c r="Q475" s="13">
        <v>1.5046296296296296E-3</v>
      </c>
      <c r="R475" s="13"/>
      <c r="S475" s="13">
        <v>1.4317129629629629E-2</v>
      </c>
      <c r="T475" s="13">
        <v>1.5046296296296297E-4</v>
      </c>
      <c r="U475" s="13">
        <v>2.7546296296296294E-3</v>
      </c>
      <c r="V475" s="13"/>
      <c r="W475" s="13">
        <v>1.3912037037037037E-2</v>
      </c>
    </row>
    <row r="476" spans="1:23" ht="15" customHeight="1" x14ac:dyDescent="0.25">
      <c r="A476" s="19">
        <v>46240</v>
      </c>
      <c r="B476" s="11" t="s">
        <v>264</v>
      </c>
      <c r="C476" s="12" t="s">
        <v>530</v>
      </c>
      <c r="D476" s="11" t="s">
        <v>78</v>
      </c>
      <c r="E476" s="12" t="s">
        <v>80</v>
      </c>
      <c r="F476" s="12" t="s">
        <v>106</v>
      </c>
      <c r="G476" s="12">
        <v>0</v>
      </c>
      <c r="H476" s="13">
        <v>3.3726851851851855E-2</v>
      </c>
      <c r="I476" s="13">
        <v>0</v>
      </c>
      <c r="J476" s="13">
        <v>0</v>
      </c>
      <c r="K476" s="13">
        <v>2.4305555555555555E-4</v>
      </c>
      <c r="L476" s="14">
        <v>7.2065888812628681E-3</v>
      </c>
      <c r="M476" s="12" t="s">
        <v>334</v>
      </c>
      <c r="N476" s="13"/>
      <c r="O476" s="13"/>
      <c r="P476" s="13"/>
      <c r="Q476" s="13"/>
      <c r="R476" s="13"/>
      <c r="S476" s="13"/>
      <c r="T476" s="13">
        <v>8.1018518518518516E-5</v>
      </c>
      <c r="U476" s="13">
        <v>1.5046296296296297E-4</v>
      </c>
      <c r="V476" s="13"/>
      <c r="W476" s="13"/>
    </row>
    <row r="477" spans="1:23" ht="15" customHeight="1" x14ac:dyDescent="0.25">
      <c r="A477" s="19">
        <v>46240</v>
      </c>
      <c r="B477" s="11" t="s">
        <v>128</v>
      </c>
      <c r="C477" s="12" t="s">
        <v>555</v>
      </c>
      <c r="D477" s="11" t="s">
        <v>233</v>
      </c>
      <c r="E477" s="12" t="s">
        <v>32</v>
      </c>
      <c r="F477" s="12" t="s">
        <v>106</v>
      </c>
      <c r="G477" s="12">
        <v>30</v>
      </c>
      <c r="H477" s="13">
        <v>0.24959490740740742</v>
      </c>
      <c r="I477" s="13">
        <v>0.14791666666666667</v>
      </c>
      <c r="J477" s="13">
        <v>4.9305555555555552E-3</v>
      </c>
      <c r="K477" s="13">
        <v>5.7615740740740738E-2</v>
      </c>
      <c r="L477" s="14">
        <v>0.23083700440528632</v>
      </c>
      <c r="M477" s="12" t="s">
        <v>334</v>
      </c>
      <c r="N477" s="13">
        <v>1.8310185185185186E-2</v>
      </c>
      <c r="O477" s="13">
        <v>1.7858796296296296E-2</v>
      </c>
      <c r="P477" s="13"/>
      <c r="Q477" s="13"/>
      <c r="R477" s="13"/>
      <c r="S477" s="13">
        <v>1.3946759259259259E-2</v>
      </c>
      <c r="T477" s="13">
        <v>7.3379629629629628E-3</v>
      </c>
      <c r="U477" s="13">
        <v>1.6203703703703703E-4</v>
      </c>
      <c r="V477" s="13"/>
      <c r="W477" s="13"/>
    </row>
    <row r="478" spans="1:23" ht="15" customHeight="1" x14ac:dyDescent="0.25">
      <c r="A478" s="19">
        <v>46240</v>
      </c>
      <c r="B478" s="11" t="s">
        <v>178</v>
      </c>
      <c r="C478" s="12" t="s">
        <v>522</v>
      </c>
      <c r="D478" s="11" t="s">
        <v>146</v>
      </c>
      <c r="E478" s="12" t="s">
        <v>147</v>
      </c>
      <c r="F478" s="12" t="s">
        <v>106</v>
      </c>
      <c r="G478" s="12">
        <v>11</v>
      </c>
      <c r="H478" s="13">
        <v>0.18013888888888888</v>
      </c>
      <c r="I478" s="13">
        <v>6.1388888888888889E-2</v>
      </c>
      <c r="J478" s="13">
        <v>5.5808080808080812E-3</v>
      </c>
      <c r="K478" s="13">
        <v>2.7719907407407408E-2</v>
      </c>
      <c r="L478" s="14">
        <v>0.15388075044975585</v>
      </c>
      <c r="M478" s="12" t="s">
        <v>334</v>
      </c>
      <c r="N478" s="13"/>
      <c r="O478" s="13">
        <v>8.9236111111111113E-3</v>
      </c>
      <c r="P478" s="13"/>
      <c r="Q478" s="13">
        <v>1.1458333333333333E-3</v>
      </c>
      <c r="R478" s="13"/>
      <c r="S478" s="13">
        <v>1.5092592592592593E-2</v>
      </c>
      <c r="T478" s="13">
        <v>7.1759259259259259E-4</v>
      </c>
      <c r="U478" s="13">
        <v>1.8171296296296297E-3</v>
      </c>
      <c r="V478" s="13"/>
      <c r="W478" s="13"/>
    </row>
    <row r="479" spans="1:23" ht="15" customHeight="1" x14ac:dyDescent="0.25">
      <c r="A479" s="19">
        <v>46240</v>
      </c>
      <c r="B479" s="11" t="s">
        <v>266</v>
      </c>
      <c r="C479" s="12" t="s">
        <v>531</v>
      </c>
      <c r="D479" s="11" t="s">
        <v>233</v>
      </c>
      <c r="E479" s="12" t="s">
        <v>32</v>
      </c>
      <c r="F479" s="12" t="s">
        <v>106</v>
      </c>
      <c r="G479" s="12">
        <v>2</v>
      </c>
      <c r="H479" s="13">
        <v>0.2396412037037037</v>
      </c>
      <c r="I479" s="13">
        <v>1.7569444444444443E-2</v>
      </c>
      <c r="J479" s="13">
        <v>8.7847222222222215E-3</v>
      </c>
      <c r="K479" s="13">
        <v>0.21649305555555556</v>
      </c>
      <c r="L479" s="14">
        <v>0.90340497464380587</v>
      </c>
      <c r="M479" s="12" t="s">
        <v>334</v>
      </c>
      <c r="N479" s="13"/>
      <c r="O479" s="13">
        <v>1.2789351851851852E-2</v>
      </c>
      <c r="P479" s="13"/>
      <c r="Q479" s="13"/>
      <c r="R479" s="13"/>
      <c r="S479" s="13">
        <v>1.3900462962962963E-2</v>
      </c>
      <c r="T479" s="13">
        <v>8.9120370370370373E-4</v>
      </c>
      <c r="U479" s="13">
        <v>1.5046296296296297E-4</v>
      </c>
      <c r="V479" s="13"/>
      <c r="W479" s="13">
        <v>0.18876157407407407</v>
      </c>
    </row>
    <row r="480" spans="1:23" ht="15" customHeight="1" x14ac:dyDescent="0.25">
      <c r="A480" s="19">
        <v>46240</v>
      </c>
      <c r="B480" s="11" t="s">
        <v>297</v>
      </c>
      <c r="C480" s="12" t="s">
        <v>667</v>
      </c>
      <c r="D480" s="11" t="s">
        <v>104</v>
      </c>
      <c r="E480" s="12" t="s">
        <v>105</v>
      </c>
      <c r="F480" s="12" t="s">
        <v>106</v>
      </c>
      <c r="G480" s="12">
        <v>14</v>
      </c>
      <c r="H480" s="13">
        <v>0.19383101851851853</v>
      </c>
      <c r="I480" s="13">
        <v>0.12921296296296297</v>
      </c>
      <c r="J480" s="13">
        <v>9.2294973544973548E-3</v>
      </c>
      <c r="K480" s="13">
        <v>0.10277777777777777</v>
      </c>
      <c r="L480" s="14">
        <v>0.5302442228458828</v>
      </c>
      <c r="M480" s="12" t="s">
        <v>334</v>
      </c>
      <c r="N480" s="13">
        <v>1.0949074074074075E-2</v>
      </c>
      <c r="O480" s="13">
        <v>1.8425925925925925E-2</v>
      </c>
      <c r="P480" s="13"/>
      <c r="Q480" s="13"/>
      <c r="R480" s="13"/>
      <c r="S480" s="13">
        <v>1.4907407407407407E-2</v>
      </c>
      <c r="T480" s="13">
        <v>5.8217592592592592E-3</v>
      </c>
      <c r="U480" s="13">
        <v>6.8287037037037036E-4</v>
      </c>
      <c r="V480" s="13"/>
      <c r="W480" s="13">
        <v>5.199074074074074E-2</v>
      </c>
    </row>
    <row r="481" spans="1:23" ht="15" customHeight="1" x14ac:dyDescent="0.25">
      <c r="A481" s="19">
        <v>46240</v>
      </c>
      <c r="B481" s="11" t="s">
        <v>207</v>
      </c>
      <c r="C481" s="12" t="s">
        <v>566</v>
      </c>
      <c r="D481" s="11" t="s">
        <v>274</v>
      </c>
      <c r="E481" s="12" t="s">
        <v>147</v>
      </c>
      <c r="F481" s="12" t="s">
        <v>33</v>
      </c>
      <c r="G481" s="12">
        <v>14</v>
      </c>
      <c r="H481" s="13">
        <v>0.25874999999999998</v>
      </c>
      <c r="I481" s="13">
        <v>7.1261574074074074E-2</v>
      </c>
      <c r="J481" s="13">
        <v>5.0901124338624338E-3</v>
      </c>
      <c r="K481" s="13">
        <v>3.6041666666666666E-2</v>
      </c>
      <c r="L481" s="14">
        <v>0.13929146537842191</v>
      </c>
      <c r="M481" s="12" t="s">
        <v>334</v>
      </c>
      <c r="N481" s="13">
        <v>3.5995370370370369E-3</v>
      </c>
      <c r="O481" s="13">
        <v>1.4386574074074074E-2</v>
      </c>
      <c r="P481" s="13"/>
      <c r="Q481" s="13"/>
      <c r="R481" s="13">
        <v>1.4699074074074074E-3</v>
      </c>
      <c r="S481" s="13">
        <v>1.4351851851851852E-2</v>
      </c>
      <c r="T481" s="13">
        <v>8.1018518518518516E-5</v>
      </c>
      <c r="U481" s="13">
        <v>2.0601851851851853E-3</v>
      </c>
      <c r="V481" s="13"/>
      <c r="W481" s="13"/>
    </row>
    <row r="482" spans="1:23" ht="15" customHeight="1" x14ac:dyDescent="0.25">
      <c r="A482" s="19">
        <v>46240</v>
      </c>
      <c r="B482" s="11" t="s">
        <v>614</v>
      </c>
      <c r="C482" s="12" t="s">
        <v>635</v>
      </c>
      <c r="D482" s="11" t="s">
        <v>601</v>
      </c>
      <c r="E482" s="12" t="s">
        <v>105</v>
      </c>
      <c r="F482" s="12" t="s">
        <v>33</v>
      </c>
      <c r="G482" s="12">
        <v>5</v>
      </c>
      <c r="H482" s="13">
        <v>0.16318287037037038</v>
      </c>
      <c r="I482" s="13">
        <v>8.7800925925925921E-2</v>
      </c>
      <c r="J482" s="13">
        <v>1.7560185185185186E-2</v>
      </c>
      <c r="K482" s="13">
        <v>0.11612268518518519</v>
      </c>
      <c r="L482" s="14">
        <v>0.71161075253564077</v>
      </c>
      <c r="M482" s="12" t="s">
        <v>334</v>
      </c>
      <c r="N482" s="13">
        <v>1.6666666666666668E-3</v>
      </c>
      <c r="O482" s="13">
        <v>3.0324074074074073E-3</v>
      </c>
      <c r="P482" s="13"/>
      <c r="Q482" s="13"/>
      <c r="R482" s="13"/>
      <c r="S482" s="13">
        <v>2.7974537037037037E-2</v>
      </c>
      <c r="T482" s="13">
        <v>2.4652777777777776E-3</v>
      </c>
      <c r="U482" s="13">
        <v>1.9675925925925927E-2</v>
      </c>
      <c r="V482" s="13"/>
      <c r="W482" s="13">
        <v>6.1307870370370374E-2</v>
      </c>
    </row>
    <row r="483" spans="1:23" ht="15" customHeight="1" x14ac:dyDescent="0.25">
      <c r="A483" s="19">
        <v>46240</v>
      </c>
      <c r="B483" s="11" t="s">
        <v>96</v>
      </c>
      <c r="C483" s="12" t="s">
        <v>97</v>
      </c>
      <c r="D483" s="11" t="s">
        <v>78</v>
      </c>
      <c r="E483" s="12" t="s">
        <v>80</v>
      </c>
      <c r="F483" s="12" t="s">
        <v>81</v>
      </c>
      <c r="G483" s="12">
        <v>0</v>
      </c>
      <c r="H483" s="13">
        <v>0.3342013888888889</v>
      </c>
      <c r="I483" s="13">
        <v>0</v>
      </c>
      <c r="J483" s="13">
        <v>0</v>
      </c>
      <c r="K483" s="13">
        <v>7.9490740740740737E-2</v>
      </c>
      <c r="L483" s="14">
        <v>0.23785281385281384</v>
      </c>
      <c r="M483" s="12" t="s">
        <v>334</v>
      </c>
      <c r="N483" s="13">
        <v>1.037037037037037E-2</v>
      </c>
      <c r="O483" s="13">
        <v>4.7650462962962964E-2</v>
      </c>
      <c r="P483" s="13"/>
      <c r="Q483" s="13"/>
      <c r="R483" s="13"/>
      <c r="S483" s="13">
        <v>2.1307870370370369E-2</v>
      </c>
      <c r="T483" s="13">
        <v>5.7870370370370373E-5</v>
      </c>
      <c r="U483" s="13">
        <v>1.0416666666666667E-4</v>
      </c>
      <c r="V483" s="13"/>
      <c r="W483" s="13"/>
    </row>
    <row r="484" spans="1:23" ht="15" customHeight="1" x14ac:dyDescent="0.25">
      <c r="A484" s="19">
        <v>46240</v>
      </c>
      <c r="B484" s="11" t="s">
        <v>180</v>
      </c>
      <c r="C484" s="12" t="s">
        <v>523</v>
      </c>
      <c r="D484" s="11" t="s">
        <v>146</v>
      </c>
      <c r="E484" s="12" t="s">
        <v>147</v>
      </c>
      <c r="F484" s="12" t="s">
        <v>106</v>
      </c>
      <c r="G484" s="12">
        <v>14</v>
      </c>
      <c r="H484" s="13">
        <v>0.32967592592592593</v>
      </c>
      <c r="I484" s="13">
        <v>7.9097222222222222E-2</v>
      </c>
      <c r="J484" s="13">
        <v>5.649801587301587E-3</v>
      </c>
      <c r="K484" s="13">
        <v>5.3587962962962962E-2</v>
      </c>
      <c r="L484" s="14">
        <v>0.16254739502878809</v>
      </c>
      <c r="M484" s="12" t="s">
        <v>334</v>
      </c>
      <c r="N484" s="13">
        <v>7.4999999999999997E-3</v>
      </c>
      <c r="O484" s="13">
        <v>1.0891203703703703E-2</v>
      </c>
      <c r="P484" s="13"/>
      <c r="Q484" s="13">
        <v>1.4814814814814815E-2</v>
      </c>
      <c r="R484" s="13"/>
      <c r="S484" s="13">
        <v>1.4212962962962964E-2</v>
      </c>
      <c r="T484" s="13">
        <v>1.2152777777777778E-3</v>
      </c>
      <c r="U484" s="13">
        <v>3.1134259259259257E-3</v>
      </c>
      <c r="V484" s="13"/>
      <c r="W484" s="13">
        <v>1.7592592592592592E-3</v>
      </c>
    </row>
    <row r="485" spans="1:23" ht="15" customHeight="1" x14ac:dyDescent="0.25">
      <c r="A485" s="19">
        <v>46240</v>
      </c>
      <c r="B485" s="11" t="s">
        <v>615</v>
      </c>
      <c r="C485" s="12" t="s">
        <v>636</v>
      </c>
      <c r="D485" s="11" t="s">
        <v>601</v>
      </c>
      <c r="E485" s="12" t="s">
        <v>105</v>
      </c>
      <c r="F485" s="12" t="s">
        <v>33</v>
      </c>
      <c r="G485" s="12">
        <v>8</v>
      </c>
      <c r="H485" s="13">
        <v>0.20555555555555555</v>
      </c>
      <c r="I485" s="13">
        <v>9.4872685185185185E-2</v>
      </c>
      <c r="J485" s="13">
        <v>1.1859085648148148E-2</v>
      </c>
      <c r="K485" s="13">
        <v>0.15952546296296297</v>
      </c>
      <c r="L485" s="14">
        <v>0.77606981981981982</v>
      </c>
      <c r="M485" s="12" t="s">
        <v>334</v>
      </c>
      <c r="N485" s="13">
        <v>2.4421296296296296E-3</v>
      </c>
      <c r="O485" s="13">
        <v>1.4837962962962963E-2</v>
      </c>
      <c r="P485" s="13"/>
      <c r="Q485" s="13"/>
      <c r="R485" s="13"/>
      <c r="S485" s="13">
        <v>4.7569444444444447E-3</v>
      </c>
      <c r="T485" s="13">
        <v>2.2824074074074073E-2</v>
      </c>
      <c r="U485" s="13">
        <v>3.3692129629629627E-2</v>
      </c>
      <c r="V485" s="13"/>
      <c r="W485" s="13">
        <v>8.0972222222222223E-2</v>
      </c>
    </row>
    <row r="486" spans="1:23" ht="15" customHeight="1" x14ac:dyDescent="0.25">
      <c r="A486" s="19">
        <v>46240</v>
      </c>
      <c r="B486" s="11" t="s">
        <v>616</v>
      </c>
      <c r="C486" s="12" t="s">
        <v>637</v>
      </c>
      <c r="D486" s="11" t="s">
        <v>601</v>
      </c>
      <c r="E486" s="12" t="s">
        <v>105</v>
      </c>
      <c r="F486" s="12" t="s">
        <v>33</v>
      </c>
      <c r="G486" s="12">
        <v>3</v>
      </c>
      <c r="H486" s="13">
        <v>0.17353009259259258</v>
      </c>
      <c r="I486" s="13">
        <v>5.271990740740741E-2</v>
      </c>
      <c r="J486" s="13">
        <v>1.7573302469135802E-2</v>
      </c>
      <c r="K486" s="13">
        <v>0.13847222222222222</v>
      </c>
      <c r="L486" s="14">
        <v>0.79797238711398655</v>
      </c>
      <c r="M486" s="12" t="s">
        <v>334</v>
      </c>
      <c r="N486" s="13"/>
      <c r="O486" s="13">
        <v>5.4398148148148149E-3</v>
      </c>
      <c r="P486" s="13"/>
      <c r="Q486" s="13"/>
      <c r="R486" s="13"/>
      <c r="S486" s="13">
        <v>1.3761574074074074E-2</v>
      </c>
      <c r="T486" s="13">
        <v>4.5138888888888887E-4</v>
      </c>
      <c r="U486" s="13">
        <v>2.3807870370370372E-2</v>
      </c>
      <c r="V486" s="13"/>
      <c r="W486" s="13">
        <v>9.5011574074074068E-2</v>
      </c>
    </row>
    <row r="487" spans="1:23" ht="15" customHeight="1" x14ac:dyDescent="0.25">
      <c r="A487" s="19">
        <v>46240</v>
      </c>
      <c r="B487" s="11" t="s">
        <v>209</v>
      </c>
      <c r="C487" s="12" t="s">
        <v>567</v>
      </c>
      <c r="D487" s="11" t="s">
        <v>601</v>
      </c>
      <c r="E487" s="12" t="s">
        <v>105</v>
      </c>
      <c r="F487" s="12" t="s">
        <v>33</v>
      </c>
      <c r="G487" s="12">
        <v>8</v>
      </c>
      <c r="H487" s="13">
        <v>0.24238425925925927</v>
      </c>
      <c r="I487" s="13">
        <v>0.11120370370370371</v>
      </c>
      <c r="J487" s="13">
        <v>1.3900462962962963E-2</v>
      </c>
      <c r="K487" s="13">
        <v>0.17417824074074073</v>
      </c>
      <c r="L487" s="14">
        <v>0.71860376277337401</v>
      </c>
      <c r="M487" s="12" t="s">
        <v>334</v>
      </c>
      <c r="N487" s="13">
        <v>3.6574074074074074E-3</v>
      </c>
      <c r="O487" s="13">
        <v>7.5925925925925926E-3</v>
      </c>
      <c r="P487" s="13"/>
      <c r="Q487" s="13"/>
      <c r="R487" s="13"/>
      <c r="S487" s="13">
        <v>4.5717592592592589E-3</v>
      </c>
      <c r="T487" s="13">
        <v>2.2210648148148149E-2</v>
      </c>
      <c r="U487" s="13">
        <v>2.5358796296296296E-2</v>
      </c>
      <c r="V487" s="13"/>
      <c r="W487" s="13">
        <v>0.11078703703703703</v>
      </c>
    </row>
    <row r="488" spans="1:23" ht="15" customHeight="1" x14ac:dyDescent="0.25">
      <c r="A488" s="19">
        <v>46240</v>
      </c>
      <c r="B488" s="11" t="s">
        <v>60</v>
      </c>
      <c r="C488" s="12" t="s">
        <v>510</v>
      </c>
      <c r="D488" s="11" t="s">
        <v>100</v>
      </c>
      <c r="E488" s="12" t="s">
        <v>32</v>
      </c>
      <c r="F488" s="12" t="s">
        <v>33</v>
      </c>
      <c r="G488" s="12">
        <v>38</v>
      </c>
      <c r="H488" s="13">
        <v>0.32087962962962963</v>
      </c>
      <c r="I488" s="13">
        <v>0.20981481481481482</v>
      </c>
      <c r="J488" s="13">
        <v>5.5214424951267058E-3</v>
      </c>
      <c r="K488" s="13">
        <v>4.9907407407407407E-2</v>
      </c>
      <c r="L488" s="14">
        <v>0.15553311210503534</v>
      </c>
      <c r="M488" s="12" t="s">
        <v>334</v>
      </c>
      <c r="N488" s="13">
        <v>2.5462962962962965E-3</v>
      </c>
      <c r="O488" s="13">
        <v>1.3449074074074073E-2</v>
      </c>
      <c r="P488" s="13"/>
      <c r="Q488" s="13">
        <v>2.8356481481481483E-3</v>
      </c>
      <c r="R488" s="13"/>
      <c r="S488" s="13">
        <v>1.4143518518518519E-2</v>
      </c>
      <c r="T488" s="13">
        <v>1.8518518518518518E-4</v>
      </c>
      <c r="U488" s="13">
        <v>1.4004629629629629E-3</v>
      </c>
      <c r="V488" s="13"/>
      <c r="W488" s="13">
        <v>1.5300925925925926E-2</v>
      </c>
    </row>
    <row r="489" spans="1:23" ht="15" customHeight="1" x14ac:dyDescent="0.25">
      <c r="A489" s="19">
        <v>46240</v>
      </c>
      <c r="B489" s="11" t="s">
        <v>132</v>
      </c>
      <c r="C489" s="12" t="s">
        <v>512</v>
      </c>
      <c r="D489" s="11" t="s">
        <v>104</v>
      </c>
      <c r="E489" s="12" t="s">
        <v>105</v>
      </c>
      <c r="F489" s="12" t="s">
        <v>106</v>
      </c>
      <c r="G489" s="12">
        <v>8</v>
      </c>
      <c r="H489" s="13">
        <v>0.19821759259259258</v>
      </c>
      <c r="I489" s="13">
        <v>0.12006944444444445</v>
      </c>
      <c r="J489" s="13">
        <v>1.5008680555555556E-2</v>
      </c>
      <c r="K489" s="13">
        <v>0.10583333333333333</v>
      </c>
      <c r="L489" s="14">
        <v>0.53392502627583793</v>
      </c>
      <c r="M489" s="12" t="s">
        <v>334</v>
      </c>
      <c r="N489" s="13">
        <v>6.6782407407407407E-3</v>
      </c>
      <c r="O489" s="13">
        <v>1.5868055555555555E-2</v>
      </c>
      <c r="P489" s="13"/>
      <c r="Q489" s="13"/>
      <c r="R489" s="13"/>
      <c r="S489" s="13">
        <v>1.457175925925926E-2</v>
      </c>
      <c r="T489" s="13">
        <v>1.8854166666666668E-2</v>
      </c>
      <c r="U489" s="13">
        <v>1.8518518518518519E-3</v>
      </c>
      <c r="V489" s="13"/>
      <c r="W489" s="13">
        <v>4.7997685185185185E-2</v>
      </c>
    </row>
    <row r="490" spans="1:23" ht="15" customHeight="1" x14ac:dyDescent="0.25">
      <c r="A490" s="19">
        <v>46240</v>
      </c>
      <c r="B490" s="11" t="s">
        <v>134</v>
      </c>
      <c r="C490" s="12" t="s">
        <v>560</v>
      </c>
      <c r="D490" s="11" t="s">
        <v>104</v>
      </c>
      <c r="E490" s="12" t="s">
        <v>105</v>
      </c>
      <c r="F490" s="12" t="s">
        <v>106</v>
      </c>
      <c r="G490" s="12">
        <v>10</v>
      </c>
      <c r="H490" s="13">
        <v>0.2066087962962963</v>
      </c>
      <c r="I490" s="13">
        <v>0.11749999999999999</v>
      </c>
      <c r="J490" s="13">
        <v>1.175E-2</v>
      </c>
      <c r="K490" s="13">
        <v>8.7175925925925921E-2</v>
      </c>
      <c r="L490" s="14">
        <v>0.42193714637835411</v>
      </c>
      <c r="M490" s="12" t="s">
        <v>334</v>
      </c>
      <c r="N490" s="13">
        <v>3.0324074074074073E-3</v>
      </c>
      <c r="O490" s="13">
        <v>6.875E-3</v>
      </c>
      <c r="P490" s="13"/>
      <c r="Q490" s="13">
        <v>9.3055555555555548E-3</v>
      </c>
      <c r="R490" s="13"/>
      <c r="S490" s="13">
        <v>1.361111111111111E-2</v>
      </c>
      <c r="T490" s="13">
        <v>4.2939814814814811E-3</v>
      </c>
      <c r="U490" s="13">
        <v>7.4189814814814813E-3</v>
      </c>
      <c r="V490" s="13"/>
      <c r="W490" s="13">
        <v>4.2627314814814812E-2</v>
      </c>
    </row>
    <row r="491" spans="1:23" ht="15" customHeight="1" x14ac:dyDescent="0.25">
      <c r="A491" s="19">
        <v>46240</v>
      </c>
      <c r="B491" s="11" t="s">
        <v>211</v>
      </c>
      <c r="C491" s="12" t="s">
        <v>546</v>
      </c>
      <c r="D491" s="11" t="s">
        <v>104</v>
      </c>
      <c r="E491" s="12" t="s">
        <v>105</v>
      </c>
      <c r="F491" s="12" t="s">
        <v>106</v>
      </c>
      <c r="G491" s="12">
        <v>11</v>
      </c>
      <c r="H491" s="13">
        <v>0.25754629629629627</v>
      </c>
      <c r="I491" s="13">
        <v>0.21534722222222222</v>
      </c>
      <c r="J491" s="13">
        <v>1.9577020202020203E-2</v>
      </c>
      <c r="K491" s="13">
        <v>5.6539351851851855E-2</v>
      </c>
      <c r="L491" s="14">
        <v>0.21953082868955603</v>
      </c>
      <c r="M491" s="12" t="s">
        <v>334</v>
      </c>
      <c r="N491" s="13">
        <v>8.3564814814814821E-3</v>
      </c>
      <c r="O491" s="13">
        <v>8.0787037037037043E-3</v>
      </c>
      <c r="P491" s="13">
        <v>1.4780092592592593E-2</v>
      </c>
      <c r="Q491" s="13"/>
      <c r="R491" s="13"/>
      <c r="S491" s="13">
        <v>1.3090277777777777E-2</v>
      </c>
      <c r="T491" s="13">
        <v>6.9444444444444444E-5</v>
      </c>
      <c r="U491" s="13">
        <v>6.8287037037037036E-4</v>
      </c>
      <c r="V491" s="13"/>
      <c r="W491" s="13">
        <v>1.1469907407407408E-2</v>
      </c>
    </row>
    <row r="492" spans="1:23" ht="15" customHeight="1" x14ac:dyDescent="0.25">
      <c r="A492" s="19">
        <v>46240</v>
      </c>
      <c r="B492" s="11" t="s">
        <v>617</v>
      </c>
      <c r="C492" s="12" t="s">
        <v>638</v>
      </c>
      <c r="D492" s="11" t="s">
        <v>601</v>
      </c>
      <c r="E492" s="12" t="s">
        <v>105</v>
      </c>
      <c r="F492" s="12" t="s">
        <v>33</v>
      </c>
      <c r="G492" s="12">
        <v>9</v>
      </c>
      <c r="H492" s="13">
        <v>0.24222222222222223</v>
      </c>
      <c r="I492" s="13">
        <v>0.1363425925925926</v>
      </c>
      <c r="J492" s="13">
        <v>1.514917695473251E-2</v>
      </c>
      <c r="K492" s="13">
        <v>0.18047453703703703</v>
      </c>
      <c r="L492" s="14">
        <v>0.7450783639143731</v>
      </c>
      <c r="M492" s="12" t="s">
        <v>334</v>
      </c>
      <c r="N492" s="13">
        <v>8.6805555555555559E-3</v>
      </c>
      <c r="O492" s="13">
        <v>1.7372685185185185E-2</v>
      </c>
      <c r="P492" s="13"/>
      <c r="Q492" s="13">
        <v>1.3865740740740741E-2</v>
      </c>
      <c r="R492" s="13"/>
      <c r="S492" s="13">
        <v>1.7025462962962964E-2</v>
      </c>
      <c r="T492" s="13">
        <v>2.9513888888888888E-3</v>
      </c>
      <c r="U492" s="13">
        <v>6.5752314814814819E-2</v>
      </c>
      <c r="V492" s="13"/>
      <c r="W492" s="13">
        <v>5.482638888888889E-2</v>
      </c>
    </row>
    <row r="493" spans="1:23" ht="15" customHeight="1" x14ac:dyDescent="0.25">
      <c r="A493" s="19">
        <v>46240</v>
      </c>
      <c r="B493" s="11" t="s">
        <v>136</v>
      </c>
      <c r="C493" s="12" t="s">
        <v>561</v>
      </c>
      <c r="D493" s="11" t="s">
        <v>104</v>
      </c>
      <c r="E493" s="12" t="s">
        <v>105</v>
      </c>
      <c r="F493" s="12" t="s">
        <v>106</v>
      </c>
      <c r="G493" s="12">
        <v>13</v>
      </c>
      <c r="H493" s="13">
        <v>0.20869212962962963</v>
      </c>
      <c r="I493" s="13">
        <v>0.13700231481481481</v>
      </c>
      <c r="J493" s="13">
        <v>1.0538639601139601E-2</v>
      </c>
      <c r="K493" s="13">
        <v>0.10810185185185185</v>
      </c>
      <c r="L493" s="14">
        <v>0.51799678331761967</v>
      </c>
      <c r="M493" s="12" t="s">
        <v>334</v>
      </c>
      <c r="N493" s="13">
        <v>3.8310185185185183E-3</v>
      </c>
      <c r="O493" s="13">
        <v>1.6666666666666666E-2</v>
      </c>
      <c r="P493" s="13"/>
      <c r="Q493" s="13"/>
      <c r="R493" s="13"/>
      <c r="S493" s="13">
        <v>1.5381944444444445E-2</v>
      </c>
      <c r="T493" s="13">
        <v>3.7384259259259259E-3</v>
      </c>
      <c r="U493" s="13">
        <v>1.4467592592592592E-3</v>
      </c>
      <c r="V493" s="13"/>
      <c r="W493" s="13">
        <v>6.7013888888888887E-2</v>
      </c>
    </row>
    <row r="494" spans="1:23" ht="15" customHeight="1" x14ac:dyDescent="0.25">
      <c r="A494" s="19">
        <v>46240</v>
      </c>
      <c r="B494" s="11" t="s">
        <v>618</v>
      </c>
      <c r="C494" s="12" t="s">
        <v>639</v>
      </c>
      <c r="D494" s="11" t="s">
        <v>601</v>
      </c>
      <c r="E494" s="12" t="s">
        <v>105</v>
      </c>
      <c r="F494" s="12" t="s">
        <v>33</v>
      </c>
      <c r="G494" s="12">
        <v>13</v>
      </c>
      <c r="H494" s="13">
        <v>0.15361111111111111</v>
      </c>
      <c r="I494" s="13">
        <v>0.14197916666666666</v>
      </c>
      <c r="J494" s="13">
        <v>1.0921474358974358E-2</v>
      </c>
      <c r="K494" s="13">
        <v>9.6342592592592591E-2</v>
      </c>
      <c r="L494" s="14">
        <v>0.62718505123568413</v>
      </c>
      <c r="M494" s="12" t="s">
        <v>334</v>
      </c>
      <c r="N494" s="13">
        <v>4.7453703703703703E-3</v>
      </c>
      <c r="O494" s="13">
        <v>1.7488425925925925E-2</v>
      </c>
      <c r="P494" s="13"/>
      <c r="Q494" s="13"/>
      <c r="R494" s="13"/>
      <c r="S494" s="13">
        <v>1.6053240740740739E-2</v>
      </c>
      <c r="T494" s="13">
        <v>2.3148148148148147E-3</v>
      </c>
      <c r="U494" s="13">
        <v>4.6527777777777779E-2</v>
      </c>
      <c r="V494" s="13"/>
      <c r="W494" s="13">
        <v>9.2129629629629627E-3</v>
      </c>
    </row>
    <row r="495" spans="1:23" ht="15" customHeight="1" x14ac:dyDescent="0.25">
      <c r="A495" s="19">
        <v>46240</v>
      </c>
      <c r="B495" s="11" t="s">
        <v>501</v>
      </c>
      <c r="C495" s="12" t="s">
        <v>524</v>
      </c>
      <c r="D495" s="11" t="s">
        <v>274</v>
      </c>
      <c r="E495" s="12" t="s">
        <v>147</v>
      </c>
      <c r="F495" s="12" t="s">
        <v>33</v>
      </c>
      <c r="G495" s="12">
        <v>24</v>
      </c>
      <c r="H495" s="13">
        <v>0.29332175925925924</v>
      </c>
      <c r="I495" s="13">
        <v>6.7430555555555549E-2</v>
      </c>
      <c r="J495" s="13">
        <v>2.8096064814814811E-3</v>
      </c>
      <c r="K495" s="13">
        <v>4.3472222222222225E-2</v>
      </c>
      <c r="L495" s="14">
        <v>0.14820660537426511</v>
      </c>
      <c r="M495" s="12" t="s">
        <v>334</v>
      </c>
      <c r="N495" s="13">
        <v>3.1597222222222222E-3</v>
      </c>
      <c r="O495" s="13">
        <v>1.7905092592592594E-2</v>
      </c>
      <c r="P495" s="13"/>
      <c r="Q495" s="13">
        <v>4.8148148148148152E-3</v>
      </c>
      <c r="R495" s="13"/>
      <c r="S495" s="13">
        <v>1.4166666666666666E-2</v>
      </c>
      <c r="T495" s="13">
        <v>1.7361111111111112E-4</v>
      </c>
      <c r="U495" s="13">
        <v>3.1712962962962962E-3</v>
      </c>
      <c r="V495" s="13"/>
      <c r="W495" s="13"/>
    </row>
    <row r="496" spans="1:23" ht="15" customHeight="1" x14ac:dyDescent="0.25">
      <c r="A496" s="19">
        <v>46240</v>
      </c>
      <c r="B496" s="11" t="s">
        <v>213</v>
      </c>
      <c r="C496" s="12" t="s">
        <v>572</v>
      </c>
      <c r="D496" s="11" t="s">
        <v>601</v>
      </c>
      <c r="E496" s="12" t="s">
        <v>105</v>
      </c>
      <c r="F496" s="12" t="s">
        <v>33</v>
      </c>
      <c r="G496" s="12">
        <v>6</v>
      </c>
      <c r="H496" s="13">
        <v>0.1854976851851852</v>
      </c>
      <c r="I496" s="13">
        <v>6.5254629629629635E-2</v>
      </c>
      <c r="J496" s="13">
        <v>1.0875771604938272E-2</v>
      </c>
      <c r="K496" s="13">
        <v>0.14928240740740742</v>
      </c>
      <c r="L496" s="14">
        <v>0.8047669557621514</v>
      </c>
      <c r="M496" s="12" t="s">
        <v>334</v>
      </c>
      <c r="N496" s="13">
        <v>2.638888888888889E-3</v>
      </c>
      <c r="O496" s="13">
        <v>2.0578703703703703E-2</v>
      </c>
      <c r="P496" s="13"/>
      <c r="Q496" s="13"/>
      <c r="R496" s="13"/>
      <c r="S496" s="13">
        <v>1.8865740740740742E-2</v>
      </c>
      <c r="T496" s="13">
        <v>9.4560185185185181E-3</v>
      </c>
      <c r="U496" s="13">
        <v>2.991898148148148E-2</v>
      </c>
      <c r="V496" s="13"/>
      <c r="W496" s="13">
        <v>6.7824074074074078E-2</v>
      </c>
    </row>
    <row r="497" spans="1:23" ht="15" customHeight="1" x14ac:dyDescent="0.25">
      <c r="A497" s="19">
        <v>46240</v>
      </c>
      <c r="B497" s="11" t="s">
        <v>619</v>
      </c>
      <c r="C497" s="12" t="s">
        <v>640</v>
      </c>
      <c r="D497" s="11" t="s">
        <v>601</v>
      </c>
      <c r="E497" s="12" t="s">
        <v>105</v>
      </c>
      <c r="F497" s="12" t="s">
        <v>33</v>
      </c>
      <c r="G497" s="12">
        <v>9</v>
      </c>
      <c r="H497" s="13">
        <v>0.23290509259259259</v>
      </c>
      <c r="I497" s="13">
        <v>0.12177083333333333</v>
      </c>
      <c r="J497" s="13">
        <v>1.3530092592592592E-2</v>
      </c>
      <c r="K497" s="13">
        <v>0.17903935185185185</v>
      </c>
      <c r="L497" s="14">
        <v>0.76872235750136664</v>
      </c>
      <c r="M497" s="12" t="s">
        <v>334</v>
      </c>
      <c r="N497" s="13">
        <v>5.9606481481481481E-3</v>
      </c>
      <c r="O497" s="13">
        <v>7.1064814814814819E-3</v>
      </c>
      <c r="P497" s="13"/>
      <c r="Q497" s="13"/>
      <c r="R497" s="13"/>
      <c r="S497" s="13">
        <v>8.3333333333333339E-4</v>
      </c>
      <c r="T497" s="13">
        <v>6.5717592592592591E-2</v>
      </c>
      <c r="U497" s="13">
        <v>4.8912037037037039E-2</v>
      </c>
      <c r="V497" s="13"/>
      <c r="W497" s="13">
        <v>5.0509259259259261E-2</v>
      </c>
    </row>
    <row r="498" spans="1:23" ht="15" customHeight="1" x14ac:dyDescent="0.25">
      <c r="A498" s="19">
        <v>46240</v>
      </c>
      <c r="B498" s="11" t="s">
        <v>668</v>
      </c>
      <c r="C498" s="12" t="s">
        <v>669</v>
      </c>
      <c r="D498" s="11" t="s">
        <v>233</v>
      </c>
      <c r="E498" s="12" t="s">
        <v>32</v>
      </c>
      <c r="F498" s="12" t="s">
        <v>106</v>
      </c>
      <c r="G498" s="12">
        <v>33</v>
      </c>
      <c r="H498" s="13">
        <v>0.26267361111111109</v>
      </c>
      <c r="I498" s="13">
        <v>0.14341435185185186</v>
      </c>
      <c r="J498" s="13">
        <v>4.3458894500561169E-3</v>
      </c>
      <c r="K498" s="13">
        <v>4.929398148148148E-2</v>
      </c>
      <c r="L498" s="14">
        <v>0.18766248072262615</v>
      </c>
      <c r="M498" s="12" t="s">
        <v>334</v>
      </c>
      <c r="N498" s="13">
        <v>5.1736111111111115E-3</v>
      </c>
      <c r="O498" s="13">
        <v>1.5462962962962963E-2</v>
      </c>
      <c r="P498" s="13"/>
      <c r="Q498" s="13"/>
      <c r="R498" s="13"/>
      <c r="S498" s="13">
        <v>1.4826388888888889E-2</v>
      </c>
      <c r="T498" s="13">
        <v>8.5763888888888886E-3</v>
      </c>
      <c r="U498" s="13">
        <v>4.5370370370370373E-3</v>
      </c>
      <c r="V498" s="13"/>
      <c r="W498" s="13">
        <v>7.1759259259259259E-4</v>
      </c>
    </row>
    <row r="499" spans="1:23" ht="15" customHeight="1" x14ac:dyDescent="0.25">
      <c r="A499" s="19">
        <v>46240</v>
      </c>
      <c r="B499" s="11" t="s">
        <v>744</v>
      </c>
      <c r="C499" s="12" t="s">
        <v>670</v>
      </c>
      <c r="D499" s="11" t="s">
        <v>100</v>
      </c>
      <c r="E499" s="12" t="s">
        <v>32</v>
      </c>
      <c r="F499" s="12" t="s">
        <v>33</v>
      </c>
      <c r="G499" s="12">
        <v>27</v>
      </c>
      <c r="H499" s="13">
        <v>0.25686342592592593</v>
      </c>
      <c r="I499" s="13">
        <v>0.16012731481481482</v>
      </c>
      <c r="J499" s="13">
        <v>5.9306412894375863E-3</v>
      </c>
      <c r="K499" s="13">
        <v>4.3680555555555556E-2</v>
      </c>
      <c r="L499" s="14">
        <v>0.17005362051097192</v>
      </c>
      <c r="M499" s="12" t="s">
        <v>334</v>
      </c>
      <c r="N499" s="13">
        <v>1.6886574074074075E-2</v>
      </c>
      <c r="O499" s="13">
        <v>1.0266203703703704E-2</v>
      </c>
      <c r="P499" s="13"/>
      <c r="Q499" s="13"/>
      <c r="R499" s="13"/>
      <c r="S499" s="13">
        <v>1.4768518518518519E-2</v>
      </c>
      <c r="T499" s="13">
        <v>4.861111111111111E-4</v>
      </c>
      <c r="U499" s="13">
        <v>1.2731481481481483E-3</v>
      </c>
      <c r="V499" s="13"/>
      <c r="W499" s="13"/>
    </row>
    <row r="500" spans="1:23" ht="15" customHeight="1" x14ac:dyDescent="0.25">
      <c r="A500" s="19">
        <v>46240</v>
      </c>
      <c r="B500" s="11" t="s">
        <v>219</v>
      </c>
      <c r="C500" s="12" t="s">
        <v>548</v>
      </c>
      <c r="D500" s="11" t="s">
        <v>104</v>
      </c>
      <c r="E500" s="12" t="s">
        <v>105</v>
      </c>
      <c r="F500" s="12" t="s">
        <v>106</v>
      </c>
      <c r="G500" s="12">
        <v>13</v>
      </c>
      <c r="H500" s="13">
        <v>0.24310185185185185</v>
      </c>
      <c r="I500" s="13">
        <v>0.17394675925925926</v>
      </c>
      <c r="J500" s="13">
        <v>1.3380519943019944E-2</v>
      </c>
      <c r="K500" s="13">
        <v>8.8611111111111113E-2</v>
      </c>
      <c r="L500" s="14">
        <v>0.36450199961912016</v>
      </c>
      <c r="M500" s="12" t="s">
        <v>334</v>
      </c>
      <c r="N500" s="13">
        <v>3.4594907407407408E-2</v>
      </c>
      <c r="O500" s="13">
        <v>1.7210648148148149E-2</v>
      </c>
      <c r="P500" s="13">
        <v>5.7407407407407407E-3</v>
      </c>
      <c r="Q500" s="13"/>
      <c r="R500" s="13"/>
      <c r="S500" s="13">
        <v>1.5324074074074073E-2</v>
      </c>
      <c r="T500" s="13">
        <v>1.4375000000000001E-2</v>
      </c>
      <c r="U500" s="13">
        <v>1.3425925925925925E-3</v>
      </c>
      <c r="V500" s="13"/>
      <c r="W500" s="13"/>
    </row>
    <row r="501" spans="1:23" ht="15" customHeight="1" x14ac:dyDescent="0.25">
      <c r="A501" s="19">
        <v>46240</v>
      </c>
      <c r="B501" s="11" t="s">
        <v>305</v>
      </c>
      <c r="C501" s="12" t="s">
        <v>306</v>
      </c>
      <c r="D501" s="11" t="s">
        <v>100</v>
      </c>
      <c r="E501" s="12" t="s">
        <v>32</v>
      </c>
      <c r="F501" s="12" t="s">
        <v>33</v>
      </c>
      <c r="G501" s="12">
        <v>33</v>
      </c>
      <c r="H501" s="13">
        <v>0.25893518518518521</v>
      </c>
      <c r="I501" s="13">
        <v>0.13600694444444444</v>
      </c>
      <c r="J501" s="13">
        <v>4.1214225589225589E-3</v>
      </c>
      <c r="K501" s="13">
        <v>7.4548611111111107E-2</v>
      </c>
      <c r="L501" s="14">
        <v>0.28790452351153223</v>
      </c>
      <c r="M501" s="12" t="s">
        <v>334</v>
      </c>
      <c r="N501" s="13">
        <v>1.7800925925925925E-2</v>
      </c>
      <c r="O501" s="13">
        <v>2.0381944444444446E-2</v>
      </c>
      <c r="P501" s="13"/>
      <c r="Q501" s="13">
        <v>1.9432870370370371E-2</v>
      </c>
      <c r="R501" s="13"/>
      <c r="S501" s="13">
        <v>1.6493055555555556E-2</v>
      </c>
      <c r="T501" s="13">
        <v>8.1018518518518516E-5</v>
      </c>
      <c r="U501" s="13"/>
      <c r="V501" s="13"/>
      <c r="W501" s="13">
        <v>3.5879629629629629E-4</v>
      </c>
    </row>
    <row r="502" spans="1:23" ht="15" customHeight="1" x14ac:dyDescent="0.25">
      <c r="A502" s="19">
        <v>46240</v>
      </c>
      <c r="B502" s="11" t="s">
        <v>620</v>
      </c>
      <c r="C502" s="12" t="s">
        <v>641</v>
      </c>
      <c r="D502" s="11" t="s">
        <v>601</v>
      </c>
      <c r="E502" s="12" t="s">
        <v>105</v>
      </c>
      <c r="F502" s="12" t="s">
        <v>33</v>
      </c>
      <c r="G502" s="12">
        <v>6</v>
      </c>
      <c r="H502" s="13">
        <v>0.18834490740740742</v>
      </c>
      <c r="I502" s="13">
        <v>6.7025462962962967E-2</v>
      </c>
      <c r="J502" s="13">
        <v>1.1170910493827161E-2</v>
      </c>
      <c r="K502" s="13">
        <v>0.13704861111111111</v>
      </c>
      <c r="L502" s="14">
        <v>0.72764702267559755</v>
      </c>
      <c r="M502" s="12" t="s">
        <v>334</v>
      </c>
      <c r="N502" s="13"/>
      <c r="O502" s="13">
        <v>1.412037037037037E-2</v>
      </c>
      <c r="P502" s="13"/>
      <c r="Q502" s="13"/>
      <c r="R502" s="13"/>
      <c r="S502" s="13">
        <v>4.9537037037037041E-3</v>
      </c>
      <c r="T502" s="13">
        <v>2.2569444444444442E-3</v>
      </c>
      <c r="U502" s="13">
        <v>1.0243055555555556E-2</v>
      </c>
      <c r="V502" s="13"/>
      <c r="W502" s="13">
        <v>0.10547453703703703</v>
      </c>
    </row>
    <row r="503" spans="1:23" ht="15" customHeight="1" x14ac:dyDescent="0.25">
      <c r="A503" s="19">
        <v>46240</v>
      </c>
      <c r="B503" s="11" t="s">
        <v>138</v>
      </c>
      <c r="C503" s="12" t="s">
        <v>556</v>
      </c>
      <c r="D503" s="11" t="s">
        <v>104</v>
      </c>
      <c r="E503" s="12" t="s">
        <v>105</v>
      </c>
      <c r="F503" s="12" t="s">
        <v>106</v>
      </c>
      <c r="G503" s="12">
        <v>14</v>
      </c>
      <c r="H503" s="13">
        <v>0.22865740740740742</v>
      </c>
      <c r="I503" s="13">
        <v>0.17629629629629628</v>
      </c>
      <c r="J503" s="13">
        <v>1.2592592592592591E-2</v>
      </c>
      <c r="K503" s="13">
        <v>7.8391203703703699E-2</v>
      </c>
      <c r="L503" s="14">
        <v>0.3428325571978133</v>
      </c>
      <c r="M503" s="12" t="s">
        <v>334</v>
      </c>
      <c r="N503" s="13">
        <v>1.5752314814814816E-2</v>
      </c>
      <c r="O503" s="13">
        <v>2.2361111111111109E-2</v>
      </c>
      <c r="P503" s="13"/>
      <c r="Q503" s="13">
        <v>1.2743055555555556E-2</v>
      </c>
      <c r="R503" s="13"/>
      <c r="S503" s="13">
        <v>1.6319444444444445E-2</v>
      </c>
      <c r="T503" s="13">
        <v>7.4189814814814813E-3</v>
      </c>
      <c r="U503" s="13">
        <v>3.7847222222222223E-3</v>
      </c>
      <c r="V503" s="13"/>
      <c r="W503" s="13"/>
    </row>
    <row r="504" spans="1:23" ht="15" customHeight="1" x14ac:dyDescent="0.25">
      <c r="A504" s="19">
        <v>46240</v>
      </c>
      <c r="B504" s="11" t="s">
        <v>276</v>
      </c>
      <c r="C504" s="12" t="s">
        <v>532</v>
      </c>
      <c r="D504" s="11" t="s">
        <v>233</v>
      </c>
      <c r="E504" s="12" t="s">
        <v>32</v>
      </c>
      <c r="F504" s="12" t="s">
        <v>106</v>
      </c>
      <c r="G504" s="12">
        <v>36</v>
      </c>
      <c r="H504" s="13">
        <v>0.25729166666666664</v>
      </c>
      <c r="I504" s="13">
        <v>0.10686342592592593</v>
      </c>
      <c r="J504" s="13">
        <v>2.9684284979423869E-3</v>
      </c>
      <c r="K504" s="13">
        <v>6.3622685185185185E-2</v>
      </c>
      <c r="L504" s="14">
        <v>0.24727845254161046</v>
      </c>
      <c r="M504" s="12" t="s">
        <v>334</v>
      </c>
      <c r="N504" s="13">
        <v>1.443287037037037E-2</v>
      </c>
      <c r="O504" s="13">
        <v>1.337962962962963E-2</v>
      </c>
      <c r="P504" s="13"/>
      <c r="Q504" s="13">
        <v>3.7615740740740739E-3</v>
      </c>
      <c r="R504" s="13"/>
      <c r="S504" s="13">
        <v>6.9675925925925929E-3</v>
      </c>
      <c r="T504" s="13">
        <v>2.4618055555555556E-2</v>
      </c>
      <c r="U504" s="13">
        <v>4.3981481481481481E-4</v>
      </c>
      <c r="V504" s="13"/>
      <c r="W504" s="13"/>
    </row>
    <row r="505" spans="1:23" ht="15" customHeight="1" x14ac:dyDescent="0.25">
      <c r="A505" s="19">
        <v>46240</v>
      </c>
      <c r="B505" s="11" t="s">
        <v>278</v>
      </c>
      <c r="C505" s="12" t="s">
        <v>533</v>
      </c>
      <c r="D505" s="11" t="s">
        <v>233</v>
      </c>
      <c r="E505" s="12" t="s">
        <v>32</v>
      </c>
      <c r="F505" s="12" t="s">
        <v>106</v>
      </c>
      <c r="G505" s="12">
        <v>21</v>
      </c>
      <c r="H505" s="13">
        <v>0.2799537037037037</v>
      </c>
      <c r="I505" s="13">
        <v>0.1633449074074074</v>
      </c>
      <c r="J505" s="13">
        <v>7.7783289241622573E-3</v>
      </c>
      <c r="K505" s="13">
        <v>5.2048611111111108E-2</v>
      </c>
      <c r="L505" s="14">
        <v>0.18591863734083014</v>
      </c>
      <c r="M505" s="12" t="s">
        <v>334</v>
      </c>
      <c r="N505" s="13">
        <v>3.6111111111111109E-3</v>
      </c>
      <c r="O505" s="13">
        <v>1.4155092592592592E-2</v>
      </c>
      <c r="P505" s="13"/>
      <c r="Q505" s="13">
        <v>1.7951388888888888E-2</v>
      </c>
      <c r="R505" s="13"/>
      <c r="S505" s="13">
        <v>1.4675925925925926E-2</v>
      </c>
      <c r="T505" s="13">
        <v>1.6550925925925926E-3</v>
      </c>
      <c r="U505" s="13"/>
      <c r="V505" s="13"/>
      <c r="W505" s="13"/>
    </row>
    <row r="506" spans="1:23" ht="15" customHeight="1" x14ac:dyDescent="0.25">
      <c r="A506" s="19">
        <v>46240</v>
      </c>
      <c r="B506" s="11" t="s">
        <v>313</v>
      </c>
      <c r="C506" s="12" t="s">
        <v>511</v>
      </c>
      <c r="D506" s="11" t="s">
        <v>78</v>
      </c>
      <c r="E506" s="12" t="s">
        <v>80</v>
      </c>
      <c r="F506" s="12" t="s">
        <v>81</v>
      </c>
      <c r="G506" s="12">
        <v>0</v>
      </c>
      <c r="H506" s="13">
        <v>0.24729166666666666</v>
      </c>
      <c r="I506" s="13">
        <v>0</v>
      </c>
      <c r="J506" s="13">
        <v>0</v>
      </c>
      <c r="K506" s="13">
        <v>3.5937499999999997E-2</v>
      </c>
      <c r="L506" s="14">
        <v>0.14532434709351305</v>
      </c>
      <c r="M506" s="12" t="s">
        <v>334</v>
      </c>
      <c r="N506" s="13">
        <v>4.3981481481481484E-3</v>
      </c>
      <c r="O506" s="13">
        <v>2.1168981481481483E-2</v>
      </c>
      <c r="P506" s="13"/>
      <c r="Q506" s="13"/>
      <c r="R506" s="13"/>
      <c r="S506" s="13">
        <v>9.9074074074074082E-3</v>
      </c>
      <c r="T506" s="13">
        <v>2.5462962962962961E-4</v>
      </c>
      <c r="U506" s="13">
        <v>1.9675925925925926E-4</v>
      </c>
      <c r="V506" s="13"/>
      <c r="W506" s="13"/>
    </row>
    <row r="507" spans="1:23" ht="15" customHeight="1" x14ac:dyDescent="0.25">
      <c r="A507" s="19">
        <v>46240</v>
      </c>
      <c r="B507" s="11" t="s">
        <v>673</v>
      </c>
      <c r="C507" s="12" t="s">
        <v>674</v>
      </c>
      <c r="D507" s="11" t="s">
        <v>104</v>
      </c>
      <c r="E507" s="12" t="s">
        <v>105</v>
      </c>
      <c r="F507" s="12" t="s">
        <v>106</v>
      </c>
      <c r="G507" s="12">
        <v>11</v>
      </c>
      <c r="H507" s="13">
        <v>0.20656250000000001</v>
      </c>
      <c r="I507" s="13">
        <v>0.11052083333333333</v>
      </c>
      <c r="J507" s="13">
        <v>1.0047348484848485E-2</v>
      </c>
      <c r="K507" s="13">
        <v>0.13935185185185187</v>
      </c>
      <c r="L507" s="14">
        <v>0.67462318596963078</v>
      </c>
      <c r="M507" s="12" t="s">
        <v>334</v>
      </c>
      <c r="N507" s="13"/>
      <c r="O507" s="13">
        <v>1.892361111111111E-2</v>
      </c>
      <c r="P507" s="13"/>
      <c r="Q507" s="13"/>
      <c r="R507" s="13"/>
      <c r="S507" s="13">
        <v>1.5752314814814816E-2</v>
      </c>
      <c r="T507" s="13">
        <v>1.4351851851851852E-3</v>
      </c>
      <c r="U507" s="13">
        <v>1.5277777777777777E-2</v>
      </c>
      <c r="V507" s="13"/>
      <c r="W507" s="13">
        <v>8.7962962962962965E-2</v>
      </c>
    </row>
    <row r="508" spans="1:23" ht="15" customHeight="1" x14ac:dyDescent="0.25">
      <c r="A508" s="19">
        <v>46240</v>
      </c>
      <c r="B508" s="11" t="s">
        <v>225</v>
      </c>
      <c r="C508" s="12" t="s">
        <v>549</v>
      </c>
      <c r="D508" s="11" t="s">
        <v>601</v>
      </c>
      <c r="E508" s="12" t="s">
        <v>105</v>
      </c>
      <c r="F508" s="12" t="s">
        <v>33</v>
      </c>
      <c r="G508" s="12">
        <v>10</v>
      </c>
      <c r="H508" s="13">
        <v>0.21964120370370371</v>
      </c>
      <c r="I508" s="13">
        <v>0.16640046296296296</v>
      </c>
      <c r="J508" s="13">
        <v>1.6640046296296295E-2</v>
      </c>
      <c r="K508" s="13">
        <v>9.5150462962962964E-2</v>
      </c>
      <c r="L508" s="14">
        <v>0.43320862096221741</v>
      </c>
      <c r="M508" s="12" t="s">
        <v>334</v>
      </c>
      <c r="N508" s="13">
        <v>6.5509259259259262E-3</v>
      </c>
      <c r="O508" s="13">
        <v>9.2939814814814812E-3</v>
      </c>
      <c r="P508" s="13"/>
      <c r="Q508" s="13"/>
      <c r="R508" s="13"/>
      <c r="S508" s="13">
        <v>1.0995370370370371E-3</v>
      </c>
      <c r="T508" s="13">
        <v>3.2407407407407406E-4</v>
      </c>
      <c r="U508" s="13">
        <v>8.564814814814815E-4</v>
      </c>
      <c r="V508" s="13"/>
      <c r="W508" s="13">
        <v>7.7002314814814815E-2</v>
      </c>
    </row>
    <row r="509" spans="1:23" ht="15" customHeight="1" x14ac:dyDescent="0.25">
      <c r="A509" s="19">
        <v>46240</v>
      </c>
      <c r="B509" s="11" t="s">
        <v>70</v>
      </c>
      <c r="C509" s="12" t="s">
        <v>71</v>
      </c>
      <c r="D509" s="11" t="s">
        <v>78</v>
      </c>
      <c r="E509" s="12" t="s">
        <v>80</v>
      </c>
      <c r="F509" s="12" t="s">
        <v>33</v>
      </c>
      <c r="G509" s="12">
        <v>0</v>
      </c>
      <c r="H509" s="13">
        <v>0.38802083333333331</v>
      </c>
      <c r="I509" s="13">
        <v>0</v>
      </c>
      <c r="J509" s="13">
        <v>0</v>
      </c>
      <c r="K509" s="13">
        <v>0.19010416666666666</v>
      </c>
      <c r="L509" s="14">
        <v>0.48993288590604028</v>
      </c>
      <c r="M509" s="12" t="s">
        <v>334</v>
      </c>
      <c r="N509" s="13">
        <v>4.4988425925925925E-2</v>
      </c>
      <c r="O509" s="13">
        <v>4.2592592592592592E-2</v>
      </c>
      <c r="P509" s="13"/>
      <c r="Q509" s="13"/>
      <c r="R509" s="13">
        <v>9.1180555555555556E-2</v>
      </c>
      <c r="S509" s="13">
        <v>9.1087962962962971E-3</v>
      </c>
      <c r="T509" s="13">
        <v>2.2337962962962962E-3</v>
      </c>
      <c r="U509" s="13"/>
      <c r="V509" s="13"/>
      <c r="W509" s="13"/>
    </row>
    <row r="510" spans="1:23" ht="15" customHeight="1" x14ac:dyDescent="0.25">
      <c r="A510" s="19">
        <v>46240</v>
      </c>
      <c r="B510" s="11" t="s">
        <v>280</v>
      </c>
      <c r="C510" s="12" t="s">
        <v>534</v>
      </c>
      <c r="D510" s="11" t="s">
        <v>233</v>
      </c>
      <c r="E510" s="12" t="s">
        <v>32</v>
      </c>
      <c r="F510" s="12" t="s">
        <v>106</v>
      </c>
      <c r="G510" s="12">
        <v>27</v>
      </c>
      <c r="H510" s="13">
        <v>0.26420138888888889</v>
      </c>
      <c r="I510" s="13">
        <v>0.11548611111111111</v>
      </c>
      <c r="J510" s="13">
        <v>4.2772633744855969E-3</v>
      </c>
      <c r="K510" s="13">
        <v>7.3321759259259253E-2</v>
      </c>
      <c r="L510" s="14">
        <v>0.27752223244403557</v>
      </c>
      <c r="M510" s="12" t="s">
        <v>334</v>
      </c>
      <c r="N510" s="13">
        <v>5.6828703703703702E-3</v>
      </c>
      <c r="O510" s="13">
        <v>1.773148148148148E-2</v>
      </c>
      <c r="P510" s="13"/>
      <c r="Q510" s="13"/>
      <c r="R510" s="13"/>
      <c r="S510" s="13">
        <v>1.6122685185185184E-2</v>
      </c>
      <c r="T510" s="13">
        <v>2.7662037037037039E-3</v>
      </c>
      <c r="U510" s="13">
        <v>4.6296296296296294E-5</v>
      </c>
      <c r="V510" s="13"/>
      <c r="W510" s="13">
        <v>3.0972222222222224E-2</v>
      </c>
    </row>
    <row r="511" spans="1:23" ht="15" customHeight="1" x14ac:dyDescent="0.25">
      <c r="A511" s="19">
        <v>46240</v>
      </c>
      <c r="B511" s="11" t="s">
        <v>299</v>
      </c>
      <c r="C511" s="12" t="s">
        <v>571</v>
      </c>
      <c r="D511" s="11" t="s">
        <v>104</v>
      </c>
      <c r="E511" s="12" t="s">
        <v>105</v>
      </c>
      <c r="F511" s="12" t="s">
        <v>106</v>
      </c>
      <c r="G511" s="12">
        <v>13</v>
      </c>
      <c r="H511" s="13">
        <v>0.25855324074074076</v>
      </c>
      <c r="I511" s="13">
        <v>0.19384259259259259</v>
      </c>
      <c r="J511" s="13">
        <v>1.4910968660968662E-2</v>
      </c>
      <c r="K511" s="13">
        <v>5.5925925925925928E-2</v>
      </c>
      <c r="L511" s="14">
        <v>0.21630332602175567</v>
      </c>
      <c r="M511" s="12" t="s">
        <v>334</v>
      </c>
      <c r="N511" s="13">
        <v>4.9189814814814816E-3</v>
      </c>
      <c r="O511" s="13">
        <v>1.5046296296296295E-2</v>
      </c>
      <c r="P511" s="13"/>
      <c r="Q511" s="13"/>
      <c r="R511" s="13"/>
      <c r="S511" s="13">
        <v>1.0520833333333333E-2</v>
      </c>
      <c r="T511" s="13">
        <v>6.9444444444444444E-5</v>
      </c>
      <c r="U511" s="13">
        <v>1.9930555555555556E-2</v>
      </c>
      <c r="V511" s="13"/>
      <c r="W511" s="13">
        <v>5.4398148148148149E-3</v>
      </c>
    </row>
    <row r="512" spans="1:23" ht="15" customHeight="1" x14ac:dyDescent="0.25">
      <c r="A512" s="19">
        <v>46240</v>
      </c>
      <c r="B512" s="11" t="s">
        <v>227</v>
      </c>
      <c r="C512" s="12" t="s">
        <v>557</v>
      </c>
      <c r="D512" s="11" t="s">
        <v>146</v>
      </c>
      <c r="E512" s="12" t="s">
        <v>147</v>
      </c>
      <c r="F512" s="12" t="s">
        <v>106</v>
      </c>
      <c r="G512" s="12">
        <v>15</v>
      </c>
      <c r="H512" s="13">
        <v>0.27112268518518517</v>
      </c>
      <c r="I512" s="13">
        <v>9.3819444444444441E-2</v>
      </c>
      <c r="J512" s="13">
        <v>6.2546296296296291E-3</v>
      </c>
      <c r="K512" s="13">
        <v>3.9467592592592596E-2</v>
      </c>
      <c r="L512" s="14">
        <v>0.14557097118463183</v>
      </c>
      <c r="M512" s="12" t="s">
        <v>334</v>
      </c>
      <c r="N512" s="13">
        <v>9.6412037037037039E-3</v>
      </c>
      <c r="O512" s="13">
        <v>1.269675925925926E-2</v>
      </c>
      <c r="P512" s="13"/>
      <c r="Q512" s="13">
        <v>5.0925925925925921E-4</v>
      </c>
      <c r="R512" s="13"/>
      <c r="S512" s="13">
        <v>1.3854166666666667E-2</v>
      </c>
      <c r="T512" s="13">
        <v>5.7870370370370373E-5</v>
      </c>
      <c r="U512" s="13">
        <v>2.5231481481481481E-3</v>
      </c>
      <c r="V512" s="13"/>
      <c r="W512" s="13"/>
    </row>
    <row r="513" spans="1:23" ht="15" customHeight="1" x14ac:dyDescent="0.25">
      <c r="A513" s="19">
        <v>46240</v>
      </c>
      <c r="B513" s="11" t="s">
        <v>282</v>
      </c>
      <c r="C513" s="12" t="s">
        <v>535</v>
      </c>
      <c r="D513" s="11" t="s">
        <v>233</v>
      </c>
      <c r="E513" s="12" t="s">
        <v>32</v>
      </c>
      <c r="F513" s="12" t="s">
        <v>106</v>
      </c>
      <c r="G513" s="12">
        <v>67</v>
      </c>
      <c r="H513" s="13">
        <v>0.2575810185185185</v>
      </c>
      <c r="I513" s="13">
        <v>0.14528935185185185</v>
      </c>
      <c r="J513" s="13">
        <v>2.1684977888336097E-3</v>
      </c>
      <c r="K513" s="13">
        <v>4.8796296296296296E-2</v>
      </c>
      <c r="L513" s="14">
        <v>0.18944057515165133</v>
      </c>
      <c r="M513" s="12" t="s">
        <v>334</v>
      </c>
      <c r="N513" s="13">
        <v>4.1550925925925922E-3</v>
      </c>
      <c r="O513" s="13">
        <v>1.7187500000000001E-2</v>
      </c>
      <c r="P513" s="13"/>
      <c r="Q513" s="13"/>
      <c r="R513" s="13"/>
      <c r="S513" s="13">
        <v>1.7199074074074075E-2</v>
      </c>
      <c r="T513" s="13">
        <v>9.3981481481481485E-3</v>
      </c>
      <c r="U513" s="13">
        <v>8.564814814814815E-4</v>
      </c>
      <c r="V513" s="13"/>
      <c r="W513" s="13"/>
    </row>
    <row r="514" spans="1:23" ht="15" customHeight="1" x14ac:dyDescent="0.25">
      <c r="A514" s="19">
        <v>46240</v>
      </c>
      <c r="B514" s="11" t="s">
        <v>675</v>
      </c>
      <c r="C514" s="12" t="s">
        <v>676</v>
      </c>
      <c r="D514" s="11" t="s">
        <v>104</v>
      </c>
      <c r="E514" s="12" t="s">
        <v>105</v>
      </c>
      <c r="F514" s="12" t="s">
        <v>106</v>
      </c>
      <c r="G514" s="12">
        <v>10</v>
      </c>
      <c r="H514" s="13">
        <v>0.2686574074074074</v>
      </c>
      <c r="I514" s="13">
        <v>0.23190972222222223</v>
      </c>
      <c r="J514" s="13">
        <v>2.3190972222222224E-2</v>
      </c>
      <c r="K514" s="13">
        <v>5.872685185185185E-2</v>
      </c>
      <c r="L514" s="14">
        <v>0.21859383077718422</v>
      </c>
      <c r="M514" s="12" t="s">
        <v>334</v>
      </c>
      <c r="N514" s="13"/>
      <c r="O514" s="13">
        <v>1.4618055555555556E-2</v>
      </c>
      <c r="P514" s="13"/>
      <c r="Q514" s="13"/>
      <c r="R514" s="13"/>
      <c r="S514" s="13">
        <v>1.4398148148148148E-2</v>
      </c>
      <c r="T514" s="13">
        <v>7.9861111111111116E-4</v>
      </c>
      <c r="U514" s="13">
        <v>9.837962962962962E-4</v>
      </c>
      <c r="V514" s="13"/>
      <c r="W514" s="13">
        <v>2.792824074074074E-2</v>
      </c>
    </row>
    <row r="515" spans="1:23" ht="15" customHeight="1" x14ac:dyDescent="0.25">
      <c r="A515" s="19">
        <v>46240</v>
      </c>
      <c r="B515" s="11" t="s">
        <v>677</v>
      </c>
      <c r="C515" s="12" t="s">
        <v>678</v>
      </c>
      <c r="D515" s="11" t="s">
        <v>274</v>
      </c>
      <c r="E515" s="12" t="s">
        <v>147</v>
      </c>
      <c r="F515" s="12" t="s">
        <v>33</v>
      </c>
      <c r="G515" s="12">
        <v>19</v>
      </c>
      <c r="H515" s="13">
        <v>0.26119212962962962</v>
      </c>
      <c r="I515" s="13">
        <v>6.8252314814814821E-2</v>
      </c>
      <c r="J515" s="13">
        <v>3.5922270955165694E-3</v>
      </c>
      <c r="K515" s="13">
        <v>3.9687500000000001E-2</v>
      </c>
      <c r="L515" s="14">
        <v>0.15194753400983738</v>
      </c>
      <c r="M515" s="12" t="s">
        <v>334</v>
      </c>
      <c r="N515" s="13">
        <v>3.2060185185185186E-3</v>
      </c>
      <c r="O515" s="13">
        <v>1.3773148148148149E-2</v>
      </c>
      <c r="P515" s="13"/>
      <c r="Q515" s="13">
        <v>4.0509259259259257E-3</v>
      </c>
      <c r="R515" s="13"/>
      <c r="S515" s="13">
        <v>1.4467592592592593E-2</v>
      </c>
      <c r="T515" s="13">
        <v>9.6064814814814819E-4</v>
      </c>
      <c r="U515" s="13">
        <v>3.1828703703703702E-3</v>
      </c>
      <c r="V515" s="13"/>
      <c r="W515" s="13"/>
    </row>
    <row r="516" spans="1:23" ht="15" customHeight="1" x14ac:dyDescent="0.25">
      <c r="A516" s="19">
        <v>46240</v>
      </c>
      <c r="B516" s="11" t="s">
        <v>679</v>
      </c>
      <c r="C516" s="12" t="s">
        <v>680</v>
      </c>
      <c r="D516" s="11" t="s">
        <v>274</v>
      </c>
      <c r="E516" s="12" t="s">
        <v>147</v>
      </c>
      <c r="F516" s="12" t="s">
        <v>33</v>
      </c>
      <c r="G516" s="12">
        <v>16</v>
      </c>
      <c r="H516" s="13">
        <v>0.25793981481481482</v>
      </c>
      <c r="I516" s="13">
        <v>6.7233796296296292E-2</v>
      </c>
      <c r="J516" s="13">
        <v>4.2021122685185182E-3</v>
      </c>
      <c r="K516" s="13">
        <v>6.7407407407407402E-2</v>
      </c>
      <c r="L516" s="14">
        <v>0.26132998294893656</v>
      </c>
      <c r="M516" s="12" t="s">
        <v>334</v>
      </c>
      <c r="N516" s="13">
        <v>7.5810185185185182E-3</v>
      </c>
      <c r="O516" s="13">
        <v>1.3252314814814814E-2</v>
      </c>
      <c r="P516" s="13"/>
      <c r="Q516" s="13">
        <v>2.133101851851852E-2</v>
      </c>
      <c r="R516" s="13"/>
      <c r="S516" s="13">
        <v>1.3877314814814815E-2</v>
      </c>
      <c r="T516" s="13">
        <v>6.9444444444444444E-5</v>
      </c>
      <c r="U516" s="13">
        <v>1.0277777777777778E-2</v>
      </c>
      <c r="V516" s="13"/>
      <c r="W516" s="13">
        <v>8.9120370370370373E-4</v>
      </c>
    </row>
    <row r="517" spans="1:23" ht="15" customHeight="1" x14ac:dyDescent="0.25">
      <c r="A517" s="19">
        <v>46241</v>
      </c>
      <c r="B517" s="11" t="s">
        <v>186</v>
      </c>
      <c r="C517" s="12" t="s">
        <v>562</v>
      </c>
      <c r="D517" s="11" t="s">
        <v>78</v>
      </c>
      <c r="E517" s="12" t="s">
        <v>80</v>
      </c>
      <c r="F517" s="12" t="s">
        <v>33</v>
      </c>
      <c r="G517" s="12">
        <v>0</v>
      </c>
      <c r="H517" s="13">
        <v>0.26454861111111111</v>
      </c>
      <c r="I517" s="13">
        <v>0</v>
      </c>
      <c r="J517" s="13">
        <v>0</v>
      </c>
      <c r="K517" s="13">
        <v>4.6134259259259257E-2</v>
      </c>
      <c r="L517" s="14">
        <v>0.17438858992868705</v>
      </c>
      <c r="M517" s="12" t="s">
        <v>334</v>
      </c>
      <c r="N517" s="13">
        <v>1.238425925925926E-2</v>
      </c>
      <c r="O517" s="13">
        <v>1.5659722222222221E-2</v>
      </c>
      <c r="P517" s="13"/>
      <c r="Q517" s="13"/>
      <c r="R517" s="13"/>
      <c r="S517" s="13">
        <v>1.7152777777777777E-2</v>
      </c>
      <c r="T517" s="13">
        <v>8.1018518518518516E-5</v>
      </c>
      <c r="U517" s="13">
        <v>8.2175925925925927E-4</v>
      </c>
      <c r="V517" s="13"/>
      <c r="W517" s="13"/>
    </row>
    <row r="518" spans="1:23" ht="15" customHeight="1" x14ac:dyDescent="0.25">
      <c r="A518" s="19">
        <v>46241</v>
      </c>
      <c r="B518" s="11" t="s">
        <v>643</v>
      </c>
      <c r="C518" s="12" t="s">
        <v>644</v>
      </c>
      <c r="D518" s="11" t="s">
        <v>233</v>
      </c>
      <c r="E518" s="12" t="s">
        <v>32</v>
      </c>
      <c r="F518" s="12" t="s">
        <v>106</v>
      </c>
      <c r="G518" s="12">
        <v>19</v>
      </c>
      <c r="H518" s="13">
        <v>0.25840277777777776</v>
      </c>
      <c r="I518" s="13">
        <v>0.19067129629629628</v>
      </c>
      <c r="J518" s="13">
        <v>1.0035331384015593E-2</v>
      </c>
      <c r="K518" s="13">
        <v>5.3842592592592595E-2</v>
      </c>
      <c r="L518" s="14">
        <v>0.20836692645346236</v>
      </c>
      <c r="M518" s="12" t="s">
        <v>334</v>
      </c>
      <c r="N518" s="13">
        <v>6.2384259259259259E-3</v>
      </c>
      <c r="O518" s="13">
        <v>1.5277777777777777E-2</v>
      </c>
      <c r="P518" s="13"/>
      <c r="Q518" s="13">
        <v>1.3715277777777778E-2</v>
      </c>
      <c r="R518" s="13"/>
      <c r="S518" s="13">
        <v>1.4456018518518519E-2</v>
      </c>
      <c r="T518" s="13">
        <v>2.9513888888888888E-3</v>
      </c>
      <c r="U518" s="13">
        <v>1.1805555555555556E-3</v>
      </c>
      <c r="V518" s="13"/>
      <c r="W518" s="13"/>
    </row>
    <row r="519" spans="1:23" ht="15" customHeight="1" x14ac:dyDescent="0.25">
      <c r="A519" s="19">
        <v>46241</v>
      </c>
      <c r="B519" s="11" t="s">
        <v>193</v>
      </c>
      <c r="C519" s="12" t="s">
        <v>563</v>
      </c>
      <c r="D519" s="11" t="s">
        <v>274</v>
      </c>
      <c r="E519" s="12" t="s">
        <v>147</v>
      </c>
      <c r="F519" s="12" t="s">
        <v>33</v>
      </c>
      <c r="G519" s="12">
        <v>16</v>
      </c>
      <c r="H519" s="13">
        <v>0.26146990740740739</v>
      </c>
      <c r="I519" s="13">
        <v>6.5659722222222217E-2</v>
      </c>
      <c r="J519" s="13">
        <v>4.1037326388888885E-3</v>
      </c>
      <c r="K519" s="13">
        <v>3.0034722222222223E-2</v>
      </c>
      <c r="L519" s="14">
        <v>0.11486875304324733</v>
      </c>
      <c r="M519" s="12" t="s">
        <v>334</v>
      </c>
      <c r="N519" s="13">
        <v>6.9444444444444444E-5</v>
      </c>
      <c r="O519" s="13">
        <v>1.4097222222222223E-2</v>
      </c>
      <c r="P519" s="13"/>
      <c r="Q519" s="13">
        <v>4.9768518518518521E-4</v>
      </c>
      <c r="R519" s="13">
        <v>2.3148148148148147E-5</v>
      </c>
      <c r="S519" s="13">
        <v>1.3900462962962963E-2</v>
      </c>
      <c r="T519" s="13">
        <v>2.7777777777777778E-4</v>
      </c>
      <c r="U519" s="13">
        <v>1.0069444444444444E-3</v>
      </c>
      <c r="V519" s="13"/>
      <c r="W519" s="13"/>
    </row>
    <row r="520" spans="1:23" ht="15" customHeight="1" x14ac:dyDescent="0.25">
      <c r="A520" s="19">
        <v>46241</v>
      </c>
      <c r="B520" s="11" t="s">
        <v>148</v>
      </c>
      <c r="C520" s="12" t="s">
        <v>513</v>
      </c>
      <c r="D520" s="11" t="s">
        <v>104</v>
      </c>
      <c r="E520" s="12" t="s">
        <v>105</v>
      </c>
      <c r="F520" s="12" t="s">
        <v>106</v>
      </c>
      <c r="G520" s="12">
        <v>14</v>
      </c>
      <c r="H520" s="13">
        <v>0.24922453703703704</v>
      </c>
      <c r="I520" s="13">
        <v>0.19899305555555555</v>
      </c>
      <c r="J520" s="13">
        <v>1.4213789682539682E-2</v>
      </c>
      <c r="K520" s="13">
        <v>8.1967592592592592E-2</v>
      </c>
      <c r="L520" s="14">
        <v>0.32889054010123997</v>
      </c>
      <c r="M520" s="12" t="s">
        <v>334</v>
      </c>
      <c r="N520" s="13">
        <v>6.898148148148148E-3</v>
      </c>
      <c r="O520" s="13">
        <v>1.6284722222222221E-2</v>
      </c>
      <c r="P520" s="13"/>
      <c r="Q520" s="13">
        <v>2.0717592592592593E-3</v>
      </c>
      <c r="R520" s="13"/>
      <c r="S520" s="13">
        <v>1.457175925925926E-2</v>
      </c>
      <c r="T520" s="13">
        <v>9.0162037037037034E-3</v>
      </c>
      <c r="U520" s="13">
        <v>1.261574074074074E-3</v>
      </c>
      <c r="V520" s="13"/>
      <c r="W520" s="13">
        <v>3.1863425925925927E-2</v>
      </c>
    </row>
    <row r="521" spans="1:23" ht="15" customHeight="1" x14ac:dyDescent="0.25">
      <c r="A521" s="19">
        <v>46241</v>
      </c>
      <c r="B521" s="11" t="s">
        <v>82</v>
      </c>
      <c r="C521" s="12" t="s">
        <v>83</v>
      </c>
      <c r="D521" s="11" t="s">
        <v>78</v>
      </c>
      <c r="E521" s="12" t="s">
        <v>80</v>
      </c>
      <c r="F521" s="12" t="s">
        <v>81</v>
      </c>
      <c r="G521" s="12">
        <v>0</v>
      </c>
      <c r="H521" s="13">
        <v>0.14832175925925925</v>
      </c>
      <c r="I521" s="13">
        <v>0</v>
      </c>
      <c r="J521" s="13">
        <v>0</v>
      </c>
      <c r="K521" s="13">
        <v>8.5393518518518521E-2</v>
      </c>
      <c r="L521" s="14">
        <v>0.57573156457276631</v>
      </c>
      <c r="M521" s="12" t="s">
        <v>334</v>
      </c>
      <c r="N521" s="13"/>
      <c r="O521" s="13"/>
      <c r="P521" s="13"/>
      <c r="Q521" s="13"/>
      <c r="R521" s="13"/>
      <c r="S521" s="13"/>
      <c r="T521" s="13">
        <v>8.5358796296296294E-2</v>
      </c>
      <c r="U521" s="13"/>
      <c r="V521" s="13"/>
      <c r="W521" s="13"/>
    </row>
    <row r="522" spans="1:23" ht="15" customHeight="1" x14ac:dyDescent="0.25">
      <c r="A522" s="19">
        <v>46241</v>
      </c>
      <c r="B522" s="11" t="s">
        <v>34</v>
      </c>
      <c r="C522" s="12" t="s">
        <v>505</v>
      </c>
      <c r="D522" s="11" t="s">
        <v>233</v>
      </c>
      <c r="E522" s="12" t="s">
        <v>32</v>
      </c>
      <c r="F522" s="12" t="s">
        <v>106</v>
      </c>
      <c r="G522" s="12">
        <v>43</v>
      </c>
      <c r="H522" s="13">
        <v>0.25189814814814815</v>
      </c>
      <c r="I522" s="13">
        <v>0.15508101851851852</v>
      </c>
      <c r="J522" s="13">
        <v>3.6065353143841516E-3</v>
      </c>
      <c r="K522" s="13">
        <v>5.1157407407407408E-2</v>
      </c>
      <c r="L522" s="14">
        <v>0.20308766770814188</v>
      </c>
      <c r="M522" s="12" t="s">
        <v>334</v>
      </c>
      <c r="N522" s="13">
        <v>5.2893518518518515E-3</v>
      </c>
      <c r="O522" s="13">
        <v>1.3171296296296296E-2</v>
      </c>
      <c r="P522" s="13"/>
      <c r="Q522" s="13"/>
      <c r="R522" s="13"/>
      <c r="S522" s="13">
        <v>1.3414351851851853E-2</v>
      </c>
      <c r="T522" s="13">
        <v>8.611111111111111E-3</v>
      </c>
      <c r="U522" s="13">
        <v>6.7129629629629631E-3</v>
      </c>
      <c r="V522" s="13"/>
      <c r="W522" s="13">
        <v>3.9583333333333337E-3</v>
      </c>
    </row>
    <row r="523" spans="1:23" ht="15" customHeight="1" x14ac:dyDescent="0.25">
      <c r="A523" s="19">
        <v>46241</v>
      </c>
      <c r="B523" s="11" t="s">
        <v>236</v>
      </c>
      <c r="C523" s="12" t="s">
        <v>551</v>
      </c>
      <c r="D523" s="11" t="s">
        <v>233</v>
      </c>
      <c r="E523" s="12" t="s">
        <v>32</v>
      </c>
      <c r="F523" s="12" t="s">
        <v>106</v>
      </c>
      <c r="G523" s="12">
        <v>3</v>
      </c>
      <c r="H523" s="13">
        <v>0.22586805555555556</v>
      </c>
      <c r="I523" s="13">
        <v>1.7175925925925924E-2</v>
      </c>
      <c r="J523" s="13">
        <v>5.7253086419753081E-3</v>
      </c>
      <c r="K523" s="13">
        <v>0.20837962962962964</v>
      </c>
      <c r="L523" s="14">
        <v>0.92257238022034338</v>
      </c>
      <c r="M523" s="12" t="s">
        <v>334</v>
      </c>
      <c r="N523" s="13">
        <v>2.988425925925926E-2</v>
      </c>
      <c r="O523" s="13">
        <v>2.3993055555555556E-2</v>
      </c>
      <c r="P523" s="13"/>
      <c r="Q523" s="13"/>
      <c r="R523" s="13"/>
      <c r="S523" s="13"/>
      <c r="T523" s="13">
        <v>7.4629629629629629E-2</v>
      </c>
      <c r="U523" s="13">
        <v>2.0833333333333335E-4</v>
      </c>
      <c r="V523" s="13"/>
      <c r="W523" s="13">
        <v>7.9664351851851847E-2</v>
      </c>
    </row>
    <row r="524" spans="1:23" ht="15" customHeight="1" x14ac:dyDescent="0.25">
      <c r="A524" s="19">
        <v>46241</v>
      </c>
      <c r="B524" s="11" t="s">
        <v>238</v>
      </c>
      <c r="C524" s="12" t="s">
        <v>526</v>
      </c>
      <c r="D524" s="11" t="s">
        <v>233</v>
      </c>
      <c r="E524" s="12" t="s">
        <v>32</v>
      </c>
      <c r="F524" s="12" t="s">
        <v>106</v>
      </c>
      <c r="G524" s="12">
        <v>0</v>
      </c>
      <c r="H524" s="13">
        <v>0.2</v>
      </c>
      <c r="I524" s="13">
        <v>0</v>
      </c>
      <c r="J524" s="13">
        <v>0</v>
      </c>
      <c r="K524" s="13">
        <v>0.19997685185185185</v>
      </c>
      <c r="L524" s="14">
        <v>0.99988425925925917</v>
      </c>
      <c r="M524" s="12" t="s">
        <v>334</v>
      </c>
      <c r="N524" s="13"/>
      <c r="O524" s="13"/>
      <c r="P524" s="13"/>
      <c r="Q524" s="13"/>
      <c r="R524" s="13"/>
      <c r="S524" s="13">
        <v>1.4236111111111111E-2</v>
      </c>
      <c r="T524" s="13">
        <v>4.9768518518518521E-4</v>
      </c>
      <c r="U524" s="13"/>
      <c r="V524" s="13"/>
      <c r="W524" s="13">
        <v>0.18524305555555556</v>
      </c>
    </row>
    <row r="525" spans="1:23" ht="15" customHeight="1" x14ac:dyDescent="0.25">
      <c r="A525" s="19">
        <v>46241</v>
      </c>
      <c r="B525" s="11" t="s">
        <v>608</v>
      </c>
      <c r="C525" s="12" t="s">
        <v>631</v>
      </c>
      <c r="D525" s="11" t="s">
        <v>601</v>
      </c>
      <c r="E525" s="12" t="s">
        <v>105</v>
      </c>
      <c r="F525" s="12" t="s">
        <v>33</v>
      </c>
      <c r="G525" s="12">
        <v>3</v>
      </c>
      <c r="H525" s="13">
        <v>0.16826388888888888</v>
      </c>
      <c r="I525" s="13">
        <v>5.0081018518518518E-2</v>
      </c>
      <c r="J525" s="13">
        <v>1.6693672839506173E-2</v>
      </c>
      <c r="K525" s="13">
        <v>0.14812500000000001</v>
      </c>
      <c r="L525" s="14">
        <v>0.88031366075113504</v>
      </c>
      <c r="M525" s="12" t="s">
        <v>334</v>
      </c>
      <c r="N525" s="13"/>
      <c r="O525" s="13">
        <v>1.4016203703703704E-2</v>
      </c>
      <c r="P525" s="13"/>
      <c r="Q525" s="13"/>
      <c r="R525" s="13"/>
      <c r="S525" s="13">
        <v>3.7037037037037038E-3</v>
      </c>
      <c r="T525" s="13">
        <v>2.5115740740740741E-3</v>
      </c>
      <c r="U525" s="13">
        <v>0.10648148148148148</v>
      </c>
      <c r="V525" s="13"/>
      <c r="W525" s="13">
        <v>2.1412037037037038E-2</v>
      </c>
    </row>
    <row r="526" spans="1:23" ht="15" customHeight="1" x14ac:dyDescent="0.25">
      <c r="A526" s="19">
        <v>46241</v>
      </c>
      <c r="B526" s="11" t="s">
        <v>307</v>
      </c>
      <c r="C526" s="12" t="s">
        <v>308</v>
      </c>
      <c r="D526" s="11" t="s">
        <v>78</v>
      </c>
      <c r="E526" s="12" t="s">
        <v>80</v>
      </c>
      <c r="F526" s="12" t="s">
        <v>81</v>
      </c>
      <c r="G526" s="12">
        <v>0</v>
      </c>
      <c r="H526" s="13">
        <v>0.35344907407407405</v>
      </c>
      <c r="I526" s="13">
        <v>0</v>
      </c>
      <c r="J526" s="13">
        <v>0</v>
      </c>
      <c r="K526" s="13">
        <v>0.19831018518518517</v>
      </c>
      <c r="L526" s="14">
        <v>0.56107145196149055</v>
      </c>
      <c r="M526" s="12" t="s">
        <v>334</v>
      </c>
      <c r="N526" s="13"/>
      <c r="O526" s="13"/>
      <c r="P526" s="13"/>
      <c r="Q526" s="13"/>
      <c r="R526" s="13">
        <v>6.9722222222222227E-2</v>
      </c>
      <c r="S526" s="13"/>
      <c r="T526" s="13"/>
      <c r="U526" s="13">
        <v>0.12854166666666667</v>
      </c>
      <c r="V526" s="13"/>
      <c r="W526" s="13"/>
    </row>
    <row r="527" spans="1:23" ht="15" customHeight="1" x14ac:dyDescent="0.25">
      <c r="A527" s="19">
        <v>46241</v>
      </c>
      <c r="B527" s="11" t="s">
        <v>197</v>
      </c>
      <c r="C527" s="12" t="s">
        <v>564</v>
      </c>
      <c r="D527" s="11" t="s">
        <v>601</v>
      </c>
      <c r="E527" s="12" t="s">
        <v>105</v>
      </c>
      <c r="F527" s="12" t="s">
        <v>33</v>
      </c>
      <c r="G527" s="12">
        <v>3</v>
      </c>
      <c r="H527" s="13">
        <v>0.21746527777777777</v>
      </c>
      <c r="I527" s="13">
        <v>8.5196759259259264E-2</v>
      </c>
      <c r="J527" s="13">
        <v>2.8398919753086421E-2</v>
      </c>
      <c r="K527" s="13">
        <v>0.17243055555555556</v>
      </c>
      <c r="L527" s="14">
        <v>0.79291074564905006</v>
      </c>
      <c r="M527" s="12" t="s">
        <v>334</v>
      </c>
      <c r="N527" s="13">
        <v>3.2523148148148147E-3</v>
      </c>
      <c r="O527" s="13">
        <v>1.3854166666666667E-2</v>
      </c>
      <c r="P527" s="13"/>
      <c r="Q527" s="13"/>
      <c r="R527" s="13"/>
      <c r="S527" s="13">
        <v>1.8645833333333334E-2</v>
      </c>
      <c r="T527" s="13">
        <v>9.0277777777777774E-4</v>
      </c>
      <c r="U527" s="13">
        <v>0.13577546296296297</v>
      </c>
      <c r="V527" s="13"/>
      <c r="W527" s="13"/>
    </row>
    <row r="528" spans="1:23" ht="15" customHeight="1" x14ac:dyDescent="0.25">
      <c r="A528" s="19">
        <v>46241</v>
      </c>
      <c r="B528" s="11" t="s">
        <v>38</v>
      </c>
      <c r="C528" s="12" t="s">
        <v>536</v>
      </c>
      <c r="D528" s="11" t="s">
        <v>100</v>
      </c>
      <c r="E528" s="12" t="s">
        <v>32</v>
      </c>
      <c r="F528" s="12" t="s">
        <v>33</v>
      </c>
      <c r="G528" s="12">
        <v>7</v>
      </c>
      <c r="H528" s="13">
        <v>0.24686342592592592</v>
      </c>
      <c r="I528" s="13">
        <v>7.6111111111111115E-2</v>
      </c>
      <c r="J528" s="13">
        <v>1.0873015873015873E-2</v>
      </c>
      <c r="K528" s="13">
        <v>0.17304398148148148</v>
      </c>
      <c r="L528" s="14">
        <v>0.70097050963476959</v>
      </c>
      <c r="M528" s="12" t="s">
        <v>334</v>
      </c>
      <c r="N528" s="13">
        <v>5.9259259259259256E-3</v>
      </c>
      <c r="O528" s="13">
        <v>6.851851851851852E-3</v>
      </c>
      <c r="P528" s="13"/>
      <c r="Q528" s="13"/>
      <c r="R528" s="13"/>
      <c r="S528" s="13">
        <v>1.4409722222222223E-2</v>
      </c>
      <c r="T528" s="13">
        <v>2.1527777777777778E-3</v>
      </c>
      <c r="U528" s="13"/>
      <c r="V528" s="13"/>
      <c r="W528" s="13">
        <v>0.14370370370370369</v>
      </c>
    </row>
    <row r="529" spans="1:23" ht="15" customHeight="1" x14ac:dyDescent="0.25">
      <c r="A529" s="19">
        <v>46241</v>
      </c>
      <c r="B529" s="11" t="s">
        <v>681</v>
      </c>
      <c r="C529" s="12" t="s">
        <v>682</v>
      </c>
      <c r="D529" s="11" t="s">
        <v>601</v>
      </c>
      <c r="E529" s="12" t="s">
        <v>105</v>
      </c>
      <c r="F529" s="12" t="s">
        <v>33</v>
      </c>
      <c r="G529" s="12">
        <v>2</v>
      </c>
      <c r="H529" s="13">
        <v>0.2376736111111111</v>
      </c>
      <c r="I529" s="13">
        <v>6.2719907407407405E-2</v>
      </c>
      <c r="J529" s="13">
        <v>3.1359953703703702E-2</v>
      </c>
      <c r="K529" s="13">
        <v>0.19981481481481481</v>
      </c>
      <c r="L529" s="14">
        <v>0.84071098125152177</v>
      </c>
      <c r="M529" s="12" t="s">
        <v>334</v>
      </c>
      <c r="N529" s="13">
        <v>1.0474537037037037E-2</v>
      </c>
      <c r="O529" s="13">
        <v>1.0243055555555556E-2</v>
      </c>
      <c r="P529" s="13"/>
      <c r="Q529" s="13"/>
      <c r="R529" s="13"/>
      <c r="S529" s="13">
        <v>1.5150462962962963E-2</v>
      </c>
      <c r="T529" s="13">
        <v>4.4560185185185189E-3</v>
      </c>
      <c r="U529" s="13">
        <v>0.15949074074074074</v>
      </c>
      <c r="V529" s="13"/>
      <c r="W529" s="13"/>
    </row>
    <row r="530" spans="1:23" ht="15" customHeight="1" x14ac:dyDescent="0.25">
      <c r="A530" s="19">
        <v>46241</v>
      </c>
      <c r="B530" s="11" t="s">
        <v>154</v>
      </c>
      <c r="C530" s="12" t="s">
        <v>515</v>
      </c>
      <c r="D530" s="11" t="s">
        <v>146</v>
      </c>
      <c r="E530" s="12" t="s">
        <v>147</v>
      </c>
      <c r="F530" s="12" t="s">
        <v>106</v>
      </c>
      <c r="G530" s="12">
        <v>18</v>
      </c>
      <c r="H530" s="13">
        <v>0.26450231481481479</v>
      </c>
      <c r="I530" s="13">
        <v>4.3530092592592592E-2</v>
      </c>
      <c r="J530" s="13">
        <v>2.4183384773662549E-3</v>
      </c>
      <c r="K530" s="13">
        <v>2.8530092592592593E-2</v>
      </c>
      <c r="L530" s="14">
        <v>0.10786330022316547</v>
      </c>
      <c r="M530" s="12" t="s">
        <v>334</v>
      </c>
      <c r="N530" s="13">
        <v>2.5347222222222221E-3</v>
      </c>
      <c r="O530" s="13">
        <v>9.8032407407407408E-3</v>
      </c>
      <c r="P530" s="13"/>
      <c r="Q530" s="13"/>
      <c r="R530" s="13"/>
      <c r="S530" s="13">
        <v>1.4594907407407407E-2</v>
      </c>
      <c r="T530" s="13">
        <v>1.0185185185185184E-3</v>
      </c>
      <c r="U530" s="13">
        <v>5.2083333333333333E-4</v>
      </c>
      <c r="V530" s="13"/>
      <c r="W530" s="13"/>
    </row>
    <row r="531" spans="1:23" ht="15" customHeight="1" x14ac:dyDescent="0.25">
      <c r="A531" s="19">
        <v>46241</v>
      </c>
      <c r="B531" s="11" t="s">
        <v>112</v>
      </c>
      <c r="C531" s="12" t="s">
        <v>570</v>
      </c>
      <c r="D531" s="11" t="s">
        <v>104</v>
      </c>
      <c r="E531" s="12" t="s">
        <v>105</v>
      </c>
      <c r="F531" s="12" t="s">
        <v>106</v>
      </c>
      <c r="G531" s="12">
        <v>4</v>
      </c>
      <c r="H531" s="13">
        <v>0.18841435185185185</v>
      </c>
      <c r="I531" s="13">
        <v>9.9062499999999998E-2</v>
      </c>
      <c r="J531" s="13">
        <v>2.4765624999999999E-2</v>
      </c>
      <c r="K531" s="13">
        <v>0.11662037037037037</v>
      </c>
      <c r="L531" s="14">
        <v>0.61895693838687882</v>
      </c>
      <c r="M531" s="12" t="s">
        <v>334</v>
      </c>
      <c r="N531" s="13">
        <v>1.5601851851851851E-2</v>
      </c>
      <c r="O531" s="13">
        <v>1.7037037037037038E-2</v>
      </c>
      <c r="P531" s="13"/>
      <c r="Q531" s="13"/>
      <c r="R531" s="13"/>
      <c r="S531" s="13">
        <v>1.7407407407407406E-2</v>
      </c>
      <c r="T531" s="13">
        <v>4.8032407407407407E-3</v>
      </c>
      <c r="U531" s="13">
        <v>3.5879629629629629E-4</v>
      </c>
      <c r="V531" s="13"/>
      <c r="W531" s="13">
        <v>6.1388888888888889E-2</v>
      </c>
    </row>
    <row r="532" spans="1:23" ht="15" customHeight="1" x14ac:dyDescent="0.25">
      <c r="A532" s="19">
        <v>46241</v>
      </c>
      <c r="B532" s="11" t="s">
        <v>42</v>
      </c>
      <c r="C532" s="12" t="s">
        <v>537</v>
      </c>
      <c r="D532" s="11" t="s">
        <v>104</v>
      </c>
      <c r="E532" s="12" t="s">
        <v>105</v>
      </c>
      <c r="F532" s="12" t="s">
        <v>106</v>
      </c>
      <c r="G532" s="12">
        <v>19</v>
      </c>
      <c r="H532" s="13">
        <v>0.26571759259259259</v>
      </c>
      <c r="I532" s="13">
        <v>0.23311342592592593</v>
      </c>
      <c r="J532" s="13">
        <v>1.2269127680311891E-2</v>
      </c>
      <c r="K532" s="13">
        <v>0.10636574074074075</v>
      </c>
      <c r="L532" s="14">
        <v>0.40029619304817493</v>
      </c>
      <c r="M532" s="12" t="s">
        <v>334</v>
      </c>
      <c r="N532" s="13">
        <v>1.5706018518518518E-2</v>
      </c>
      <c r="O532" s="13">
        <v>1.369212962962963E-2</v>
      </c>
      <c r="P532" s="13"/>
      <c r="Q532" s="13"/>
      <c r="R532" s="13"/>
      <c r="S532" s="13">
        <v>1.4027777777777778E-2</v>
      </c>
      <c r="T532" s="13">
        <v>2.4305555555555555E-4</v>
      </c>
      <c r="U532" s="13">
        <v>1.736111111111111E-3</v>
      </c>
      <c r="V532" s="13"/>
      <c r="W532" s="13">
        <v>6.0937499999999999E-2</v>
      </c>
    </row>
    <row r="533" spans="1:23" ht="15" customHeight="1" x14ac:dyDescent="0.25">
      <c r="A533" s="19">
        <v>46241</v>
      </c>
      <c r="B533" s="11" t="s">
        <v>156</v>
      </c>
      <c r="C533" s="12" t="s">
        <v>516</v>
      </c>
      <c r="D533" s="11" t="s">
        <v>146</v>
      </c>
      <c r="E533" s="12" t="s">
        <v>147</v>
      </c>
      <c r="F533" s="12" t="s">
        <v>106</v>
      </c>
      <c r="G533" s="12">
        <v>17</v>
      </c>
      <c r="H533" s="13">
        <v>0.26246527777777778</v>
      </c>
      <c r="I533" s="13">
        <v>4.9513888888888892E-2</v>
      </c>
      <c r="J533" s="13">
        <v>2.9125816993464055E-3</v>
      </c>
      <c r="K533" s="13">
        <v>4.1400462962962965E-2</v>
      </c>
      <c r="L533" s="14">
        <v>0.15773691405388721</v>
      </c>
      <c r="M533" s="12" t="s">
        <v>334</v>
      </c>
      <c r="N533" s="13"/>
      <c r="O533" s="13">
        <v>1.4537037037037038E-2</v>
      </c>
      <c r="P533" s="13"/>
      <c r="Q533" s="13">
        <v>2.0486111111111113E-3</v>
      </c>
      <c r="R533" s="13"/>
      <c r="S533" s="13">
        <v>1.3599537037037037E-2</v>
      </c>
      <c r="T533" s="13">
        <v>1.105324074074074E-2</v>
      </c>
      <c r="U533" s="13">
        <v>1.5046296296296297E-4</v>
      </c>
      <c r="V533" s="13"/>
      <c r="W533" s="13"/>
    </row>
    <row r="534" spans="1:23" ht="15" customHeight="1" x14ac:dyDescent="0.25">
      <c r="A534" s="19">
        <v>46241</v>
      </c>
      <c r="B534" s="11" t="s">
        <v>114</v>
      </c>
      <c r="C534" s="12" t="s">
        <v>541</v>
      </c>
      <c r="D534" s="11" t="s">
        <v>104</v>
      </c>
      <c r="E534" s="12" t="s">
        <v>105</v>
      </c>
      <c r="F534" s="12" t="s">
        <v>106</v>
      </c>
      <c r="G534" s="12">
        <v>12</v>
      </c>
      <c r="H534" s="13">
        <v>0.23768518518518519</v>
      </c>
      <c r="I534" s="13">
        <v>0.21163194444444444</v>
      </c>
      <c r="J534" s="13">
        <v>1.7635995370370371E-2</v>
      </c>
      <c r="K534" s="13">
        <v>0.10277777777777777</v>
      </c>
      <c r="L534" s="14">
        <v>0.43241137514608491</v>
      </c>
      <c r="M534" s="12" t="s">
        <v>334</v>
      </c>
      <c r="N534" s="13">
        <v>1.2094907407407407E-2</v>
      </c>
      <c r="O534" s="13">
        <v>1.5856481481481482E-2</v>
      </c>
      <c r="P534" s="13"/>
      <c r="Q534" s="13"/>
      <c r="R534" s="13"/>
      <c r="S534" s="13">
        <v>1.7384259259259259E-2</v>
      </c>
      <c r="T534" s="13">
        <v>4.0243055555555553E-2</v>
      </c>
      <c r="U534" s="13"/>
      <c r="V534" s="13"/>
      <c r="W534" s="13">
        <v>1.7199074074074075E-2</v>
      </c>
    </row>
    <row r="535" spans="1:23" ht="15" customHeight="1" x14ac:dyDescent="0.25">
      <c r="A535" s="19">
        <v>46241</v>
      </c>
      <c r="B535" s="11" t="s">
        <v>44</v>
      </c>
      <c r="C535" s="12" t="s">
        <v>506</v>
      </c>
      <c r="D535" s="11" t="s">
        <v>100</v>
      </c>
      <c r="E535" s="12" t="s">
        <v>32</v>
      </c>
      <c r="F535" s="12" t="s">
        <v>33</v>
      </c>
      <c r="G535" s="12">
        <v>37</v>
      </c>
      <c r="H535" s="13">
        <v>0.2630439814814815</v>
      </c>
      <c r="I535" s="13">
        <v>0.15623842592592593</v>
      </c>
      <c r="J535" s="13">
        <v>4.2226601601601608E-3</v>
      </c>
      <c r="K535" s="13">
        <v>4.3680555555555556E-2</v>
      </c>
      <c r="L535" s="14">
        <v>0.16605799269591234</v>
      </c>
      <c r="M535" s="12" t="s">
        <v>334</v>
      </c>
      <c r="N535" s="13">
        <v>4.8726851851851848E-3</v>
      </c>
      <c r="O535" s="13">
        <v>1.4340277777777778E-2</v>
      </c>
      <c r="P535" s="13"/>
      <c r="Q535" s="13">
        <v>2.1527777777777778E-3</v>
      </c>
      <c r="R535" s="13"/>
      <c r="S535" s="13">
        <v>1.3888888888888888E-2</v>
      </c>
      <c r="T535" s="13">
        <v>5.5555555555555556E-4</v>
      </c>
      <c r="U535" s="13">
        <v>6.076388888888889E-3</v>
      </c>
      <c r="V535" s="13"/>
      <c r="W535" s="13">
        <v>1.0416666666666667E-3</v>
      </c>
    </row>
    <row r="536" spans="1:23" ht="15" customHeight="1" x14ac:dyDescent="0.25">
      <c r="A536" s="19">
        <v>46241</v>
      </c>
      <c r="B536" s="11" t="s">
        <v>609</v>
      </c>
      <c r="C536" s="12" t="s">
        <v>632</v>
      </c>
      <c r="D536" s="11" t="s">
        <v>601</v>
      </c>
      <c r="E536" s="12" t="s">
        <v>105</v>
      </c>
      <c r="F536" s="12" t="s">
        <v>33</v>
      </c>
      <c r="G536" s="12">
        <v>2</v>
      </c>
      <c r="H536" s="13">
        <v>0.20245370370370369</v>
      </c>
      <c r="I536" s="13">
        <v>3.5451388888888886E-2</v>
      </c>
      <c r="J536" s="13">
        <v>1.7725694444444443E-2</v>
      </c>
      <c r="K536" s="13">
        <v>0.18765046296296295</v>
      </c>
      <c r="L536" s="14">
        <v>0.92688085982163271</v>
      </c>
      <c r="M536" s="12" t="s">
        <v>334</v>
      </c>
      <c r="N536" s="13">
        <v>1.0925925925925926E-2</v>
      </c>
      <c r="O536" s="13">
        <v>1.755787037037037E-2</v>
      </c>
      <c r="P536" s="13"/>
      <c r="Q536" s="13"/>
      <c r="R536" s="13"/>
      <c r="S536" s="13">
        <v>1.5509259259259259E-2</v>
      </c>
      <c r="T536" s="13">
        <v>4.0509259259259258E-4</v>
      </c>
      <c r="U536" s="13">
        <v>0.14281250000000001</v>
      </c>
      <c r="V536" s="13"/>
      <c r="W536" s="13">
        <v>4.3981481481481481E-4</v>
      </c>
    </row>
    <row r="537" spans="1:23" ht="15" customHeight="1" x14ac:dyDescent="0.25">
      <c r="A537" s="19">
        <v>46241</v>
      </c>
      <c r="B537" s="11" t="s">
        <v>240</v>
      </c>
      <c r="C537" s="12" t="s">
        <v>527</v>
      </c>
      <c r="D537" s="11" t="s">
        <v>233</v>
      </c>
      <c r="E537" s="12" t="s">
        <v>32</v>
      </c>
      <c r="F537" s="12" t="s">
        <v>106</v>
      </c>
      <c r="G537" s="12">
        <v>3</v>
      </c>
      <c r="H537" s="13">
        <v>0.23291666666666666</v>
      </c>
      <c r="I537" s="13">
        <v>2.0659722222222222E-2</v>
      </c>
      <c r="J537" s="13">
        <v>6.8865740740740736E-3</v>
      </c>
      <c r="K537" s="13">
        <v>0.21020833333333333</v>
      </c>
      <c r="L537" s="14">
        <v>0.9025044722719141</v>
      </c>
      <c r="M537" s="12" t="s">
        <v>334</v>
      </c>
      <c r="N537" s="13">
        <v>1.5891203703703703E-2</v>
      </c>
      <c r="O537" s="13">
        <v>1.6550925925925926E-3</v>
      </c>
      <c r="P537" s="13"/>
      <c r="Q537" s="13"/>
      <c r="R537" s="13"/>
      <c r="S537" s="13">
        <v>1.3912037037037037E-2</v>
      </c>
      <c r="T537" s="13">
        <v>1.0532407407407407E-3</v>
      </c>
      <c r="U537" s="13"/>
      <c r="V537" s="13"/>
      <c r="W537" s="13">
        <v>0.17769675925925926</v>
      </c>
    </row>
    <row r="538" spans="1:23" ht="15" customHeight="1" x14ac:dyDescent="0.25">
      <c r="A538" s="19">
        <v>46241</v>
      </c>
      <c r="B538" s="11" t="s">
        <v>497</v>
      </c>
      <c r="C538" s="12" t="s">
        <v>498</v>
      </c>
      <c r="D538" s="11" t="s">
        <v>78</v>
      </c>
      <c r="E538" s="12" t="s">
        <v>80</v>
      </c>
      <c r="F538" s="12" t="s">
        <v>81</v>
      </c>
      <c r="G538" s="12">
        <v>0</v>
      </c>
      <c r="H538" s="13">
        <v>0.3420023148148148</v>
      </c>
      <c r="I538" s="13">
        <v>0</v>
      </c>
      <c r="J538" s="13">
        <v>0</v>
      </c>
      <c r="K538" s="13">
        <v>5.648148148148148E-2</v>
      </c>
      <c r="L538" s="14">
        <v>0.16514941283969001</v>
      </c>
      <c r="M538" s="12" t="s">
        <v>334</v>
      </c>
      <c r="N538" s="13">
        <v>2.1064814814814813E-3</v>
      </c>
      <c r="O538" s="13">
        <v>1.1226851851851852E-2</v>
      </c>
      <c r="P538" s="13"/>
      <c r="Q538" s="13"/>
      <c r="R538" s="13"/>
      <c r="S538" s="13">
        <v>4.1238425925925928E-2</v>
      </c>
      <c r="T538" s="13">
        <v>1.7708333333333332E-3</v>
      </c>
      <c r="U538" s="13"/>
      <c r="V538" s="13"/>
      <c r="W538" s="13"/>
    </row>
    <row r="539" spans="1:23" ht="15" customHeight="1" x14ac:dyDescent="0.25">
      <c r="A539" s="19">
        <v>46241</v>
      </c>
      <c r="B539" s="11" t="s">
        <v>309</v>
      </c>
      <c r="C539" s="12" t="s">
        <v>310</v>
      </c>
      <c r="D539" s="11" t="s">
        <v>78</v>
      </c>
      <c r="E539" s="12" t="s">
        <v>80</v>
      </c>
      <c r="F539" s="12" t="s">
        <v>81</v>
      </c>
      <c r="G539" s="12">
        <v>0</v>
      </c>
      <c r="H539" s="13">
        <v>0.36048611111111112</v>
      </c>
      <c r="I539" s="13">
        <v>0</v>
      </c>
      <c r="J539" s="13">
        <v>0</v>
      </c>
      <c r="K539" s="13">
        <v>5.8715277777777776E-2</v>
      </c>
      <c r="L539" s="14">
        <v>0.16287805817761508</v>
      </c>
      <c r="M539" s="12" t="s">
        <v>334</v>
      </c>
      <c r="N539" s="13">
        <v>4.8495370370370368E-3</v>
      </c>
      <c r="O539" s="13">
        <v>3.7789351851851852E-2</v>
      </c>
      <c r="P539" s="13"/>
      <c r="Q539" s="13"/>
      <c r="R539" s="13"/>
      <c r="S539" s="13">
        <v>7.6967592592592591E-3</v>
      </c>
      <c r="T539" s="13">
        <v>2.3148148148148149E-4</v>
      </c>
      <c r="U539" s="13">
        <v>2.5462962962962961E-4</v>
      </c>
      <c r="V539" s="13"/>
      <c r="W539" s="13">
        <v>7.8703703703703696E-3</v>
      </c>
    </row>
    <row r="540" spans="1:23" ht="15" customHeight="1" x14ac:dyDescent="0.25">
      <c r="A540" s="19">
        <v>46241</v>
      </c>
      <c r="B540" s="11" t="s">
        <v>160</v>
      </c>
      <c r="C540" s="12" t="s">
        <v>544</v>
      </c>
      <c r="D540" s="11" t="s">
        <v>146</v>
      </c>
      <c r="E540" s="12" t="s">
        <v>147</v>
      </c>
      <c r="F540" s="12" t="s">
        <v>106</v>
      </c>
      <c r="G540" s="12">
        <v>14</v>
      </c>
      <c r="H540" s="13">
        <v>0.25892361111111112</v>
      </c>
      <c r="I540" s="13">
        <v>4.6863425925925926E-2</v>
      </c>
      <c r="J540" s="13">
        <v>3.3473875661375664E-3</v>
      </c>
      <c r="K540" s="13">
        <v>5.3634259259259257E-2</v>
      </c>
      <c r="L540" s="14">
        <v>0.20714317643377586</v>
      </c>
      <c r="M540" s="12" t="s">
        <v>334</v>
      </c>
      <c r="N540" s="13">
        <v>1.1412037037037037E-2</v>
      </c>
      <c r="O540" s="13">
        <v>1.5532407407407408E-2</v>
      </c>
      <c r="P540" s="13"/>
      <c r="Q540" s="13">
        <v>6.6782407407407407E-3</v>
      </c>
      <c r="R540" s="13"/>
      <c r="S540" s="13">
        <v>1.5752314814814816E-2</v>
      </c>
      <c r="T540" s="13">
        <v>1.273148148148148E-4</v>
      </c>
      <c r="U540" s="13">
        <v>3.8541666666666668E-3</v>
      </c>
      <c r="V540" s="13"/>
      <c r="W540" s="13"/>
    </row>
    <row r="541" spans="1:23" ht="15" customHeight="1" x14ac:dyDescent="0.25">
      <c r="A541" s="19">
        <v>46241</v>
      </c>
      <c r="B541" s="11" t="s">
        <v>645</v>
      </c>
      <c r="C541" s="12" t="s">
        <v>646</v>
      </c>
      <c r="D541" s="11" t="s">
        <v>100</v>
      </c>
      <c r="E541" s="12" t="s">
        <v>32</v>
      </c>
      <c r="F541" s="12" t="s">
        <v>33</v>
      </c>
      <c r="G541" s="12">
        <v>36</v>
      </c>
      <c r="H541" s="13">
        <v>0.26482638888888888</v>
      </c>
      <c r="I541" s="13">
        <v>0.20471064814814816</v>
      </c>
      <c r="J541" s="13">
        <v>5.6864068930041157E-3</v>
      </c>
      <c r="K541" s="13">
        <v>3.0162037037037036E-2</v>
      </c>
      <c r="L541" s="14">
        <v>0.11389362353044011</v>
      </c>
      <c r="M541" s="12" t="s">
        <v>334</v>
      </c>
      <c r="N541" s="13">
        <v>6.0416666666666665E-3</v>
      </c>
      <c r="O541" s="13">
        <v>7.0254629629629634E-3</v>
      </c>
      <c r="P541" s="13"/>
      <c r="Q541" s="13">
        <v>5.3240740740740744E-4</v>
      </c>
      <c r="R541" s="13"/>
      <c r="S541" s="13">
        <v>1.4027777777777778E-2</v>
      </c>
      <c r="T541" s="13">
        <v>9.3749999999999997E-4</v>
      </c>
      <c r="U541" s="13">
        <v>1.5162037037037036E-3</v>
      </c>
      <c r="V541" s="13"/>
      <c r="W541" s="13"/>
    </row>
    <row r="542" spans="1:23" ht="15" customHeight="1" x14ac:dyDescent="0.25">
      <c r="A542" s="19">
        <v>46241</v>
      </c>
      <c r="B542" s="11" t="s">
        <v>120</v>
      </c>
      <c r="C542" s="12" t="s">
        <v>558</v>
      </c>
      <c r="D542" s="11" t="s">
        <v>233</v>
      </c>
      <c r="E542" s="12" t="s">
        <v>32</v>
      </c>
      <c r="F542" s="12" t="s">
        <v>106</v>
      </c>
      <c r="G542" s="12">
        <v>46</v>
      </c>
      <c r="H542" s="13">
        <v>0.26328703703703704</v>
      </c>
      <c r="I542" s="13">
        <v>0.17210648148148147</v>
      </c>
      <c r="J542" s="13">
        <v>3.7414452495974234E-3</v>
      </c>
      <c r="K542" s="13">
        <v>6.0833333333333336E-2</v>
      </c>
      <c r="L542" s="14">
        <v>0.23105327940917883</v>
      </c>
      <c r="M542" s="12" t="s">
        <v>334</v>
      </c>
      <c r="N542" s="13">
        <v>7.766203703703704E-3</v>
      </c>
      <c r="O542" s="13">
        <v>1.3171296296296296E-2</v>
      </c>
      <c r="P542" s="13"/>
      <c r="Q542" s="13"/>
      <c r="R542" s="13"/>
      <c r="S542" s="13">
        <v>1.2731481481481481E-2</v>
      </c>
      <c r="T542" s="13">
        <v>2.0833333333333332E-2</v>
      </c>
      <c r="U542" s="13">
        <v>6.3078703703703708E-3</v>
      </c>
      <c r="V542" s="13"/>
      <c r="W542" s="13">
        <v>2.3148148148148147E-5</v>
      </c>
    </row>
    <row r="543" spans="1:23" ht="15" customHeight="1" x14ac:dyDescent="0.25">
      <c r="A543" s="19">
        <v>46241</v>
      </c>
      <c r="B543" s="11" t="s">
        <v>46</v>
      </c>
      <c r="C543" s="12" t="s">
        <v>507</v>
      </c>
      <c r="D543" s="11" t="s">
        <v>100</v>
      </c>
      <c r="E543" s="12" t="s">
        <v>32</v>
      </c>
      <c r="F543" s="12" t="s">
        <v>33</v>
      </c>
      <c r="G543" s="12">
        <v>34</v>
      </c>
      <c r="H543" s="13">
        <v>0.25656250000000003</v>
      </c>
      <c r="I543" s="13">
        <v>0.13506944444444444</v>
      </c>
      <c r="J543" s="13">
        <v>3.9726307189542481E-3</v>
      </c>
      <c r="K543" s="13">
        <v>3.6736111111111108E-2</v>
      </c>
      <c r="L543" s="14">
        <v>0.14318581675463524</v>
      </c>
      <c r="M543" s="12" t="s">
        <v>334</v>
      </c>
      <c r="N543" s="13">
        <v>5.2314814814814811E-3</v>
      </c>
      <c r="O543" s="13">
        <v>1.425925925925926E-2</v>
      </c>
      <c r="P543" s="13"/>
      <c r="Q543" s="13"/>
      <c r="R543" s="13"/>
      <c r="S543" s="13">
        <v>1.4074074074074074E-2</v>
      </c>
      <c r="T543" s="13">
        <v>1.6203703703703703E-4</v>
      </c>
      <c r="U543" s="13">
        <v>2.9050925925925928E-3</v>
      </c>
      <c r="V543" s="13"/>
      <c r="W543" s="13"/>
    </row>
    <row r="544" spans="1:23" ht="15" customHeight="1" x14ac:dyDescent="0.25">
      <c r="A544" s="19">
        <v>46241</v>
      </c>
      <c r="B544" s="11" t="s">
        <v>287</v>
      </c>
      <c r="C544" s="12" t="s">
        <v>542</v>
      </c>
      <c r="D544" s="11" t="s">
        <v>104</v>
      </c>
      <c r="E544" s="12" t="s">
        <v>105</v>
      </c>
      <c r="F544" s="12" t="s">
        <v>106</v>
      </c>
      <c r="G544" s="12">
        <v>8</v>
      </c>
      <c r="H544" s="13">
        <v>0.23984953703703704</v>
      </c>
      <c r="I544" s="13">
        <v>0.12484953703703704</v>
      </c>
      <c r="J544" s="13">
        <v>1.560619212962963E-2</v>
      </c>
      <c r="K544" s="13">
        <v>0.12067129629629629</v>
      </c>
      <c r="L544" s="14">
        <v>0.50311248371374795</v>
      </c>
      <c r="M544" s="12" t="s">
        <v>334</v>
      </c>
      <c r="N544" s="13">
        <v>2.71875E-2</v>
      </c>
      <c r="O544" s="13">
        <v>1.9201388888888889E-2</v>
      </c>
      <c r="P544" s="13"/>
      <c r="Q544" s="13"/>
      <c r="R544" s="13"/>
      <c r="S544" s="13">
        <v>1.892361111111111E-2</v>
      </c>
      <c r="T544" s="13">
        <v>4.2824074074074075E-3</v>
      </c>
      <c r="U544" s="13">
        <v>2.0833333333333333E-3</v>
      </c>
      <c r="V544" s="13"/>
      <c r="W544" s="13">
        <v>4.8969907407407406E-2</v>
      </c>
    </row>
    <row r="545" spans="1:23" ht="15" customHeight="1" x14ac:dyDescent="0.25">
      <c r="A545" s="19">
        <v>46241</v>
      </c>
      <c r="B545" s="11" t="s">
        <v>499</v>
      </c>
      <c r="C545" s="12" t="s">
        <v>517</v>
      </c>
      <c r="D545" s="11" t="s">
        <v>146</v>
      </c>
      <c r="E545" s="12" t="s">
        <v>147</v>
      </c>
      <c r="F545" s="12" t="s">
        <v>106</v>
      </c>
      <c r="G545" s="12">
        <v>14</v>
      </c>
      <c r="H545" s="13">
        <v>0.26121527777777775</v>
      </c>
      <c r="I545" s="13">
        <v>4.4201388888888887E-2</v>
      </c>
      <c r="J545" s="13">
        <v>3.1572420634920634E-3</v>
      </c>
      <c r="K545" s="13">
        <v>5.9768518518518519E-2</v>
      </c>
      <c r="L545" s="14">
        <v>0.22880942886259917</v>
      </c>
      <c r="M545" s="12" t="s">
        <v>334</v>
      </c>
      <c r="N545" s="13">
        <v>4.9537037037037041E-3</v>
      </c>
      <c r="O545" s="13">
        <v>1.6666666666666666E-2</v>
      </c>
      <c r="P545" s="13">
        <v>1.6736111111111111E-2</v>
      </c>
      <c r="Q545" s="13">
        <v>6.0416666666666665E-3</v>
      </c>
      <c r="R545" s="13"/>
      <c r="S545" s="13">
        <v>1.511574074074074E-2</v>
      </c>
      <c r="T545" s="13">
        <v>6.9444444444444444E-5</v>
      </c>
      <c r="U545" s="13">
        <v>1.7361111111111112E-4</v>
      </c>
      <c r="V545" s="13"/>
      <c r="W545" s="13"/>
    </row>
    <row r="546" spans="1:23" ht="15" customHeight="1" x14ac:dyDescent="0.25">
      <c r="A546" s="19">
        <v>46241</v>
      </c>
      <c r="B546" s="11" t="s">
        <v>647</v>
      </c>
      <c r="C546" s="12" t="s">
        <v>648</v>
      </c>
      <c r="D546" s="11" t="s">
        <v>233</v>
      </c>
      <c r="E546" s="12" t="s">
        <v>32</v>
      </c>
      <c r="F546" s="12" t="s">
        <v>106</v>
      </c>
      <c r="G546" s="12">
        <v>24</v>
      </c>
      <c r="H546" s="13">
        <v>0.24193287037037037</v>
      </c>
      <c r="I546" s="13">
        <v>9.509259259259259E-2</v>
      </c>
      <c r="J546" s="13">
        <v>3.9621913580246909E-3</v>
      </c>
      <c r="K546" s="13">
        <v>8.4837962962962962E-2</v>
      </c>
      <c r="L546" s="14">
        <v>0.35066736832033679</v>
      </c>
      <c r="M546" s="12" t="s">
        <v>334</v>
      </c>
      <c r="N546" s="13">
        <v>4.5254629629629629E-3</v>
      </c>
      <c r="O546" s="13">
        <v>1.3391203703703704E-2</v>
      </c>
      <c r="P546" s="13"/>
      <c r="Q546" s="13">
        <v>6.4120370370370373E-3</v>
      </c>
      <c r="R546" s="13"/>
      <c r="S546" s="13">
        <v>1.3634259259259259E-2</v>
      </c>
      <c r="T546" s="13">
        <v>5.8449074074074072E-3</v>
      </c>
      <c r="U546" s="13"/>
      <c r="V546" s="13"/>
      <c r="W546" s="13">
        <v>4.103009259259259E-2</v>
      </c>
    </row>
    <row r="547" spans="1:23" ht="15" customHeight="1" x14ac:dyDescent="0.25">
      <c r="A547" s="19">
        <v>46241</v>
      </c>
      <c r="B547" s="11" t="s">
        <v>649</v>
      </c>
      <c r="C547" s="12" t="s">
        <v>650</v>
      </c>
      <c r="D547" s="11" t="s">
        <v>104</v>
      </c>
      <c r="E547" s="12" t="s">
        <v>105</v>
      </c>
      <c r="F547" s="12" t="s">
        <v>106</v>
      </c>
      <c r="G547" s="12">
        <v>4</v>
      </c>
      <c r="H547" s="13">
        <v>0.15743055555555555</v>
      </c>
      <c r="I547" s="13">
        <v>5.8159722222222224E-2</v>
      </c>
      <c r="J547" s="13">
        <v>1.4539930555555556E-2</v>
      </c>
      <c r="K547" s="13">
        <v>9.9432870370370366E-2</v>
      </c>
      <c r="L547" s="14">
        <v>0.63159829436847525</v>
      </c>
      <c r="M547" s="12" t="s">
        <v>334</v>
      </c>
      <c r="N547" s="13"/>
      <c r="O547" s="13">
        <v>8.2291666666666659E-3</v>
      </c>
      <c r="P547" s="13"/>
      <c r="Q547" s="13"/>
      <c r="R547" s="13"/>
      <c r="S547" s="13">
        <v>1.5243055555555555E-2</v>
      </c>
      <c r="T547" s="13">
        <v>4.6296296296296294E-3</v>
      </c>
      <c r="U547" s="13">
        <v>4.6296296296296294E-5</v>
      </c>
      <c r="V547" s="13"/>
      <c r="W547" s="13">
        <v>7.1284722222222222E-2</v>
      </c>
    </row>
    <row r="548" spans="1:23" ht="15" customHeight="1" x14ac:dyDescent="0.25">
      <c r="A548" s="19">
        <v>46241</v>
      </c>
      <c r="B548" s="11" t="s">
        <v>651</v>
      </c>
      <c r="C548" s="12" t="s">
        <v>652</v>
      </c>
      <c r="D548" s="11" t="s">
        <v>100</v>
      </c>
      <c r="E548" s="12" t="s">
        <v>32</v>
      </c>
      <c r="F548" s="12" t="s">
        <v>33</v>
      </c>
      <c r="G548" s="12">
        <v>23</v>
      </c>
      <c r="H548" s="13">
        <v>0.26341435185185186</v>
      </c>
      <c r="I548" s="13">
        <v>0.15119212962962963</v>
      </c>
      <c r="J548" s="13">
        <v>6.5735708534621577E-3</v>
      </c>
      <c r="K548" s="13">
        <v>4.040509259259259E-2</v>
      </c>
      <c r="L548" s="14">
        <v>0.15338986774462848</v>
      </c>
      <c r="M548" s="12" t="s">
        <v>334</v>
      </c>
      <c r="N548" s="13">
        <v>6.9675925925925929E-3</v>
      </c>
      <c r="O548" s="13">
        <v>1.6354166666666666E-2</v>
      </c>
      <c r="P548" s="13"/>
      <c r="Q548" s="13"/>
      <c r="R548" s="13"/>
      <c r="S548" s="13">
        <v>1.5162037037037036E-2</v>
      </c>
      <c r="T548" s="13">
        <v>1.9212962962962964E-3</v>
      </c>
      <c r="U548" s="13"/>
      <c r="V548" s="13"/>
      <c r="W548" s="13"/>
    </row>
    <row r="549" spans="1:23" ht="15" customHeight="1" x14ac:dyDescent="0.25">
      <c r="A549" s="19">
        <v>46241</v>
      </c>
      <c r="B549" s="11" t="s">
        <v>48</v>
      </c>
      <c r="C549" s="12" t="s">
        <v>508</v>
      </c>
      <c r="D549" s="11" t="s">
        <v>100</v>
      </c>
      <c r="E549" s="12" t="s">
        <v>32</v>
      </c>
      <c r="F549" s="12" t="s">
        <v>33</v>
      </c>
      <c r="G549" s="12">
        <v>26</v>
      </c>
      <c r="H549" s="13">
        <v>0.23667824074074073</v>
      </c>
      <c r="I549" s="13">
        <v>0.11627314814814815</v>
      </c>
      <c r="J549" s="13">
        <v>4.4720441595441597E-3</v>
      </c>
      <c r="K549" s="13">
        <v>8.6967592592592596E-2</v>
      </c>
      <c r="L549" s="14">
        <v>0.36745073108709475</v>
      </c>
      <c r="M549" s="12" t="s">
        <v>334</v>
      </c>
      <c r="N549" s="13">
        <v>4.4444444444444444E-3</v>
      </c>
      <c r="O549" s="13">
        <v>7.7083333333333335E-3</v>
      </c>
      <c r="P549" s="13"/>
      <c r="Q549" s="13">
        <v>1.3622685185185186E-2</v>
      </c>
      <c r="R549" s="13">
        <v>7.013888888888889E-3</v>
      </c>
      <c r="S549" s="13">
        <v>1.3912037037037037E-2</v>
      </c>
      <c r="T549" s="13">
        <v>1.0416666666666667E-4</v>
      </c>
      <c r="U549" s="13">
        <v>1.6203703703703703E-4</v>
      </c>
      <c r="V549" s="13"/>
      <c r="W549" s="13">
        <v>0.04</v>
      </c>
    </row>
    <row r="550" spans="1:23" ht="15" customHeight="1" x14ac:dyDescent="0.25">
      <c r="A550" s="19">
        <v>46241</v>
      </c>
      <c r="B550" s="11" t="s">
        <v>50</v>
      </c>
      <c r="C550" s="12" t="s">
        <v>538</v>
      </c>
      <c r="D550" s="11" t="s">
        <v>100</v>
      </c>
      <c r="E550" s="12" t="s">
        <v>32</v>
      </c>
      <c r="F550" s="12" t="s">
        <v>33</v>
      </c>
      <c r="G550" s="12">
        <v>11</v>
      </c>
      <c r="H550" s="13">
        <v>0.25293981481481481</v>
      </c>
      <c r="I550" s="13">
        <v>5.5879629629629626E-2</v>
      </c>
      <c r="J550" s="13">
        <v>5.0799663299663294E-3</v>
      </c>
      <c r="K550" s="13">
        <v>0.18201388888888889</v>
      </c>
      <c r="L550" s="14">
        <v>0.71959366706323791</v>
      </c>
      <c r="M550" s="12" t="s">
        <v>334</v>
      </c>
      <c r="N550" s="13">
        <v>1.5682870370370371E-2</v>
      </c>
      <c r="O550" s="13">
        <v>7.3379629629629628E-3</v>
      </c>
      <c r="P550" s="13"/>
      <c r="Q550" s="13"/>
      <c r="R550" s="13"/>
      <c r="S550" s="13">
        <v>1.480324074074074E-2</v>
      </c>
      <c r="T550" s="13">
        <v>1.0300925925925926E-3</v>
      </c>
      <c r="U550" s="13">
        <v>3.7615740740740739E-3</v>
      </c>
      <c r="V550" s="13"/>
      <c r="W550" s="13">
        <v>0.13939814814814816</v>
      </c>
    </row>
    <row r="551" spans="1:23" ht="15" customHeight="1" x14ac:dyDescent="0.25">
      <c r="A551" s="19">
        <v>46241</v>
      </c>
      <c r="B551" s="11" t="s">
        <v>242</v>
      </c>
      <c r="C551" s="12" t="s">
        <v>603</v>
      </c>
      <c r="D551" s="11" t="s">
        <v>233</v>
      </c>
      <c r="E551" s="12" t="s">
        <v>32</v>
      </c>
      <c r="F551" s="12" t="s">
        <v>106</v>
      </c>
      <c r="G551" s="12">
        <v>22</v>
      </c>
      <c r="H551" s="13">
        <v>0.23620370370370369</v>
      </c>
      <c r="I551" s="13">
        <v>0.14525462962962962</v>
      </c>
      <c r="J551" s="13">
        <v>6.6024831649831644E-3</v>
      </c>
      <c r="K551" s="13">
        <v>4.5914351851851852E-2</v>
      </c>
      <c r="L551" s="14">
        <v>0.19438455507644062</v>
      </c>
      <c r="M551" s="12" t="s">
        <v>334</v>
      </c>
      <c r="N551" s="13"/>
      <c r="O551" s="13"/>
      <c r="P551" s="13"/>
      <c r="Q551" s="13"/>
      <c r="R551" s="13"/>
      <c r="S551" s="13"/>
      <c r="T551" s="13">
        <v>1.6203703703703703E-4</v>
      </c>
      <c r="U551" s="13">
        <v>2.5115740740740741E-3</v>
      </c>
      <c r="V551" s="13"/>
      <c r="W551" s="13">
        <v>4.3171296296296298E-2</v>
      </c>
    </row>
    <row r="552" spans="1:23" ht="15" customHeight="1" x14ac:dyDescent="0.25">
      <c r="A552" s="19">
        <v>46241</v>
      </c>
      <c r="B552" s="11" t="s">
        <v>248</v>
      </c>
      <c r="C552" s="12" t="s">
        <v>249</v>
      </c>
      <c r="D552" s="11" t="s">
        <v>78</v>
      </c>
      <c r="E552" s="12" t="s">
        <v>80</v>
      </c>
      <c r="F552" s="12" t="s">
        <v>81</v>
      </c>
      <c r="G552" s="12">
        <v>0</v>
      </c>
      <c r="H552" s="13">
        <v>0.34539351851851852</v>
      </c>
      <c r="I552" s="13">
        <v>0</v>
      </c>
      <c r="J552" s="13">
        <v>0</v>
      </c>
      <c r="K552" s="13">
        <v>3.2291666666666666E-3</v>
      </c>
      <c r="L552" s="14">
        <v>9.3492393271228467E-3</v>
      </c>
      <c r="M552" s="12" t="s">
        <v>334</v>
      </c>
      <c r="N552" s="13">
        <v>1.1574074074074075E-4</v>
      </c>
      <c r="O552" s="13"/>
      <c r="P552" s="13"/>
      <c r="Q552" s="13"/>
      <c r="R552" s="13"/>
      <c r="S552" s="13"/>
      <c r="T552" s="13">
        <v>1.5046296296296297E-4</v>
      </c>
      <c r="U552" s="13">
        <v>1.7939814814814815E-3</v>
      </c>
      <c r="V552" s="13"/>
      <c r="W552" s="13">
        <v>1.1458333333333333E-3</v>
      </c>
    </row>
    <row r="553" spans="1:23" ht="15" customHeight="1" x14ac:dyDescent="0.25">
      <c r="A553" s="19">
        <v>46241</v>
      </c>
      <c r="B553" s="11" t="s">
        <v>289</v>
      </c>
      <c r="C553" s="12" t="s">
        <v>559</v>
      </c>
      <c r="D553" s="11" t="s">
        <v>104</v>
      </c>
      <c r="E553" s="12" t="s">
        <v>105</v>
      </c>
      <c r="F553" s="12" t="s">
        <v>106</v>
      </c>
      <c r="G553" s="12">
        <v>11</v>
      </c>
      <c r="H553" s="13">
        <v>0.23966435185185186</v>
      </c>
      <c r="I553" s="13">
        <v>0.20268518518518519</v>
      </c>
      <c r="J553" s="13">
        <v>1.8425925925925925E-2</v>
      </c>
      <c r="K553" s="13">
        <v>9.7106481481481488E-2</v>
      </c>
      <c r="L553" s="14">
        <v>0.40517699328729417</v>
      </c>
      <c r="M553" s="12" t="s">
        <v>334</v>
      </c>
      <c r="N553" s="13">
        <v>2.5763888888888888E-2</v>
      </c>
      <c r="O553" s="13">
        <v>6.5509259259259262E-3</v>
      </c>
      <c r="P553" s="13"/>
      <c r="Q553" s="13"/>
      <c r="R553" s="13"/>
      <c r="S553" s="13">
        <v>1.1030092592592593E-2</v>
      </c>
      <c r="T553" s="13">
        <v>6.053240740740741E-3</v>
      </c>
      <c r="U553" s="13">
        <v>3.152777777777778E-2</v>
      </c>
      <c r="V553" s="13"/>
      <c r="W553" s="13">
        <v>1.6145833333333335E-2</v>
      </c>
    </row>
    <row r="554" spans="1:23" ht="15" customHeight="1" x14ac:dyDescent="0.25">
      <c r="A554" s="19">
        <v>46241</v>
      </c>
      <c r="B554" s="11" t="s">
        <v>252</v>
      </c>
      <c r="C554" s="12" t="s">
        <v>553</v>
      </c>
      <c r="D554" s="11" t="s">
        <v>78</v>
      </c>
      <c r="E554" s="12" t="s">
        <v>80</v>
      </c>
      <c r="F554" s="12" t="s">
        <v>81</v>
      </c>
      <c r="G554" s="12">
        <v>1</v>
      </c>
      <c r="H554" s="13">
        <v>0.36711805555555554</v>
      </c>
      <c r="I554" s="13">
        <v>1.2337962962962964E-2</v>
      </c>
      <c r="J554" s="13">
        <v>1.2337962962962964E-2</v>
      </c>
      <c r="K554" s="13">
        <v>7.7546296296296293E-4</v>
      </c>
      <c r="L554" s="14">
        <v>2.1122986222768688E-3</v>
      </c>
      <c r="M554" s="12" t="s">
        <v>334</v>
      </c>
      <c r="N554" s="13"/>
      <c r="O554" s="13"/>
      <c r="P554" s="13"/>
      <c r="Q554" s="13"/>
      <c r="R554" s="13"/>
      <c r="S554" s="13"/>
      <c r="T554" s="13">
        <v>4.6296296296296294E-5</v>
      </c>
      <c r="U554" s="13">
        <v>6.9444444444444447E-4</v>
      </c>
      <c r="V554" s="13"/>
      <c r="W554" s="13"/>
    </row>
    <row r="555" spans="1:23" ht="15" customHeight="1" x14ac:dyDescent="0.25">
      <c r="A555" s="19">
        <v>46241</v>
      </c>
      <c r="B555" s="11" t="s">
        <v>500</v>
      </c>
      <c r="C555" s="12" t="s">
        <v>518</v>
      </c>
      <c r="D555" s="11" t="s">
        <v>274</v>
      </c>
      <c r="E555" s="12" t="s">
        <v>147</v>
      </c>
      <c r="F555" s="12" t="s">
        <v>33</v>
      </c>
      <c r="G555" s="12">
        <v>20</v>
      </c>
      <c r="H555" s="13">
        <v>0.30386574074074074</v>
      </c>
      <c r="I555" s="13">
        <v>8.7719907407407413E-2</v>
      </c>
      <c r="J555" s="13">
        <v>4.3859953703703708E-3</v>
      </c>
      <c r="K555" s="13">
        <v>3.184027777777778E-2</v>
      </c>
      <c r="L555" s="14">
        <v>0.10478403290927098</v>
      </c>
      <c r="M555" s="12" t="s">
        <v>334</v>
      </c>
      <c r="N555" s="13">
        <v>1.9560185185185184E-3</v>
      </c>
      <c r="O555" s="13">
        <v>1.3946759259259259E-2</v>
      </c>
      <c r="P555" s="13"/>
      <c r="Q555" s="13">
        <v>8.564814814814815E-4</v>
      </c>
      <c r="R555" s="13"/>
      <c r="S555" s="13">
        <v>1.4525462962962962E-2</v>
      </c>
      <c r="T555" s="13">
        <v>1.7361111111111112E-4</v>
      </c>
      <c r="U555" s="13">
        <v>3.5879629629629629E-4</v>
      </c>
      <c r="V555" s="13"/>
      <c r="W555" s="13"/>
    </row>
    <row r="556" spans="1:23" ht="15" customHeight="1" x14ac:dyDescent="0.25">
      <c r="A556" s="19">
        <v>46241</v>
      </c>
      <c r="B556" s="11" t="s">
        <v>653</v>
      </c>
      <c r="C556" s="12" t="s">
        <v>654</v>
      </c>
      <c r="D556" s="11" t="s">
        <v>100</v>
      </c>
      <c r="E556" s="12" t="s">
        <v>32</v>
      </c>
      <c r="F556" s="12" t="s">
        <v>33</v>
      </c>
      <c r="G556" s="12">
        <v>25</v>
      </c>
      <c r="H556" s="13">
        <v>0.26361111111111113</v>
      </c>
      <c r="I556" s="13">
        <v>0.15476851851851853</v>
      </c>
      <c r="J556" s="13">
        <v>6.1907407407407414E-3</v>
      </c>
      <c r="K556" s="13">
        <v>4.0300925925925928E-2</v>
      </c>
      <c r="L556" s="14">
        <v>0.15288022479803301</v>
      </c>
      <c r="M556" s="12" t="s">
        <v>334</v>
      </c>
      <c r="N556" s="13">
        <v>9.1435185185185178E-3</v>
      </c>
      <c r="O556" s="13">
        <v>1.4236111111111111E-2</v>
      </c>
      <c r="P556" s="13"/>
      <c r="Q556" s="13"/>
      <c r="R556" s="13"/>
      <c r="S556" s="13">
        <v>1.4363425925925925E-2</v>
      </c>
      <c r="T556" s="13">
        <v>8.1018518518518516E-5</v>
      </c>
      <c r="U556" s="13">
        <v>2.4305555555555556E-3</v>
      </c>
      <c r="V556" s="13"/>
      <c r="W556" s="13"/>
    </row>
    <row r="557" spans="1:23" ht="15" customHeight="1" x14ac:dyDescent="0.25">
      <c r="A557" s="19">
        <v>46241</v>
      </c>
      <c r="B557" s="11" t="s">
        <v>52</v>
      </c>
      <c r="C557" s="12" t="s">
        <v>509</v>
      </c>
      <c r="D557" s="11" t="s">
        <v>100</v>
      </c>
      <c r="E557" s="12" t="s">
        <v>32</v>
      </c>
      <c r="F557" s="12" t="s">
        <v>33</v>
      </c>
      <c r="G557" s="12">
        <v>9</v>
      </c>
      <c r="H557" s="13">
        <v>0.24898148148148147</v>
      </c>
      <c r="I557" s="13">
        <v>7.1284722222222222E-2</v>
      </c>
      <c r="J557" s="13">
        <v>7.9205246913580246E-3</v>
      </c>
      <c r="K557" s="13">
        <v>0.18388888888888888</v>
      </c>
      <c r="L557" s="14">
        <v>0.73856452212718482</v>
      </c>
      <c r="M557" s="12" t="s">
        <v>334</v>
      </c>
      <c r="N557" s="13">
        <v>3.3796296296296296E-3</v>
      </c>
      <c r="O557" s="13">
        <v>1.4375000000000001E-2</v>
      </c>
      <c r="P557" s="13"/>
      <c r="Q557" s="13"/>
      <c r="R557" s="13"/>
      <c r="S557" s="13">
        <v>1.4155092592592592E-2</v>
      </c>
      <c r="T557" s="13">
        <v>1.1342592592592593E-3</v>
      </c>
      <c r="U557" s="13">
        <v>2.6620370370370372E-4</v>
      </c>
      <c r="V557" s="13"/>
      <c r="W557" s="13">
        <v>0.15057870370370371</v>
      </c>
    </row>
    <row r="558" spans="1:23" ht="15" customHeight="1" x14ac:dyDescent="0.25">
      <c r="A558" s="19">
        <v>46241</v>
      </c>
      <c r="B558" s="11" t="s">
        <v>164</v>
      </c>
      <c r="C558" s="12" t="s">
        <v>519</v>
      </c>
      <c r="D558" s="11" t="s">
        <v>146</v>
      </c>
      <c r="E558" s="12" t="s">
        <v>147</v>
      </c>
      <c r="F558" s="12" t="s">
        <v>106</v>
      </c>
      <c r="G558" s="12">
        <v>20</v>
      </c>
      <c r="H558" s="13">
        <v>0.21612268518518518</v>
      </c>
      <c r="I558" s="13">
        <v>3.7465277777777778E-2</v>
      </c>
      <c r="J558" s="13">
        <v>1.8732638888888889E-3</v>
      </c>
      <c r="K558" s="13">
        <v>3.4525462962962966E-2</v>
      </c>
      <c r="L558" s="14">
        <v>0.15974937074921011</v>
      </c>
      <c r="M558" s="12" t="s">
        <v>334</v>
      </c>
      <c r="N558" s="13">
        <v>6.8634259259259256E-3</v>
      </c>
      <c r="O558" s="13">
        <v>9.0509259259259258E-3</v>
      </c>
      <c r="P558" s="13"/>
      <c r="Q558" s="13">
        <v>4.1203703703703706E-3</v>
      </c>
      <c r="R558" s="13"/>
      <c r="S558" s="13">
        <v>1.4421296296296297E-2</v>
      </c>
      <c r="T558" s="13">
        <v>6.9444444444444444E-5</v>
      </c>
      <c r="U558" s="13"/>
      <c r="V558" s="13"/>
      <c r="W558" s="13"/>
    </row>
    <row r="559" spans="1:23" ht="15" customHeight="1" x14ac:dyDescent="0.25">
      <c r="A559" s="19">
        <v>46241</v>
      </c>
      <c r="B559" s="11" t="s">
        <v>655</v>
      </c>
      <c r="C559" s="12" t="s">
        <v>656</v>
      </c>
      <c r="D559" s="11" t="s">
        <v>100</v>
      </c>
      <c r="E559" s="12" t="s">
        <v>32</v>
      </c>
      <c r="F559" s="12" t="s">
        <v>33</v>
      </c>
      <c r="G559" s="12">
        <v>30</v>
      </c>
      <c r="H559" s="13">
        <v>0.26271990740740742</v>
      </c>
      <c r="I559" s="13">
        <v>0.1547337962962963</v>
      </c>
      <c r="J559" s="13">
        <v>5.1577932098765432E-3</v>
      </c>
      <c r="K559" s="13">
        <v>3.9803240740740743E-2</v>
      </c>
      <c r="L559" s="14">
        <v>0.15150447156262392</v>
      </c>
      <c r="M559" s="12" t="s">
        <v>334</v>
      </c>
      <c r="N559" s="13">
        <v>7.5231481481481477E-3</v>
      </c>
      <c r="O559" s="13">
        <v>1.5960648148148147E-2</v>
      </c>
      <c r="P559" s="13"/>
      <c r="Q559" s="13"/>
      <c r="R559" s="13"/>
      <c r="S559" s="13">
        <v>1.4513888888888889E-2</v>
      </c>
      <c r="T559" s="13">
        <v>1.0416666666666667E-4</v>
      </c>
      <c r="U559" s="13">
        <v>1.6550925925925926E-3</v>
      </c>
      <c r="V559" s="13"/>
      <c r="W559" s="13"/>
    </row>
    <row r="560" spans="1:23" ht="15" customHeight="1" x14ac:dyDescent="0.25">
      <c r="A560" s="19">
        <v>46241</v>
      </c>
      <c r="B560" s="11" t="s">
        <v>657</v>
      </c>
      <c r="C560" s="12" t="s">
        <v>658</v>
      </c>
      <c r="D560" s="11" t="s">
        <v>274</v>
      </c>
      <c r="E560" s="12" t="s">
        <v>147</v>
      </c>
      <c r="F560" s="12" t="s">
        <v>33</v>
      </c>
      <c r="G560" s="12">
        <v>21</v>
      </c>
      <c r="H560" s="13">
        <v>0.25527777777777777</v>
      </c>
      <c r="I560" s="13">
        <v>7.5590277777777784E-2</v>
      </c>
      <c r="J560" s="13">
        <v>3.5995370370370374E-3</v>
      </c>
      <c r="K560" s="13">
        <v>3.6122685185185188E-2</v>
      </c>
      <c r="L560" s="14">
        <v>0.14150344577439247</v>
      </c>
      <c r="M560" s="12" t="s">
        <v>334</v>
      </c>
      <c r="N560" s="13"/>
      <c r="O560" s="13">
        <v>1.6087962962962964E-2</v>
      </c>
      <c r="P560" s="13"/>
      <c r="Q560" s="13"/>
      <c r="R560" s="13">
        <v>3.5532407407407409E-3</v>
      </c>
      <c r="S560" s="13">
        <v>1.5543981481481482E-2</v>
      </c>
      <c r="T560" s="13">
        <v>2.6620370370370372E-4</v>
      </c>
      <c r="U560" s="13">
        <v>6.3657407407407413E-4</v>
      </c>
      <c r="V560" s="13"/>
      <c r="W560" s="13"/>
    </row>
    <row r="561" spans="1:23" ht="15" customHeight="1" x14ac:dyDescent="0.25">
      <c r="A561" s="19">
        <v>46241</v>
      </c>
      <c r="B561" s="11" t="s">
        <v>166</v>
      </c>
      <c r="C561" s="12" t="s">
        <v>167</v>
      </c>
      <c r="D561" s="11" t="s">
        <v>146</v>
      </c>
      <c r="E561" s="12" t="s">
        <v>147</v>
      </c>
      <c r="F561" s="12" t="s">
        <v>106</v>
      </c>
      <c r="G561" s="12">
        <v>16</v>
      </c>
      <c r="H561" s="13">
        <v>0.25297453703703704</v>
      </c>
      <c r="I561" s="13">
        <v>5.3310185185185183E-2</v>
      </c>
      <c r="J561" s="13">
        <v>3.3318865740740739E-3</v>
      </c>
      <c r="K561" s="13">
        <v>2.943287037037037E-2</v>
      </c>
      <c r="L561" s="14">
        <v>0.11634716566774946</v>
      </c>
      <c r="M561" s="12" t="s">
        <v>334</v>
      </c>
      <c r="N561" s="13">
        <v>3.7615740740740739E-3</v>
      </c>
      <c r="O561" s="13">
        <v>8.4606481481481477E-3</v>
      </c>
      <c r="P561" s="13"/>
      <c r="Q561" s="13"/>
      <c r="R561" s="13">
        <v>1.7824074074074075E-3</v>
      </c>
      <c r="S561" s="13">
        <v>1.4988425925925926E-2</v>
      </c>
      <c r="T561" s="13">
        <v>1.6203703703703703E-4</v>
      </c>
      <c r="U561" s="13">
        <v>2.6620370370370372E-4</v>
      </c>
      <c r="V561" s="13"/>
      <c r="W561" s="13"/>
    </row>
    <row r="562" spans="1:23" ht="15" customHeight="1" x14ac:dyDescent="0.25">
      <c r="A562" s="19">
        <v>46241</v>
      </c>
      <c r="B562" s="11" t="s">
        <v>659</v>
      </c>
      <c r="C562" s="12" t="s">
        <v>660</v>
      </c>
      <c r="D562" s="11" t="s">
        <v>100</v>
      </c>
      <c r="E562" s="12" t="s">
        <v>32</v>
      </c>
      <c r="F562" s="12" t="s">
        <v>33</v>
      </c>
      <c r="G562" s="12">
        <v>1</v>
      </c>
      <c r="H562" s="13">
        <v>0.19149305555555557</v>
      </c>
      <c r="I562" s="13">
        <v>1.0034722222222223E-2</v>
      </c>
      <c r="J562" s="13">
        <v>1.0034722222222223E-2</v>
      </c>
      <c r="K562" s="13">
        <v>0.18563657407407408</v>
      </c>
      <c r="L562" s="14">
        <v>0.96941674221819274</v>
      </c>
      <c r="M562" s="12" t="s">
        <v>334</v>
      </c>
      <c r="N562" s="13">
        <v>4.4571759259259262E-2</v>
      </c>
      <c r="O562" s="13">
        <v>1.4016203703703704E-2</v>
      </c>
      <c r="P562" s="13"/>
      <c r="Q562" s="13"/>
      <c r="R562" s="13"/>
      <c r="S562" s="13"/>
      <c r="T562" s="13">
        <v>6.4814814814814813E-4</v>
      </c>
      <c r="U562" s="13"/>
      <c r="V562" s="13"/>
      <c r="W562" s="13">
        <v>0.12640046296296295</v>
      </c>
    </row>
    <row r="563" spans="1:23" ht="15" customHeight="1" x14ac:dyDescent="0.25">
      <c r="A563" s="19">
        <v>46241</v>
      </c>
      <c r="B563" s="11" t="s">
        <v>254</v>
      </c>
      <c r="C563" s="12" t="s">
        <v>528</v>
      </c>
      <c r="D563" s="11" t="s">
        <v>233</v>
      </c>
      <c r="E563" s="12" t="s">
        <v>32</v>
      </c>
      <c r="F563" s="12" t="s">
        <v>106</v>
      </c>
      <c r="G563" s="12">
        <v>24</v>
      </c>
      <c r="H563" s="13">
        <v>0.26621527777777776</v>
      </c>
      <c r="I563" s="13">
        <v>0.13109953703703703</v>
      </c>
      <c r="J563" s="13">
        <v>5.4624807098765426E-3</v>
      </c>
      <c r="K563" s="13">
        <v>6.0057870370370373E-2</v>
      </c>
      <c r="L563" s="14">
        <v>0.22559888700491285</v>
      </c>
      <c r="M563" s="12" t="s">
        <v>334</v>
      </c>
      <c r="N563" s="13">
        <v>1.7118055555555556E-2</v>
      </c>
      <c r="O563" s="13">
        <v>1.3831018518518519E-2</v>
      </c>
      <c r="P563" s="13"/>
      <c r="Q563" s="13"/>
      <c r="R563" s="13"/>
      <c r="S563" s="13">
        <v>1.4560185185185185E-2</v>
      </c>
      <c r="T563" s="13">
        <v>1.2905092592592593E-2</v>
      </c>
      <c r="U563" s="13">
        <v>1.5856481481481481E-3</v>
      </c>
      <c r="V563" s="13"/>
      <c r="W563" s="13"/>
    </row>
    <row r="564" spans="1:23" ht="15" customHeight="1" x14ac:dyDescent="0.25">
      <c r="A564" s="19">
        <v>46241</v>
      </c>
      <c r="B564" s="11" t="s">
        <v>201</v>
      </c>
      <c r="C564" s="12" t="s">
        <v>545</v>
      </c>
      <c r="D564" s="11" t="s">
        <v>601</v>
      </c>
      <c r="E564" s="12" t="s">
        <v>600</v>
      </c>
      <c r="F564" s="12" t="s">
        <v>33</v>
      </c>
      <c r="G564" s="12">
        <v>34</v>
      </c>
      <c r="H564" s="13">
        <v>0.2394212962962963</v>
      </c>
      <c r="I564" s="13">
        <v>7.5115740740740747E-2</v>
      </c>
      <c r="J564" s="13">
        <v>2.2092864923747278E-3</v>
      </c>
      <c r="K564" s="13">
        <v>4.9629629629629628E-2</v>
      </c>
      <c r="L564" s="14">
        <v>0.20728995455863869</v>
      </c>
      <c r="M564" s="12" t="s">
        <v>334</v>
      </c>
      <c r="N564" s="13">
        <v>1.3761574074074074E-2</v>
      </c>
      <c r="O564" s="13">
        <v>9.479166666666667E-3</v>
      </c>
      <c r="P564" s="13">
        <v>9.5833333333333326E-3</v>
      </c>
      <c r="Q564" s="13"/>
      <c r="R564" s="13"/>
      <c r="S564" s="13">
        <v>1.5208333333333334E-2</v>
      </c>
      <c r="T564" s="13">
        <v>1.5277777777777779E-3</v>
      </c>
      <c r="U564" s="13">
        <v>5.7870370370370373E-5</v>
      </c>
      <c r="V564" s="13"/>
      <c r="W564" s="13"/>
    </row>
    <row r="565" spans="1:23" ht="15" customHeight="1" x14ac:dyDescent="0.25">
      <c r="A565" s="19">
        <v>46241</v>
      </c>
      <c r="B565" s="11" t="s">
        <v>168</v>
      </c>
      <c r="C565" s="12" t="s">
        <v>520</v>
      </c>
      <c r="D565" s="11" t="s">
        <v>274</v>
      </c>
      <c r="E565" s="12" t="s">
        <v>147</v>
      </c>
      <c r="F565" s="12" t="s">
        <v>33</v>
      </c>
      <c r="G565" s="12">
        <v>21</v>
      </c>
      <c r="H565" s="13">
        <v>0.29096064814814815</v>
      </c>
      <c r="I565" s="13">
        <v>4.8263888888888891E-2</v>
      </c>
      <c r="J565" s="13">
        <v>2.2982804232804235E-3</v>
      </c>
      <c r="K565" s="13">
        <v>5.0995370370370371E-2</v>
      </c>
      <c r="L565" s="14">
        <v>0.1752655236882931</v>
      </c>
      <c r="M565" s="12" t="s">
        <v>334</v>
      </c>
      <c r="N565" s="13">
        <v>6.7013888888888887E-3</v>
      </c>
      <c r="O565" s="13">
        <v>1.3935185185185186E-2</v>
      </c>
      <c r="P565" s="13"/>
      <c r="Q565" s="13">
        <v>9.2129629629629627E-3</v>
      </c>
      <c r="R565" s="13">
        <v>2.1180555555555558E-3</v>
      </c>
      <c r="S565" s="13">
        <v>1.8298611111111113E-2</v>
      </c>
      <c r="T565" s="13">
        <v>2.0833333333333335E-4</v>
      </c>
      <c r="U565" s="13">
        <v>4.9768518518518521E-4</v>
      </c>
      <c r="V565" s="13"/>
      <c r="W565" s="13"/>
    </row>
    <row r="566" spans="1:23" ht="15" customHeight="1" x14ac:dyDescent="0.25">
      <c r="A566" s="19">
        <v>46241</v>
      </c>
      <c r="B566" s="11" t="s">
        <v>170</v>
      </c>
      <c r="C566" s="12" t="s">
        <v>521</v>
      </c>
      <c r="D566" s="11" t="s">
        <v>146</v>
      </c>
      <c r="E566" s="12" t="s">
        <v>147</v>
      </c>
      <c r="F566" s="12" t="s">
        <v>106</v>
      </c>
      <c r="G566" s="12">
        <v>18</v>
      </c>
      <c r="H566" s="13">
        <v>0.28391203703703705</v>
      </c>
      <c r="I566" s="13">
        <v>9.6087962962962958E-2</v>
      </c>
      <c r="J566" s="13">
        <v>5.3382201646090532E-3</v>
      </c>
      <c r="K566" s="13">
        <v>3.8090277777777778E-2</v>
      </c>
      <c r="L566" s="14">
        <v>0.13416225030574805</v>
      </c>
      <c r="M566" s="12" t="s">
        <v>334</v>
      </c>
      <c r="N566" s="13">
        <v>2.3611111111111111E-3</v>
      </c>
      <c r="O566" s="13">
        <v>1.3252314814814814E-2</v>
      </c>
      <c r="P566" s="13"/>
      <c r="Q566" s="13">
        <v>2.0601851851851853E-3</v>
      </c>
      <c r="R566" s="13"/>
      <c r="S566" s="13">
        <v>1.4930555555555556E-2</v>
      </c>
      <c r="T566" s="13">
        <v>3.8194444444444446E-4</v>
      </c>
      <c r="U566" s="13">
        <v>4.1666666666666669E-4</v>
      </c>
      <c r="V566" s="13"/>
      <c r="W566" s="13">
        <v>4.6643518518518518E-3</v>
      </c>
    </row>
    <row r="567" spans="1:23" ht="15" customHeight="1" x14ac:dyDescent="0.25">
      <c r="A567" s="19">
        <v>46241</v>
      </c>
      <c r="B567" s="11" t="s">
        <v>92</v>
      </c>
      <c r="C567" s="12" t="s">
        <v>93</v>
      </c>
      <c r="D567" s="11" t="s">
        <v>78</v>
      </c>
      <c r="E567" s="12" t="s">
        <v>80</v>
      </c>
      <c r="F567" s="12" t="s">
        <v>81</v>
      </c>
      <c r="G567" s="12">
        <v>0</v>
      </c>
      <c r="H567" s="13">
        <v>0.28828703703703706</v>
      </c>
      <c r="I567" s="13">
        <v>0</v>
      </c>
      <c r="J567" s="13">
        <v>0</v>
      </c>
      <c r="K567" s="13">
        <v>0.15297453703703703</v>
      </c>
      <c r="L567" s="14">
        <v>0.53063272844066156</v>
      </c>
      <c r="M567" s="12" t="s">
        <v>334</v>
      </c>
      <c r="N567" s="13"/>
      <c r="O567" s="13">
        <v>0.13187499999999999</v>
      </c>
      <c r="P567" s="13"/>
      <c r="Q567" s="13"/>
      <c r="R567" s="13"/>
      <c r="S567" s="13"/>
      <c r="T567" s="13">
        <v>2.0555555555555556E-2</v>
      </c>
      <c r="U567" s="13">
        <v>5.3240740740740744E-4</v>
      </c>
      <c r="V567" s="13"/>
      <c r="W567" s="13"/>
    </row>
    <row r="568" spans="1:23" ht="15" customHeight="1" x14ac:dyDescent="0.25">
      <c r="A568" s="19">
        <v>46241</v>
      </c>
      <c r="B568" s="11" t="s">
        <v>94</v>
      </c>
      <c r="C568" s="12" t="s">
        <v>95</v>
      </c>
      <c r="D568" s="11" t="s">
        <v>78</v>
      </c>
      <c r="E568" s="12" t="s">
        <v>80</v>
      </c>
      <c r="F568" s="12" t="s">
        <v>81</v>
      </c>
      <c r="G568" s="12">
        <v>0</v>
      </c>
      <c r="H568" s="13">
        <v>0.3959259259259259</v>
      </c>
      <c r="I568" s="13">
        <v>0</v>
      </c>
      <c r="J568" s="13">
        <v>0</v>
      </c>
      <c r="K568" s="13">
        <v>0.11055555555555556</v>
      </c>
      <c r="L568" s="14">
        <v>0.27923292797006549</v>
      </c>
      <c r="M568" s="12" t="s">
        <v>334</v>
      </c>
      <c r="N568" s="13">
        <v>2.3148148148148147E-5</v>
      </c>
      <c r="O568" s="13"/>
      <c r="P568" s="13"/>
      <c r="Q568" s="13"/>
      <c r="R568" s="13">
        <v>0.11009259259259259</v>
      </c>
      <c r="S568" s="13"/>
      <c r="T568" s="13"/>
      <c r="U568" s="13">
        <v>4.3981481481481481E-4</v>
      </c>
      <c r="V568" s="13"/>
      <c r="W568" s="13"/>
    </row>
    <row r="569" spans="1:23" ht="15" customHeight="1" x14ac:dyDescent="0.25">
      <c r="A569" s="19">
        <v>46241</v>
      </c>
      <c r="B569" s="11" t="s">
        <v>293</v>
      </c>
      <c r="C569" s="12" t="s">
        <v>543</v>
      </c>
      <c r="D569" s="11" t="s">
        <v>104</v>
      </c>
      <c r="E569" s="12" t="s">
        <v>600</v>
      </c>
      <c r="F569" s="12" t="s">
        <v>106</v>
      </c>
      <c r="G569" s="12">
        <v>17</v>
      </c>
      <c r="H569" s="13">
        <v>0.24342592592592593</v>
      </c>
      <c r="I569" s="13">
        <v>4.5312499999999999E-2</v>
      </c>
      <c r="J569" s="13">
        <v>2.6654411764705883E-3</v>
      </c>
      <c r="K569" s="13">
        <v>0.1751388888888889</v>
      </c>
      <c r="L569" s="14">
        <v>0.71947508558387219</v>
      </c>
      <c r="M569" s="12" t="s">
        <v>334</v>
      </c>
      <c r="N569" s="13">
        <v>1.3969907407407407E-2</v>
      </c>
      <c r="O569" s="13">
        <v>2.7314814814814816E-2</v>
      </c>
      <c r="P569" s="13"/>
      <c r="Q569" s="13"/>
      <c r="R569" s="13"/>
      <c r="S569" s="13">
        <v>1.4548611111111111E-2</v>
      </c>
      <c r="T569" s="13">
        <v>2.8240740740740739E-3</v>
      </c>
      <c r="U569" s="13">
        <v>5.6712962962962967E-4</v>
      </c>
      <c r="V569" s="13"/>
      <c r="W569" s="13">
        <v>0.1158912037037037</v>
      </c>
    </row>
    <row r="570" spans="1:23" ht="15" customHeight="1" x14ac:dyDescent="0.25">
      <c r="A570" s="19">
        <v>46241</v>
      </c>
      <c r="B570" s="11" t="s">
        <v>606</v>
      </c>
      <c r="C570" s="12" t="s">
        <v>633</v>
      </c>
      <c r="D570" s="11" t="s">
        <v>146</v>
      </c>
      <c r="E570" s="12" t="s">
        <v>147</v>
      </c>
      <c r="F570" s="12" t="s">
        <v>106</v>
      </c>
      <c r="G570" s="12">
        <v>8</v>
      </c>
      <c r="H570" s="13">
        <v>0.26106481481481481</v>
      </c>
      <c r="I570" s="13">
        <v>4.8252314814814817E-2</v>
      </c>
      <c r="J570" s="13">
        <v>6.0315393518518522E-3</v>
      </c>
      <c r="K570" s="13">
        <v>7.6006944444444446E-2</v>
      </c>
      <c r="L570" s="14">
        <v>0.2911420464621387</v>
      </c>
      <c r="M570" s="12" t="s">
        <v>334</v>
      </c>
      <c r="N570" s="13">
        <v>1.5775462962962963E-2</v>
      </c>
      <c r="O570" s="13">
        <v>1.4131944444444445E-2</v>
      </c>
      <c r="P570" s="13"/>
      <c r="Q570" s="13"/>
      <c r="R570" s="13"/>
      <c r="S570" s="13">
        <v>1.4791666666666667E-2</v>
      </c>
      <c r="T570" s="13">
        <v>1.0416666666666667E-4</v>
      </c>
      <c r="U570" s="13">
        <v>2.7673611111111111E-2</v>
      </c>
      <c r="V570" s="13"/>
      <c r="W570" s="13">
        <v>3.449074074074074E-3</v>
      </c>
    </row>
    <row r="571" spans="1:23" ht="15" customHeight="1" x14ac:dyDescent="0.25">
      <c r="A571" s="19">
        <v>46241</v>
      </c>
      <c r="B571" s="11" t="s">
        <v>256</v>
      </c>
      <c r="C571" s="12" t="s">
        <v>529</v>
      </c>
      <c r="D571" s="11" t="s">
        <v>233</v>
      </c>
      <c r="E571" s="12" t="s">
        <v>32</v>
      </c>
      <c r="F571" s="12" t="s">
        <v>106</v>
      </c>
      <c r="G571" s="12">
        <v>21</v>
      </c>
      <c r="H571" s="13">
        <v>0.25513888888888892</v>
      </c>
      <c r="I571" s="13">
        <v>0.15937499999999999</v>
      </c>
      <c r="J571" s="13">
        <v>7.5892857142857133E-3</v>
      </c>
      <c r="K571" s="13">
        <v>4.2546296296296297E-2</v>
      </c>
      <c r="L571" s="14">
        <v>0.16675739430230446</v>
      </c>
      <c r="M571" s="12" t="s">
        <v>334</v>
      </c>
      <c r="N571" s="13">
        <v>5.1273148148148146E-3</v>
      </c>
      <c r="O571" s="13">
        <v>1.9872685185185184E-2</v>
      </c>
      <c r="P571" s="13"/>
      <c r="Q571" s="13"/>
      <c r="R571" s="13"/>
      <c r="S571" s="13">
        <v>1.5856481481481482E-2</v>
      </c>
      <c r="T571" s="13">
        <v>1.5046296296296297E-4</v>
      </c>
      <c r="U571" s="13">
        <v>1.5277777777777779E-3</v>
      </c>
      <c r="V571" s="13"/>
      <c r="W571" s="13"/>
    </row>
    <row r="572" spans="1:23" ht="15" customHeight="1" x14ac:dyDescent="0.25">
      <c r="A572" s="19">
        <v>46241</v>
      </c>
      <c r="B572" s="11" t="s">
        <v>612</v>
      </c>
      <c r="C572" s="12" t="s">
        <v>634</v>
      </c>
      <c r="D572" s="11" t="s">
        <v>601</v>
      </c>
      <c r="E572" s="12" t="s">
        <v>105</v>
      </c>
      <c r="F572" s="12" t="s">
        <v>33</v>
      </c>
      <c r="G572" s="12">
        <v>2</v>
      </c>
      <c r="H572" s="13">
        <v>0.2260648148148148</v>
      </c>
      <c r="I572" s="13">
        <v>2.5381944444444443E-2</v>
      </c>
      <c r="J572" s="13">
        <v>1.2690972222222222E-2</v>
      </c>
      <c r="K572" s="13">
        <v>0.21769675925925927</v>
      </c>
      <c r="L572" s="14">
        <v>0.96298382142125749</v>
      </c>
      <c r="M572" s="12" t="s">
        <v>334</v>
      </c>
      <c r="N572" s="13">
        <v>8.6805555555555559E-3</v>
      </c>
      <c r="O572" s="13">
        <v>2.8437500000000001E-2</v>
      </c>
      <c r="P572" s="13"/>
      <c r="Q572" s="13"/>
      <c r="R572" s="13"/>
      <c r="S572" s="13">
        <v>1.511574074074074E-2</v>
      </c>
      <c r="T572" s="13">
        <v>9.8900462962962968E-2</v>
      </c>
      <c r="U572" s="13">
        <v>6.2337962962962963E-2</v>
      </c>
      <c r="V572" s="13"/>
      <c r="W572" s="13">
        <v>4.2245370370370371E-3</v>
      </c>
    </row>
    <row r="573" spans="1:23" ht="15" customHeight="1" x14ac:dyDescent="0.25">
      <c r="A573" s="19">
        <v>46241</v>
      </c>
      <c r="B573" s="11" t="s">
        <v>258</v>
      </c>
      <c r="C573" s="12" t="s">
        <v>554</v>
      </c>
      <c r="D573" s="11" t="s">
        <v>233</v>
      </c>
      <c r="E573" s="12" t="s">
        <v>32</v>
      </c>
      <c r="F573" s="12" t="s">
        <v>106</v>
      </c>
      <c r="G573" s="12">
        <v>0</v>
      </c>
      <c r="H573" s="13">
        <v>0.20114583333333333</v>
      </c>
      <c r="I573" s="13">
        <v>0</v>
      </c>
      <c r="J573" s="13">
        <v>0</v>
      </c>
      <c r="K573" s="13">
        <v>0.2008912037037037</v>
      </c>
      <c r="L573" s="14">
        <v>0.99873410437884802</v>
      </c>
      <c r="M573" s="12" t="s">
        <v>334</v>
      </c>
      <c r="N573" s="13"/>
      <c r="O573" s="13"/>
      <c r="P573" s="13"/>
      <c r="Q573" s="13"/>
      <c r="R573" s="13"/>
      <c r="S573" s="13">
        <v>1.2673611111111111E-2</v>
      </c>
      <c r="T573" s="13">
        <v>2.7777777777777778E-4</v>
      </c>
      <c r="U573" s="13"/>
      <c r="V573" s="13"/>
      <c r="W573" s="13">
        <v>0.18793981481481481</v>
      </c>
    </row>
    <row r="574" spans="1:23" ht="15" customHeight="1" x14ac:dyDescent="0.25">
      <c r="A574" s="19">
        <v>46241</v>
      </c>
      <c r="B574" s="11" t="s">
        <v>661</v>
      </c>
      <c r="C574" s="12" t="s">
        <v>662</v>
      </c>
      <c r="D574" s="11" t="s">
        <v>100</v>
      </c>
      <c r="E574" s="12" t="s">
        <v>32</v>
      </c>
      <c r="F574" s="12" t="s">
        <v>33</v>
      </c>
      <c r="G574" s="12">
        <v>33</v>
      </c>
      <c r="H574" s="13">
        <v>0.25923611111111111</v>
      </c>
      <c r="I574" s="13">
        <v>0.14612268518518517</v>
      </c>
      <c r="J574" s="13">
        <v>4.4279601571268236E-3</v>
      </c>
      <c r="K574" s="13">
        <v>4.5520833333333337E-2</v>
      </c>
      <c r="L574" s="14">
        <v>0.17559603536030005</v>
      </c>
      <c r="M574" s="12" t="s">
        <v>334</v>
      </c>
      <c r="N574" s="13">
        <v>3.7847222222222223E-3</v>
      </c>
      <c r="O574" s="13">
        <v>2.0081018518518519E-2</v>
      </c>
      <c r="P574" s="13"/>
      <c r="Q574" s="13"/>
      <c r="R574" s="13">
        <v>9.2592592592592588E-5</v>
      </c>
      <c r="S574" s="13">
        <v>1.443287037037037E-2</v>
      </c>
      <c r="T574" s="13">
        <v>8.564814814814815E-4</v>
      </c>
      <c r="U574" s="13">
        <v>4.3981481481481484E-3</v>
      </c>
      <c r="V574" s="13"/>
      <c r="W574" s="13">
        <v>1.7939814814814815E-3</v>
      </c>
    </row>
    <row r="575" spans="1:23" ht="15" customHeight="1" x14ac:dyDescent="0.25">
      <c r="A575" s="19">
        <v>46241</v>
      </c>
      <c r="B575" s="11" t="s">
        <v>663</v>
      </c>
      <c r="C575" s="12" t="s">
        <v>664</v>
      </c>
      <c r="D575" s="11" t="s">
        <v>233</v>
      </c>
      <c r="E575" s="12" t="s">
        <v>32</v>
      </c>
      <c r="F575" s="12" t="s">
        <v>106</v>
      </c>
      <c r="G575" s="12">
        <v>6</v>
      </c>
      <c r="H575" s="13">
        <v>8.5370370370370374E-2</v>
      </c>
      <c r="I575" s="13">
        <v>4.6203703703703705E-2</v>
      </c>
      <c r="J575" s="13">
        <v>7.7006172839506172E-3</v>
      </c>
      <c r="K575" s="13">
        <v>1.4907407407407407E-2</v>
      </c>
      <c r="L575" s="14">
        <v>0.17462039045553143</v>
      </c>
      <c r="M575" s="12" t="s">
        <v>334</v>
      </c>
      <c r="N575" s="13">
        <v>3.0092592592592595E-4</v>
      </c>
      <c r="O575" s="13"/>
      <c r="P575" s="13"/>
      <c r="Q575" s="13"/>
      <c r="R575" s="13"/>
      <c r="S575" s="13"/>
      <c r="T575" s="13">
        <v>1.3159722222222222E-2</v>
      </c>
      <c r="U575" s="13">
        <v>1.4467592592592592E-3</v>
      </c>
      <c r="V575" s="13"/>
      <c r="W575" s="13"/>
    </row>
    <row r="576" spans="1:23" ht="15" customHeight="1" x14ac:dyDescent="0.25">
      <c r="A576" s="19">
        <v>46241</v>
      </c>
      <c r="B576" s="11" t="s">
        <v>203</v>
      </c>
      <c r="C576" s="12" t="s">
        <v>565</v>
      </c>
      <c r="D576" s="11" t="s">
        <v>601</v>
      </c>
      <c r="E576" s="12" t="s">
        <v>105</v>
      </c>
      <c r="F576" s="12" t="s">
        <v>33</v>
      </c>
      <c r="G576" s="12">
        <v>4</v>
      </c>
      <c r="H576" s="13">
        <v>0.18892361111111111</v>
      </c>
      <c r="I576" s="13">
        <v>6.8530092592592587E-2</v>
      </c>
      <c r="J576" s="13">
        <v>1.7132523148148147E-2</v>
      </c>
      <c r="K576" s="13">
        <v>0.16268518518518518</v>
      </c>
      <c r="L576" s="14">
        <v>0.86111621638179259</v>
      </c>
      <c r="M576" s="12" t="s">
        <v>334</v>
      </c>
      <c r="N576" s="13">
        <v>1.5069444444444444E-2</v>
      </c>
      <c r="O576" s="13">
        <v>1.7708333333333333E-2</v>
      </c>
      <c r="P576" s="13"/>
      <c r="Q576" s="13"/>
      <c r="R576" s="13"/>
      <c r="S576" s="13">
        <v>9.1319444444444443E-3</v>
      </c>
      <c r="T576" s="13">
        <v>6.018518518518519E-4</v>
      </c>
      <c r="U576" s="13">
        <v>0.12017361111111111</v>
      </c>
      <c r="V576" s="13"/>
      <c r="W576" s="13"/>
    </row>
    <row r="577" spans="1:23" ht="15" customHeight="1" x14ac:dyDescent="0.25">
      <c r="A577" s="19">
        <v>46241</v>
      </c>
      <c r="B577" s="11" t="s">
        <v>665</v>
      </c>
      <c r="C577" s="12" t="s">
        <v>666</v>
      </c>
      <c r="D577" s="11" t="s">
        <v>100</v>
      </c>
      <c r="E577" s="12" t="s">
        <v>32</v>
      </c>
      <c r="F577" s="12" t="s">
        <v>33</v>
      </c>
      <c r="G577" s="12">
        <v>33</v>
      </c>
      <c r="H577" s="13">
        <v>0.24976851851851853</v>
      </c>
      <c r="I577" s="13">
        <v>0.17792824074074073</v>
      </c>
      <c r="J577" s="13">
        <v>5.3917648709315372E-3</v>
      </c>
      <c r="K577" s="13">
        <v>3.215277777777778E-2</v>
      </c>
      <c r="L577" s="14">
        <v>0.12873030583873957</v>
      </c>
      <c r="M577" s="12" t="s">
        <v>334</v>
      </c>
      <c r="N577" s="13">
        <v>1.6319444444444445E-3</v>
      </c>
      <c r="O577" s="13">
        <v>7.2222222222222219E-3</v>
      </c>
      <c r="P577" s="13"/>
      <c r="Q577" s="13"/>
      <c r="R577" s="13"/>
      <c r="S577" s="13">
        <v>1.3912037037037037E-2</v>
      </c>
      <c r="T577" s="13">
        <v>7.8356481481481489E-3</v>
      </c>
      <c r="U577" s="13">
        <v>1.5046296296296296E-3</v>
      </c>
      <c r="V577" s="13"/>
      <c r="W577" s="13"/>
    </row>
    <row r="578" spans="1:23" ht="15" customHeight="1" x14ac:dyDescent="0.25">
      <c r="A578" s="19">
        <v>46241</v>
      </c>
      <c r="B578" s="11" t="s">
        <v>264</v>
      </c>
      <c r="C578" s="12" t="s">
        <v>530</v>
      </c>
      <c r="D578" s="11" t="s">
        <v>78</v>
      </c>
      <c r="E578" s="12" t="s">
        <v>80</v>
      </c>
      <c r="F578" s="12" t="s">
        <v>106</v>
      </c>
      <c r="G578" s="12">
        <v>0</v>
      </c>
      <c r="H578" s="13">
        <v>0</v>
      </c>
      <c r="I578" s="13">
        <v>0</v>
      </c>
      <c r="J578" s="13">
        <v>0</v>
      </c>
      <c r="K578" s="13">
        <v>0.43365740740740738</v>
      </c>
      <c r="L578" s="14">
        <v>0</v>
      </c>
      <c r="M578" s="12" t="s">
        <v>334</v>
      </c>
      <c r="N578" s="13"/>
      <c r="O578" s="13"/>
      <c r="P578" s="13"/>
      <c r="Q578" s="13"/>
      <c r="R578" s="13"/>
      <c r="S578" s="13"/>
      <c r="T578" s="13">
        <v>6.9444444444444444E-5</v>
      </c>
      <c r="U578" s="13">
        <v>0.43357638888888889</v>
      </c>
      <c r="V578" s="13"/>
      <c r="W578" s="13"/>
    </row>
    <row r="579" spans="1:23" ht="15" customHeight="1" x14ac:dyDescent="0.25">
      <c r="A579" s="19">
        <v>46241</v>
      </c>
      <c r="B579" s="11" t="s">
        <v>128</v>
      </c>
      <c r="C579" s="12" t="s">
        <v>555</v>
      </c>
      <c r="D579" s="11" t="s">
        <v>233</v>
      </c>
      <c r="E579" s="12" t="s">
        <v>32</v>
      </c>
      <c r="F579" s="12" t="s">
        <v>106</v>
      </c>
      <c r="G579" s="12">
        <v>29</v>
      </c>
      <c r="H579" s="13">
        <v>0.24497685185185186</v>
      </c>
      <c r="I579" s="13">
        <v>0.14840277777777777</v>
      </c>
      <c r="J579" s="13">
        <v>5.1173371647509572E-3</v>
      </c>
      <c r="K579" s="13">
        <v>6.582175925925926E-2</v>
      </c>
      <c r="L579" s="14">
        <v>0.26868562789379191</v>
      </c>
      <c r="M579" s="12" t="s">
        <v>334</v>
      </c>
      <c r="N579" s="13">
        <v>1.7627314814814814E-2</v>
      </c>
      <c r="O579" s="13">
        <v>1.712962962962963E-2</v>
      </c>
      <c r="P579" s="13"/>
      <c r="Q579" s="13"/>
      <c r="R579" s="13"/>
      <c r="S579" s="13">
        <v>1.7974537037037035E-2</v>
      </c>
      <c r="T579" s="13">
        <v>1.2476851851851852E-2</v>
      </c>
      <c r="U579" s="13">
        <v>5.9027777777777778E-4</v>
      </c>
      <c r="V579" s="13"/>
      <c r="W579" s="13"/>
    </row>
    <row r="580" spans="1:23" ht="15" customHeight="1" x14ac:dyDescent="0.25">
      <c r="A580" s="19">
        <v>46241</v>
      </c>
      <c r="B580" s="11" t="s">
        <v>178</v>
      </c>
      <c r="C580" s="12" t="s">
        <v>522</v>
      </c>
      <c r="D580" s="11" t="s">
        <v>146</v>
      </c>
      <c r="E580" s="12" t="s">
        <v>147</v>
      </c>
      <c r="F580" s="12" t="s">
        <v>106</v>
      </c>
      <c r="G580" s="12">
        <v>13</v>
      </c>
      <c r="H580" s="13">
        <v>0.26483796296296297</v>
      </c>
      <c r="I580" s="13">
        <v>7.6689814814814808E-2</v>
      </c>
      <c r="J580" s="13">
        <v>5.899216524216524E-3</v>
      </c>
      <c r="K580" s="13">
        <v>4.0937500000000002E-2</v>
      </c>
      <c r="L580" s="14">
        <v>0.15457564898173237</v>
      </c>
      <c r="M580" s="12" t="s">
        <v>334</v>
      </c>
      <c r="N580" s="13">
        <v>3.0439814814814813E-3</v>
      </c>
      <c r="O580" s="13">
        <v>1.5393518518518518E-2</v>
      </c>
      <c r="P580" s="13">
        <v>6.8171296296296296E-3</v>
      </c>
      <c r="Q580" s="13"/>
      <c r="R580" s="13"/>
      <c r="S580" s="13">
        <v>1.5266203703703704E-2</v>
      </c>
      <c r="T580" s="13">
        <v>1.1574074074074075E-4</v>
      </c>
      <c r="U580" s="13">
        <v>2.8935185185185184E-4</v>
      </c>
      <c r="V580" s="13"/>
      <c r="W580" s="13"/>
    </row>
    <row r="581" spans="1:23" ht="15" customHeight="1" x14ac:dyDescent="0.25">
      <c r="A581" s="19">
        <v>46241</v>
      </c>
      <c r="B581" s="11" t="s">
        <v>266</v>
      </c>
      <c r="C581" s="12" t="s">
        <v>531</v>
      </c>
      <c r="D581" s="11" t="s">
        <v>233</v>
      </c>
      <c r="E581" s="12" t="s">
        <v>32</v>
      </c>
      <c r="F581" s="12" t="s">
        <v>106</v>
      </c>
      <c r="G581" s="12">
        <v>3</v>
      </c>
      <c r="H581" s="13">
        <v>0.2479976851851852</v>
      </c>
      <c r="I581" s="13">
        <v>3.9398148148148147E-2</v>
      </c>
      <c r="J581" s="13">
        <v>1.3132716049382716E-2</v>
      </c>
      <c r="K581" s="13">
        <v>0.22172453703703704</v>
      </c>
      <c r="L581" s="14">
        <v>0.89405889765249447</v>
      </c>
      <c r="M581" s="12" t="s">
        <v>334</v>
      </c>
      <c r="N581" s="13"/>
      <c r="O581" s="13">
        <v>1.2638888888888889E-2</v>
      </c>
      <c r="P581" s="13"/>
      <c r="Q581" s="13"/>
      <c r="R581" s="13"/>
      <c r="S581" s="13">
        <v>1.3541666666666667E-2</v>
      </c>
      <c r="T581" s="13">
        <v>4.0509259259259258E-4</v>
      </c>
      <c r="U581" s="13">
        <v>8.1018518518518516E-5</v>
      </c>
      <c r="V581" s="13"/>
      <c r="W581" s="13">
        <v>0.19505787037037037</v>
      </c>
    </row>
    <row r="582" spans="1:23" ht="15" customHeight="1" x14ac:dyDescent="0.25">
      <c r="A582" s="19">
        <v>46241</v>
      </c>
      <c r="B582" s="11" t="s">
        <v>297</v>
      </c>
      <c r="C582" s="12" t="s">
        <v>667</v>
      </c>
      <c r="D582" s="11" t="s">
        <v>104</v>
      </c>
      <c r="E582" s="12" t="s">
        <v>105</v>
      </c>
      <c r="F582" s="12" t="s">
        <v>106</v>
      </c>
      <c r="G582" s="12">
        <v>15</v>
      </c>
      <c r="H582" s="13">
        <v>0.23950231481481482</v>
      </c>
      <c r="I582" s="13">
        <v>0.18747685185185184</v>
      </c>
      <c r="J582" s="13">
        <v>1.2498456790123456E-2</v>
      </c>
      <c r="K582" s="13">
        <v>0.10223379629629629</v>
      </c>
      <c r="L582" s="14">
        <v>0.42685932440922048</v>
      </c>
      <c r="M582" s="12" t="s">
        <v>334</v>
      </c>
      <c r="N582" s="13">
        <v>2.8055555555555556E-2</v>
      </c>
      <c r="O582" s="13">
        <v>1.7997685185185186E-2</v>
      </c>
      <c r="P582" s="13"/>
      <c r="Q582" s="13"/>
      <c r="R582" s="13"/>
      <c r="S582" s="13">
        <v>1.3298611111111112E-2</v>
      </c>
      <c r="T582" s="13">
        <v>7.1759259259259259E-4</v>
      </c>
      <c r="U582" s="13">
        <v>5.3240740740740744E-4</v>
      </c>
      <c r="V582" s="13"/>
      <c r="W582" s="13">
        <v>4.1631944444444444E-2</v>
      </c>
    </row>
    <row r="583" spans="1:23" ht="15" customHeight="1" x14ac:dyDescent="0.25">
      <c r="A583" s="19">
        <v>46241</v>
      </c>
      <c r="B583" s="11" t="s">
        <v>207</v>
      </c>
      <c r="C583" s="12" t="s">
        <v>566</v>
      </c>
      <c r="D583" s="11" t="s">
        <v>274</v>
      </c>
      <c r="E583" s="12" t="s">
        <v>147</v>
      </c>
      <c r="F583" s="12" t="s">
        <v>33</v>
      </c>
      <c r="G583" s="12">
        <v>17</v>
      </c>
      <c r="H583" s="13">
        <v>0.25888888888888889</v>
      </c>
      <c r="I583" s="13">
        <v>7.2442129629629634E-2</v>
      </c>
      <c r="J583" s="13">
        <v>4.2613017429193904E-3</v>
      </c>
      <c r="K583" s="13">
        <v>3.6828703703703704E-2</v>
      </c>
      <c r="L583" s="14">
        <v>0.14225679542203148</v>
      </c>
      <c r="M583" s="12" t="s">
        <v>334</v>
      </c>
      <c r="N583" s="13">
        <v>6.0416666666666665E-3</v>
      </c>
      <c r="O583" s="13">
        <v>1.5358796296296296E-2</v>
      </c>
      <c r="P583" s="13"/>
      <c r="Q583" s="13"/>
      <c r="R583" s="13"/>
      <c r="S583" s="13">
        <v>1.3368055555555555E-2</v>
      </c>
      <c r="T583" s="13">
        <v>1.273148148148148E-4</v>
      </c>
      <c r="U583" s="13">
        <v>1.8865740740740742E-3</v>
      </c>
      <c r="V583" s="13"/>
      <c r="W583" s="13"/>
    </row>
    <row r="584" spans="1:23" ht="15" customHeight="1" x14ac:dyDescent="0.25">
      <c r="A584" s="19">
        <v>46241</v>
      </c>
      <c r="B584" s="11" t="s">
        <v>614</v>
      </c>
      <c r="C584" s="12" t="s">
        <v>635</v>
      </c>
      <c r="D584" s="11" t="s">
        <v>601</v>
      </c>
      <c r="E584" s="12" t="s">
        <v>105</v>
      </c>
      <c r="F584" s="12" t="s">
        <v>33</v>
      </c>
      <c r="G584" s="12">
        <v>4</v>
      </c>
      <c r="H584" s="13">
        <v>0.21476851851851853</v>
      </c>
      <c r="I584" s="13">
        <v>9.6516203703703701E-2</v>
      </c>
      <c r="J584" s="13">
        <v>2.4129050925925925E-2</v>
      </c>
      <c r="K584" s="13">
        <v>0.16800925925925925</v>
      </c>
      <c r="L584" s="14">
        <v>0.78228066393619311</v>
      </c>
      <c r="M584" s="12" t="s">
        <v>334</v>
      </c>
      <c r="N584" s="13">
        <v>3.3032407407407406E-2</v>
      </c>
      <c r="O584" s="13">
        <v>1.4409722222222223E-2</v>
      </c>
      <c r="P584" s="13"/>
      <c r="Q584" s="13"/>
      <c r="R584" s="13"/>
      <c r="S584" s="13">
        <v>1.6111111111111111E-2</v>
      </c>
      <c r="T584" s="13">
        <v>1.4479166666666666E-2</v>
      </c>
      <c r="U584" s="13">
        <v>5.3182870370370373E-2</v>
      </c>
      <c r="V584" s="13"/>
      <c r="W584" s="13">
        <v>3.6793981481481483E-2</v>
      </c>
    </row>
    <row r="585" spans="1:23" ht="15" customHeight="1" x14ac:dyDescent="0.25">
      <c r="A585" s="19">
        <v>46241</v>
      </c>
      <c r="B585" s="11" t="s">
        <v>96</v>
      </c>
      <c r="C585" s="12" t="s">
        <v>97</v>
      </c>
      <c r="D585" s="11" t="s">
        <v>78</v>
      </c>
      <c r="E585" s="12" t="s">
        <v>80</v>
      </c>
      <c r="F585" s="12" t="s">
        <v>81</v>
      </c>
      <c r="G585" s="12">
        <v>0</v>
      </c>
      <c r="H585" s="13">
        <v>0.35491898148148149</v>
      </c>
      <c r="I585" s="13">
        <v>0</v>
      </c>
      <c r="J585" s="13">
        <v>0</v>
      </c>
      <c r="K585" s="13">
        <v>6.9814814814814816E-2</v>
      </c>
      <c r="L585" s="14">
        <v>0.19670634273601825</v>
      </c>
      <c r="M585" s="12" t="s">
        <v>334</v>
      </c>
      <c r="N585" s="13">
        <v>1.5543981481481482E-2</v>
      </c>
      <c r="O585" s="13">
        <v>4.2245370370370371E-2</v>
      </c>
      <c r="P585" s="13"/>
      <c r="Q585" s="13"/>
      <c r="R585" s="13"/>
      <c r="S585" s="13">
        <v>1.1226851851851852E-2</v>
      </c>
      <c r="T585" s="13">
        <v>5.7870370370370373E-5</v>
      </c>
      <c r="U585" s="13">
        <v>7.1759259259259259E-4</v>
      </c>
      <c r="V585" s="13"/>
      <c r="W585" s="13"/>
    </row>
    <row r="586" spans="1:23" ht="15" customHeight="1" x14ac:dyDescent="0.25">
      <c r="A586" s="19">
        <v>46241</v>
      </c>
      <c r="B586" s="11" t="s">
        <v>180</v>
      </c>
      <c r="C586" s="12" t="s">
        <v>523</v>
      </c>
      <c r="D586" s="11" t="s">
        <v>146</v>
      </c>
      <c r="E586" s="12" t="s">
        <v>147</v>
      </c>
      <c r="F586" s="12" t="s">
        <v>106</v>
      </c>
      <c r="G586" s="12">
        <v>16</v>
      </c>
      <c r="H586" s="13">
        <v>0.26980324074074075</v>
      </c>
      <c r="I586" s="13">
        <v>6.6284722222222217E-2</v>
      </c>
      <c r="J586" s="13">
        <v>4.1427951388888886E-3</v>
      </c>
      <c r="K586" s="13">
        <v>2.8402777777777777E-2</v>
      </c>
      <c r="L586" s="14">
        <v>0.1052721890952769</v>
      </c>
      <c r="M586" s="12" t="s">
        <v>334</v>
      </c>
      <c r="N586" s="13">
        <v>4.3750000000000004E-3</v>
      </c>
      <c r="O586" s="13">
        <v>7.3726851851851852E-3</v>
      </c>
      <c r="P586" s="13"/>
      <c r="Q586" s="13"/>
      <c r="R586" s="13"/>
      <c r="S586" s="13">
        <v>1.457175925925926E-2</v>
      </c>
      <c r="T586" s="13">
        <v>6.9444444444444444E-5</v>
      </c>
      <c r="U586" s="13">
        <v>1.9328703703703704E-3</v>
      </c>
      <c r="V586" s="13"/>
      <c r="W586" s="13"/>
    </row>
    <row r="587" spans="1:23" ht="15" customHeight="1" x14ac:dyDescent="0.25">
      <c r="A587" s="19">
        <v>46241</v>
      </c>
      <c r="B587" s="11" t="s">
        <v>615</v>
      </c>
      <c r="C587" s="12" t="s">
        <v>636</v>
      </c>
      <c r="D587" s="11" t="s">
        <v>601</v>
      </c>
      <c r="E587" s="12" t="s">
        <v>105</v>
      </c>
      <c r="F587" s="12" t="s">
        <v>33</v>
      </c>
      <c r="G587" s="12">
        <v>1</v>
      </c>
      <c r="H587" s="13">
        <v>0.21311342592592591</v>
      </c>
      <c r="I587" s="13">
        <v>2.7291666666666665E-2</v>
      </c>
      <c r="J587" s="13">
        <v>2.7291666666666665E-2</v>
      </c>
      <c r="K587" s="13">
        <v>0.2053587962962963</v>
      </c>
      <c r="L587" s="14">
        <v>0.96361266496497044</v>
      </c>
      <c r="M587" s="12" t="s">
        <v>334</v>
      </c>
      <c r="N587" s="13">
        <v>4.386574074074074E-3</v>
      </c>
      <c r="O587" s="13">
        <v>6.5046296296296293E-3</v>
      </c>
      <c r="P587" s="13"/>
      <c r="Q587" s="13"/>
      <c r="R587" s="13"/>
      <c r="S587" s="13">
        <v>9.3518518518518525E-3</v>
      </c>
      <c r="T587" s="13">
        <v>1.1111111111111111E-3</v>
      </c>
      <c r="U587" s="13">
        <v>0.1786574074074074</v>
      </c>
      <c r="V587" s="13"/>
      <c r="W587" s="13">
        <v>5.347222222222222E-3</v>
      </c>
    </row>
    <row r="588" spans="1:23" ht="15" customHeight="1" x14ac:dyDescent="0.25">
      <c r="A588" s="19">
        <v>46241</v>
      </c>
      <c r="B588" s="11" t="s">
        <v>616</v>
      </c>
      <c r="C588" s="12" t="s">
        <v>637</v>
      </c>
      <c r="D588" s="11" t="s">
        <v>601</v>
      </c>
      <c r="E588" s="12" t="s">
        <v>105</v>
      </c>
      <c r="F588" s="12" t="s">
        <v>33</v>
      </c>
      <c r="G588" s="12">
        <v>4</v>
      </c>
      <c r="H588" s="13">
        <v>0.20515046296296297</v>
      </c>
      <c r="I588" s="13">
        <v>9.0300925925925923E-2</v>
      </c>
      <c r="J588" s="13">
        <v>2.2575231481481481E-2</v>
      </c>
      <c r="K588" s="13">
        <v>0.16760416666666667</v>
      </c>
      <c r="L588" s="14">
        <v>0.81698166431593788</v>
      </c>
      <c r="M588" s="12" t="s">
        <v>334</v>
      </c>
      <c r="N588" s="13">
        <v>2.8703703703703703E-3</v>
      </c>
      <c r="O588" s="13">
        <v>1.3518518518518518E-2</v>
      </c>
      <c r="P588" s="13"/>
      <c r="Q588" s="13"/>
      <c r="R588" s="13"/>
      <c r="S588" s="13">
        <v>1.4155092592592592E-2</v>
      </c>
      <c r="T588" s="13">
        <v>7.6388888888888893E-4</v>
      </c>
      <c r="U588" s="13">
        <v>0.1362962962962963</v>
      </c>
      <c r="V588" s="13"/>
      <c r="W588" s="13"/>
    </row>
    <row r="589" spans="1:23" ht="15" customHeight="1" x14ac:dyDescent="0.25">
      <c r="A589" s="19">
        <v>46241</v>
      </c>
      <c r="B589" s="11" t="s">
        <v>209</v>
      </c>
      <c r="C589" s="12" t="s">
        <v>567</v>
      </c>
      <c r="D589" s="11" t="s">
        <v>601</v>
      </c>
      <c r="E589" s="12" t="s">
        <v>105</v>
      </c>
      <c r="F589" s="12" t="s">
        <v>33</v>
      </c>
      <c r="G589" s="12">
        <v>3</v>
      </c>
      <c r="H589" s="13">
        <v>0.16893518518518519</v>
      </c>
      <c r="I589" s="13">
        <v>3.2962962962962965E-2</v>
      </c>
      <c r="J589" s="13">
        <v>1.0987654320987654E-2</v>
      </c>
      <c r="K589" s="13">
        <v>0.15989583333333332</v>
      </c>
      <c r="L589" s="14">
        <v>0.94649218964099746</v>
      </c>
      <c r="M589" s="12" t="s">
        <v>334</v>
      </c>
      <c r="N589" s="13">
        <v>2.7777777777777779E-3</v>
      </c>
      <c r="O589" s="13">
        <v>7.1875000000000003E-3</v>
      </c>
      <c r="P589" s="13"/>
      <c r="Q589" s="13"/>
      <c r="R589" s="13"/>
      <c r="S589" s="13">
        <v>1.4143518518518519E-2</v>
      </c>
      <c r="T589" s="13">
        <v>4.3981481481481484E-3</v>
      </c>
      <c r="U589" s="13">
        <v>0.10766203703703704</v>
      </c>
      <c r="V589" s="13"/>
      <c r="W589" s="13">
        <v>2.3726851851851853E-2</v>
      </c>
    </row>
    <row r="590" spans="1:23" ht="15" customHeight="1" x14ac:dyDescent="0.25">
      <c r="A590" s="19">
        <v>46241</v>
      </c>
      <c r="B590" s="11" t="s">
        <v>60</v>
      </c>
      <c r="C590" s="12" t="s">
        <v>510</v>
      </c>
      <c r="D590" s="11" t="s">
        <v>100</v>
      </c>
      <c r="E590" s="12" t="s">
        <v>32</v>
      </c>
      <c r="F590" s="12" t="s">
        <v>33</v>
      </c>
      <c r="G590" s="12">
        <v>32</v>
      </c>
      <c r="H590" s="13">
        <v>0.26280092592592591</v>
      </c>
      <c r="I590" s="13">
        <v>0.17344907407407406</v>
      </c>
      <c r="J590" s="13">
        <v>5.4202835648148144E-3</v>
      </c>
      <c r="K590" s="13">
        <v>4.0949074074074075E-2</v>
      </c>
      <c r="L590" s="14">
        <v>0.1558178455033912</v>
      </c>
      <c r="M590" s="12" t="s">
        <v>334</v>
      </c>
      <c r="N590" s="13">
        <v>4.6180555555555558E-3</v>
      </c>
      <c r="O590" s="13">
        <v>1.361111111111111E-2</v>
      </c>
      <c r="P590" s="13"/>
      <c r="Q590" s="13"/>
      <c r="R590" s="13"/>
      <c r="S590" s="13">
        <v>1.4317129629629629E-2</v>
      </c>
      <c r="T590" s="13">
        <v>8.2175925925925927E-4</v>
      </c>
      <c r="U590" s="13">
        <v>1.736111111111111E-3</v>
      </c>
      <c r="V590" s="13"/>
      <c r="W590" s="13">
        <v>5.7638888888888887E-3</v>
      </c>
    </row>
    <row r="591" spans="1:23" ht="15" customHeight="1" x14ac:dyDescent="0.25">
      <c r="A591" s="19">
        <v>46241</v>
      </c>
      <c r="B591" s="11" t="s">
        <v>132</v>
      </c>
      <c r="C591" s="12" t="s">
        <v>512</v>
      </c>
      <c r="D591" s="11" t="s">
        <v>104</v>
      </c>
      <c r="E591" s="12" t="s">
        <v>105</v>
      </c>
      <c r="F591" s="12" t="s">
        <v>106</v>
      </c>
      <c r="G591" s="12">
        <v>10</v>
      </c>
      <c r="H591" s="13">
        <v>0.24783564814814815</v>
      </c>
      <c r="I591" s="13">
        <v>0.16641203703703702</v>
      </c>
      <c r="J591" s="13">
        <v>1.6641203703703703E-2</v>
      </c>
      <c r="K591" s="13">
        <v>9.6944444444444444E-2</v>
      </c>
      <c r="L591" s="14">
        <v>0.39116424601877364</v>
      </c>
      <c r="M591" s="12" t="s">
        <v>334</v>
      </c>
      <c r="N591" s="13">
        <v>1.5509259259259259E-3</v>
      </c>
      <c r="O591" s="13">
        <v>1.8090277777777778E-2</v>
      </c>
      <c r="P591" s="13"/>
      <c r="Q591" s="13"/>
      <c r="R591" s="13"/>
      <c r="S591" s="13">
        <v>1.3923611111111111E-2</v>
      </c>
      <c r="T591" s="13">
        <v>6.9444444444444444E-5</v>
      </c>
      <c r="U591" s="13">
        <v>1.525462962962963E-2</v>
      </c>
      <c r="V591" s="13"/>
      <c r="W591" s="13">
        <v>4.8055555555555553E-2</v>
      </c>
    </row>
    <row r="592" spans="1:23" ht="15" customHeight="1" x14ac:dyDescent="0.25">
      <c r="A592" s="19">
        <v>46241</v>
      </c>
      <c r="B592" s="11" t="s">
        <v>134</v>
      </c>
      <c r="C592" s="12" t="s">
        <v>560</v>
      </c>
      <c r="D592" s="11" t="s">
        <v>104</v>
      </c>
      <c r="E592" s="12" t="s">
        <v>105</v>
      </c>
      <c r="F592" s="12" t="s">
        <v>106</v>
      </c>
      <c r="G592" s="12">
        <v>15</v>
      </c>
      <c r="H592" s="13">
        <v>0.26369212962962962</v>
      </c>
      <c r="I592" s="13">
        <v>0.23128472222222221</v>
      </c>
      <c r="J592" s="13">
        <v>1.5418981481481481E-2</v>
      </c>
      <c r="K592" s="13">
        <v>7.3032407407407407E-2</v>
      </c>
      <c r="L592" s="14">
        <v>0.27696089189307815</v>
      </c>
      <c r="M592" s="12" t="s">
        <v>334</v>
      </c>
      <c r="N592" s="13">
        <v>2.8472222222222223E-3</v>
      </c>
      <c r="O592" s="13">
        <v>5.9490740740740745E-3</v>
      </c>
      <c r="P592" s="13">
        <v>4.6296296296296294E-5</v>
      </c>
      <c r="Q592" s="13"/>
      <c r="R592" s="13"/>
      <c r="S592" s="13">
        <v>1.667824074074074E-2</v>
      </c>
      <c r="T592" s="13">
        <v>9.780092592592592E-3</v>
      </c>
      <c r="U592" s="13">
        <v>9.479166666666667E-3</v>
      </c>
      <c r="V592" s="13"/>
      <c r="W592" s="13">
        <v>2.824074074074074E-2</v>
      </c>
    </row>
    <row r="593" spans="1:23" ht="15" customHeight="1" x14ac:dyDescent="0.25">
      <c r="A593" s="19">
        <v>46241</v>
      </c>
      <c r="B593" s="11" t="s">
        <v>211</v>
      </c>
      <c r="C593" s="12" t="s">
        <v>546</v>
      </c>
      <c r="D593" s="11" t="s">
        <v>104</v>
      </c>
      <c r="E593" s="12" t="s">
        <v>105</v>
      </c>
      <c r="F593" s="12" t="s">
        <v>106</v>
      </c>
      <c r="G593" s="12">
        <v>11</v>
      </c>
      <c r="H593" s="13">
        <v>0.23671296296296296</v>
      </c>
      <c r="I593" s="13">
        <v>0.21090277777777777</v>
      </c>
      <c r="J593" s="13">
        <v>1.9172979797979797E-2</v>
      </c>
      <c r="K593" s="13">
        <v>5.4872685185185184E-2</v>
      </c>
      <c r="L593" s="14">
        <v>0.23181106982202229</v>
      </c>
      <c r="M593" s="12" t="s">
        <v>334</v>
      </c>
      <c r="N593" s="13"/>
      <c r="O593" s="13">
        <v>8.7847222222222215E-3</v>
      </c>
      <c r="P593" s="13">
        <v>9.3055555555555548E-3</v>
      </c>
      <c r="Q593" s="13"/>
      <c r="R593" s="13"/>
      <c r="S593" s="13">
        <v>1.4999999999999999E-2</v>
      </c>
      <c r="T593" s="13">
        <v>1.1574074074074075E-4</v>
      </c>
      <c r="U593" s="13">
        <v>8.5300925925925926E-3</v>
      </c>
      <c r="V593" s="13"/>
      <c r="W593" s="13">
        <v>1.3136574074074075E-2</v>
      </c>
    </row>
    <row r="594" spans="1:23" ht="15" customHeight="1" x14ac:dyDescent="0.25">
      <c r="A594" s="19">
        <v>46241</v>
      </c>
      <c r="B594" s="11" t="s">
        <v>617</v>
      </c>
      <c r="C594" s="12" t="s">
        <v>638</v>
      </c>
      <c r="D594" s="11" t="s">
        <v>601</v>
      </c>
      <c r="E594" s="12" t="s">
        <v>105</v>
      </c>
      <c r="F594" s="12" t="s">
        <v>33</v>
      </c>
      <c r="G594" s="12">
        <v>2</v>
      </c>
      <c r="H594" s="13">
        <v>0.18886574074074075</v>
      </c>
      <c r="I594" s="13">
        <v>5.3483796296296293E-2</v>
      </c>
      <c r="J594" s="13">
        <v>2.6741898148148147E-2</v>
      </c>
      <c r="K594" s="13">
        <v>0.15534722222222222</v>
      </c>
      <c r="L594" s="14">
        <v>0.82252727049883556</v>
      </c>
      <c r="M594" s="12" t="s">
        <v>334</v>
      </c>
      <c r="N594" s="13">
        <v>5.1273148148148146E-3</v>
      </c>
      <c r="O594" s="13">
        <v>1.5185185185185185E-2</v>
      </c>
      <c r="P594" s="13"/>
      <c r="Q594" s="13"/>
      <c r="R594" s="13"/>
      <c r="S594" s="13">
        <v>1.5370370370370371E-2</v>
      </c>
      <c r="T594" s="13">
        <v>2.8703703703703703E-3</v>
      </c>
      <c r="U594" s="13">
        <v>6.2731481481481484E-3</v>
      </c>
      <c r="V594" s="13"/>
      <c r="W594" s="13">
        <v>0.11052083333333333</v>
      </c>
    </row>
    <row r="595" spans="1:23" ht="15" customHeight="1" x14ac:dyDescent="0.25">
      <c r="A595" s="19">
        <v>46241</v>
      </c>
      <c r="B595" s="11" t="s">
        <v>618</v>
      </c>
      <c r="C595" s="12" t="s">
        <v>639</v>
      </c>
      <c r="D595" s="11" t="s">
        <v>601</v>
      </c>
      <c r="E595" s="12" t="s">
        <v>105</v>
      </c>
      <c r="F595" s="12" t="s">
        <v>33</v>
      </c>
      <c r="G595" s="12">
        <v>1</v>
      </c>
      <c r="H595" s="13">
        <v>0.11753472222222222</v>
      </c>
      <c r="I595" s="13">
        <v>1.7719907407407406E-2</v>
      </c>
      <c r="J595" s="13">
        <v>1.7719907407407406E-2</v>
      </c>
      <c r="K595" s="13">
        <v>0.1072337962962963</v>
      </c>
      <c r="L595" s="14">
        <v>0.91235844411619893</v>
      </c>
      <c r="M595" s="12" t="s">
        <v>334</v>
      </c>
      <c r="N595" s="13"/>
      <c r="O595" s="13">
        <v>8.9699074074074073E-3</v>
      </c>
      <c r="P595" s="13"/>
      <c r="Q595" s="13"/>
      <c r="R595" s="13"/>
      <c r="S595" s="13">
        <v>1.5543981481481482E-2</v>
      </c>
      <c r="T595" s="13">
        <v>2.1759259259259258E-3</v>
      </c>
      <c r="U595" s="13">
        <v>4.6354166666666669E-2</v>
      </c>
      <c r="V595" s="13"/>
      <c r="W595" s="13">
        <v>3.4189814814814812E-2</v>
      </c>
    </row>
    <row r="596" spans="1:23" ht="15" customHeight="1" x14ac:dyDescent="0.25">
      <c r="A596" s="19">
        <v>46241</v>
      </c>
      <c r="B596" s="11" t="s">
        <v>501</v>
      </c>
      <c r="C596" s="12" t="s">
        <v>524</v>
      </c>
      <c r="D596" s="11" t="s">
        <v>274</v>
      </c>
      <c r="E596" s="12" t="s">
        <v>147</v>
      </c>
      <c r="F596" s="12" t="s">
        <v>33</v>
      </c>
      <c r="G596" s="12">
        <v>29</v>
      </c>
      <c r="H596" s="13">
        <v>0.32694444444444443</v>
      </c>
      <c r="I596" s="13">
        <v>7.4652777777777776E-2</v>
      </c>
      <c r="J596" s="13">
        <v>2.5742337164750958E-3</v>
      </c>
      <c r="K596" s="13">
        <v>3.1087962962962963E-2</v>
      </c>
      <c r="L596" s="14">
        <v>9.508637779665817E-2</v>
      </c>
      <c r="M596" s="12" t="s">
        <v>334</v>
      </c>
      <c r="N596" s="13">
        <v>1.5393518518518519E-3</v>
      </c>
      <c r="O596" s="13">
        <v>1.3368055555555555E-2</v>
      </c>
      <c r="P596" s="13"/>
      <c r="Q596" s="13"/>
      <c r="R596" s="13"/>
      <c r="S596" s="13">
        <v>1.5787037037037037E-2</v>
      </c>
      <c r="T596" s="13">
        <v>1.273148148148148E-4</v>
      </c>
      <c r="U596" s="13">
        <v>2.5462962962962961E-4</v>
      </c>
      <c r="V596" s="13"/>
      <c r="W596" s="13"/>
    </row>
    <row r="597" spans="1:23" ht="15" customHeight="1" x14ac:dyDescent="0.25">
      <c r="A597" s="19">
        <v>46241</v>
      </c>
      <c r="B597" s="11" t="s">
        <v>213</v>
      </c>
      <c r="C597" s="12" t="s">
        <v>572</v>
      </c>
      <c r="D597" s="11" t="s">
        <v>601</v>
      </c>
      <c r="E597" s="12" t="s">
        <v>105</v>
      </c>
      <c r="F597" s="12" t="s">
        <v>33</v>
      </c>
      <c r="G597" s="12">
        <v>2</v>
      </c>
      <c r="H597" s="13">
        <v>0.23047453703703705</v>
      </c>
      <c r="I597" s="13">
        <v>2.9756944444444444E-2</v>
      </c>
      <c r="J597" s="13">
        <v>1.4878472222222222E-2</v>
      </c>
      <c r="K597" s="13">
        <v>0.21258101851851852</v>
      </c>
      <c r="L597" s="14">
        <v>0.92236227590016562</v>
      </c>
      <c r="M597" s="12" t="s">
        <v>334</v>
      </c>
      <c r="N597" s="13"/>
      <c r="O597" s="13">
        <v>1.6145833333333335E-2</v>
      </c>
      <c r="P597" s="13"/>
      <c r="Q597" s="13"/>
      <c r="R597" s="13"/>
      <c r="S597" s="13">
        <v>1.6157407407407409E-2</v>
      </c>
      <c r="T597" s="13">
        <v>3.2407407407407406E-3</v>
      </c>
      <c r="U597" s="13">
        <v>0.14180555555555555</v>
      </c>
      <c r="V597" s="13"/>
      <c r="W597" s="13">
        <v>3.5231481481481482E-2</v>
      </c>
    </row>
    <row r="598" spans="1:23" ht="15" customHeight="1" x14ac:dyDescent="0.25">
      <c r="A598" s="19">
        <v>46241</v>
      </c>
      <c r="B598" s="11" t="s">
        <v>619</v>
      </c>
      <c r="C598" s="12" t="s">
        <v>640</v>
      </c>
      <c r="D598" s="11" t="s">
        <v>601</v>
      </c>
      <c r="E598" s="12" t="s">
        <v>105</v>
      </c>
      <c r="F598" s="12" t="s">
        <v>33</v>
      </c>
      <c r="G598" s="12">
        <v>2</v>
      </c>
      <c r="H598" s="13">
        <v>0.23297453703703705</v>
      </c>
      <c r="I598" s="13">
        <v>5.4039351851851852E-2</v>
      </c>
      <c r="J598" s="13">
        <v>2.7019675925925926E-2</v>
      </c>
      <c r="K598" s="13">
        <v>0.20447916666666666</v>
      </c>
      <c r="L598" s="14">
        <v>0.87768890655273479</v>
      </c>
      <c r="M598" s="12" t="s">
        <v>334</v>
      </c>
      <c r="N598" s="13">
        <v>1.2314814814814815E-2</v>
      </c>
      <c r="O598" s="13">
        <v>6.2731481481481484E-3</v>
      </c>
      <c r="P598" s="13"/>
      <c r="Q598" s="13"/>
      <c r="R598" s="13"/>
      <c r="S598" s="13">
        <v>9.0856481481481483E-3</v>
      </c>
      <c r="T598" s="13">
        <v>1.8865740740740742E-3</v>
      </c>
      <c r="U598" s="13">
        <v>0.16346064814814815</v>
      </c>
      <c r="V598" s="13"/>
      <c r="W598" s="13">
        <v>1.1458333333333333E-2</v>
      </c>
    </row>
    <row r="599" spans="1:23" ht="15" customHeight="1" x14ac:dyDescent="0.25">
      <c r="A599" s="19">
        <v>46241</v>
      </c>
      <c r="B599" s="11" t="s">
        <v>668</v>
      </c>
      <c r="C599" s="12" t="s">
        <v>669</v>
      </c>
      <c r="D599" s="11" t="s">
        <v>233</v>
      </c>
      <c r="E599" s="12" t="s">
        <v>32</v>
      </c>
      <c r="F599" s="12" t="s">
        <v>106</v>
      </c>
      <c r="G599" s="12">
        <v>18</v>
      </c>
      <c r="H599" s="13">
        <v>0.21390046296296297</v>
      </c>
      <c r="I599" s="13">
        <v>7.8229166666666669E-2</v>
      </c>
      <c r="J599" s="13">
        <v>4.3460648148148148E-3</v>
      </c>
      <c r="K599" s="13">
        <v>8.729166666666667E-2</v>
      </c>
      <c r="L599" s="14">
        <v>0.40809480006493154</v>
      </c>
      <c r="M599" s="12" t="s">
        <v>334</v>
      </c>
      <c r="N599" s="13">
        <v>2.5925925925925925E-3</v>
      </c>
      <c r="O599" s="13">
        <v>1.3402777777777777E-2</v>
      </c>
      <c r="P599" s="13"/>
      <c r="Q599" s="13">
        <v>3.0787037037037037E-3</v>
      </c>
      <c r="R599" s="13"/>
      <c r="S599" s="13">
        <v>1.3645833333333333E-2</v>
      </c>
      <c r="T599" s="13">
        <v>2.3726851851851851E-3</v>
      </c>
      <c r="U599" s="13">
        <v>7.6273148148148151E-3</v>
      </c>
      <c r="V599" s="13"/>
      <c r="W599" s="13">
        <v>4.4560185185185182E-2</v>
      </c>
    </row>
    <row r="600" spans="1:23" ht="15" customHeight="1" x14ac:dyDescent="0.25">
      <c r="A600" s="19">
        <v>46241</v>
      </c>
      <c r="B600" s="11" t="s">
        <v>744</v>
      </c>
      <c r="C600" s="12" t="s">
        <v>670</v>
      </c>
      <c r="D600" s="11" t="s">
        <v>100</v>
      </c>
      <c r="E600" s="12" t="s">
        <v>32</v>
      </c>
      <c r="F600" s="12" t="s">
        <v>33</v>
      </c>
      <c r="G600" s="12">
        <v>35</v>
      </c>
      <c r="H600" s="13">
        <v>0.26047453703703705</v>
      </c>
      <c r="I600" s="13">
        <v>0.16211805555555556</v>
      </c>
      <c r="J600" s="13">
        <v>4.6319444444444446E-3</v>
      </c>
      <c r="K600" s="13">
        <v>6.3032407407407412E-2</v>
      </c>
      <c r="L600" s="14">
        <v>0.24199066874027994</v>
      </c>
      <c r="M600" s="12" t="s">
        <v>334</v>
      </c>
      <c r="N600" s="13">
        <v>2.4618055555555556E-2</v>
      </c>
      <c r="O600" s="13">
        <v>1.3773148148148149E-2</v>
      </c>
      <c r="P600" s="13"/>
      <c r="Q600" s="13"/>
      <c r="R600" s="13"/>
      <c r="S600" s="13">
        <v>1.255787037037037E-2</v>
      </c>
      <c r="T600" s="13">
        <v>7.7546296296296293E-4</v>
      </c>
      <c r="U600" s="13">
        <v>2.0370370370370369E-3</v>
      </c>
      <c r="V600" s="13"/>
      <c r="W600" s="13">
        <v>9.2592592592592587E-3</v>
      </c>
    </row>
    <row r="601" spans="1:23" ht="15" customHeight="1" x14ac:dyDescent="0.25">
      <c r="A601" s="19">
        <v>46241</v>
      </c>
      <c r="B601" s="11" t="s">
        <v>219</v>
      </c>
      <c r="C601" s="12" t="s">
        <v>548</v>
      </c>
      <c r="D601" s="11" t="s">
        <v>104</v>
      </c>
      <c r="E601" s="12" t="s">
        <v>105</v>
      </c>
      <c r="F601" s="12" t="s">
        <v>106</v>
      </c>
      <c r="G601" s="12">
        <v>12</v>
      </c>
      <c r="H601" s="13">
        <v>0.21935185185185185</v>
      </c>
      <c r="I601" s="13">
        <v>0.1373611111111111</v>
      </c>
      <c r="J601" s="13">
        <v>1.1446759259259259E-2</v>
      </c>
      <c r="K601" s="13">
        <v>7.8935185185185192E-2</v>
      </c>
      <c r="L601" s="14">
        <v>0.35985647952722671</v>
      </c>
      <c r="M601" s="12" t="s">
        <v>334</v>
      </c>
      <c r="N601" s="13">
        <v>1.1122685185185185E-2</v>
      </c>
      <c r="O601" s="13">
        <v>2.4895833333333332E-2</v>
      </c>
      <c r="P601" s="13">
        <v>6.6319444444444446E-3</v>
      </c>
      <c r="Q601" s="13"/>
      <c r="R601" s="13"/>
      <c r="S601" s="13">
        <v>1.7418981481481483E-2</v>
      </c>
      <c r="T601" s="13">
        <v>1.2858796296296297E-2</v>
      </c>
      <c r="U601" s="13">
        <v>4.1666666666666669E-4</v>
      </c>
      <c r="V601" s="13"/>
      <c r="W601" s="13">
        <v>1.4467592592592592E-3</v>
      </c>
    </row>
    <row r="602" spans="1:23" ht="15" customHeight="1" x14ac:dyDescent="0.25">
      <c r="A602" s="19">
        <v>46241</v>
      </c>
      <c r="B602" s="11" t="s">
        <v>305</v>
      </c>
      <c r="C602" s="12" t="s">
        <v>306</v>
      </c>
      <c r="D602" s="11" t="s">
        <v>100</v>
      </c>
      <c r="E602" s="12" t="s">
        <v>32</v>
      </c>
      <c r="F602" s="12" t="s">
        <v>33</v>
      </c>
      <c r="G602" s="12">
        <v>41</v>
      </c>
      <c r="H602" s="13">
        <v>0.2608449074074074</v>
      </c>
      <c r="I602" s="13">
        <v>0.14974537037037036</v>
      </c>
      <c r="J602" s="13">
        <v>3.6523261065943991E-3</v>
      </c>
      <c r="K602" s="13">
        <v>5.3333333333333337E-2</v>
      </c>
      <c r="L602" s="14">
        <v>0.20446377068820165</v>
      </c>
      <c r="M602" s="12" t="s">
        <v>334</v>
      </c>
      <c r="N602" s="13">
        <v>1.6006944444444445E-2</v>
      </c>
      <c r="O602" s="13">
        <v>1.4861111111111111E-2</v>
      </c>
      <c r="P602" s="13"/>
      <c r="Q602" s="13">
        <v>1.9907407407407408E-3</v>
      </c>
      <c r="R602" s="13"/>
      <c r="S602" s="13">
        <v>1.5914351851851853E-2</v>
      </c>
      <c r="T602" s="13">
        <v>1.273148148148148E-4</v>
      </c>
      <c r="U602" s="13"/>
      <c r="V602" s="13"/>
      <c r="W602" s="13">
        <v>4.43287037037037E-3</v>
      </c>
    </row>
    <row r="603" spans="1:23" ht="15" customHeight="1" x14ac:dyDescent="0.25">
      <c r="A603" s="19">
        <v>46241</v>
      </c>
      <c r="B603" s="11" t="s">
        <v>620</v>
      </c>
      <c r="C603" s="12" t="s">
        <v>641</v>
      </c>
      <c r="D603" s="11" t="s">
        <v>601</v>
      </c>
      <c r="E603" s="12" t="s">
        <v>105</v>
      </c>
      <c r="F603" s="12" t="s">
        <v>33</v>
      </c>
      <c r="G603" s="12">
        <v>2</v>
      </c>
      <c r="H603" s="13">
        <v>0.18497685185185186</v>
      </c>
      <c r="I603" s="13">
        <v>3.8043981481481484E-2</v>
      </c>
      <c r="J603" s="13">
        <v>1.9021990740740742E-2</v>
      </c>
      <c r="K603" s="13">
        <v>0.16591435185185185</v>
      </c>
      <c r="L603" s="14">
        <v>0.89694656488549618</v>
      </c>
      <c r="M603" s="12" t="s">
        <v>334</v>
      </c>
      <c r="N603" s="13">
        <v>7.7546296296296295E-3</v>
      </c>
      <c r="O603" s="13">
        <v>9.5486111111111119E-3</v>
      </c>
      <c r="P603" s="13"/>
      <c r="Q603" s="13"/>
      <c r="R603" s="13"/>
      <c r="S603" s="13">
        <v>9.4097222222222221E-3</v>
      </c>
      <c r="T603" s="13">
        <v>2.0717592592592593E-3</v>
      </c>
      <c r="U603" s="13">
        <v>0.13712962962962963</v>
      </c>
      <c r="V603" s="13"/>
      <c r="W603" s="13"/>
    </row>
    <row r="604" spans="1:23" ht="15" customHeight="1" x14ac:dyDescent="0.25">
      <c r="A604" s="19">
        <v>46241</v>
      </c>
      <c r="B604" s="11" t="s">
        <v>138</v>
      </c>
      <c r="C604" s="12" t="s">
        <v>556</v>
      </c>
      <c r="D604" s="11" t="s">
        <v>104</v>
      </c>
      <c r="E604" s="12" t="s">
        <v>105</v>
      </c>
      <c r="F604" s="12" t="s">
        <v>106</v>
      </c>
      <c r="G604" s="12">
        <v>8</v>
      </c>
      <c r="H604" s="13">
        <v>0.20611111111111111</v>
      </c>
      <c r="I604" s="13">
        <v>9.2557870370370374E-2</v>
      </c>
      <c r="J604" s="13">
        <v>1.1569733796296297E-2</v>
      </c>
      <c r="K604" s="13">
        <v>0.12923611111111111</v>
      </c>
      <c r="L604" s="14">
        <v>0.62702156334231807</v>
      </c>
      <c r="M604" s="12" t="s">
        <v>334</v>
      </c>
      <c r="N604" s="13">
        <v>2.4074074074074074E-2</v>
      </c>
      <c r="O604" s="13">
        <v>1.6643518518518519E-2</v>
      </c>
      <c r="P604" s="13"/>
      <c r="Q604" s="13"/>
      <c r="R604" s="13"/>
      <c r="S604" s="13">
        <v>2.0416666666666666E-2</v>
      </c>
      <c r="T604" s="13">
        <v>5.4166666666666669E-3</v>
      </c>
      <c r="U604" s="13">
        <v>1.4375000000000001E-2</v>
      </c>
      <c r="V604" s="13"/>
      <c r="W604" s="13">
        <v>4.8310185185185185E-2</v>
      </c>
    </row>
    <row r="605" spans="1:23" ht="15" customHeight="1" x14ac:dyDescent="0.25">
      <c r="A605" s="19">
        <v>46241</v>
      </c>
      <c r="B605" s="11" t="s">
        <v>276</v>
      </c>
      <c r="C605" s="12" t="s">
        <v>532</v>
      </c>
      <c r="D605" s="11" t="s">
        <v>233</v>
      </c>
      <c r="E605" s="12" t="s">
        <v>32</v>
      </c>
      <c r="F605" s="12" t="s">
        <v>106</v>
      </c>
      <c r="G605" s="12">
        <v>35</v>
      </c>
      <c r="H605" s="13">
        <v>0.26383101851851853</v>
      </c>
      <c r="I605" s="13">
        <v>0.15186342592592592</v>
      </c>
      <c r="J605" s="13">
        <v>4.3389550264550259E-3</v>
      </c>
      <c r="K605" s="13">
        <v>6.5046296296296297E-2</v>
      </c>
      <c r="L605" s="14">
        <v>0.24654529502083788</v>
      </c>
      <c r="M605" s="12" t="s">
        <v>334</v>
      </c>
      <c r="N605" s="13">
        <v>1.5185185185185185E-2</v>
      </c>
      <c r="O605" s="13">
        <v>1.3194444444444444E-2</v>
      </c>
      <c r="P605" s="13"/>
      <c r="Q605" s="13"/>
      <c r="R605" s="13"/>
      <c r="S605" s="13">
        <v>1.2789351851851852E-2</v>
      </c>
      <c r="T605" s="13">
        <v>2.3796296296296298E-2</v>
      </c>
      <c r="U605" s="13">
        <v>6.9444444444444444E-5</v>
      </c>
      <c r="V605" s="13"/>
      <c r="W605" s="13"/>
    </row>
    <row r="606" spans="1:23" ht="15" customHeight="1" x14ac:dyDescent="0.25">
      <c r="A606" s="19">
        <v>46241</v>
      </c>
      <c r="B606" s="11" t="s">
        <v>278</v>
      </c>
      <c r="C606" s="12" t="s">
        <v>533</v>
      </c>
      <c r="D606" s="11" t="s">
        <v>233</v>
      </c>
      <c r="E606" s="12" t="s">
        <v>32</v>
      </c>
      <c r="F606" s="12" t="s">
        <v>106</v>
      </c>
      <c r="G606" s="12">
        <v>19</v>
      </c>
      <c r="H606" s="13">
        <v>0.26646990740740739</v>
      </c>
      <c r="I606" s="13">
        <v>0.17945601851851853</v>
      </c>
      <c r="J606" s="13">
        <v>9.445053606237817E-3</v>
      </c>
      <c r="K606" s="13">
        <v>3.6967592592592594E-2</v>
      </c>
      <c r="L606" s="14">
        <v>0.13873083438300832</v>
      </c>
      <c r="M606" s="12" t="s">
        <v>334</v>
      </c>
      <c r="N606" s="13">
        <v>3.9814814814814817E-3</v>
      </c>
      <c r="O606" s="13">
        <v>1.5659722222222221E-2</v>
      </c>
      <c r="P606" s="13">
        <v>3.9351851851851852E-4</v>
      </c>
      <c r="Q606" s="13"/>
      <c r="R606" s="13"/>
      <c r="S606" s="13">
        <v>1.4375000000000001E-2</v>
      </c>
      <c r="T606" s="13">
        <v>2.3842592592592591E-3</v>
      </c>
      <c r="U606" s="13">
        <v>1.7361111111111112E-4</v>
      </c>
      <c r="V606" s="13"/>
      <c r="W606" s="13"/>
    </row>
    <row r="607" spans="1:23" ht="15" customHeight="1" x14ac:dyDescent="0.25">
      <c r="A607" s="19">
        <v>46241</v>
      </c>
      <c r="B607" s="11" t="s">
        <v>313</v>
      </c>
      <c r="C607" s="12" t="s">
        <v>511</v>
      </c>
      <c r="D607" s="11" t="s">
        <v>78</v>
      </c>
      <c r="E607" s="12" t="s">
        <v>80</v>
      </c>
      <c r="F607" s="12" t="s">
        <v>81</v>
      </c>
      <c r="G607" s="12">
        <v>0</v>
      </c>
      <c r="H607" s="13">
        <v>0.26271990740740742</v>
      </c>
      <c r="I607" s="13">
        <v>0</v>
      </c>
      <c r="J607" s="13">
        <v>0</v>
      </c>
      <c r="K607" s="13">
        <v>4.4305555555555556E-2</v>
      </c>
      <c r="L607" s="14">
        <v>0.16864179038724172</v>
      </c>
      <c r="M607" s="12" t="s">
        <v>334</v>
      </c>
      <c r="N607" s="13">
        <v>8.2754629629629636E-3</v>
      </c>
      <c r="O607" s="13">
        <v>2.1759259259259259E-2</v>
      </c>
      <c r="P607" s="13"/>
      <c r="Q607" s="13"/>
      <c r="R607" s="13"/>
      <c r="S607" s="13">
        <v>1.3368055555555555E-2</v>
      </c>
      <c r="T607" s="13">
        <v>9.0277777777777774E-4</v>
      </c>
      <c r="U607" s="13"/>
      <c r="V607" s="13"/>
      <c r="W607" s="13"/>
    </row>
    <row r="608" spans="1:23" ht="15" customHeight="1" x14ac:dyDescent="0.25">
      <c r="A608" s="19">
        <v>46241</v>
      </c>
      <c r="B608" s="11" t="s">
        <v>673</v>
      </c>
      <c r="C608" s="12" t="s">
        <v>674</v>
      </c>
      <c r="D608" s="11" t="s">
        <v>104</v>
      </c>
      <c r="E608" s="12" t="s">
        <v>105</v>
      </c>
      <c r="F608" s="12" t="s">
        <v>106</v>
      </c>
      <c r="G608" s="12">
        <v>11</v>
      </c>
      <c r="H608" s="13">
        <v>0.26329861111111114</v>
      </c>
      <c r="I608" s="13">
        <v>0.16883101851851851</v>
      </c>
      <c r="J608" s="13">
        <v>1.534827441077441E-2</v>
      </c>
      <c r="K608" s="13">
        <v>0.14675925925925926</v>
      </c>
      <c r="L608" s="14">
        <v>0.55738713789617123</v>
      </c>
      <c r="M608" s="12" t="s">
        <v>334</v>
      </c>
      <c r="N608" s="13">
        <v>5.3356481481481484E-3</v>
      </c>
      <c r="O608" s="13">
        <v>1.5127314814814816E-2</v>
      </c>
      <c r="P608" s="13"/>
      <c r="Q608" s="13"/>
      <c r="R608" s="13"/>
      <c r="S608" s="13">
        <v>1.4733796296296297E-2</v>
      </c>
      <c r="T608" s="13">
        <v>1.306712962962963E-2</v>
      </c>
      <c r="U608" s="13">
        <v>4.861111111111111E-4</v>
      </c>
      <c r="V608" s="13"/>
      <c r="W608" s="13">
        <v>9.8009259259259254E-2</v>
      </c>
    </row>
    <row r="609" spans="1:23" ht="15" customHeight="1" x14ac:dyDescent="0.25">
      <c r="A609" s="19">
        <v>46241</v>
      </c>
      <c r="B609" s="11" t="s">
        <v>225</v>
      </c>
      <c r="C609" s="12" t="s">
        <v>549</v>
      </c>
      <c r="D609" s="11" t="s">
        <v>601</v>
      </c>
      <c r="E609" s="12" t="s">
        <v>105</v>
      </c>
      <c r="F609" s="12" t="s">
        <v>33</v>
      </c>
      <c r="G609" s="12">
        <v>5</v>
      </c>
      <c r="H609" s="13">
        <v>0.20166666666666666</v>
      </c>
      <c r="I609" s="13">
        <v>0.10114583333333334</v>
      </c>
      <c r="J609" s="13">
        <v>2.0229166666666666E-2</v>
      </c>
      <c r="K609" s="13">
        <v>0.14527777777777778</v>
      </c>
      <c r="L609" s="14">
        <v>0.72038567493112948</v>
      </c>
      <c r="M609" s="12" t="s">
        <v>334</v>
      </c>
      <c r="N609" s="13">
        <v>2.9861111111111113E-3</v>
      </c>
      <c r="O609" s="13">
        <v>1.2835648148148148E-2</v>
      </c>
      <c r="P609" s="13"/>
      <c r="Q609" s="13"/>
      <c r="R609" s="13"/>
      <c r="S609" s="13">
        <v>1.3715277777777778E-2</v>
      </c>
      <c r="T609" s="13">
        <v>9.2592592592592596E-4</v>
      </c>
      <c r="U609" s="13">
        <v>0.11480324074074075</v>
      </c>
      <c r="V609" s="13"/>
      <c r="W609" s="13"/>
    </row>
    <row r="610" spans="1:23" ht="15" customHeight="1" x14ac:dyDescent="0.25">
      <c r="A610" s="19">
        <v>46241</v>
      </c>
      <c r="B610" s="11" t="s">
        <v>70</v>
      </c>
      <c r="C610" s="12" t="s">
        <v>71</v>
      </c>
      <c r="D610" s="11" t="s">
        <v>78</v>
      </c>
      <c r="E610" s="12" t="s">
        <v>80</v>
      </c>
      <c r="F610" s="12" t="s">
        <v>33</v>
      </c>
      <c r="G610" s="12">
        <v>0</v>
      </c>
      <c r="H610" s="13">
        <v>0.34087962962962964</v>
      </c>
      <c r="I610" s="13">
        <v>0</v>
      </c>
      <c r="J610" s="13">
        <v>0</v>
      </c>
      <c r="K610" s="13">
        <v>5.8043981481481481E-2</v>
      </c>
      <c r="L610" s="14">
        <v>0.17027706098057857</v>
      </c>
      <c r="M610" s="12" t="s">
        <v>334</v>
      </c>
      <c r="N610" s="13"/>
      <c r="O610" s="13">
        <v>4.2175925925925929E-2</v>
      </c>
      <c r="P610" s="13"/>
      <c r="Q610" s="13"/>
      <c r="R610" s="13"/>
      <c r="S610" s="13">
        <v>1.5277777777777777E-2</v>
      </c>
      <c r="T610" s="13">
        <v>9.2592592592592588E-5</v>
      </c>
      <c r="U610" s="13">
        <v>4.7453703703703704E-4</v>
      </c>
      <c r="V610" s="13"/>
      <c r="W610" s="13"/>
    </row>
    <row r="611" spans="1:23" ht="15" customHeight="1" x14ac:dyDescent="0.25">
      <c r="A611" s="19">
        <v>46241</v>
      </c>
      <c r="B611" s="11" t="s">
        <v>280</v>
      </c>
      <c r="C611" s="12" t="s">
        <v>534</v>
      </c>
      <c r="D611" s="11" t="s">
        <v>233</v>
      </c>
      <c r="E611" s="12" t="s">
        <v>32</v>
      </c>
      <c r="F611" s="12" t="s">
        <v>106</v>
      </c>
      <c r="G611" s="12">
        <v>42</v>
      </c>
      <c r="H611" s="13">
        <v>0.26604166666666668</v>
      </c>
      <c r="I611" s="13">
        <v>0.15756944444444446</v>
      </c>
      <c r="J611" s="13">
        <v>3.7516534391534395E-3</v>
      </c>
      <c r="K611" s="13">
        <v>3.4270833333333334E-2</v>
      </c>
      <c r="L611" s="14">
        <v>0.12881754111198121</v>
      </c>
      <c r="M611" s="12" t="s">
        <v>334</v>
      </c>
      <c r="N611" s="13">
        <v>3.3217592592592591E-3</v>
      </c>
      <c r="O611" s="13">
        <v>1.4351851851851852E-2</v>
      </c>
      <c r="P611" s="13"/>
      <c r="Q611" s="13"/>
      <c r="R611" s="13"/>
      <c r="S611" s="13">
        <v>1.607638888888889E-2</v>
      </c>
      <c r="T611" s="13">
        <v>1.3888888888888889E-4</v>
      </c>
      <c r="U611" s="13">
        <v>3.5879629629629629E-4</v>
      </c>
      <c r="V611" s="13"/>
      <c r="W611" s="13"/>
    </row>
    <row r="612" spans="1:23" ht="15" customHeight="1" x14ac:dyDescent="0.25">
      <c r="A612" s="19">
        <v>46241</v>
      </c>
      <c r="B612" s="11" t="s">
        <v>299</v>
      </c>
      <c r="C612" s="12" t="s">
        <v>571</v>
      </c>
      <c r="D612" s="11" t="s">
        <v>104</v>
      </c>
      <c r="E612" s="12" t="s">
        <v>105</v>
      </c>
      <c r="F612" s="12" t="s">
        <v>106</v>
      </c>
      <c r="G612" s="12">
        <v>10</v>
      </c>
      <c r="H612" s="13">
        <v>0.20343749999999999</v>
      </c>
      <c r="I612" s="13">
        <v>0.12685185185185185</v>
      </c>
      <c r="J612" s="13">
        <v>1.2685185185185185E-2</v>
      </c>
      <c r="K612" s="13">
        <v>0.12181712962962964</v>
      </c>
      <c r="L612" s="14">
        <v>0.59879387836377085</v>
      </c>
      <c r="M612" s="12" t="s">
        <v>334</v>
      </c>
      <c r="N612" s="13"/>
      <c r="O612" s="13">
        <v>6.9791666666666665E-3</v>
      </c>
      <c r="P612" s="13"/>
      <c r="Q612" s="13"/>
      <c r="R612" s="13"/>
      <c r="S612" s="13">
        <v>1.3483796296296296E-2</v>
      </c>
      <c r="T612" s="13">
        <v>5.3240740740740744E-4</v>
      </c>
      <c r="U612" s="13">
        <v>1.0046296296296296E-2</v>
      </c>
      <c r="V612" s="13"/>
      <c r="W612" s="13">
        <v>9.0763888888888894E-2</v>
      </c>
    </row>
    <row r="613" spans="1:23" ht="15" customHeight="1" x14ac:dyDescent="0.25">
      <c r="A613" s="19">
        <v>46241</v>
      </c>
      <c r="B613" s="11" t="s">
        <v>227</v>
      </c>
      <c r="C613" s="12" t="s">
        <v>557</v>
      </c>
      <c r="D613" s="11" t="s">
        <v>146</v>
      </c>
      <c r="E613" s="12" t="s">
        <v>147</v>
      </c>
      <c r="F613" s="12" t="s">
        <v>106</v>
      </c>
      <c r="G613" s="12">
        <v>9</v>
      </c>
      <c r="H613" s="13">
        <v>0.26056712962962963</v>
      </c>
      <c r="I613" s="13">
        <v>5.5474537037037037E-2</v>
      </c>
      <c r="J613" s="13">
        <v>6.1638374485596704E-3</v>
      </c>
      <c r="K613" s="13">
        <v>4.4421296296296299E-2</v>
      </c>
      <c r="L613" s="14">
        <v>0.17047927863900858</v>
      </c>
      <c r="M613" s="12" t="s">
        <v>334</v>
      </c>
      <c r="N613" s="13">
        <v>6.7939814814814816E-3</v>
      </c>
      <c r="O613" s="13">
        <v>1.324074074074074E-2</v>
      </c>
      <c r="P613" s="13">
        <v>5.2430555555555555E-3</v>
      </c>
      <c r="Q613" s="13">
        <v>1.4583333333333334E-3</v>
      </c>
      <c r="R613" s="13">
        <v>1.4814814814814814E-3</v>
      </c>
      <c r="S613" s="13">
        <v>1.5138888888888889E-2</v>
      </c>
      <c r="T613" s="13">
        <v>6.9444444444444444E-5</v>
      </c>
      <c r="U613" s="13">
        <v>9.6064814814814819E-4</v>
      </c>
      <c r="V613" s="13"/>
      <c r="W613" s="13"/>
    </row>
    <row r="614" spans="1:23" ht="15" customHeight="1" x14ac:dyDescent="0.25">
      <c r="A614" s="19">
        <v>46241</v>
      </c>
      <c r="B614" s="11" t="s">
        <v>282</v>
      </c>
      <c r="C614" s="12" t="s">
        <v>535</v>
      </c>
      <c r="D614" s="11" t="s">
        <v>233</v>
      </c>
      <c r="E614" s="12" t="s">
        <v>32</v>
      </c>
      <c r="F614" s="12" t="s">
        <v>106</v>
      </c>
      <c r="G614" s="12">
        <v>46</v>
      </c>
      <c r="H614" s="13">
        <v>0.26457175925925924</v>
      </c>
      <c r="I614" s="13">
        <v>0.14251157407407408</v>
      </c>
      <c r="J614" s="13">
        <v>3.0980776972624803E-3</v>
      </c>
      <c r="K614" s="13">
        <v>4.3842592592592593E-2</v>
      </c>
      <c r="L614" s="14">
        <v>0.16571153593770507</v>
      </c>
      <c r="M614" s="12" t="s">
        <v>334</v>
      </c>
      <c r="N614" s="13">
        <v>7.8125E-3</v>
      </c>
      <c r="O614" s="13">
        <v>1.4421296296296297E-2</v>
      </c>
      <c r="P614" s="13"/>
      <c r="Q614" s="13"/>
      <c r="R614" s="13"/>
      <c r="S614" s="13">
        <v>1.6250000000000001E-2</v>
      </c>
      <c r="T614" s="13">
        <v>5.3587962962962964E-3</v>
      </c>
      <c r="U614" s="13"/>
      <c r="V614" s="13"/>
      <c r="W614" s="13"/>
    </row>
    <row r="615" spans="1:23" ht="15" customHeight="1" x14ac:dyDescent="0.25">
      <c r="A615" s="19">
        <v>46241</v>
      </c>
      <c r="B615" s="11" t="s">
        <v>675</v>
      </c>
      <c r="C615" s="12" t="s">
        <v>676</v>
      </c>
      <c r="D615" s="11" t="s">
        <v>104</v>
      </c>
      <c r="E615" s="12" t="s">
        <v>105</v>
      </c>
      <c r="F615" s="12" t="s">
        <v>106</v>
      </c>
      <c r="G615" s="12">
        <v>6</v>
      </c>
      <c r="H615" s="13">
        <v>0.22592592592592592</v>
      </c>
      <c r="I615" s="13">
        <v>0.13020833333333334</v>
      </c>
      <c r="J615" s="13">
        <v>2.1701388888888892E-2</v>
      </c>
      <c r="K615" s="13">
        <v>0.10880787037037037</v>
      </c>
      <c r="L615" s="14">
        <v>0.48160860655737708</v>
      </c>
      <c r="M615" s="12" t="s">
        <v>334</v>
      </c>
      <c r="N615" s="13"/>
      <c r="O615" s="13">
        <v>1.4768518518518519E-2</v>
      </c>
      <c r="P615" s="13"/>
      <c r="Q615" s="13"/>
      <c r="R615" s="13"/>
      <c r="S615" s="13">
        <v>1.4606481481481481E-2</v>
      </c>
      <c r="T615" s="13">
        <v>7.2569444444444443E-3</v>
      </c>
      <c r="U615" s="13">
        <v>1.0648148148148149E-3</v>
      </c>
      <c r="V615" s="13"/>
      <c r="W615" s="13">
        <v>7.1099537037037031E-2</v>
      </c>
    </row>
    <row r="616" spans="1:23" ht="15" customHeight="1" x14ac:dyDescent="0.25">
      <c r="A616" s="19">
        <v>46241</v>
      </c>
      <c r="B616" s="11" t="s">
        <v>677</v>
      </c>
      <c r="C616" s="12" t="s">
        <v>678</v>
      </c>
      <c r="D616" s="11" t="s">
        <v>274</v>
      </c>
      <c r="E616" s="12" t="s">
        <v>147</v>
      </c>
      <c r="F616" s="12" t="s">
        <v>33</v>
      </c>
      <c r="G616" s="12">
        <v>18</v>
      </c>
      <c r="H616" s="13">
        <v>0.2465162037037037</v>
      </c>
      <c r="I616" s="13">
        <v>5.0879629629629629E-2</v>
      </c>
      <c r="J616" s="13">
        <v>2.8266460905349792E-3</v>
      </c>
      <c r="K616" s="13">
        <v>3.2002314814814817E-2</v>
      </c>
      <c r="L616" s="14">
        <v>0.1298183013287009</v>
      </c>
      <c r="M616" s="12" t="s">
        <v>334</v>
      </c>
      <c r="N616" s="13">
        <v>2.8472222222222223E-3</v>
      </c>
      <c r="O616" s="13">
        <v>1.4456018518518519E-2</v>
      </c>
      <c r="P616" s="13"/>
      <c r="Q616" s="13"/>
      <c r="R616" s="13"/>
      <c r="S616" s="13">
        <v>1.3935185185185186E-2</v>
      </c>
      <c r="T616" s="13">
        <v>1.8518518518518518E-4</v>
      </c>
      <c r="U616" s="13">
        <v>5.5555555555555556E-4</v>
      </c>
      <c r="V616" s="13"/>
      <c r="W616" s="13"/>
    </row>
    <row r="617" spans="1:23" ht="15" customHeight="1" x14ac:dyDescent="0.25">
      <c r="A617" s="19">
        <v>46242</v>
      </c>
      <c r="B617" s="11" t="s">
        <v>186</v>
      </c>
      <c r="C617" s="12" t="s">
        <v>562</v>
      </c>
      <c r="D617" s="11" t="s">
        <v>78</v>
      </c>
      <c r="E617" s="12" t="s">
        <v>80</v>
      </c>
      <c r="F617" s="12" t="s">
        <v>33</v>
      </c>
      <c r="G617" s="12">
        <v>0</v>
      </c>
      <c r="H617" s="13">
        <v>0.25944444444444442</v>
      </c>
      <c r="I617" s="13">
        <v>0</v>
      </c>
      <c r="J617" s="13">
        <v>0</v>
      </c>
      <c r="K617" s="13">
        <v>3.9687500000000001E-2</v>
      </c>
      <c r="L617" s="14">
        <v>0.15297109207708781</v>
      </c>
      <c r="M617" s="12" t="s">
        <v>334</v>
      </c>
      <c r="N617" s="13">
        <v>1.0011574074074074E-2</v>
      </c>
      <c r="O617" s="13">
        <v>7.1643518518518514E-3</v>
      </c>
      <c r="P617" s="13"/>
      <c r="Q617" s="13"/>
      <c r="R617" s="13">
        <v>2.1817129629629631E-2</v>
      </c>
      <c r="S617" s="13"/>
      <c r="T617" s="13">
        <v>1.9675925925925926E-4</v>
      </c>
      <c r="U617" s="13">
        <v>4.6296296296296298E-4</v>
      </c>
      <c r="V617" s="13"/>
      <c r="W617" s="13"/>
    </row>
    <row r="618" spans="1:23" ht="15" customHeight="1" x14ac:dyDescent="0.25">
      <c r="A618" s="19">
        <v>46242</v>
      </c>
      <c r="B618" s="11" t="s">
        <v>643</v>
      </c>
      <c r="C618" s="12" t="s">
        <v>644</v>
      </c>
      <c r="D618" s="11" t="s">
        <v>233</v>
      </c>
      <c r="E618" s="12" t="s">
        <v>32</v>
      </c>
      <c r="F618" s="12" t="s">
        <v>106</v>
      </c>
      <c r="G618" s="12">
        <v>11</v>
      </c>
      <c r="H618" s="13">
        <v>0.25052083333333336</v>
      </c>
      <c r="I618" s="13">
        <v>0.12157407407407407</v>
      </c>
      <c r="J618" s="13">
        <v>1.1052188552188551E-2</v>
      </c>
      <c r="K618" s="13">
        <v>3.726851851851852E-2</v>
      </c>
      <c r="L618" s="14">
        <v>0.14876414876414876</v>
      </c>
      <c r="M618" s="12" t="s">
        <v>334</v>
      </c>
      <c r="N618" s="13">
        <v>6.0416666666666665E-3</v>
      </c>
      <c r="O618" s="13">
        <v>1.1782407407407408E-2</v>
      </c>
      <c r="P618" s="13"/>
      <c r="Q618" s="13"/>
      <c r="R618" s="13"/>
      <c r="S618" s="13">
        <v>1.3726851851851851E-2</v>
      </c>
      <c r="T618" s="13">
        <v>3.7847222222222223E-3</v>
      </c>
      <c r="U618" s="13">
        <v>1.9097222222222222E-3</v>
      </c>
      <c r="V618" s="13"/>
      <c r="W618" s="13"/>
    </row>
    <row r="619" spans="1:23" ht="15" customHeight="1" x14ac:dyDescent="0.25">
      <c r="A619" s="19">
        <v>46242</v>
      </c>
      <c r="B619" s="11" t="s">
        <v>193</v>
      </c>
      <c r="C619" s="12" t="s">
        <v>563</v>
      </c>
      <c r="D619" s="11" t="s">
        <v>274</v>
      </c>
      <c r="E619" s="12" t="s">
        <v>147</v>
      </c>
      <c r="F619" s="12" t="s">
        <v>33</v>
      </c>
      <c r="G619" s="12">
        <v>6</v>
      </c>
      <c r="H619" s="13">
        <v>0.26427083333333334</v>
      </c>
      <c r="I619" s="13">
        <v>4.7685185185185185E-2</v>
      </c>
      <c r="J619" s="13">
        <v>7.9475308641975308E-3</v>
      </c>
      <c r="K619" s="13">
        <v>4.3854166666666666E-2</v>
      </c>
      <c r="L619" s="14">
        <v>0.16594402837997635</v>
      </c>
      <c r="M619" s="12" t="s">
        <v>334</v>
      </c>
      <c r="N619" s="13">
        <v>6.9444444444444447E-4</v>
      </c>
      <c r="O619" s="13">
        <v>7.6967592592592591E-3</v>
      </c>
      <c r="P619" s="13"/>
      <c r="Q619" s="13"/>
      <c r="R619" s="13">
        <v>2.0555555555555556E-2</v>
      </c>
      <c r="S619" s="13">
        <v>1.4212962962962964E-2</v>
      </c>
      <c r="T619" s="13">
        <v>3.5879629629629629E-4</v>
      </c>
      <c r="U619" s="13"/>
      <c r="V619" s="13"/>
      <c r="W619" s="13"/>
    </row>
    <row r="620" spans="1:23" ht="15" customHeight="1" x14ac:dyDescent="0.25">
      <c r="A620" s="19">
        <v>46242</v>
      </c>
      <c r="B620" s="11" t="s">
        <v>148</v>
      </c>
      <c r="C620" s="12" t="s">
        <v>513</v>
      </c>
      <c r="D620" s="11" t="s">
        <v>104</v>
      </c>
      <c r="E620" s="12" t="s">
        <v>105</v>
      </c>
      <c r="F620" s="12" t="s">
        <v>106</v>
      </c>
      <c r="G620" s="12">
        <v>3</v>
      </c>
      <c r="H620" s="13">
        <v>0.21354166666666666</v>
      </c>
      <c r="I620" s="13">
        <v>3.861111111111111E-2</v>
      </c>
      <c r="J620" s="13">
        <v>1.2870370370370371E-2</v>
      </c>
      <c r="K620" s="13">
        <v>0.14960648148148148</v>
      </c>
      <c r="L620" s="14">
        <v>0.70059620596205963</v>
      </c>
      <c r="M620" s="12" t="s">
        <v>334</v>
      </c>
      <c r="N620" s="13">
        <v>3.0555555555555557E-3</v>
      </c>
      <c r="O620" s="13">
        <v>7.766203703703704E-3</v>
      </c>
      <c r="P620" s="13"/>
      <c r="Q620" s="13">
        <v>3.8078703703703703E-3</v>
      </c>
      <c r="R620" s="13"/>
      <c r="S620" s="13">
        <v>1.4131944444444445E-2</v>
      </c>
      <c r="T620" s="13">
        <v>1.3333333333333334E-2</v>
      </c>
      <c r="U620" s="13">
        <v>1.9675925925925926E-4</v>
      </c>
      <c r="V620" s="13"/>
      <c r="W620" s="13">
        <v>0.10730324074074074</v>
      </c>
    </row>
    <row r="621" spans="1:23" ht="15" customHeight="1" x14ac:dyDescent="0.25">
      <c r="A621" s="19">
        <v>46242</v>
      </c>
      <c r="B621" s="11" t="s">
        <v>34</v>
      </c>
      <c r="C621" s="12" t="s">
        <v>505</v>
      </c>
      <c r="D621" s="11" t="s">
        <v>233</v>
      </c>
      <c r="E621" s="12" t="s">
        <v>32</v>
      </c>
      <c r="F621" s="12" t="s">
        <v>106</v>
      </c>
      <c r="G621" s="12">
        <v>17</v>
      </c>
      <c r="H621" s="13">
        <v>0.25503472222222223</v>
      </c>
      <c r="I621" s="13">
        <v>7.5798611111111108E-2</v>
      </c>
      <c r="J621" s="13">
        <v>4.4587418300653589E-3</v>
      </c>
      <c r="K621" s="13">
        <v>3.2627314814814817E-2</v>
      </c>
      <c r="L621" s="14">
        <v>0.1279328341275244</v>
      </c>
      <c r="M621" s="12" t="s">
        <v>334</v>
      </c>
      <c r="N621" s="13"/>
      <c r="O621" s="13">
        <v>1.3518518518518518E-2</v>
      </c>
      <c r="P621" s="13"/>
      <c r="Q621" s="13"/>
      <c r="R621" s="13"/>
      <c r="S621" s="13">
        <v>1.3310185185185185E-2</v>
      </c>
      <c r="T621" s="13">
        <v>6.9444444444444444E-5</v>
      </c>
      <c r="U621" s="13">
        <v>4.3981481481481484E-3</v>
      </c>
      <c r="V621" s="13"/>
      <c r="W621" s="13"/>
    </row>
    <row r="622" spans="1:23" ht="15" customHeight="1" x14ac:dyDescent="0.25">
      <c r="A622" s="19">
        <v>46242</v>
      </c>
      <c r="B622" s="11" t="s">
        <v>493</v>
      </c>
      <c r="C622" s="12" t="s">
        <v>569</v>
      </c>
      <c r="D622" s="11" t="s">
        <v>104</v>
      </c>
      <c r="E622" s="12" t="s">
        <v>105</v>
      </c>
      <c r="F622" s="12" t="s">
        <v>106</v>
      </c>
      <c r="G622" s="12">
        <v>5</v>
      </c>
      <c r="H622" s="13">
        <v>0.20672453703703703</v>
      </c>
      <c r="I622" s="13">
        <v>5.5659722222222222E-2</v>
      </c>
      <c r="J622" s="13">
        <v>1.1131944444444444E-2</v>
      </c>
      <c r="K622" s="13">
        <v>0.12450231481481482</v>
      </c>
      <c r="L622" s="14">
        <v>0.60226191142713181</v>
      </c>
      <c r="M622" s="12" t="s">
        <v>334</v>
      </c>
      <c r="N622" s="13">
        <v>1.7523148148148149E-2</v>
      </c>
      <c r="O622" s="13">
        <v>7.8240740740740736E-3</v>
      </c>
      <c r="P622" s="13"/>
      <c r="Q622" s="13"/>
      <c r="R622" s="13"/>
      <c r="S622" s="13">
        <v>1.3634259259259259E-2</v>
      </c>
      <c r="T622" s="13">
        <v>3.2407407407407406E-4</v>
      </c>
      <c r="U622" s="13">
        <v>4.6296296296296294E-5</v>
      </c>
      <c r="V622" s="13"/>
      <c r="W622" s="13">
        <v>8.5150462962962969E-2</v>
      </c>
    </row>
    <row r="623" spans="1:23" ht="15" customHeight="1" x14ac:dyDescent="0.25">
      <c r="A623" s="19">
        <v>46242</v>
      </c>
      <c r="B623" s="11" t="s">
        <v>236</v>
      </c>
      <c r="C623" s="12" t="s">
        <v>551</v>
      </c>
      <c r="D623" s="11" t="s">
        <v>233</v>
      </c>
      <c r="E623" s="12" t="s">
        <v>32</v>
      </c>
      <c r="F623" s="12" t="s">
        <v>106</v>
      </c>
      <c r="G623" s="12">
        <v>8</v>
      </c>
      <c r="H623" s="13">
        <v>0.24789351851851851</v>
      </c>
      <c r="I623" s="13">
        <v>2.1446759259259259E-2</v>
      </c>
      <c r="J623" s="13">
        <v>2.6808449074074074E-3</v>
      </c>
      <c r="K623" s="13">
        <v>0.16199074074074074</v>
      </c>
      <c r="L623" s="14">
        <v>0.65346904472873291</v>
      </c>
      <c r="M623" s="12" t="s">
        <v>334</v>
      </c>
      <c r="N623" s="13">
        <v>3.9814814814814817E-3</v>
      </c>
      <c r="O623" s="13">
        <v>2.0844907407407406E-2</v>
      </c>
      <c r="P623" s="13"/>
      <c r="Q623" s="13"/>
      <c r="R623" s="13"/>
      <c r="S623" s="13">
        <v>1.4375000000000001E-2</v>
      </c>
      <c r="T623" s="13">
        <v>8.8773148148148143E-2</v>
      </c>
      <c r="U623" s="13"/>
      <c r="V623" s="13"/>
      <c r="W623" s="13">
        <v>3.4016203703703701E-2</v>
      </c>
    </row>
    <row r="624" spans="1:23" ht="15" customHeight="1" x14ac:dyDescent="0.25">
      <c r="A624" s="19">
        <v>46242</v>
      </c>
      <c r="B624" s="11" t="s">
        <v>238</v>
      </c>
      <c r="C624" s="12" t="s">
        <v>526</v>
      </c>
      <c r="D624" s="11" t="s">
        <v>233</v>
      </c>
      <c r="E624" s="12" t="s">
        <v>32</v>
      </c>
      <c r="F624" s="12" t="s">
        <v>106</v>
      </c>
      <c r="G624" s="12">
        <v>8</v>
      </c>
      <c r="H624" s="13">
        <v>0.24177083333333332</v>
      </c>
      <c r="I624" s="13">
        <v>2.4039351851851853E-2</v>
      </c>
      <c r="J624" s="13">
        <v>3.0049189814814817E-3</v>
      </c>
      <c r="K624" s="13">
        <v>0.1645949074074074</v>
      </c>
      <c r="L624" s="14">
        <v>0.68078893197376611</v>
      </c>
      <c r="M624" s="12" t="s">
        <v>334</v>
      </c>
      <c r="N624" s="13"/>
      <c r="O624" s="13">
        <v>1.2650462962962962E-2</v>
      </c>
      <c r="P624" s="13"/>
      <c r="Q624" s="13"/>
      <c r="R624" s="13"/>
      <c r="S624" s="13">
        <v>1.0902777777777779E-2</v>
      </c>
      <c r="T624" s="13">
        <v>3.7731481481481483E-3</v>
      </c>
      <c r="U624" s="13"/>
      <c r="V624" s="13"/>
      <c r="W624" s="13">
        <v>0.13726851851851851</v>
      </c>
    </row>
    <row r="625" spans="1:23" ht="15" customHeight="1" x14ac:dyDescent="0.25">
      <c r="A625" s="19">
        <v>46242</v>
      </c>
      <c r="B625" s="11" t="s">
        <v>608</v>
      </c>
      <c r="C625" s="12" t="s">
        <v>631</v>
      </c>
      <c r="D625" s="11" t="s">
        <v>601</v>
      </c>
      <c r="E625" s="12" t="s">
        <v>105</v>
      </c>
      <c r="F625" s="12" t="s">
        <v>33</v>
      </c>
      <c r="G625" s="12">
        <v>1</v>
      </c>
      <c r="H625" s="13">
        <v>0.18103009259259259</v>
      </c>
      <c r="I625" s="13">
        <v>1.744212962962963E-2</v>
      </c>
      <c r="J625" s="13">
        <v>1.744212962962963E-2</v>
      </c>
      <c r="K625" s="13">
        <v>0.17075231481481482</v>
      </c>
      <c r="L625" s="14">
        <v>0.94322613643628928</v>
      </c>
      <c r="M625" s="12" t="s">
        <v>334</v>
      </c>
      <c r="N625" s="13"/>
      <c r="O625" s="13">
        <v>1.3506944444444445E-2</v>
      </c>
      <c r="P625" s="13"/>
      <c r="Q625" s="13"/>
      <c r="R625" s="13"/>
      <c r="S625" s="13">
        <v>1.3726851851851851E-2</v>
      </c>
      <c r="T625" s="13">
        <v>1.5625000000000001E-3</v>
      </c>
      <c r="U625" s="13">
        <v>0.14195601851851852</v>
      </c>
      <c r="V625" s="13"/>
      <c r="W625" s="13"/>
    </row>
    <row r="626" spans="1:23" ht="15" customHeight="1" x14ac:dyDescent="0.25">
      <c r="A626" s="19">
        <v>46242</v>
      </c>
      <c r="B626" s="11" t="s">
        <v>197</v>
      </c>
      <c r="C626" s="12" t="s">
        <v>564</v>
      </c>
      <c r="D626" s="11" t="s">
        <v>601</v>
      </c>
      <c r="E626" s="12" t="s">
        <v>105</v>
      </c>
      <c r="F626" s="12" t="s">
        <v>33</v>
      </c>
      <c r="G626" s="12">
        <v>0</v>
      </c>
      <c r="H626" s="13">
        <v>0.13896990740740742</v>
      </c>
      <c r="I626" s="13">
        <v>0</v>
      </c>
      <c r="J626" s="13">
        <v>0</v>
      </c>
      <c r="K626" s="13">
        <v>0.13896990740740742</v>
      </c>
      <c r="L626" s="14">
        <v>1</v>
      </c>
      <c r="M626" s="12" t="s">
        <v>334</v>
      </c>
      <c r="N626" s="13"/>
      <c r="O626" s="13">
        <v>2.0324074074074074E-2</v>
      </c>
      <c r="P626" s="13"/>
      <c r="Q626" s="13"/>
      <c r="R626" s="13"/>
      <c r="S626" s="13">
        <v>1.5092592592592593E-2</v>
      </c>
      <c r="T626" s="13">
        <v>3.7037037037037035E-4</v>
      </c>
      <c r="U626" s="13">
        <v>0.10318287037037037</v>
      </c>
      <c r="V626" s="13"/>
      <c r="W626" s="13"/>
    </row>
    <row r="627" spans="1:23" ht="15" customHeight="1" x14ac:dyDescent="0.25">
      <c r="A627" s="19">
        <v>46242</v>
      </c>
      <c r="B627" s="11" t="s">
        <v>38</v>
      </c>
      <c r="C627" s="12" t="s">
        <v>536</v>
      </c>
      <c r="D627" s="11" t="s">
        <v>100</v>
      </c>
      <c r="E627" s="12" t="s">
        <v>32</v>
      </c>
      <c r="F627" s="12" t="s">
        <v>33</v>
      </c>
      <c r="G627" s="12">
        <v>5</v>
      </c>
      <c r="H627" s="13">
        <v>0.2404050925925926</v>
      </c>
      <c r="I627" s="13">
        <v>0.03</v>
      </c>
      <c r="J627" s="13">
        <v>6.0000000000000001E-3</v>
      </c>
      <c r="K627" s="13">
        <v>0.18733796296296296</v>
      </c>
      <c r="L627" s="14">
        <v>0.77925954455731539</v>
      </c>
      <c r="M627" s="12" t="s">
        <v>334</v>
      </c>
      <c r="N627" s="13">
        <v>9.4212962962962957E-3</v>
      </c>
      <c r="O627" s="13">
        <v>8.8078703703703704E-3</v>
      </c>
      <c r="P627" s="13"/>
      <c r="Q627" s="13"/>
      <c r="R627" s="13"/>
      <c r="S627" s="13">
        <v>1.3773148148148149E-2</v>
      </c>
      <c r="T627" s="13">
        <v>3.3680555555555556E-3</v>
      </c>
      <c r="U627" s="13"/>
      <c r="V627" s="13"/>
      <c r="W627" s="13">
        <v>0.1519675925925926</v>
      </c>
    </row>
    <row r="628" spans="1:23" ht="15" customHeight="1" x14ac:dyDescent="0.25">
      <c r="A628" s="19">
        <v>46242</v>
      </c>
      <c r="B628" s="11" t="s">
        <v>681</v>
      </c>
      <c r="C628" s="12" t="s">
        <v>682</v>
      </c>
      <c r="D628" s="11" t="s">
        <v>601</v>
      </c>
      <c r="E628" s="12" t="s">
        <v>105</v>
      </c>
      <c r="F628" s="12" t="s">
        <v>33</v>
      </c>
      <c r="G628" s="12">
        <v>1</v>
      </c>
      <c r="H628" s="13">
        <v>0.22650462962962964</v>
      </c>
      <c r="I628" s="13">
        <v>3.304398148148148E-2</v>
      </c>
      <c r="J628" s="13">
        <v>3.304398148148148E-2</v>
      </c>
      <c r="K628" s="13">
        <v>0.21402777777777779</v>
      </c>
      <c r="L628" s="14">
        <v>0.94491568727644359</v>
      </c>
      <c r="M628" s="12" t="s">
        <v>334</v>
      </c>
      <c r="N628" s="13">
        <v>4.6527777777777774E-3</v>
      </c>
      <c r="O628" s="13">
        <v>1.7430555555555557E-2</v>
      </c>
      <c r="P628" s="13"/>
      <c r="Q628" s="13"/>
      <c r="R628" s="13"/>
      <c r="S628" s="13">
        <v>2.3032407407407407E-3</v>
      </c>
      <c r="T628" s="13">
        <v>1.2037037037037038E-3</v>
      </c>
      <c r="U628" s="13">
        <v>0.18843750000000001</v>
      </c>
      <c r="V628" s="13"/>
      <c r="W628" s="13"/>
    </row>
    <row r="629" spans="1:23" ht="15" customHeight="1" x14ac:dyDescent="0.25">
      <c r="A629" s="19">
        <v>46242</v>
      </c>
      <c r="B629" s="11" t="s">
        <v>154</v>
      </c>
      <c r="C629" s="12" t="s">
        <v>515</v>
      </c>
      <c r="D629" s="11" t="s">
        <v>146</v>
      </c>
      <c r="E629" s="12" t="s">
        <v>147</v>
      </c>
      <c r="F629" s="12" t="s">
        <v>106</v>
      </c>
      <c r="G629" s="12">
        <v>11</v>
      </c>
      <c r="H629" s="13">
        <v>0.26405092592592594</v>
      </c>
      <c r="I629" s="13">
        <v>3.2071759259259258E-2</v>
      </c>
      <c r="J629" s="13">
        <v>2.9156144781144781E-3</v>
      </c>
      <c r="K629" s="13">
        <v>3.4629629629629628E-2</v>
      </c>
      <c r="L629" s="14">
        <v>0.13114754098360654</v>
      </c>
      <c r="M629" s="12" t="s">
        <v>334</v>
      </c>
      <c r="N629" s="13">
        <v>3.5185185185185185E-3</v>
      </c>
      <c r="O629" s="13">
        <v>1.21875E-2</v>
      </c>
      <c r="P629" s="13"/>
      <c r="Q629" s="13"/>
      <c r="R629" s="13"/>
      <c r="S629" s="13">
        <v>1.4131944444444445E-2</v>
      </c>
      <c r="T629" s="13">
        <v>3.7962962962962963E-3</v>
      </c>
      <c r="U629" s="13">
        <v>9.2592592592592596E-4</v>
      </c>
      <c r="V629" s="13"/>
      <c r="W629" s="13"/>
    </row>
    <row r="630" spans="1:23" ht="15" customHeight="1" x14ac:dyDescent="0.25">
      <c r="A630" s="19">
        <v>46242</v>
      </c>
      <c r="B630" s="11" t="s">
        <v>112</v>
      </c>
      <c r="C630" s="12" t="s">
        <v>570</v>
      </c>
      <c r="D630" s="11" t="s">
        <v>104</v>
      </c>
      <c r="E630" s="12" t="s">
        <v>105</v>
      </c>
      <c r="F630" s="12" t="s">
        <v>106</v>
      </c>
      <c r="G630" s="12">
        <v>3</v>
      </c>
      <c r="H630" s="13">
        <v>0.19618055555555555</v>
      </c>
      <c r="I630" s="13">
        <v>5.2800925925925925E-2</v>
      </c>
      <c r="J630" s="13">
        <v>1.7600308641975308E-2</v>
      </c>
      <c r="K630" s="13">
        <v>0.12975694444444444</v>
      </c>
      <c r="L630" s="14">
        <v>0.66141592920353975</v>
      </c>
      <c r="M630" s="12" t="s">
        <v>334</v>
      </c>
      <c r="N630" s="13">
        <v>6.3425925925925924E-3</v>
      </c>
      <c r="O630" s="13">
        <v>1.3854166666666667E-2</v>
      </c>
      <c r="P630" s="13"/>
      <c r="Q630" s="13"/>
      <c r="R630" s="13"/>
      <c r="S630" s="13"/>
      <c r="T630" s="13">
        <v>5.37037037037037E-3</v>
      </c>
      <c r="U630" s="13">
        <v>9.7222222222222219E-4</v>
      </c>
      <c r="V630" s="13"/>
      <c r="W630" s="13">
        <v>0.1032175925925926</v>
      </c>
    </row>
    <row r="631" spans="1:23" ht="15" customHeight="1" x14ac:dyDescent="0.25">
      <c r="A631" s="19">
        <v>46242</v>
      </c>
      <c r="B631" s="11" t="s">
        <v>42</v>
      </c>
      <c r="C631" s="12" t="s">
        <v>537</v>
      </c>
      <c r="D631" s="11" t="s">
        <v>104</v>
      </c>
      <c r="E631" s="12" t="s">
        <v>105</v>
      </c>
      <c r="F631" s="12" t="s">
        <v>106</v>
      </c>
      <c r="G631" s="12">
        <v>3</v>
      </c>
      <c r="H631" s="13">
        <v>0.18864583333333335</v>
      </c>
      <c r="I631" s="13">
        <v>3.4791666666666665E-2</v>
      </c>
      <c r="J631" s="13">
        <v>1.1597222222222222E-2</v>
      </c>
      <c r="K631" s="13">
        <v>0.12642361111111111</v>
      </c>
      <c r="L631" s="14">
        <v>0.67016381373090372</v>
      </c>
      <c r="M631" s="12" t="s">
        <v>334</v>
      </c>
      <c r="N631" s="13">
        <v>2.3263888888888887E-3</v>
      </c>
      <c r="O631" s="13">
        <v>1.3148148148148148E-2</v>
      </c>
      <c r="P631" s="13"/>
      <c r="Q631" s="13"/>
      <c r="R631" s="13"/>
      <c r="S631" s="13">
        <v>1.3854166666666667E-2</v>
      </c>
      <c r="T631" s="13">
        <v>2.6620370370370372E-4</v>
      </c>
      <c r="U631" s="13"/>
      <c r="V631" s="13"/>
      <c r="W631" s="13">
        <v>9.6828703703703708E-2</v>
      </c>
    </row>
    <row r="632" spans="1:23" ht="15" customHeight="1" x14ac:dyDescent="0.25">
      <c r="A632" s="19">
        <v>46242</v>
      </c>
      <c r="B632" s="11" t="s">
        <v>156</v>
      </c>
      <c r="C632" s="12" t="s">
        <v>516</v>
      </c>
      <c r="D632" s="11" t="s">
        <v>146</v>
      </c>
      <c r="E632" s="12" t="s">
        <v>147</v>
      </c>
      <c r="F632" s="12" t="s">
        <v>106</v>
      </c>
      <c r="G632" s="12">
        <v>11</v>
      </c>
      <c r="H632" s="13">
        <v>0.26657407407407407</v>
      </c>
      <c r="I632" s="13">
        <v>2.6597222222222223E-2</v>
      </c>
      <c r="J632" s="13">
        <v>2.4179292929292929E-3</v>
      </c>
      <c r="K632" s="13">
        <v>3.8541666666666669E-2</v>
      </c>
      <c r="L632" s="14">
        <v>0.14458145189301841</v>
      </c>
      <c r="M632" s="12" t="s">
        <v>334</v>
      </c>
      <c r="N632" s="13">
        <v>7.9745370370370369E-3</v>
      </c>
      <c r="O632" s="13">
        <v>1.2800925925925926E-2</v>
      </c>
      <c r="P632" s="13"/>
      <c r="Q632" s="13"/>
      <c r="R632" s="13"/>
      <c r="S632" s="13">
        <v>1.3587962962962963E-2</v>
      </c>
      <c r="T632" s="13">
        <v>4.178240740740741E-3</v>
      </c>
      <c r="U632" s="13"/>
      <c r="V632" s="13"/>
      <c r="W632" s="13"/>
    </row>
    <row r="633" spans="1:23" ht="15" customHeight="1" x14ac:dyDescent="0.25">
      <c r="A633" s="19">
        <v>46242</v>
      </c>
      <c r="B633" s="11" t="s">
        <v>114</v>
      </c>
      <c r="C633" s="12" t="s">
        <v>541</v>
      </c>
      <c r="D633" s="11" t="s">
        <v>104</v>
      </c>
      <c r="E633" s="12" t="s">
        <v>105</v>
      </c>
      <c r="F633" s="12" t="s">
        <v>106</v>
      </c>
      <c r="G633" s="12">
        <v>4</v>
      </c>
      <c r="H633" s="13">
        <v>0.12832175925925926</v>
      </c>
      <c r="I633" s="13">
        <v>4.3692129629629629E-2</v>
      </c>
      <c r="J633" s="13">
        <v>1.0923032407407407E-2</v>
      </c>
      <c r="K633" s="13">
        <v>5.6863425925925928E-2</v>
      </c>
      <c r="L633" s="14">
        <v>0.44313159556237036</v>
      </c>
      <c r="M633" s="12" t="s">
        <v>334</v>
      </c>
      <c r="N633" s="13">
        <v>6.0416666666666665E-3</v>
      </c>
      <c r="O633" s="13"/>
      <c r="P633" s="13"/>
      <c r="Q633" s="13"/>
      <c r="R633" s="13"/>
      <c r="S633" s="13"/>
      <c r="T633" s="13">
        <v>8.0787037037037043E-3</v>
      </c>
      <c r="U633" s="13">
        <v>8.1018518518518516E-5</v>
      </c>
      <c r="V633" s="13"/>
      <c r="W633" s="13">
        <v>4.266203703703704E-2</v>
      </c>
    </row>
    <row r="634" spans="1:23" ht="15" customHeight="1" x14ac:dyDescent="0.25">
      <c r="A634" s="19">
        <v>46242</v>
      </c>
      <c r="B634" s="11" t="s">
        <v>44</v>
      </c>
      <c r="C634" s="12" t="s">
        <v>506</v>
      </c>
      <c r="D634" s="11" t="s">
        <v>100</v>
      </c>
      <c r="E634" s="12" t="s">
        <v>32</v>
      </c>
      <c r="F634" s="12" t="s">
        <v>33</v>
      </c>
      <c r="G634" s="12">
        <v>20</v>
      </c>
      <c r="H634" s="13">
        <v>0.26059027777777777</v>
      </c>
      <c r="I634" s="13">
        <v>9.4687499999999994E-2</v>
      </c>
      <c r="J634" s="13">
        <v>4.7343749999999999E-3</v>
      </c>
      <c r="K634" s="13">
        <v>3.3113425925925928E-2</v>
      </c>
      <c r="L634" s="14">
        <v>0.12707084166111482</v>
      </c>
      <c r="M634" s="12" t="s">
        <v>334</v>
      </c>
      <c r="N634" s="13"/>
      <c r="O634" s="13">
        <v>1.3784722222222223E-2</v>
      </c>
      <c r="P634" s="13"/>
      <c r="Q634" s="13"/>
      <c r="R634" s="13"/>
      <c r="S634" s="13">
        <v>1.3865740740740741E-2</v>
      </c>
      <c r="T634" s="13">
        <v>8.1018518518518516E-4</v>
      </c>
      <c r="U634" s="13">
        <v>6.018518518518519E-4</v>
      </c>
      <c r="V634" s="13"/>
      <c r="W634" s="13">
        <v>3.9004629629629628E-3</v>
      </c>
    </row>
    <row r="635" spans="1:23" ht="15" customHeight="1" x14ac:dyDescent="0.25">
      <c r="A635" s="19">
        <v>46242</v>
      </c>
      <c r="B635" s="11" t="s">
        <v>609</v>
      </c>
      <c r="C635" s="12" t="s">
        <v>632</v>
      </c>
      <c r="D635" s="11" t="s">
        <v>601</v>
      </c>
      <c r="E635" s="12" t="s">
        <v>105</v>
      </c>
      <c r="F635" s="12" t="s">
        <v>33</v>
      </c>
      <c r="G635" s="12">
        <v>1</v>
      </c>
      <c r="H635" s="13">
        <v>0.16005787037037036</v>
      </c>
      <c r="I635" s="13">
        <v>2.5000000000000001E-2</v>
      </c>
      <c r="J635" s="13">
        <v>2.5000000000000001E-2</v>
      </c>
      <c r="K635" s="13">
        <v>0.15347222222222223</v>
      </c>
      <c r="L635" s="14">
        <v>0.95885458095306975</v>
      </c>
      <c r="M635" s="12" t="s">
        <v>334</v>
      </c>
      <c r="N635" s="13">
        <v>6.222222222222222E-2</v>
      </c>
      <c r="O635" s="13">
        <v>2.2395833333333334E-2</v>
      </c>
      <c r="P635" s="13"/>
      <c r="Q635" s="13"/>
      <c r="R635" s="13"/>
      <c r="S635" s="13"/>
      <c r="T635" s="13">
        <v>3.3564814814814812E-4</v>
      </c>
      <c r="U635" s="13">
        <v>6.851851851851852E-2</v>
      </c>
      <c r="V635" s="13"/>
      <c r="W635" s="13"/>
    </row>
    <row r="636" spans="1:23" ht="15" customHeight="1" x14ac:dyDescent="0.25">
      <c r="A636" s="19">
        <v>46242</v>
      </c>
      <c r="B636" s="11" t="s">
        <v>240</v>
      </c>
      <c r="C636" s="12" t="s">
        <v>527</v>
      </c>
      <c r="D636" s="11" t="s">
        <v>233</v>
      </c>
      <c r="E636" s="12" t="s">
        <v>32</v>
      </c>
      <c r="F636" s="12" t="s">
        <v>106</v>
      </c>
      <c r="G636" s="12">
        <v>7</v>
      </c>
      <c r="H636" s="13">
        <v>0.22756944444444444</v>
      </c>
      <c r="I636" s="13">
        <v>2.613425925925926E-2</v>
      </c>
      <c r="J636" s="13">
        <v>3.7334656084656087E-3</v>
      </c>
      <c r="K636" s="13">
        <v>0.13238425925925926</v>
      </c>
      <c r="L636" s="14">
        <v>0.58173125826467298</v>
      </c>
      <c r="M636" s="12" t="s">
        <v>334</v>
      </c>
      <c r="N636" s="13">
        <v>1.462962962962963E-2</v>
      </c>
      <c r="O636" s="13">
        <v>1.4074074074074074E-2</v>
      </c>
      <c r="P636" s="13"/>
      <c r="Q636" s="13"/>
      <c r="R636" s="13"/>
      <c r="S636" s="13">
        <v>1.4502314814814815E-2</v>
      </c>
      <c r="T636" s="13">
        <v>2.3148148148148149E-4</v>
      </c>
      <c r="U636" s="13">
        <v>1.6203703703703703E-4</v>
      </c>
      <c r="V636" s="13"/>
      <c r="W636" s="13">
        <v>8.8784722222222223E-2</v>
      </c>
    </row>
    <row r="637" spans="1:23" ht="15" customHeight="1" x14ac:dyDescent="0.25">
      <c r="A637" s="19">
        <v>46242</v>
      </c>
      <c r="B637" s="11" t="s">
        <v>160</v>
      </c>
      <c r="C637" s="12" t="s">
        <v>544</v>
      </c>
      <c r="D637" s="11" t="s">
        <v>146</v>
      </c>
      <c r="E637" s="12" t="s">
        <v>147</v>
      </c>
      <c r="F637" s="12" t="s">
        <v>106</v>
      </c>
      <c r="G637" s="12">
        <v>8</v>
      </c>
      <c r="H637" s="13">
        <v>0.24253472222222222</v>
      </c>
      <c r="I637" s="13">
        <v>1.7071759259259259E-2</v>
      </c>
      <c r="J637" s="13">
        <v>2.1339699074074073E-3</v>
      </c>
      <c r="K637" s="13">
        <v>8.7094907407407413E-2</v>
      </c>
      <c r="L637" s="14">
        <v>0.35910283941780008</v>
      </c>
      <c r="M637" s="12" t="s">
        <v>334</v>
      </c>
      <c r="N637" s="13">
        <v>1.2395833333333333E-2</v>
      </c>
      <c r="O637" s="13">
        <v>1.5555555555555555E-2</v>
      </c>
      <c r="P637" s="13"/>
      <c r="Q637" s="13">
        <v>3.8599537037037036E-2</v>
      </c>
      <c r="R637" s="13"/>
      <c r="S637" s="13">
        <v>1.5682870370370371E-2</v>
      </c>
      <c r="T637" s="13">
        <v>5.7870370370370373E-5</v>
      </c>
      <c r="U637" s="13">
        <v>4.4791666666666669E-3</v>
      </c>
      <c r="V637" s="13"/>
      <c r="W637" s="13"/>
    </row>
    <row r="638" spans="1:23" ht="15" customHeight="1" x14ac:dyDescent="0.25">
      <c r="A638" s="19">
        <v>46242</v>
      </c>
      <c r="B638" s="11" t="s">
        <v>645</v>
      </c>
      <c r="C638" s="12" t="s">
        <v>646</v>
      </c>
      <c r="D638" s="11" t="s">
        <v>100</v>
      </c>
      <c r="E638" s="12" t="s">
        <v>32</v>
      </c>
      <c r="F638" s="12" t="s">
        <v>33</v>
      </c>
      <c r="G638" s="12">
        <v>16</v>
      </c>
      <c r="H638" s="13">
        <v>0.25244212962962964</v>
      </c>
      <c r="I638" s="13">
        <v>0.12783564814814816</v>
      </c>
      <c r="J638" s="13">
        <v>7.9897280092592598E-3</v>
      </c>
      <c r="K638" s="13">
        <v>4.3356481481481482E-2</v>
      </c>
      <c r="L638" s="14">
        <v>0.17174820044931455</v>
      </c>
      <c r="M638" s="12" t="s">
        <v>334</v>
      </c>
      <c r="N638" s="13">
        <v>2.3842592592592591E-3</v>
      </c>
      <c r="O638" s="13">
        <v>7.1643518518518514E-3</v>
      </c>
      <c r="P638" s="13"/>
      <c r="Q638" s="13"/>
      <c r="R638" s="13">
        <v>2.0601851851851853E-3</v>
      </c>
      <c r="S638" s="13">
        <v>1.4224537037037037E-2</v>
      </c>
      <c r="T638" s="13">
        <v>2.7083333333333334E-3</v>
      </c>
      <c r="U638" s="13">
        <v>3.0092592592592595E-4</v>
      </c>
      <c r="V638" s="13"/>
      <c r="W638" s="13">
        <v>1.3541666666666667E-2</v>
      </c>
    </row>
    <row r="639" spans="1:23" ht="15" customHeight="1" x14ac:dyDescent="0.25">
      <c r="A639" s="19">
        <v>46242</v>
      </c>
      <c r="B639" s="11" t="s">
        <v>120</v>
      </c>
      <c r="C639" s="12" t="s">
        <v>558</v>
      </c>
      <c r="D639" s="11" t="s">
        <v>233</v>
      </c>
      <c r="E639" s="12" t="s">
        <v>32</v>
      </c>
      <c r="F639" s="12" t="s">
        <v>106</v>
      </c>
      <c r="G639" s="12">
        <v>19</v>
      </c>
      <c r="H639" s="13">
        <v>0.26364583333333336</v>
      </c>
      <c r="I639" s="13">
        <v>4.8344907407407406E-2</v>
      </c>
      <c r="J639" s="13">
        <v>2.5444688109161791E-3</v>
      </c>
      <c r="K639" s="13">
        <v>4.87037037037037E-2</v>
      </c>
      <c r="L639" s="14">
        <v>0.18473155098994684</v>
      </c>
      <c r="M639" s="12" t="s">
        <v>334</v>
      </c>
      <c r="N639" s="13">
        <v>7.5810185185185182E-3</v>
      </c>
      <c r="O639" s="13">
        <v>1.3738425925925926E-2</v>
      </c>
      <c r="P639" s="13"/>
      <c r="Q639" s="13"/>
      <c r="R639" s="13"/>
      <c r="S639" s="13">
        <v>1.2511574074074074E-2</v>
      </c>
      <c r="T639" s="13">
        <v>1.1168981481481481E-2</v>
      </c>
      <c r="U639" s="13">
        <v>3.7037037037037038E-3</v>
      </c>
      <c r="V639" s="13"/>
      <c r="W639" s="13"/>
    </row>
    <row r="640" spans="1:23" ht="15" customHeight="1" x14ac:dyDescent="0.25">
      <c r="A640" s="19">
        <v>46242</v>
      </c>
      <c r="B640" s="11" t="s">
        <v>46</v>
      </c>
      <c r="C640" s="12" t="s">
        <v>507</v>
      </c>
      <c r="D640" s="11" t="s">
        <v>100</v>
      </c>
      <c r="E640" s="12" t="s">
        <v>32</v>
      </c>
      <c r="F640" s="12" t="s">
        <v>33</v>
      </c>
      <c r="G640" s="12">
        <v>24</v>
      </c>
      <c r="H640" s="13">
        <v>0.24635416666666668</v>
      </c>
      <c r="I640" s="13">
        <v>8.6944444444444449E-2</v>
      </c>
      <c r="J640" s="13">
        <v>3.6226851851851854E-3</v>
      </c>
      <c r="K640" s="13">
        <v>3.3935185185185186E-2</v>
      </c>
      <c r="L640" s="14">
        <v>0.13774958891237959</v>
      </c>
      <c r="M640" s="12" t="s">
        <v>334</v>
      </c>
      <c r="N640" s="13">
        <v>2.1296296296296298E-3</v>
      </c>
      <c r="O640" s="13">
        <v>1.4398148148148148E-2</v>
      </c>
      <c r="P640" s="13"/>
      <c r="Q640" s="13"/>
      <c r="R640" s="13"/>
      <c r="S640" s="13"/>
      <c r="T640" s="13">
        <v>3.8194444444444446E-4</v>
      </c>
      <c r="U640" s="13">
        <v>1.4814814814814814E-3</v>
      </c>
      <c r="V640" s="13"/>
      <c r="W640" s="13">
        <v>1.5474537037037037E-2</v>
      </c>
    </row>
    <row r="641" spans="1:23" ht="15" customHeight="1" x14ac:dyDescent="0.25">
      <c r="A641" s="19">
        <v>46242</v>
      </c>
      <c r="B641" s="11" t="s">
        <v>287</v>
      </c>
      <c r="C641" s="12" t="s">
        <v>542</v>
      </c>
      <c r="D641" s="11" t="s">
        <v>104</v>
      </c>
      <c r="E641" s="12" t="s">
        <v>105</v>
      </c>
      <c r="F641" s="12" t="s">
        <v>106</v>
      </c>
      <c r="G641" s="12">
        <v>1</v>
      </c>
      <c r="H641" s="13">
        <v>0.15105324074074075</v>
      </c>
      <c r="I641" s="13">
        <v>1.8738425925925926E-2</v>
      </c>
      <c r="J641" s="13">
        <v>1.8738425925925926E-2</v>
      </c>
      <c r="K641" s="13">
        <v>0.13662037037037036</v>
      </c>
      <c r="L641" s="14">
        <v>0.90445176614818779</v>
      </c>
      <c r="M641" s="12" t="s">
        <v>334</v>
      </c>
      <c r="N641" s="13"/>
      <c r="O641" s="13">
        <v>1.173611111111111E-2</v>
      </c>
      <c r="P641" s="13"/>
      <c r="Q641" s="13"/>
      <c r="R641" s="13"/>
      <c r="S641" s="13">
        <v>1.9652777777777779E-2</v>
      </c>
      <c r="T641" s="13">
        <v>8.564814814814815E-3</v>
      </c>
      <c r="U641" s="13"/>
      <c r="V641" s="13"/>
      <c r="W641" s="13">
        <v>9.6666666666666665E-2</v>
      </c>
    </row>
    <row r="642" spans="1:23" ht="15" customHeight="1" x14ac:dyDescent="0.25">
      <c r="A642" s="19">
        <v>46242</v>
      </c>
      <c r="B642" s="11" t="s">
        <v>499</v>
      </c>
      <c r="C642" s="12" t="s">
        <v>517</v>
      </c>
      <c r="D642" s="11" t="s">
        <v>146</v>
      </c>
      <c r="E642" s="12" t="s">
        <v>147</v>
      </c>
      <c r="F642" s="12" t="s">
        <v>106</v>
      </c>
      <c r="G642" s="12">
        <v>8</v>
      </c>
      <c r="H642" s="13">
        <v>0.25729166666666664</v>
      </c>
      <c r="I642" s="13">
        <v>2.7314814814814816E-2</v>
      </c>
      <c r="J642" s="13">
        <v>3.414351851851852E-3</v>
      </c>
      <c r="K642" s="13">
        <v>5.2488425925925924E-2</v>
      </c>
      <c r="L642" s="14">
        <v>0.20400359874044086</v>
      </c>
      <c r="M642" s="12" t="s">
        <v>334</v>
      </c>
      <c r="N642" s="13">
        <v>8.7152777777777784E-3</v>
      </c>
      <c r="O642" s="13">
        <v>1.4409722222222223E-2</v>
      </c>
      <c r="P642" s="13">
        <v>1.105324074074074E-2</v>
      </c>
      <c r="Q642" s="13"/>
      <c r="R642" s="13"/>
      <c r="S642" s="13">
        <v>1.3761574074074074E-2</v>
      </c>
      <c r="T642" s="13">
        <v>2.3611111111111111E-3</v>
      </c>
      <c r="U642" s="13">
        <v>1.7361111111111112E-4</v>
      </c>
      <c r="V642" s="13"/>
      <c r="W642" s="13">
        <v>2.0023148148148148E-3</v>
      </c>
    </row>
    <row r="643" spans="1:23" ht="15" customHeight="1" x14ac:dyDescent="0.25">
      <c r="A643" s="19">
        <v>46242</v>
      </c>
      <c r="B643" s="11" t="s">
        <v>647</v>
      </c>
      <c r="C643" s="12" t="s">
        <v>648</v>
      </c>
      <c r="D643" s="11" t="s">
        <v>233</v>
      </c>
      <c r="E643" s="12" t="s">
        <v>32</v>
      </c>
      <c r="F643" s="12" t="s">
        <v>106</v>
      </c>
      <c r="G643" s="12">
        <v>18</v>
      </c>
      <c r="H643" s="13">
        <v>0.26380787037037035</v>
      </c>
      <c r="I643" s="13">
        <v>7.273148148148148E-2</v>
      </c>
      <c r="J643" s="13">
        <v>4.0406378600823046E-3</v>
      </c>
      <c r="K643" s="13">
        <v>4.2141203703703702E-2</v>
      </c>
      <c r="L643" s="14">
        <v>0.15974202606063265</v>
      </c>
      <c r="M643" s="12" t="s">
        <v>334</v>
      </c>
      <c r="N643" s="13">
        <v>4.2129629629629626E-3</v>
      </c>
      <c r="O643" s="13">
        <v>1.4189814814814815E-2</v>
      </c>
      <c r="P643" s="13"/>
      <c r="Q643" s="13">
        <v>9.5601851851851855E-3</v>
      </c>
      <c r="R643" s="13"/>
      <c r="S643" s="13">
        <v>1.3194444444444444E-2</v>
      </c>
      <c r="T643" s="13">
        <v>9.837962962962962E-4</v>
      </c>
      <c r="U643" s="13"/>
      <c r="V643" s="13"/>
      <c r="W643" s="13"/>
    </row>
    <row r="644" spans="1:23" ht="15" customHeight="1" x14ac:dyDescent="0.25">
      <c r="A644" s="19">
        <v>46242</v>
      </c>
      <c r="B644" s="11" t="s">
        <v>651</v>
      </c>
      <c r="C644" s="12" t="s">
        <v>652</v>
      </c>
      <c r="D644" s="11" t="s">
        <v>100</v>
      </c>
      <c r="E644" s="12" t="s">
        <v>32</v>
      </c>
      <c r="F644" s="12" t="s">
        <v>33</v>
      </c>
      <c r="G644" s="12">
        <v>15</v>
      </c>
      <c r="H644" s="13">
        <v>0.26076388888888891</v>
      </c>
      <c r="I644" s="13">
        <v>0.10092592592592593</v>
      </c>
      <c r="J644" s="13">
        <v>6.7283950617283957E-3</v>
      </c>
      <c r="K644" s="13">
        <v>8.0416666666666664E-2</v>
      </c>
      <c r="L644" s="14">
        <v>0.30838881491344872</v>
      </c>
      <c r="M644" s="12" t="s">
        <v>334</v>
      </c>
      <c r="N644" s="13">
        <v>9.2129629629629627E-3</v>
      </c>
      <c r="O644" s="13">
        <v>1.8807870370370371E-2</v>
      </c>
      <c r="P644" s="13"/>
      <c r="Q644" s="13"/>
      <c r="R644" s="13"/>
      <c r="S644" s="13">
        <v>1.4421296296296297E-2</v>
      </c>
      <c r="T644" s="13">
        <v>2.0023148148148148E-2</v>
      </c>
      <c r="U644" s="13">
        <v>2.0833333333333335E-4</v>
      </c>
      <c r="V644" s="13"/>
      <c r="W644" s="13">
        <v>1.773148148148148E-2</v>
      </c>
    </row>
    <row r="645" spans="1:23" ht="15" customHeight="1" x14ac:dyDescent="0.25">
      <c r="A645" s="19">
        <v>46242</v>
      </c>
      <c r="B645" s="11" t="s">
        <v>246</v>
      </c>
      <c r="C645" s="12" t="s">
        <v>568</v>
      </c>
      <c r="D645" s="11" t="s">
        <v>233</v>
      </c>
      <c r="E645" s="12" t="s">
        <v>32</v>
      </c>
      <c r="F645" s="12" t="s">
        <v>106</v>
      </c>
      <c r="G645" s="12">
        <v>21</v>
      </c>
      <c r="H645" s="13">
        <v>0.26557870370370368</v>
      </c>
      <c r="I645" s="13">
        <v>5.4293981481481485E-2</v>
      </c>
      <c r="J645" s="13">
        <v>2.5854276895943564E-3</v>
      </c>
      <c r="K645" s="13">
        <v>3.8229166666666668E-2</v>
      </c>
      <c r="L645" s="14">
        <v>0.14394665736947618</v>
      </c>
      <c r="M645" s="12" t="s">
        <v>334</v>
      </c>
      <c r="N645" s="13">
        <v>3.2638888888888891E-3</v>
      </c>
      <c r="O645" s="13">
        <v>1.3993055555555555E-2</v>
      </c>
      <c r="P645" s="13"/>
      <c r="Q645" s="13"/>
      <c r="R645" s="13"/>
      <c r="S645" s="13">
        <v>1.3935185185185186E-2</v>
      </c>
      <c r="T645" s="13">
        <v>7.037037037037037E-3</v>
      </c>
      <c r="U645" s="13"/>
      <c r="V645" s="13"/>
      <c r="W645" s="13"/>
    </row>
    <row r="646" spans="1:23" ht="15" customHeight="1" x14ac:dyDescent="0.25">
      <c r="A646" s="19">
        <v>46242</v>
      </c>
      <c r="B646" s="11" t="s">
        <v>48</v>
      </c>
      <c r="C646" s="12" t="s">
        <v>508</v>
      </c>
      <c r="D646" s="11" t="s">
        <v>100</v>
      </c>
      <c r="E646" s="12" t="s">
        <v>32</v>
      </c>
      <c r="F646" s="12" t="s">
        <v>33</v>
      </c>
      <c r="G646" s="12">
        <v>18</v>
      </c>
      <c r="H646" s="13">
        <v>0.26195601851851852</v>
      </c>
      <c r="I646" s="13">
        <v>8.1099537037037039E-2</v>
      </c>
      <c r="J646" s="13">
        <v>4.5055298353909468E-3</v>
      </c>
      <c r="K646" s="13">
        <v>6.1076388888888888E-2</v>
      </c>
      <c r="L646" s="14">
        <v>0.23315512746874034</v>
      </c>
      <c r="M646" s="12" t="s">
        <v>334</v>
      </c>
      <c r="N646" s="13">
        <v>3.9583333333333337E-3</v>
      </c>
      <c r="O646" s="13">
        <v>6.9907407407407409E-3</v>
      </c>
      <c r="P646" s="13"/>
      <c r="Q646" s="13"/>
      <c r="R646" s="13">
        <v>6.9675925925925929E-3</v>
      </c>
      <c r="S646" s="13">
        <v>1.3900462962962963E-2</v>
      </c>
      <c r="T646" s="13">
        <v>8.1018518518518516E-4</v>
      </c>
      <c r="U646" s="13"/>
      <c r="V646" s="13"/>
      <c r="W646" s="13">
        <v>2.8449074074074075E-2</v>
      </c>
    </row>
    <row r="647" spans="1:23" ht="15" customHeight="1" x14ac:dyDescent="0.25">
      <c r="A647" s="19">
        <v>46242</v>
      </c>
      <c r="B647" s="11" t="s">
        <v>50</v>
      </c>
      <c r="C647" s="12" t="s">
        <v>538</v>
      </c>
      <c r="D647" s="11" t="s">
        <v>100</v>
      </c>
      <c r="E647" s="12" t="s">
        <v>32</v>
      </c>
      <c r="F647" s="12" t="s">
        <v>33</v>
      </c>
      <c r="G647" s="12">
        <v>1</v>
      </c>
      <c r="H647" s="13">
        <v>0.1436574074074074</v>
      </c>
      <c r="I647" s="13">
        <v>1.9907407407407408E-2</v>
      </c>
      <c r="J647" s="13">
        <v>1.9907407407407408E-2</v>
      </c>
      <c r="K647" s="13">
        <v>0.12428240740740741</v>
      </c>
      <c r="L647" s="14">
        <v>0.86513051885272318</v>
      </c>
      <c r="M647" s="12" t="s">
        <v>334</v>
      </c>
      <c r="N647" s="13">
        <v>1.2175925925925925E-2</v>
      </c>
      <c r="O647" s="13">
        <v>7.9282407407407409E-3</v>
      </c>
      <c r="P647" s="13"/>
      <c r="Q647" s="13"/>
      <c r="R647" s="13"/>
      <c r="S647" s="13"/>
      <c r="T647" s="13">
        <v>4.861111111111111E-4</v>
      </c>
      <c r="U647" s="13"/>
      <c r="V647" s="13"/>
      <c r="W647" s="13">
        <v>0.10369212962962963</v>
      </c>
    </row>
    <row r="648" spans="1:23" ht="15" customHeight="1" x14ac:dyDescent="0.25">
      <c r="A648" s="19">
        <v>46242</v>
      </c>
      <c r="B648" s="11" t="s">
        <v>242</v>
      </c>
      <c r="C648" s="12" t="s">
        <v>603</v>
      </c>
      <c r="D648" s="11" t="s">
        <v>233</v>
      </c>
      <c r="E648" s="12" t="s">
        <v>32</v>
      </c>
      <c r="F648" s="12" t="s">
        <v>106</v>
      </c>
      <c r="G648" s="12">
        <v>22</v>
      </c>
      <c r="H648" s="13">
        <v>0.26996527777777779</v>
      </c>
      <c r="I648" s="13">
        <v>0.1348263888888889</v>
      </c>
      <c r="J648" s="13">
        <v>6.1284722222222227E-3</v>
      </c>
      <c r="K648" s="13">
        <v>1.8217592592592594E-2</v>
      </c>
      <c r="L648" s="14">
        <v>6.7481243301178995E-2</v>
      </c>
      <c r="M648" s="12" t="s">
        <v>334</v>
      </c>
      <c r="N648" s="13"/>
      <c r="O648" s="13">
        <v>9.8032407407407408E-3</v>
      </c>
      <c r="P648" s="13"/>
      <c r="Q648" s="13"/>
      <c r="R648" s="13"/>
      <c r="S648" s="13">
        <v>6.7592592592592591E-3</v>
      </c>
      <c r="T648" s="13">
        <v>3.2407407407407406E-4</v>
      </c>
      <c r="U648" s="13">
        <v>1.2847222222222223E-3</v>
      </c>
      <c r="V648" s="13"/>
      <c r="W648" s="13"/>
    </row>
    <row r="649" spans="1:23" ht="15" customHeight="1" x14ac:dyDescent="0.25">
      <c r="A649" s="19">
        <v>46242</v>
      </c>
      <c r="B649" s="11" t="s">
        <v>289</v>
      </c>
      <c r="C649" s="12" t="s">
        <v>559</v>
      </c>
      <c r="D649" s="11" t="s">
        <v>104</v>
      </c>
      <c r="E649" s="12" t="s">
        <v>105</v>
      </c>
      <c r="F649" s="12" t="s">
        <v>106</v>
      </c>
      <c r="G649" s="12">
        <v>2</v>
      </c>
      <c r="H649" s="13">
        <v>0.1630324074074074</v>
      </c>
      <c r="I649" s="13">
        <v>1.2766203703703703E-2</v>
      </c>
      <c r="J649" s="13">
        <v>6.3831018518518516E-3</v>
      </c>
      <c r="K649" s="13">
        <v>0.11677083333333334</v>
      </c>
      <c r="L649" s="14">
        <v>0.71624307823370725</v>
      </c>
      <c r="M649" s="12" t="s">
        <v>334</v>
      </c>
      <c r="N649" s="13">
        <v>1.3333333333333334E-2</v>
      </c>
      <c r="O649" s="13">
        <v>1.0185185185185186E-2</v>
      </c>
      <c r="P649" s="13"/>
      <c r="Q649" s="13"/>
      <c r="R649" s="13"/>
      <c r="S649" s="13">
        <v>1.8194444444444444E-2</v>
      </c>
      <c r="T649" s="13">
        <v>2.6967592592592594E-3</v>
      </c>
      <c r="U649" s="13"/>
      <c r="V649" s="13"/>
      <c r="W649" s="13">
        <v>7.2361111111111112E-2</v>
      </c>
    </row>
    <row r="650" spans="1:23" ht="15" customHeight="1" x14ac:dyDescent="0.25">
      <c r="A650" s="19">
        <v>46242</v>
      </c>
      <c r="B650" s="11" t="s">
        <v>500</v>
      </c>
      <c r="C650" s="12" t="s">
        <v>518</v>
      </c>
      <c r="D650" s="11" t="s">
        <v>274</v>
      </c>
      <c r="E650" s="12" t="s">
        <v>147</v>
      </c>
      <c r="F650" s="12" t="s">
        <v>33</v>
      </c>
      <c r="G650" s="12">
        <v>8</v>
      </c>
      <c r="H650" s="13">
        <v>0.26024305555555555</v>
      </c>
      <c r="I650" s="13">
        <v>4.2488425925925923E-2</v>
      </c>
      <c r="J650" s="13">
        <v>5.3110532407407403E-3</v>
      </c>
      <c r="K650" s="13">
        <v>4.1712962962962966E-2</v>
      </c>
      <c r="L650" s="14">
        <v>0.16028463420057817</v>
      </c>
      <c r="M650" s="12" t="s">
        <v>334</v>
      </c>
      <c r="N650" s="13">
        <v>1.8518518518518519E-3</v>
      </c>
      <c r="O650" s="13">
        <v>1.2800925925925926E-2</v>
      </c>
      <c r="P650" s="13"/>
      <c r="Q650" s="13">
        <v>4.4560185185185189E-3</v>
      </c>
      <c r="R650" s="13">
        <v>5.3819444444444444E-3</v>
      </c>
      <c r="S650" s="13">
        <v>1.5613425925925926E-2</v>
      </c>
      <c r="T650" s="13">
        <v>6.9444444444444447E-4</v>
      </c>
      <c r="U650" s="13">
        <v>8.7962962962962962E-4</v>
      </c>
      <c r="V650" s="13"/>
      <c r="W650" s="13"/>
    </row>
    <row r="651" spans="1:23" ht="15" customHeight="1" x14ac:dyDescent="0.25">
      <c r="A651" s="19">
        <v>46242</v>
      </c>
      <c r="B651" s="11" t="s">
        <v>683</v>
      </c>
      <c r="C651" s="12" t="s">
        <v>684</v>
      </c>
      <c r="D651" s="11" t="s">
        <v>233</v>
      </c>
      <c r="E651" s="12" t="s">
        <v>32</v>
      </c>
      <c r="F651" s="12" t="s">
        <v>106</v>
      </c>
      <c r="G651" s="12">
        <v>19</v>
      </c>
      <c r="H651" s="13">
        <v>0.26332175925925927</v>
      </c>
      <c r="I651" s="13">
        <v>5.4884259259259258E-2</v>
      </c>
      <c r="J651" s="13">
        <v>2.8886452241715399E-3</v>
      </c>
      <c r="K651" s="13">
        <v>3.7222222222222219E-2</v>
      </c>
      <c r="L651" s="14">
        <v>0.14135642389345521</v>
      </c>
      <c r="M651" s="12" t="s">
        <v>334</v>
      </c>
      <c r="N651" s="13">
        <v>7.1180555555555554E-3</v>
      </c>
      <c r="O651" s="13">
        <v>1.5706018518518518E-2</v>
      </c>
      <c r="P651" s="13"/>
      <c r="Q651" s="13"/>
      <c r="R651" s="13"/>
      <c r="S651" s="13">
        <v>1.2465277777777778E-2</v>
      </c>
      <c r="T651" s="13">
        <v>1.6203703703703703E-3</v>
      </c>
      <c r="U651" s="13">
        <v>3.1250000000000001E-4</v>
      </c>
      <c r="V651" s="13"/>
      <c r="W651" s="13"/>
    </row>
    <row r="652" spans="1:23" ht="15" customHeight="1" x14ac:dyDescent="0.25">
      <c r="A652" s="19">
        <v>46242</v>
      </c>
      <c r="B652" s="11" t="s">
        <v>653</v>
      </c>
      <c r="C652" s="12" t="s">
        <v>654</v>
      </c>
      <c r="D652" s="11" t="s">
        <v>100</v>
      </c>
      <c r="E652" s="12" t="s">
        <v>32</v>
      </c>
      <c r="F652" s="12" t="s">
        <v>33</v>
      </c>
      <c r="G652" s="12">
        <v>21</v>
      </c>
      <c r="H652" s="13">
        <v>0.25611111111111112</v>
      </c>
      <c r="I652" s="13">
        <v>0.10456018518518519</v>
      </c>
      <c r="J652" s="13">
        <v>4.979056437389771E-3</v>
      </c>
      <c r="K652" s="13">
        <v>7.4606481481481482E-2</v>
      </c>
      <c r="L652" s="14">
        <v>0.29130513376717282</v>
      </c>
      <c r="M652" s="12" t="s">
        <v>334</v>
      </c>
      <c r="N652" s="13">
        <v>6.5393518518518517E-3</v>
      </c>
      <c r="O652" s="13">
        <v>1.474537037037037E-2</v>
      </c>
      <c r="P652" s="13"/>
      <c r="Q652" s="13"/>
      <c r="R652" s="13">
        <v>1.8564814814814815E-2</v>
      </c>
      <c r="S652" s="13">
        <v>1.457175925925926E-2</v>
      </c>
      <c r="T652" s="13">
        <v>2.7777777777777778E-4</v>
      </c>
      <c r="U652" s="13">
        <v>1.9675925925925924E-3</v>
      </c>
      <c r="V652" s="13"/>
      <c r="W652" s="13">
        <v>1.7847222222222223E-2</v>
      </c>
    </row>
    <row r="653" spans="1:23" ht="15" customHeight="1" x14ac:dyDescent="0.25">
      <c r="A653" s="19">
        <v>46242</v>
      </c>
      <c r="B653" s="11" t="s">
        <v>52</v>
      </c>
      <c r="C653" s="12" t="s">
        <v>509</v>
      </c>
      <c r="D653" s="11" t="s">
        <v>100</v>
      </c>
      <c r="E653" s="12" t="s">
        <v>32</v>
      </c>
      <c r="F653" s="12" t="s">
        <v>33</v>
      </c>
      <c r="G653" s="12">
        <v>0</v>
      </c>
      <c r="H653" s="13">
        <v>0.19811342592592593</v>
      </c>
      <c r="I653" s="13">
        <v>0</v>
      </c>
      <c r="J653" s="13">
        <v>0</v>
      </c>
      <c r="K653" s="13">
        <v>0.19811342592592593</v>
      </c>
      <c r="L653" s="14">
        <v>1</v>
      </c>
      <c r="M653" s="12" t="s">
        <v>334</v>
      </c>
      <c r="N653" s="13">
        <v>2.9502314814814815E-2</v>
      </c>
      <c r="O653" s="13">
        <v>1.4363425925925925E-2</v>
      </c>
      <c r="P653" s="13"/>
      <c r="Q653" s="13"/>
      <c r="R653" s="13"/>
      <c r="S653" s="13"/>
      <c r="T653" s="13">
        <v>3.3680555555555556E-3</v>
      </c>
      <c r="U653" s="13"/>
      <c r="V653" s="13"/>
      <c r="W653" s="13">
        <v>0.15087962962962964</v>
      </c>
    </row>
    <row r="654" spans="1:23" ht="15" customHeight="1" x14ac:dyDescent="0.25">
      <c r="A654" s="19">
        <v>46242</v>
      </c>
      <c r="B654" s="11" t="s">
        <v>655</v>
      </c>
      <c r="C654" s="12" t="s">
        <v>656</v>
      </c>
      <c r="D654" s="11" t="s">
        <v>100</v>
      </c>
      <c r="E654" s="12" t="s">
        <v>32</v>
      </c>
      <c r="F654" s="12" t="s">
        <v>33</v>
      </c>
      <c r="G654" s="12">
        <v>22</v>
      </c>
      <c r="H654" s="13">
        <v>0.25866898148148149</v>
      </c>
      <c r="I654" s="13">
        <v>9.6701388888888892E-2</v>
      </c>
      <c r="J654" s="13">
        <v>4.3955176767676773E-3</v>
      </c>
      <c r="K654" s="13">
        <v>4.8020833333333332E-2</v>
      </c>
      <c r="L654" s="14">
        <v>0.18564589019642935</v>
      </c>
      <c r="M654" s="12" t="s">
        <v>334</v>
      </c>
      <c r="N654" s="13">
        <v>4.2476851851851851E-3</v>
      </c>
      <c r="O654" s="13">
        <v>1.4386574074074074E-2</v>
      </c>
      <c r="P654" s="13"/>
      <c r="Q654" s="13"/>
      <c r="R654" s="13">
        <v>3.0092592592592593E-3</v>
      </c>
      <c r="S654" s="13">
        <v>1.3564814814814814E-2</v>
      </c>
      <c r="T654" s="13">
        <v>7.291666666666667E-4</v>
      </c>
      <c r="U654" s="13">
        <v>1.2847222222222223E-3</v>
      </c>
      <c r="V654" s="13"/>
      <c r="W654" s="13">
        <v>1.0775462962962962E-2</v>
      </c>
    </row>
    <row r="655" spans="1:23" ht="15" customHeight="1" x14ac:dyDescent="0.25">
      <c r="A655" s="19">
        <v>46242</v>
      </c>
      <c r="B655" s="11" t="s">
        <v>657</v>
      </c>
      <c r="C655" s="12" t="s">
        <v>658</v>
      </c>
      <c r="D655" s="11" t="s">
        <v>274</v>
      </c>
      <c r="E655" s="12" t="s">
        <v>147</v>
      </c>
      <c r="F655" s="12" t="s">
        <v>33</v>
      </c>
      <c r="G655" s="12">
        <v>5</v>
      </c>
      <c r="H655" s="13">
        <v>0.26283564814814814</v>
      </c>
      <c r="I655" s="13">
        <v>1.4594907407407407E-2</v>
      </c>
      <c r="J655" s="13">
        <v>2.9189814814814816E-3</v>
      </c>
      <c r="K655" s="13">
        <v>6.3368055555555552E-2</v>
      </c>
      <c r="L655" s="14">
        <v>0.24109383944691531</v>
      </c>
      <c r="M655" s="12" t="s">
        <v>334</v>
      </c>
      <c r="N655" s="13">
        <v>7.3611111111111108E-3</v>
      </c>
      <c r="O655" s="13"/>
      <c r="P655" s="13"/>
      <c r="Q655" s="13"/>
      <c r="R655" s="13">
        <v>5.1655092592592593E-2</v>
      </c>
      <c r="S655" s="13"/>
      <c r="T655" s="13">
        <v>2.6620370370370372E-4</v>
      </c>
      <c r="U655" s="13">
        <v>3.6226851851851854E-3</v>
      </c>
      <c r="V655" s="13"/>
      <c r="W655" s="13"/>
    </row>
    <row r="656" spans="1:23" ht="15" customHeight="1" x14ac:dyDescent="0.25">
      <c r="A656" s="19">
        <v>46242</v>
      </c>
      <c r="B656" s="11" t="s">
        <v>166</v>
      </c>
      <c r="C656" s="12" t="s">
        <v>167</v>
      </c>
      <c r="D656" s="11" t="s">
        <v>146</v>
      </c>
      <c r="E656" s="12" t="s">
        <v>147</v>
      </c>
      <c r="F656" s="12" t="s">
        <v>106</v>
      </c>
      <c r="G656" s="12">
        <v>12</v>
      </c>
      <c r="H656" s="13">
        <v>0.25516203703703705</v>
      </c>
      <c r="I656" s="13">
        <v>2.960648148148148E-2</v>
      </c>
      <c r="J656" s="13">
        <v>2.4672067901234567E-3</v>
      </c>
      <c r="K656" s="13">
        <v>4.0069444444444442E-2</v>
      </c>
      <c r="L656" s="14">
        <v>0.15703528984849857</v>
      </c>
      <c r="M656" s="12" t="s">
        <v>334</v>
      </c>
      <c r="N656" s="13">
        <v>1.1828703703703704E-2</v>
      </c>
      <c r="O656" s="13">
        <v>7.5578703703703702E-3</v>
      </c>
      <c r="P656" s="13"/>
      <c r="Q656" s="13">
        <v>6.2384259259259259E-3</v>
      </c>
      <c r="R656" s="13"/>
      <c r="S656" s="13">
        <v>1.4375000000000001E-2</v>
      </c>
      <c r="T656" s="13">
        <v>6.9444444444444444E-5</v>
      </c>
      <c r="U656" s="13"/>
      <c r="V656" s="13"/>
      <c r="W656" s="13"/>
    </row>
    <row r="657" spans="1:23" ht="15" customHeight="1" x14ac:dyDescent="0.25">
      <c r="A657" s="19">
        <v>46242</v>
      </c>
      <c r="B657" s="11" t="s">
        <v>659</v>
      </c>
      <c r="C657" s="12" t="s">
        <v>660</v>
      </c>
      <c r="D657" s="11" t="s">
        <v>100</v>
      </c>
      <c r="E657" s="12" t="s">
        <v>32</v>
      </c>
      <c r="F657" s="12" t="s">
        <v>33</v>
      </c>
      <c r="G657" s="12">
        <v>1</v>
      </c>
      <c r="H657" s="13">
        <v>0.20329861111111111</v>
      </c>
      <c r="I657" s="13">
        <v>1.4236111111111112E-3</v>
      </c>
      <c r="J657" s="13">
        <v>1.4236111111111112E-3</v>
      </c>
      <c r="K657" s="13">
        <v>0.19465277777777779</v>
      </c>
      <c r="L657" s="14">
        <v>0.957472245943638</v>
      </c>
      <c r="M657" s="12" t="s">
        <v>334</v>
      </c>
      <c r="N657" s="13">
        <v>3.6921296296296299E-2</v>
      </c>
      <c r="O657" s="13"/>
      <c r="P657" s="13"/>
      <c r="Q657" s="13"/>
      <c r="R657" s="13"/>
      <c r="S657" s="13">
        <v>3.5416666666666665E-3</v>
      </c>
      <c r="T657" s="13">
        <v>7.0601851851851847E-4</v>
      </c>
      <c r="U657" s="13">
        <v>1.5046296296296297E-4</v>
      </c>
      <c r="V657" s="13"/>
      <c r="W657" s="13">
        <v>0.15333333333333332</v>
      </c>
    </row>
    <row r="658" spans="1:23" ht="15" customHeight="1" x14ac:dyDescent="0.25">
      <c r="A658" s="19">
        <v>46242</v>
      </c>
      <c r="B658" s="11" t="s">
        <v>254</v>
      </c>
      <c r="C658" s="12" t="s">
        <v>528</v>
      </c>
      <c r="D658" s="11" t="s">
        <v>233</v>
      </c>
      <c r="E658" s="12" t="s">
        <v>32</v>
      </c>
      <c r="F658" s="12" t="s">
        <v>106</v>
      </c>
      <c r="G658" s="12">
        <v>13</v>
      </c>
      <c r="H658" s="13">
        <v>0.25268518518518518</v>
      </c>
      <c r="I658" s="13">
        <v>5.9282407407407409E-2</v>
      </c>
      <c r="J658" s="13">
        <v>4.5601851851851853E-3</v>
      </c>
      <c r="K658" s="13">
        <v>4.6238425925925926E-2</v>
      </c>
      <c r="L658" s="14">
        <v>0.18298827409307439</v>
      </c>
      <c r="M658" s="12" t="s">
        <v>334</v>
      </c>
      <c r="N658" s="13">
        <v>1.3599537037037037E-2</v>
      </c>
      <c r="O658" s="13">
        <v>1.4201388888888888E-2</v>
      </c>
      <c r="P658" s="13"/>
      <c r="Q658" s="13"/>
      <c r="R658" s="13"/>
      <c r="S658" s="13">
        <v>1.5185185185185185E-2</v>
      </c>
      <c r="T658" s="13">
        <v>8.9120370370370373E-4</v>
      </c>
      <c r="U658" s="13">
        <v>2.3379629629629631E-3</v>
      </c>
      <c r="V658" s="13"/>
      <c r="W658" s="13"/>
    </row>
    <row r="659" spans="1:23" ht="15" customHeight="1" x14ac:dyDescent="0.25">
      <c r="A659" s="19">
        <v>46242</v>
      </c>
      <c r="B659" s="11" t="s">
        <v>201</v>
      </c>
      <c r="C659" s="12" t="s">
        <v>545</v>
      </c>
      <c r="D659" s="11" t="s">
        <v>601</v>
      </c>
      <c r="E659" s="12" t="s">
        <v>600</v>
      </c>
      <c r="F659" s="12" t="s">
        <v>33</v>
      </c>
      <c r="G659" s="12">
        <v>19</v>
      </c>
      <c r="H659" s="13">
        <v>0.22131944444444446</v>
      </c>
      <c r="I659" s="13">
        <v>7.3715277777777782E-2</v>
      </c>
      <c r="J659" s="13">
        <v>3.8797514619883042E-3</v>
      </c>
      <c r="K659" s="13">
        <v>3.9872685185185185E-2</v>
      </c>
      <c r="L659" s="14">
        <v>0.18015897918627757</v>
      </c>
      <c r="M659" s="12" t="s">
        <v>334</v>
      </c>
      <c r="N659" s="13">
        <v>2.662037037037037E-3</v>
      </c>
      <c r="O659" s="13">
        <v>1.2719907407407407E-2</v>
      </c>
      <c r="P659" s="13">
        <v>1.8113425925925925E-2</v>
      </c>
      <c r="Q659" s="13">
        <v>2.8009259259259259E-3</v>
      </c>
      <c r="R659" s="13"/>
      <c r="S659" s="13"/>
      <c r="T659" s="13">
        <v>3.5069444444444445E-3</v>
      </c>
      <c r="U659" s="13">
        <v>6.9444444444444444E-5</v>
      </c>
      <c r="V659" s="13"/>
      <c r="W659" s="13"/>
    </row>
    <row r="660" spans="1:23" ht="15" customHeight="1" x14ac:dyDescent="0.25">
      <c r="A660" s="19">
        <v>46242</v>
      </c>
      <c r="B660" s="11" t="s">
        <v>168</v>
      </c>
      <c r="C660" s="12" t="s">
        <v>520</v>
      </c>
      <c r="D660" s="11" t="s">
        <v>274</v>
      </c>
      <c r="E660" s="12" t="s">
        <v>147</v>
      </c>
      <c r="F660" s="12" t="s">
        <v>33</v>
      </c>
      <c r="G660" s="12">
        <v>9</v>
      </c>
      <c r="H660" s="13">
        <v>0.2645601851851852</v>
      </c>
      <c r="I660" s="13">
        <v>4.9953703703703702E-2</v>
      </c>
      <c r="J660" s="13">
        <v>5.5504115226337443E-3</v>
      </c>
      <c r="K660" s="13">
        <v>3.7465277777777778E-2</v>
      </c>
      <c r="L660" s="14">
        <v>0.1416134394960189</v>
      </c>
      <c r="M660" s="12" t="s">
        <v>334</v>
      </c>
      <c r="N660" s="13">
        <v>6.4467592592592588E-3</v>
      </c>
      <c r="O660" s="13">
        <v>7.2222222222222219E-3</v>
      </c>
      <c r="P660" s="13"/>
      <c r="Q660" s="13"/>
      <c r="R660" s="13">
        <v>2.2847222222222224E-2</v>
      </c>
      <c r="S660" s="13"/>
      <c r="T660" s="13">
        <v>3.2407407407407406E-4</v>
      </c>
      <c r="U660" s="13">
        <v>5.9027777777777778E-4</v>
      </c>
      <c r="V660" s="13"/>
      <c r="W660" s="13"/>
    </row>
    <row r="661" spans="1:23" ht="15" customHeight="1" x14ac:dyDescent="0.25">
      <c r="A661" s="19">
        <v>46242</v>
      </c>
      <c r="B661" s="11" t="s">
        <v>170</v>
      </c>
      <c r="C661" s="12" t="s">
        <v>521</v>
      </c>
      <c r="D661" s="11" t="s">
        <v>146</v>
      </c>
      <c r="E661" s="12" t="s">
        <v>147</v>
      </c>
      <c r="F661" s="12" t="s">
        <v>106</v>
      </c>
      <c r="G661" s="12">
        <v>8</v>
      </c>
      <c r="H661" s="13">
        <v>0.26277777777777778</v>
      </c>
      <c r="I661" s="13">
        <v>4.0914351851851855E-2</v>
      </c>
      <c r="J661" s="13">
        <v>5.1142939814814818E-3</v>
      </c>
      <c r="K661" s="13">
        <v>5.3252314814814815E-2</v>
      </c>
      <c r="L661" s="14">
        <v>0.20265151515151517</v>
      </c>
      <c r="M661" s="12" t="s">
        <v>334</v>
      </c>
      <c r="N661" s="13">
        <v>6.7013888888888887E-3</v>
      </c>
      <c r="O661" s="13">
        <v>2.2534722222222223E-2</v>
      </c>
      <c r="P661" s="13"/>
      <c r="Q661" s="13">
        <v>5.6365740740740742E-3</v>
      </c>
      <c r="R661" s="13"/>
      <c r="S661" s="13">
        <v>1.5231481481481481E-2</v>
      </c>
      <c r="T661" s="13">
        <v>5.7870370370370373E-5</v>
      </c>
      <c r="U661" s="13">
        <v>3.0324074074074073E-3</v>
      </c>
      <c r="V661" s="13"/>
      <c r="W661" s="13"/>
    </row>
    <row r="662" spans="1:23" ht="15" customHeight="1" x14ac:dyDescent="0.25">
      <c r="A662" s="19">
        <v>46242</v>
      </c>
      <c r="B662" s="11" t="s">
        <v>293</v>
      </c>
      <c r="C662" s="12" t="s">
        <v>543</v>
      </c>
      <c r="D662" s="11" t="s">
        <v>104</v>
      </c>
      <c r="E662" s="12" t="s">
        <v>600</v>
      </c>
      <c r="F662" s="12" t="s">
        <v>106</v>
      </c>
      <c r="G662" s="12">
        <v>35</v>
      </c>
      <c r="H662" s="13">
        <v>0.22918981481481482</v>
      </c>
      <c r="I662" s="13">
        <v>4.7094907407407405E-2</v>
      </c>
      <c r="J662" s="13">
        <v>1.3455687830687829E-3</v>
      </c>
      <c r="K662" s="13">
        <v>0.13869212962962962</v>
      </c>
      <c r="L662" s="14">
        <v>0.60514089485910505</v>
      </c>
      <c r="M662" s="12" t="s">
        <v>334</v>
      </c>
      <c r="N662" s="13">
        <v>1.6145833333333335E-2</v>
      </c>
      <c r="O662" s="13">
        <v>2.1296296296296296E-2</v>
      </c>
      <c r="P662" s="13"/>
      <c r="Q662" s="13"/>
      <c r="R662" s="13"/>
      <c r="S662" s="13">
        <v>1.5879629629629629E-2</v>
      </c>
      <c r="T662" s="13">
        <v>1.6203703703703703E-4</v>
      </c>
      <c r="U662" s="13">
        <v>6.9444444444444444E-5</v>
      </c>
      <c r="V662" s="13"/>
      <c r="W662" s="13">
        <v>8.5138888888888889E-2</v>
      </c>
    </row>
    <row r="663" spans="1:23" ht="15" customHeight="1" x14ac:dyDescent="0.25">
      <c r="A663" s="19">
        <v>46242</v>
      </c>
      <c r="B663" s="11" t="s">
        <v>606</v>
      </c>
      <c r="C663" s="12" t="s">
        <v>633</v>
      </c>
      <c r="D663" s="11" t="s">
        <v>146</v>
      </c>
      <c r="E663" s="12" t="s">
        <v>147</v>
      </c>
      <c r="F663" s="12" t="s">
        <v>106</v>
      </c>
      <c r="G663" s="12">
        <v>5</v>
      </c>
      <c r="H663" s="13">
        <v>0.2618287037037037</v>
      </c>
      <c r="I663" s="13">
        <v>5.6377314814814818E-2</v>
      </c>
      <c r="J663" s="13">
        <v>1.1275462962962963E-2</v>
      </c>
      <c r="K663" s="13">
        <v>6.4861111111111105E-2</v>
      </c>
      <c r="L663" s="14">
        <v>0.2477234550437627</v>
      </c>
      <c r="M663" s="12" t="s">
        <v>334</v>
      </c>
      <c r="N663" s="13">
        <v>2.3101851851851853E-2</v>
      </c>
      <c r="O663" s="13">
        <v>1.3784722222222223E-2</v>
      </c>
      <c r="P663" s="13"/>
      <c r="Q663" s="13"/>
      <c r="R663" s="13"/>
      <c r="S663" s="13">
        <v>1.4189814814814815E-2</v>
      </c>
      <c r="T663" s="13">
        <v>5.2083333333333333E-4</v>
      </c>
      <c r="U663" s="13">
        <v>1.3194444444444444E-2</v>
      </c>
      <c r="V663" s="13"/>
      <c r="W663" s="13"/>
    </row>
    <row r="664" spans="1:23" ht="15" customHeight="1" x14ac:dyDescent="0.25">
      <c r="A664" s="19">
        <v>46242</v>
      </c>
      <c r="B664" s="11" t="s">
        <v>256</v>
      </c>
      <c r="C664" s="12" t="s">
        <v>529</v>
      </c>
      <c r="D664" s="11" t="s">
        <v>233</v>
      </c>
      <c r="E664" s="12" t="s">
        <v>32</v>
      </c>
      <c r="F664" s="12" t="s">
        <v>106</v>
      </c>
      <c r="G664" s="12">
        <v>14</v>
      </c>
      <c r="H664" s="13">
        <v>0.22844907407407408</v>
      </c>
      <c r="I664" s="13">
        <v>6.643518518518518E-2</v>
      </c>
      <c r="J664" s="13">
        <v>4.7453703703703703E-3</v>
      </c>
      <c r="K664" s="13">
        <v>3.8877314814814816E-2</v>
      </c>
      <c r="L664" s="14">
        <v>0.17017934947816396</v>
      </c>
      <c r="M664" s="12" t="s">
        <v>334</v>
      </c>
      <c r="N664" s="13">
        <v>4.8032407407407407E-3</v>
      </c>
      <c r="O664" s="13">
        <v>1.5729166666666666E-2</v>
      </c>
      <c r="P664" s="13"/>
      <c r="Q664" s="13"/>
      <c r="R664" s="13"/>
      <c r="S664" s="13">
        <v>1.4444444444444444E-2</v>
      </c>
      <c r="T664" s="13">
        <v>4.3981481481481481E-4</v>
      </c>
      <c r="U664" s="13">
        <v>3.425925925925926E-3</v>
      </c>
      <c r="V664" s="13"/>
      <c r="W664" s="13"/>
    </row>
    <row r="665" spans="1:23" ht="15" customHeight="1" x14ac:dyDescent="0.25">
      <c r="A665" s="19">
        <v>46242</v>
      </c>
      <c r="B665" s="11" t="s">
        <v>258</v>
      </c>
      <c r="C665" s="12" t="s">
        <v>554</v>
      </c>
      <c r="D665" s="11" t="s">
        <v>233</v>
      </c>
      <c r="E665" s="12" t="s">
        <v>32</v>
      </c>
      <c r="F665" s="12" t="s">
        <v>106</v>
      </c>
      <c r="G665" s="12">
        <v>4</v>
      </c>
      <c r="H665" s="13">
        <v>0.22621527777777778</v>
      </c>
      <c r="I665" s="13">
        <v>6.5729166666666672E-2</v>
      </c>
      <c r="J665" s="13">
        <v>1.6432291666666668E-2</v>
      </c>
      <c r="K665" s="13">
        <v>0.15033564814814815</v>
      </c>
      <c r="L665" s="14">
        <v>0.66456894346380146</v>
      </c>
      <c r="M665" s="12" t="s">
        <v>334</v>
      </c>
      <c r="N665" s="13"/>
      <c r="O665" s="13"/>
      <c r="P665" s="13"/>
      <c r="Q665" s="13"/>
      <c r="R665" s="13"/>
      <c r="S665" s="13">
        <v>1.3460648148148149E-2</v>
      </c>
      <c r="T665" s="13">
        <v>1.3888888888888889E-4</v>
      </c>
      <c r="U665" s="13"/>
      <c r="V665" s="13"/>
      <c r="W665" s="13">
        <v>0.13673611111111111</v>
      </c>
    </row>
    <row r="666" spans="1:23" ht="15" customHeight="1" x14ac:dyDescent="0.25">
      <c r="A666" s="19">
        <v>46242</v>
      </c>
      <c r="B666" s="11" t="s">
        <v>661</v>
      </c>
      <c r="C666" s="12" t="s">
        <v>662</v>
      </c>
      <c r="D666" s="11" t="s">
        <v>100</v>
      </c>
      <c r="E666" s="12" t="s">
        <v>32</v>
      </c>
      <c r="F666" s="12" t="s">
        <v>33</v>
      </c>
      <c r="G666" s="12">
        <v>20</v>
      </c>
      <c r="H666" s="13">
        <v>0.25841435185185185</v>
      </c>
      <c r="I666" s="13">
        <v>9.7569444444444445E-2</v>
      </c>
      <c r="J666" s="13">
        <v>4.8784722222222224E-3</v>
      </c>
      <c r="K666" s="13">
        <v>6.6250000000000003E-2</v>
      </c>
      <c r="L666" s="14">
        <v>0.25637120974604738</v>
      </c>
      <c r="M666" s="12" t="s">
        <v>334</v>
      </c>
      <c r="N666" s="13">
        <v>4.5833333333333334E-3</v>
      </c>
      <c r="O666" s="13">
        <v>1.923611111111111E-2</v>
      </c>
      <c r="P666" s="13"/>
      <c r="Q666" s="13"/>
      <c r="R666" s="13">
        <v>4.0277777777777777E-3</v>
      </c>
      <c r="S666" s="13">
        <v>3.2222222222222222E-2</v>
      </c>
      <c r="T666" s="13">
        <v>3.5995370370370369E-3</v>
      </c>
      <c r="U666" s="13">
        <v>2.5115740740740741E-3</v>
      </c>
      <c r="V666" s="13"/>
      <c r="W666" s="13"/>
    </row>
    <row r="667" spans="1:23" ht="15" customHeight="1" x14ac:dyDescent="0.25">
      <c r="A667" s="19">
        <v>46242</v>
      </c>
      <c r="B667" s="11" t="s">
        <v>663</v>
      </c>
      <c r="C667" s="12" t="s">
        <v>664</v>
      </c>
      <c r="D667" s="11" t="s">
        <v>233</v>
      </c>
      <c r="E667" s="12" t="s">
        <v>32</v>
      </c>
      <c r="F667" s="12" t="s">
        <v>106</v>
      </c>
      <c r="G667" s="12">
        <v>17</v>
      </c>
      <c r="H667" s="13">
        <v>0.25994212962962965</v>
      </c>
      <c r="I667" s="13">
        <v>9.5474537037037038E-2</v>
      </c>
      <c r="J667" s="13">
        <v>5.6161492374727671E-3</v>
      </c>
      <c r="K667" s="13">
        <v>3.1458333333333331E-2</v>
      </c>
      <c r="L667" s="14">
        <v>0.12102052629235494</v>
      </c>
      <c r="M667" s="12" t="s">
        <v>334</v>
      </c>
      <c r="N667" s="13">
        <v>2.4421296296296296E-3</v>
      </c>
      <c r="O667" s="13">
        <v>1.3182870370370371E-2</v>
      </c>
      <c r="P667" s="13"/>
      <c r="Q667" s="13"/>
      <c r="R667" s="13"/>
      <c r="S667" s="13">
        <v>1.5682870370370371E-2</v>
      </c>
      <c r="T667" s="13">
        <v>6.9444444444444444E-5</v>
      </c>
      <c r="U667" s="13">
        <v>8.1018518518518516E-5</v>
      </c>
      <c r="V667" s="13"/>
      <c r="W667" s="13"/>
    </row>
    <row r="668" spans="1:23" ht="15" customHeight="1" x14ac:dyDescent="0.25">
      <c r="A668" s="19">
        <v>46242</v>
      </c>
      <c r="B668" s="11" t="s">
        <v>203</v>
      </c>
      <c r="C668" s="12" t="s">
        <v>565</v>
      </c>
      <c r="D668" s="11" t="s">
        <v>601</v>
      </c>
      <c r="E668" s="12" t="s">
        <v>105</v>
      </c>
      <c r="F668" s="12" t="s">
        <v>33</v>
      </c>
      <c r="G668" s="12">
        <v>1</v>
      </c>
      <c r="H668" s="13">
        <v>0.19206018518518519</v>
      </c>
      <c r="I668" s="13">
        <v>2.3703703703703703E-2</v>
      </c>
      <c r="J668" s="13">
        <v>2.3703703703703703E-2</v>
      </c>
      <c r="K668" s="13">
        <v>0.18138888888888888</v>
      </c>
      <c r="L668" s="14">
        <v>0.94443774858382534</v>
      </c>
      <c r="M668" s="12" t="s">
        <v>334</v>
      </c>
      <c r="N668" s="13"/>
      <c r="O668" s="13">
        <v>1.787037037037037E-2</v>
      </c>
      <c r="P668" s="13"/>
      <c r="Q668" s="13"/>
      <c r="R668" s="13"/>
      <c r="S668" s="13">
        <v>1.2141203703703704E-2</v>
      </c>
      <c r="T668" s="13">
        <v>2.9745370370370373E-3</v>
      </c>
      <c r="U668" s="13">
        <v>0.11680555555555555</v>
      </c>
      <c r="V668" s="13"/>
      <c r="W668" s="13">
        <v>3.1597222222222221E-2</v>
      </c>
    </row>
    <row r="669" spans="1:23" ht="15" customHeight="1" x14ac:dyDescent="0.25">
      <c r="A669" s="19">
        <v>46242</v>
      </c>
      <c r="B669" s="11" t="s">
        <v>665</v>
      </c>
      <c r="C669" s="12" t="s">
        <v>666</v>
      </c>
      <c r="D669" s="11" t="s">
        <v>100</v>
      </c>
      <c r="E669" s="12" t="s">
        <v>32</v>
      </c>
      <c r="F669" s="12" t="s">
        <v>33</v>
      </c>
      <c r="G669" s="12">
        <v>26</v>
      </c>
      <c r="H669" s="13">
        <v>0.25166666666666665</v>
      </c>
      <c r="I669" s="13">
        <v>0.14269675925925926</v>
      </c>
      <c r="J669" s="13">
        <v>5.4883368945868949E-3</v>
      </c>
      <c r="K669" s="13">
        <v>4.9155092592592591E-2</v>
      </c>
      <c r="L669" s="14">
        <v>0.19531824871228845</v>
      </c>
      <c r="M669" s="12" t="s">
        <v>334</v>
      </c>
      <c r="N669" s="13">
        <v>1.724537037037037E-3</v>
      </c>
      <c r="O669" s="13">
        <v>1.6886574074074075E-2</v>
      </c>
      <c r="P669" s="13"/>
      <c r="Q669" s="13"/>
      <c r="R669" s="13">
        <v>1.3518518518518518E-2</v>
      </c>
      <c r="S669" s="13"/>
      <c r="T669" s="13">
        <v>3.2407407407407406E-4</v>
      </c>
      <c r="U669" s="13">
        <v>2.0370370370370369E-3</v>
      </c>
      <c r="V669" s="13"/>
      <c r="W669" s="13">
        <v>1.4618055555555556E-2</v>
      </c>
    </row>
    <row r="670" spans="1:23" ht="15" customHeight="1" x14ac:dyDescent="0.25">
      <c r="A670" s="19">
        <v>46242</v>
      </c>
      <c r="B670" s="11" t="s">
        <v>264</v>
      </c>
      <c r="C670" s="12" t="s">
        <v>530</v>
      </c>
      <c r="D670" s="11" t="s">
        <v>78</v>
      </c>
      <c r="E670" s="12" t="s">
        <v>80</v>
      </c>
      <c r="F670" s="12" t="s">
        <v>106</v>
      </c>
      <c r="G670" s="12">
        <v>0</v>
      </c>
      <c r="H670" s="13">
        <v>0.38004629629629627</v>
      </c>
      <c r="I670" s="13">
        <v>0</v>
      </c>
      <c r="J670" s="13">
        <v>0</v>
      </c>
      <c r="K670" s="13">
        <v>0.37874999999999998</v>
      </c>
      <c r="L670" s="14">
        <v>0.99658910951394808</v>
      </c>
      <c r="M670" s="12" t="s">
        <v>333</v>
      </c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ht="15" customHeight="1" x14ac:dyDescent="0.25">
      <c r="A671" s="19">
        <v>46242</v>
      </c>
      <c r="B671" s="11" t="s">
        <v>128</v>
      </c>
      <c r="C671" s="12" t="s">
        <v>555</v>
      </c>
      <c r="D671" s="11" t="s">
        <v>233</v>
      </c>
      <c r="E671" s="12" t="s">
        <v>32</v>
      </c>
      <c r="F671" s="12" t="s">
        <v>106</v>
      </c>
      <c r="G671" s="12">
        <v>17</v>
      </c>
      <c r="H671" s="13">
        <v>0.24747685185185186</v>
      </c>
      <c r="I671" s="13">
        <v>7.1423611111111104E-2</v>
      </c>
      <c r="J671" s="13">
        <v>4.2013888888888882E-3</v>
      </c>
      <c r="K671" s="13">
        <v>7.2974537037037032E-2</v>
      </c>
      <c r="L671" s="14">
        <v>0.29487419324665604</v>
      </c>
      <c r="M671" s="12" t="s">
        <v>334</v>
      </c>
      <c r="N671" s="13">
        <v>3.2233796296296295E-2</v>
      </c>
      <c r="O671" s="13">
        <v>2.2546296296296297E-2</v>
      </c>
      <c r="P671" s="13"/>
      <c r="Q671" s="13"/>
      <c r="R671" s="13"/>
      <c r="S671" s="13">
        <v>1.6550925925925927E-2</v>
      </c>
      <c r="T671" s="13">
        <v>1.3888888888888889E-3</v>
      </c>
      <c r="U671" s="13">
        <v>2.3148148148148149E-4</v>
      </c>
      <c r="V671" s="13"/>
      <c r="W671" s="13"/>
    </row>
    <row r="672" spans="1:23" ht="15" customHeight="1" x14ac:dyDescent="0.25">
      <c r="A672" s="19">
        <v>46242</v>
      </c>
      <c r="B672" s="11" t="s">
        <v>178</v>
      </c>
      <c r="C672" s="12" t="s">
        <v>522</v>
      </c>
      <c r="D672" s="11" t="s">
        <v>146</v>
      </c>
      <c r="E672" s="12" t="s">
        <v>147</v>
      </c>
      <c r="F672" s="12" t="s">
        <v>106</v>
      </c>
      <c r="G672" s="12">
        <v>7</v>
      </c>
      <c r="H672" s="13">
        <v>0.26156249999999998</v>
      </c>
      <c r="I672" s="13">
        <v>7.856481481481481E-2</v>
      </c>
      <c r="J672" s="13">
        <v>1.1223544973544972E-2</v>
      </c>
      <c r="K672" s="13">
        <v>3.6319444444444446E-2</v>
      </c>
      <c r="L672" s="14">
        <v>0.13885570157971594</v>
      </c>
      <c r="M672" s="12" t="s">
        <v>334</v>
      </c>
      <c r="N672" s="13">
        <v>3.9236111111111112E-3</v>
      </c>
      <c r="O672" s="13">
        <v>1.5520833333333333E-2</v>
      </c>
      <c r="P672" s="13"/>
      <c r="Q672" s="13"/>
      <c r="R672" s="13"/>
      <c r="S672" s="13">
        <v>1.5613425925925926E-2</v>
      </c>
      <c r="T672" s="13">
        <v>1.0416666666666667E-4</v>
      </c>
      <c r="U672" s="13">
        <v>1.1226851851851851E-3</v>
      </c>
      <c r="V672" s="13"/>
      <c r="W672" s="13"/>
    </row>
    <row r="673" spans="1:23" ht="15" customHeight="1" x14ac:dyDescent="0.25">
      <c r="A673" s="19">
        <v>46242</v>
      </c>
      <c r="B673" s="11" t="s">
        <v>266</v>
      </c>
      <c r="C673" s="12" t="s">
        <v>531</v>
      </c>
      <c r="D673" s="11" t="s">
        <v>233</v>
      </c>
      <c r="E673" s="12" t="s">
        <v>32</v>
      </c>
      <c r="F673" s="12" t="s">
        <v>106</v>
      </c>
      <c r="G673" s="12">
        <v>7</v>
      </c>
      <c r="H673" s="13">
        <v>0.25298611111111113</v>
      </c>
      <c r="I673" s="13">
        <v>2.2800925925925926E-2</v>
      </c>
      <c r="J673" s="13">
        <v>3.2572751322751323E-3</v>
      </c>
      <c r="K673" s="13">
        <v>0.17324074074074075</v>
      </c>
      <c r="L673" s="14">
        <v>0.68478360325738863</v>
      </c>
      <c r="M673" s="12" t="s">
        <v>334</v>
      </c>
      <c r="N673" s="13">
        <v>2.3842592592592591E-3</v>
      </c>
      <c r="O673" s="13">
        <v>1.3912037037037037E-2</v>
      </c>
      <c r="P673" s="13"/>
      <c r="Q673" s="13"/>
      <c r="R673" s="13"/>
      <c r="S673" s="13">
        <v>1.3726851851851851E-2</v>
      </c>
      <c r="T673" s="13">
        <v>2.4305555555555555E-4</v>
      </c>
      <c r="U673" s="13"/>
      <c r="V673" s="13"/>
      <c r="W673" s="13">
        <v>0.14297453703703702</v>
      </c>
    </row>
    <row r="674" spans="1:23" ht="15" customHeight="1" x14ac:dyDescent="0.25">
      <c r="A674" s="19">
        <v>46242</v>
      </c>
      <c r="B674" s="11" t="s">
        <v>297</v>
      </c>
      <c r="C674" s="12" t="s">
        <v>667</v>
      </c>
      <c r="D674" s="11" t="s">
        <v>104</v>
      </c>
      <c r="E674" s="12" t="s">
        <v>105</v>
      </c>
      <c r="F674" s="12" t="s">
        <v>106</v>
      </c>
      <c r="G674" s="12">
        <v>3</v>
      </c>
      <c r="H674" s="13">
        <v>0.20611111111111111</v>
      </c>
      <c r="I674" s="13">
        <v>3.1377314814814816E-2</v>
      </c>
      <c r="J674" s="13">
        <v>1.0459104938271605E-2</v>
      </c>
      <c r="K674" s="13">
        <v>0.16296296296296298</v>
      </c>
      <c r="L674" s="14">
        <v>0.79065588499550776</v>
      </c>
      <c r="M674" s="12" t="s">
        <v>334</v>
      </c>
      <c r="N674" s="13">
        <v>2.0046296296296295E-2</v>
      </c>
      <c r="O674" s="13">
        <v>1.6516203703703703E-2</v>
      </c>
      <c r="P674" s="13"/>
      <c r="Q674" s="13"/>
      <c r="R674" s="13"/>
      <c r="S674" s="13">
        <v>8.1018518518518516E-5</v>
      </c>
      <c r="T674" s="13">
        <v>1.4351851851851852E-2</v>
      </c>
      <c r="U674" s="13">
        <v>1.8518518518518518E-4</v>
      </c>
      <c r="V674" s="13"/>
      <c r="W674" s="13">
        <v>0.11178240740740741</v>
      </c>
    </row>
    <row r="675" spans="1:23" ht="15" customHeight="1" x14ac:dyDescent="0.25">
      <c r="A675" s="19">
        <v>46242</v>
      </c>
      <c r="B675" s="11" t="s">
        <v>207</v>
      </c>
      <c r="C675" s="12" t="s">
        <v>566</v>
      </c>
      <c r="D675" s="11" t="s">
        <v>274</v>
      </c>
      <c r="E675" s="12" t="s">
        <v>147</v>
      </c>
      <c r="F675" s="12" t="s">
        <v>33</v>
      </c>
      <c r="G675" s="12">
        <v>7</v>
      </c>
      <c r="H675" s="13">
        <v>0.26001157407407405</v>
      </c>
      <c r="I675" s="13">
        <v>5.8020833333333334E-2</v>
      </c>
      <c r="J675" s="13">
        <v>8.2886904761904755E-3</v>
      </c>
      <c r="K675" s="13">
        <v>4.3043981481481482E-2</v>
      </c>
      <c r="L675" s="14">
        <v>0.16554640551969732</v>
      </c>
      <c r="M675" s="12" t="s">
        <v>334</v>
      </c>
      <c r="N675" s="13">
        <v>8.8310185185185193E-3</v>
      </c>
      <c r="O675" s="13">
        <v>1.53125E-2</v>
      </c>
      <c r="P675" s="13"/>
      <c r="Q675" s="13"/>
      <c r="R675" s="13">
        <v>1.1226851851851851E-3</v>
      </c>
      <c r="S675" s="13">
        <v>1.5208333333333334E-2</v>
      </c>
      <c r="T675" s="13">
        <v>1.9675925925925926E-4</v>
      </c>
      <c r="U675" s="13">
        <v>1.8055555555555555E-3</v>
      </c>
      <c r="V675" s="13"/>
      <c r="W675" s="13"/>
    </row>
    <row r="676" spans="1:23" ht="15" customHeight="1" x14ac:dyDescent="0.25">
      <c r="A676" s="19">
        <v>46242</v>
      </c>
      <c r="B676" s="11" t="s">
        <v>614</v>
      </c>
      <c r="C676" s="12" t="s">
        <v>635</v>
      </c>
      <c r="D676" s="11" t="s">
        <v>601</v>
      </c>
      <c r="E676" s="12" t="s">
        <v>105</v>
      </c>
      <c r="F676" s="12" t="s">
        <v>33</v>
      </c>
      <c r="G676" s="12">
        <v>3</v>
      </c>
      <c r="H676" s="13">
        <v>0.22039351851851852</v>
      </c>
      <c r="I676" s="13">
        <v>2.7650462962962963E-2</v>
      </c>
      <c r="J676" s="13">
        <v>9.2168209876543217E-3</v>
      </c>
      <c r="K676" s="13">
        <v>0.21817129629629631</v>
      </c>
      <c r="L676" s="14">
        <v>0.98991702552252925</v>
      </c>
      <c r="M676" s="12" t="s">
        <v>334</v>
      </c>
      <c r="N676" s="13"/>
      <c r="O676" s="13">
        <v>1.6527777777777777E-2</v>
      </c>
      <c r="P676" s="13"/>
      <c r="Q676" s="13"/>
      <c r="R676" s="13"/>
      <c r="S676" s="13">
        <v>1.5173611111111112E-2</v>
      </c>
      <c r="T676" s="13">
        <v>1.1863425925925927E-2</v>
      </c>
      <c r="U676" s="13">
        <v>0.1570138888888889</v>
      </c>
      <c r="V676" s="13"/>
      <c r="W676" s="13">
        <v>1.7592592592592594E-2</v>
      </c>
    </row>
    <row r="677" spans="1:23" ht="15" customHeight="1" x14ac:dyDescent="0.25">
      <c r="A677" s="19">
        <v>46242</v>
      </c>
      <c r="B677" s="11" t="s">
        <v>180</v>
      </c>
      <c r="C677" s="12" t="s">
        <v>523</v>
      </c>
      <c r="D677" s="11" t="s">
        <v>146</v>
      </c>
      <c r="E677" s="12" t="s">
        <v>147</v>
      </c>
      <c r="F677" s="12" t="s">
        <v>106</v>
      </c>
      <c r="G677" s="12">
        <v>10</v>
      </c>
      <c r="H677" s="13">
        <v>0.26144675925925925</v>
      </c>
      <c r="I677" s="13">
        <v>6.7060185185185181E-2</v>
      </c>
      <c r="J677" s="13">
        <v>6.7060185185185183E-3</v>
      </c>
      <c r="K677" s="13">
        <v>3.4918981481481481E-2</v>
      </c>
      <c r="L677" s="14">
        <v>0.13356058258444375</v>
      </c>
      <c r="M677" s="12" t="s">
        <v>334</v>
      </c>
      <c r="N677" s="13">
        <v>5.9027777777777776E-3</v>
      </c>
      <c r="O677" s="13">
        <v>1.4421296296296297E-2</v>
      </c>
      <c r="P677" s="13"/>
      <c r="Q677" s="13"/>
      <c r="R677" s="13"/>
      <c r="S677" s="13">
        <v>1.3877314814814815E-2</v>
      </c>
      <c r="T677" s="13">
        <v>3.7037037037037035E-4</v>
      </c>
      <c r="U677" s="13">
        <v>3.3564814814814812E-4</v>
      </c>
      <c r="V677" s="13"/>
      <c r="W677" s="13"/>
    </row>
    <row r="678" spans="1:23" ht="15" customHeight="1" x14ac:dyDescent="0.25">
      <c r="A678" s="19">
        <v>46242</v>
      </c>
      <c r="B678" s="11" t="s">
        <v>615</v>
      </c>
      <c r="C678" s="12" t="s">
        <v>636</v>
      </c>
      <c r="D678" s="11" t="s">
        <v>601</v>
      </c>
      <c r="E678" s="12" t="s">
        <v>105</v>
      </c>
      <c r="F678" s="12" t="s">
        <v>33</v>
      </c>
      <c r="G678" s="12">
        <v>1</v>
      </c>
      <c r="H678" s="13">
        <v>0.16665509259259259</v>
      </c>
      <c r="I678" s="13">
        <v>2.3090277777777779E-2</v>
      </c>
      <c r="J678" s="13">
        <v>2.3090277777777779E-2</v>
      </c>
      <c r="K678" s="13">
        <v>0.16116898148148148</v>
      </c>
      <c r="L678" s="14">
        <v>0.96708104729495104</v>
      </c>
      <c r="M678" s="12" t="s">
        <v>334</v>
      </c>
      <c r="N678" s="13"/>
      <c r="O678" s="13">
        <v>7.2685185185185188E-3</v>
      </c>
      <c r="P678" s="13"/>
      <c r="Q678" s="13"/>
      <c r="R678" s="13"/>
      <c r="S678" s="13">
        <v>1.1956018518518519E-2</v>
      </c>
      <c r="T678" s="13">
        <v>4.1666666666666669E-4</v>
      </c>
      <c r="U678" s="13">
        <v>0.14142361111111112</v>
      </c>
      <c r="V678" s="13"/>
      <c r="W678" s="13">
        <v>1.0416666666666667E-4</v>
      </c>
    </row>
    <row r="679" spans="1:23" ht="15" customHeight="1" x14ac:dyDescent="0.25">
      <c r="A679" s="19">
        <v>46242</v>
      </c>
      <c r="B679" s="11" t="s">
        <v>616</v>
      </c>
      <c r="C679" s="12" t="s">
        <v>637</v>
      </c>
      <c r="D679" s="11" t="s">
        <v>601</v>
      </c>
      <c r="E679" s="12" t="s">
        <v>105</v>
      </c>
      <c r="F679" s="12" t="s">
        <v>33</v>
      </c>
      <c r="G679" s="12">
        <v>1</v>
      </c>
      <c r="H679" s="13">
        <v>0.1749074074074074</v>
      </c>
      <c r="I679" s="13">
        <v>1.7245370370370369E-2</v>
      </c>
      <c r="J679" s="13">
        <v>1.7245370370370369E-2</v>
      </c>
      <c r="K679" s="13">
        <v>0.1650925925925926</v>
      </c>
      <c r="L679" s="14">
        <v>0.9438856537850715</v>
      </c>
      <c r="M679" s="12" t="s">
        <v>334</v>
      </c>
      <c r="N679" s="13">
        <v>4.2013888888888891E-3</v>
      </c>
      <c r="O679" s="13">
        <v>7.083333333333333E-3</v>
      </c>
      <c r="P679" s="13"/>
      <c r="Q679" s="13"/>
      <c r="R679" s="13"/>
      <c r="S679" s="13">
        <v>1.4004629629629629E-2</v>
      </c>
      <c r="T679" s="13">
        <v>7.407407407407407E-4</v>
      </c>
      <c r="U679" s="13">
        <v>0.13906250000000001</v>
      </c>
      <c r="V679" s="13"/>
      <c r="W679" s="13"/>
    </row>
    <row r="680" spans="1:23" ht="15" customHeight="1" x14ac:dyDescent="0.25">
      <c r="A680" s="19">
        <v>46242</v>
      </c>
      <c r="B680" s="11" t="s">
        <v>209</v>
      </c>
      <c r="C680" s="12" t="s">
        <v>567</v>
      </c>
      <c r="D680" s="11" t="s">
        <v>601</v>
      </c>
      <c r="E680" s="12" t="s">
        <v>105</v>
      </c>
      <c r="F680" s="12" t="s">
        <v>33</v>
      </c>
      <c r="G680" s="12">
        <v>1</v>
      </c>
      <c r="H680" s="13">
        <v>0.20287037037037037</v>
      </c>
      <c r="I680" s="13">
        <v>2.7164351851851853E-2</v>
      </c>
      <c r="J680" s="13">
        <v>2.7164351851851853E-2</v>
      </c>
      <c r="K680" s="13">
        <v>0.18943287037037038</v>
      </c>
      <c r="L680" s="14">
        <v>0.93376312186216348</v>
      </c>
      <c r="M680" s="12" t="s">
        <v>334</v>
      </c>
      <c r="N680" s="13">
        <v>4.9652777777777777E-3</v>
      </c>
      <c r="O680" s="13">
        <v>7.1064814814814819E-3</v>
      </c>
      <c r="P680" s="13"/>
      <c r="Q680" s="13"/>
      <c r="R680" s="13"/>
      <c r="S680" s="13">
        <v>7.1990740740740739E-3</v>
      </c>
      <c r="T680" s="13">
        <v>9.837962962962962E-4</v>
      </c>
      <c r="U680" s="13">
        <v>0.16917824074074075</v>
      </c>
      <c r="V680" s="13"/>
      <c r="W680" s="13"/>
    </row>
    <row r="681" spans="1:23" ht="15" customHeight="1" x14ac:dyDescent="0.25">
      <c r="A681" s="19">
        <v>46242</v>
      </c>
      <c r="B681" s="11" t="s">
        <v>60</v>
      </c>
      <c r="C681" s="12" t="s">
        <v>510</v>
      </c>
      <c r="D681" s="11" t="s">
        <v>100</v>
      </c>
      <c r="E681" s="12" t="s">
        <v>32</v>
      </c>
      <c r="F681" s="12" t="s">
        <v>33</v>
      </c>
      <c r="G681" s="12">
        <v>27</v>
      </c>
      <c r="H681" s="13">
        <v>0.26958333333333334</v>
      </c>
      <c r="I681" s="13">
        <v>0.1076388888888889</v>
      </c>
      <c r="J681" s="13">
        <v>3.9866255144032922E-3</v>
      </c>
      <c r="K681" s="13">
        <v>4.9548611111111113E-2</v>
      </c>
      <c r="L681" s="14">
        <v>0.18379701184956207</v>
      </c>
      <c r="M681" s="12" t="s">
        <v>334</v>
      </c>
      <c r="N681" s="13">
        <v>1.9675925925925926E-4</v>
      </c>
      <c r="O681" s="13">
        <v>7.7083333333333335E-3</v>
      </c>
      <c r="P681" s="13"/>
      <c r="Q681" s="13"/>
      <c r="R681" s="13">
        <v>1.7025462962962964E-2</v>
      </c>
      <c r="S681" s="13">
        <v>1.380787037037037E-2</v>
      </c>
      <c r="T681" s="13">
        <v>1.8518518518518518E-4</v>
      </c>
      <c r="U681" s="13">
        <v>1.8518518518518519E-3</v>
      </c>
      <c r="V681" s="13"/>
      <c r="W681" s="13">
        <v>8.6805555555555559E-3</v>
      </c>
    </row>
    <row r="682" spans="1:23" ht="15" customHeight="1" x14ac:dyDescent="0.25">
      <c r="A682" s="19">
        <v>46242</v>
      </c>
      <c r="B682" s="11" t="s">
        <v>132</v>
      </c>
      <c r="C682" s="12" t="s">
        <v>512</v>
      </c>
      <c r="D682" s="11" t="s">
        <v>104</v>
      </c>
      <c r="E682" s="12" t="s">
        <v>105</v>
      </c>
      <c r="F682" s="12" t="s">
        <v>106</v>
      </c>
      <c r="G682" s="12">
        <v>2</v>
      </c>
      <c r="H682" s="13">
        <v>0.22877314814814814</v>
      </c>
      <c r="I682" s="13">
        <v>1.2511574074074074E-2</v>
      </c>
      <c r="J682" s="13">
        <v>6.2557870370370371E-3</v>
      </c>
      <c r="K682" s="13">
        <v>0.16876157407407408</v>
      </c>
      <c r="L682" s="14">
        <v>0.73768086613376505</v>
      </c>
      <c r="M682" s="12" t="s">
        <v>334</v>
      </c>
      <c r="N682" s="13">
        <v>4.9305555555555552E-3</v>
      </c>
      <c r="O682" s="13">
        <v>1.6412037037037037E-2</v>
      </c>
      <c r="P682" s="13"/>
      <c r="Q682" s="13"/>
      <c r="R682" s="13"/>
      <c r="S682" s="13">
        <v>1.0983796296296297E-2</v>
      </c>
      <c r="T682" s="13">
        <v>3.3101851851851851E-3</v>
      </c>
      <c r="U682" s="13">
        <v>5.7060185185185183E-3</v>
      </c>
      <c r="V682" s="13"/>
      <c r="W682" s="13">
        <v>0.12741898148148148</v>
      </c>
    </row>
    <row r="683" spans="1:23" ht="15" customHeight="1" x14ac:dyDescent="0.25">
      <c r="A683" s="19">
        <v>46242</v>
      </c>
      <c r="B683" s="11" t="s">
        <v>134</v>
      </c>
      <c r="C683" s="12" t="s">
        <v>560</v>
      </c>
      <c r="D683" s="11" t="s">
        <v>104</v>
      </c>
      <c r="E683" s="12" t="s">
        <v>105</v>
      </c>
      <c r="F683" s="12" t="s">
        <v>106</v>
      </c>
      <c r="G683" s="12">
        <v>5</v>
      </c>
      <c r="H683" s="13">
        <v>0.23093749999999999</v>
      </c>
      <c r="I683" s="13">
        <v>4.884259259259259E-2</v>
      </c>
      <c r="J683" s="13">
        <v>9.7685185185185184E-3</v>
      </c>
      <c r="K683" s="13">
        <v>0.14900462962962963</v>
      </c>
      <c r="L683" s="14">
        <v>0.64521625820678596</v>
      </c>
      <c r="M683" s="12" t="s">
        <v>334</v>
      </c>
      <c r="N683" s="13">
        <v>2.1157407407407406E-2</v>
      </c>
      <c r="O683" s="13">
        <v>8.1944444444444452E-3</v>
      </c>
      <c r="P683" s="13"/>
      <c r="Q683" s="13"/>
      <c r="R683" s="13"/>
      <c r="S683" s="13">
        <v>5.6365740740740742E-3</v>
      </c>
      <c r="T683" s="13">
        <v>1.3298611111111112E-2</v>
      </c>
      <c r="U683" s="13">
        <v>3.2407407407407406E-4</v>
      </c>
      <c r="V683" s="13"/>
      <c r="W683" s="13">
        <v>0.10039351851851852</v>
      </c>
    </row>
    <row r="684" spans="1:23" ht="15" customHeight="1" x14ac:dyDescent="0.25">
      <c r="A684" s="19">
        <v>46242</v>
      </c>
      <c r="B684" s="11" t="s">
        <v>211</v>
      </c>
      <c r="C684" s="12" t="s">
        <v>546</v>
      </c>
      <c r="D684" s="11" t="s">
        <v>104</v>
      </c>
      <c r="E684" s="12" t="s">
        <v>105</v>
      </c>
      <c r="F684" s="12" t="s">
        <v>106</v>
      </c>
      <c r="G684" s="12">
        <v>2</v>
      </c>
      <c r="H684" s="13">
        <v>0.19791666666666666</v>
      </c>
      <c r="I684" s="13">
        <v>3.8379629629629632E-2</v>
      </c>
      <c r="J684" s="13">
        <v>1.9189814814814816E-2</v>
      </c>
      <c r="K684" s="13">
        <v>0.13077546296296297</v>
      </c>
      <c r="L684" s="14">
        <v>0.66076023391812866</v>
      </c>
      <c r="M684" s="12" t="s">
        <v>334</v>
      </c>
      <c r="N684" s="13"/>
      <c r="O684" s="13">
        <v>6.6203703703703702E-3</v>
      </c>
      <c r="P684" s="13">
        <v>1.6435185185185185E-3</v>
      </c>
      <c r="Q684" s="13"/>
      <c r="R684" s="13"/>
      <c r="S684" s="13">
        <v>1.1840277777777778E-2</v>
      </c>
      <c r="T684" s="13">
        <v>3.4722222222222224E-4</v>
      </c>
      <c r="U684" s="13">
        <v>4.8958333333333336E-3</v>
      </c>
      <c r="V684" s="13"/>
      <c r="W684" s="13">
        <v>0.10542824074074074</v>
      </c>
    </row>
    <row r="685" spans="1:23" ht="15" customHeight="1" x14ac:dyDescent="0.25">
      <c r="A685" s="19">
        <v>46242</v>
      </c>
      <c r="B685" s="11" t="s">
        <v>617</v>
      </c>
      <c r="C685" s="12" t="s">
        <v>638</v>
      </c>
      <c r="D685" s="11" t="s">
        <v>601</v>
      </c>
      <c r="E685" s="12" t="s">
        <v>105</v>
      </c>
      <c r="F685" s="12" t="s">
        <v>33</v>
      </c>
      <c r="G685" s="12">
        <v>1</v>
      </c>
      <c r="H685" s="13">
        <v>0.16059027777777779</v>
      </c>
      <c r="I685" s="13">
        <v>1.6307870370370372E-2</v>
      </c>
      <c r="J685" s="13">
        <v>1.6307870370370372E-2</v>
      </c>
      <c r="K685" s="13">
        <v>0.15403935185185186</v>
      </c>
      <c r="L685" s="14">
        <v>0.9592072072072072</v>
      </c>
      <c r="M685" s="12" t="s">
        <v>334</v>
      </c>
      <c r="N685" s="13">
        <v>1.2824074074074075E-2</v>
      </c>
      <c r="O685" s="13">
        <v>1.7187500000000001E-2</v>
      </c>
      <c r="P685" s="13"/>
      <c r="Q685" s="13"/>
      <c r="R685" s="13"/>
      <c r="S685" s="13"/>
      <c r="T685" s="13">
        <v>1.1921296296296296E-2</v>
      </c>
      <c r="U685" s="13">
        <v>9.7106481481481488E-2</v>
      </c>
      <c r="V685" s="13"/>
      <c r="W685" s="13">
        <v>1.4999999999999999E-2</v>
      </c>
    </row>
    <row r="686" spans="1:23" ht="15" customHeight="1" x14ac:dyDescent="0.25">
      <c r="A686" s="19">
        <v>46242</v>
      </c>
      <c r="B686" s="11" t="s">
        <v>213</v>
      </c>
      <c r="C686" s="12" t="s">
        <v>572</v>
      </c>
      <c r="D686" s="11" t="s">
        <v>601</v>
      </c>
      <c r="E686" s="12" t="s">
        <v>105</v>
      </c>
      <c r="F686" s="12" t="s">
        <v>33</v>
      </c>
      <c r="G686" s="12">
        <v>2</v>
      </c>
      <c r="H686" s="13">
        <v>0.23894675925925926</v>
      </c>
      <c r="I686" s="13">
        <v>3.5034722222222224E-2</v>
      </c>
      <c r="J686" s="13">
        <v>1.7517361111111112E-2</v>
      </c>
      <c r="K686" s="13">
        <v>0.21957175925925926</v>
      </c>
      <c r="L686" s="14">
        <v>0.91891499152337131</v>
      </c>
      <c r="M686" s="12" t="s">
        <v>334</v>
      </c>
      <c r="N686" s="13">
        <v>8.7152777777777784E-3</v>
      </c>
      <c r="O686" s="13">
        <v>1.7638888888888888E-2</v>
      </c>
      <c r="P686" s="13"/>
      <c r="Q686" s="13"/>
      <c r="R686" s="13"/>
      <c r="S686" s="13"/>
      <c r="T686" s="13">
        <v>3.7731481481481483E-3</v>
      </c>
      <c r="U686" s="13">
        <v>0.18944444444444444</v>
      </c>
      <c r="V686" s="13"/>
      <c r="W686" s="13"/>
    </row>
    <row r="687" spans="1:23" ht="15" customHeight="1" x14ac:dyDescent="0.25">
      <c r="A687" s="19">
        <v>46242</v>
      </c>
      <c r="B687" s="11" t="s">
        <v>668</v>
      </c>
      <c r="C687" s="12" t="s">
        <v>669</v>
      </c>
      <c r="D687" s="11" t="s">
        <v>233</v>
      </c>
      <c r="E687" s="12" t="s">
        <v>32</v>
      </c>
      <c r="F687" s="12" t="s">
        <v>106</v>
      </c>
      <c r="G687" s="12">
        <v>18</v>
      </c>
      <c r="H687" s="13">
        <v>0.26305555555555554</v>
      </c>
      <c r="I687" s="13">
        <v>6.6087962962962959E-2</v>
      </c>
      <c r="J687" s="13">
        <v>3.6715534979423867E-3</v>
      </c>
      <c r="K687" s="13">
        <v>4.7256944444444442E-2</v>
      </c>
      <c r="L687" s="14">
        <v>0.17964625131995776</v>
      </c>
      <c r="M687" s="12" t="s">
        <v>334</v>
      </c>
      <c r="N687" s="13">
        <v>8.7962962962962968E-3</v>
      </c>
      <c r="O687" s="13">
        <v>1.4467592592592593E-2</v>
      </c>
      <c r="P687" s="13"/>
      <c r="Q687" s="13"/>
      <c r="R687" s="13"/>
      <c r="S687" s="13">
        <v>1.3171296296296296E-2</v>
      </c>
      <c r="T687" s="13">
        <v>1.0092592592592592E-2</v>
      </c>
      <c r="U687" s="13">
        <v>7.1759259259259259E-4</v>
      </c>
      <c r="V687" s="13"/>
      <c r="W687" s="13"/>
    </row>
    <row r="688" spans="1:23" ht="15" customHeight="1" x14ac:dyDescent="0.25">
      <c r="A688" s="19">
        <v>46242</v>
      </c>
      <c r="B688" s="11" t="s">
        <v>744</v>
      </c>
      <c r="C688" s="12" t="s">
        <v>670</v>
      </c>
      <c r="D688" s="11" t="s">
        <v>100</v>
      </c>
      <c r="E688" s="12" t="s">
        <v>32</v>
      </c>
      <c r="F688" s="12" t="s">
        <v>33</v>
      </c>
      <c r="G688" s="12">
        <v>26</v>
      </c>
      <c r="H688" s="13">
        <v>0.23601851851851852</v>
      </c>
      <c r="I688" s="13">
        <v>5.5717592592592589E-2</v>
      </c>
      <c r="J688" s="13">
        <v>2.1429843304843306E-3</v>
      </c>
      <c r="K688" s="13">
        <v>7.1770833333333339E-2</v>
      </c>
      <c r="L688" s="14">
        <v>0.3040898391526089</v>
      </c>
      <c r="M688" s="12" t="s">
        <v>334</v>
      </c>
      <c r="N688" s="13">
        <v>3.2187500000000001E-2</v>
      </c>
      <c r="O688" s="13">
        <v>7.0949074074074074E-3</v>
      </c>
      <c r="P688" s="13"/>
      <c r="Q688" s="13"/>
      <c r="R688" s="13">
        <v>1.4976851851851852E-2</v>
      </c>
      <c r="S688" s="13"/>
      <c r="T688" s="13">
        <v>2.199074074074074E-4</v>
      </c>
      <c r="U688" s="13">
        <v>7.7546296296296293E-4</v>
      </c>
      <c r="V688" s="13"/>
      <c r="W688" s="13">
        <v>1.6516203703703703E-2</v>
      </c>
    </row>
    <row r="689" spans="1:23" ht="15" customHeight="1" x14ac:dyDescent="0.25">
      <c r="A689" s="19">
        <v>46242</v>
      </c>
      <c r="B689" s="11" t="s">
        <v>219</v>
      </c>
      <c r="C689" s="12" t="s">
        <v>548</v>
      </c>
      <c r="D689" s="11" t="s">
        <v>104</v>
      </c>
      <c r="E689" s="12" t="s">
        <v>105</v>
      </c>
      <c r="F689" s="12" t="s">
        <v>106</v>
      </c>
      <c r="G689" s="12">
        <v>2</v>
      </c>
      <c r="H689" s="13">
        <v>0.19215277777777778</v>
      </c>
      <c r="I689" s="13">
        <v>3.3020833333333333E-2</v>
      </c>
      <c r="J689" s="13">
        <v>1.6510416666666666E-2</v>
      </c>
      <c r="K689" s="13">
        <v>0.1582638888888889</v>
      </c>
      <c r="L689" s="14">
        <v>0.82363570654138063</v>
      </c>
      <c r="M689" s="12" t="s">
        <v>334</v>
      </c>
      <c r="N689" s="13">
        <v>2.042824074074074E-2</v>
      </c>
      <c r="O689" s="13">
        <v>4.2476851851851851E-3</v>
      </c>
      <c r="P689" s="13"/>
      <c r="Q689" s="13"/>
      <c r="R689" s="13"/>
      <c r="S689" s="13"/>
      <c r="T689" s="13">
        <v>5.4456018518518522E-2</v>
      </c>
      <c r="U689" s="13">
        <v>1.8634259259259259E-3</v>
      </c>
      <c r="V689" s="13"/>
      <c r="W689" s="13">
        <v>7.7268518518518514E-2</v>
      </c>
    </row>
    <row r="690" spans="1:23" ht="15" customHeight="1" x14ac:dyDescent="0.25">
      <c r="A690" s="19">
        <v>46242</v>
      </c>
      <c r="B690" s="11" t="s">
        <v>305</v>
      </c>
      <c r="C690" s="12" t="s">
        <v>306</v>
      </c>
      <c r="D690" s="11" t="s">
        <v>100</v>
      </c>
      <c r="E690" s="12" t="s">
        <v>32</v>
      </c>
      <c r="F690" s="12" t="s">
        <v>33</v>
      </c>
      <c r="G690" s="12">
        <v>18</v>
      </c>
      <c r="H690" s="13">
        <v>0.24925925925925926</v>
      </c>
      <c r="I690" s="13">
        <v>6.6446759259259261E-2</v>
      </c>
      <c r="J690" s="13">
        <v>3.6914866255144032E-3</v>
      </c>
      <c r="K690" s="13">
        <v>7.0798611111111118E-2</v>
      </c>
      <c r="L690" s="14">
        <v>0.28403603268945027</v>
      </c>
      <c r="M690" s="12" t="s">
        <v>334</v>
      </c>
      <c r="N690" s="13">
        <v>2.6238425925925925E-2</v>
      </c>
      <c r="O690" s="13"/>
      <c r="P690" s="13"/>
      <c r="Q690" s="13"/>
      <c r="R690" s="13">
        <v>3.6689814814814814E-3</v>
      </c>
      <c r="S690" s="13">
        <v>1.5428240740740741E-2</v>
      </c>
      <c r="T690" s="13">
        <v>1.0185185185185184E-3</v>
      </c>
      <c r="U690" s="13"/>
      <c r="V690" s="13"/>
      <c r="W690" s="13">
        <v>2.4444444444444446E-2</v>
      </c>
    </row>
    <row r="691" spans="1:23" ht="15" customHeight="1" x14ac:dyDescent="0.25">
      <c r="A691" s="19">
        <v>46242</v>
      </c>
      <c r="B691" s="11" t="s">
        <v>620</v>
      </c>
      <c r="C691" s="12" t="s">
        <v>641</v>
      </c>
      <c r="D691" s="11" t="s">
        <v>601</v>
      </c>
      <c r="E691" s="12" t="s">
        <v>105</v>
      </c>
      <c r="F691" s="12" t="s">
        <v>33</v>
      </c>
      <c r="G691" s="12">
        <v>1</v>
      </c>
      <c r="H691" s="13">
        <v>0.19230324074074073</v>
      </c>
      <c r="I691" s="13">
        <v>2.8009259259259258E-2</v>
      </c>
      <c r="J691" s="13">
        <v>2.8009259259259258E-2</v>
      </c>
      <c r="K691" s="13">
        <v>0.17996527777777777</v>
      </c>
      <c r="L691" s="14">
        <v>0.93584110743304239</v>
      </c>
      <c r="M691" s="12" t="s">
        <v>334</v>
      </c>
      <c r="N691" s="13">
        <v>2.7314814814814814E-3</v>
      </c>
      <c r="O691" s="13">
        <v>1.4976851851851852E-2</v>
      </c>
      <c r="P691" s="13"/>
      <c r="Q691" s="13"/>
      <c r="R691" s="13"/>
      <c r="S691" s="13">
        <v>1.1678240740740741E-2</v>
      </c>
      <c r="T691" s="13">
        <v>3.1250000000000002E-3</v>
      </c>
      <c r="U691" s="13">
        <v>0.1474537037037037</v>
      </c>
      <c r="V691" s="13"/>
      <c r="W691" s="13"/>
    </row>
    <row r="692" spans="1:23" ht="15" customHeight="1" x14ac:dyDescent="0.25">
      <c r="A692" s="19">
        <v>46242</v>
      </c>
      <c r="B692" s="11" t="s">
        <v>138</v>
      </c>
      <c r="C692" s="12" t="s">
        <v>556</v>
      </c>
      <c r="D692" s="11" t="s">
        <v>104</v>
      </c>
      <c r="E692" s="12" t="s">
        <v>105</v>
      </c>
      <c r="F692" s="12" t="s">
        <v>106</v>
      </c>
      <c r="G692" s="12">
        <v>4</v>
      </c>
      <c r="H692" s="13">
        <v>0.20349537037037038</v>
      </c>
      <c r="I692" s="13">
        <v>6.3379629629629633E-2</v>
      </c>
      <c r="J692" s="13">
        <v>1.5844907407407408E-2</v>
      </c>
      <c r="K692" s="13">
        <v>0.12318287037037037</v>
      </c>
      <c r="L692" s="14">
        <v>0.60533500170629051</v>
      </c>
      <c r="M692" s="12" t="s">
        <v>334</v>
      </c>
      <c r="N692" s="13">
        <v>5.5787037037037038E-3</v>
      </c>
      <c r="O692" s="13">
        <v>1.9490740740740739E-2</v>
      </c>
      <c r="P692" s="13"/>
      <c r="Q692" s="13"/>
      <c r="R692" s="13"/>
      <c r="S692" s="13">
        <v>1.6319444444444445E-2</v>
      </c>
      <c r="T692" s="13">
        <v>9.9768518518518513E-3</v>
      </c>
      <c r="U692" s="13">
        <v>1.238425925925926E-3</v>
      </c>
      <c r="V692" s="13"/>
      <c r="W692" s="13">
        <v>7.0578703703703699E-2</v>
      </c>
    </row>
    <row r="693" spans="1:23" ht="15" customHeight="1" x14ac:dyDescent="0.25">
      <c r="A693" s="19">
        <v>46242</v>
      </c>
      <c r="B693" s="11" t="s">
        <v>276</v>
      </c>
      <c r="C693" s="12" t="s">
        <v>532</v>
      </c>
      <c r="D693" s="11" t="s">
        <v>233</v>
      </c>
      <c r="E693" s="12" t="s">
        <v>32</v>
      </c>
      <c r="F693" s="12" t="s">
        <v>106</v>
      </c>
      <c r="G693" s="12">
        <v>6</v>
      </c>
      <c r="H693" s="13">
        <v>0.10363425925925926</v>
      </c>
      <c r="I693" s="13">
        <v>2.7534722222222221E-2</v>
      </c>
      <c r="J693" s="13">
        <v>4.5891203703703701E-3</v>
      </c>
      <c r="K693" s="13">
        <v>3.2708333333333332E-2</v>
      </c>
      <c r="L693" s="14">
        <v>0.31561313379495198</v>
      </c>
      <c r="M693" s="12" t="s">
        <v>334</v>
      </c>
      <c r="N693" s="13">
        <v>4.4791666666666669E-3</v>
      </c>
      <c r="O693" s="13">
        <v>6.5393518518518517E-3</v>
      </c>
      <c r="P693" s="13"/>
      <c r="Q693" s="13"/>
      <c r="R693" s="13"/>
      <c r="S693" s="13"/>
      <c r="T693" s="13">
        <v>2.1689814814814815E-2</v>
      </c>
      <c r="U693" s="13"/>
      <c r="V693" s="13"/>
      <c r="W693" s="13"/>
    </row>
    <row r="694" spans="1:23" ht="15" customHeight="1" x14ac:dyDescent="0.25">
      <c r="A694" s="19">
        <v>46242</v>
      </c>
      <c r="B694" s="11" t="s">
        <v>278</v>
      </c>
      <c r="C694" s="12" t="s">
        <v>533</v>
      </c>
      <c r="D694" s="11" t="s">
        <v>233</v>
      </c>
      <c r="E694" s="12" t="s">
        <v>32</v>
      </c>
      <c r="F694" s="12" t="s">
        <v>106</v>
      </c>
      <c r="G694" s="12">
        <v>16</v>
      </c>
      <c r="H694" s="13">
        <v>0.2696412037037037</v>
      </c>
      <c r="I694" s="13">
        <v>0.10398148148148148</v>
      </c>
      <c r="J694" s="13">
        <v>6.4988425925925925E-3</v>
      </c>
      <c r="K694" s="13">
        <v>3.2708333333333332E-2</v>
      </c>
      <c r="L694" s="14">
        <v>0.12130317208224234</v>
      </c>
      <c r="M694" s="12" t="s">
        <v>334</v>
      </c>
      <c r="N694" s="13">
        <v>2.8703703703703703E-3</v>
      </c>
      <c r="O694" s="13">
        <v>1.3900462962962963E-2</v>
      </c>
      <c r="P694" s="13"/>
      <c r="Q694" s="13">
        <v>5.7870370370370373E-5</v>
      </c>
      <c r="R694" s="13"/>
      <c r="S694" s="13">
        <v>1.3888888888888888E-2</v>
      </c>
      <c r="T694" s="13">
        <v>1.9907407407407408E-3</v>
      </c>
      <c r="U694" s="13"/>
      <c r="V694" s="13"/>
      <c r="W694" s="13"/>
    </row>
    <row r="695" spans="1:23" ht="15" customHeight="1" x14ac:dyDescent="0.25">
      <c r="A695" s="19">
        <v>46242</v>
      </c>
      <c r="B695" s="11" t="s">
        <v>313</v>
      </c>
      <c r="C695" s="12" t="s">
        <v>511</v>
      </c>
      <c r="D695" s="11" t="s">
        <v>78</v>
      </c>
      <c r="E695" s="12" t="s">
        <v>80</v>
      </c>
      <c r="F695" s="12" t="s">
        <v>81</v>
      </c>
      <c r="G695" s="12">
        <v>1</v>
      </c>
      <c r="H695" s="13">
        <v>0.26002314814814814</v>
      </c>
      <c r="I695" s="13">
        <v>1.6319444444444445E-2</v>
      </c>
      <c r="J695" s="13">
        <v>1.6319444444444445E-2</v>
      </c>
      <c r="K695" s="13">
        <v>1.6828703703703703E-2</v>
      </c>
      <c r="L695" s="14">
        <v>6.4720021365619163E-2</v>
      </c>
      <c r="M695" s="12" t="s">
        <v>334</v>
      </c>
      <c r="N695" s="13">
        <v>3.0092592592592593E-3</v>
      </c>
      <c r="O695" s="13">
        <v>1.3680555555555555E-2</v>
      </c>
      <c r="P695" s="13"/>
      <c r="Q695" s="13"/>
      <c r="R695" s="13"/>
      <c r="S695" s="13"/>
      <c r="T695" s="13">
        <v>1.3888888888888889E-4</v>
      </c>
      <c r="U695" s="13"/>
      <c r="V695" s="13"/>
      <c r="W695" s="13"/>
    </row>
    <row r="696" spans="1:23" ht="15" customHeight="1" x14ac:dyDescent="0.25">
      <c r="A696" s="19">
        <v>46242</v>
      </c>
      <c r="B696" s="11" t="s">
        <v>673</v>
      </c>
      <c r="C696" s="12" t="s">
        <v>674</v>
      </c>
      <c r="D696" s="11" t="s">
        <v>104</v>
      </c>
      <c r="E696" s="12" t="s">
        <v>105</v>
      </c>
      <c r="F696" s="12" t="s">
        <v>106</v>
      </c>
      <c r="G696" s="12">
        <v>2</v>
      </c>
      <c r="H696" s="13">
        <v>0.22541666666666665</v>
      </c>
      <c r="I696" s="13">
        <v>1.5856481481481481E-3</v>
      </c>
      <c r="J696" s="13">
        <v>7.9282407407407405E-4</v>
      </c>
      <c r="K696" s="13">
        <v>0.19417824074074075</v>
      </c>
      <c r="L696" s="14">
        <v>0.86141918258369288</v>
      </c>
      <c r="M696" s="12" t="s">
        <v>334</v>
      </c>
      <c r="N696" s="13">
        <v>8.0092592592592594E-3</v>
      </c>
      <c r="O696" s="13">
        <v>7.9166666666666673E-3</v>
      </c>
      <c r="P696" s="13"/>
      <c r="Q696" s="13">
        <v>3.0115740740740742E-2</v>
      </c>
      <c r="R696" s="13"/>
      <c r="S696" s="13">
        <v>1.3888888888888888E-2</v>
      </c>
      <c r="T696" s="13">
        <v>2.4305555555555555E-4</v>
      </c>
      <c r="U696" s="13">
        <v>2.3148148148148149E-4</v>
      </c>
      <c r="V696" s="13"/>
      <c r="W696" s="13">
        <v>0.13377314814814814</v>
      </c>
    </row>
    <row r="697" spans="1:23" ht="15" customHeight="1" x14ac:dyDescent="0.25">
      <c r="A697" s="19">
        <v>46242</v>
      </c>
      <c r="B697" s="11" t="s">
        <v>225</v>
      </c>
      <c r="C697" s="12" t="s">
        <v>549</v>
      </c>
      <c r="D697" s="11" t="s">
        <v>601</v>
      </c>
      <c r="E697" s="12" t="s">
        <v>105</v>
      </c>
      <c r="F697" s="12" t="s">
        <v>33</v>
      </c>
      <c r="G697" s="12">
        <v>1</v>
      </c>
      <c r="H697" s="13">
        <v>0.11417824074074075</v>
      </c>
      <c r="I697" s="13">
        <v>1.7199074074074075E-2</v>
      </c>
      <c r="J697" s="13">
        <v>1.7199074074074075E-2</v>
      </c>
      <c r="K697" s="13">
        <v>9.6087962962962958E-2</v>
      </c>
      <c r="L697" s="14">
        <v>0.84156107450582862</v>
      </c>
      <c r="M697" s="12" t="s">
        <v>334</v>
      </c>
      <c r="N697" s="13">
        <v>4.0740740740740737E-3</v>
      </c>
      <c r="O697" s="13">
        <v>6.3425925925925924E-3</v>
      </c>
      <c r="P697" s="13"/>
      <c r="Q697" s="13"/>
      <c r="R697" s="13"/>
      <c r="S697" s="13">
        <v>1.2175925925925925E-2</v>
      </c>
      <c r="T697" s="13">
        <v>1.3773148148148147E-3</v>
      </c>
      <c r="U697" s="13">
        <v>7.211805555555556E-2</v>
      </c>
      <c r="V697" s="13"/>
      <c r="W697" s="13"/>
    </row>
    <row r="698" spans="1:23" ht="15" customHeight="1" x14ac:dyDescent="0.25">
      <c r="A698" s="19">
        <v>46242</v>
      </c>
      <c r="B698" s="11" t="s">
        <v>299</v>
      </c>
      <c r="C698" s="12" t="s">
        <v>571</v>
      </c>
      <c r="D698" s="11" t="s">
        <v>104</v>
      </c>
      <c r="E698" s="12" t="s">
        <v>105</v>
      </c>
      <c r="F698" s="12" t="s">
        <v>106</v>
      </c>
      <c r="G698" s="12">
        <v>4</v>
      </c>
      <c r="H698" s="13">
        <v>0.23300925925925925</v>
      </c>
      <c r="I698" s="13">
        <v>4.2465277777777775E-2</v>
      </c>
      <c r="J698" s="13">
        <v>1.0616319444444444E-2</v>
      </c>
      <c r="K698" s="13">
        <v>0.15592592592592591</v>
      </c>
      <c r="L698" s="14">
        <v>0.66918338962845214</v>
      </c>
      <c r="M698" s="12" t="s">
        <v>334</v>
      </c>
      <c r="N698" s="13">
        <v>3.8912037037037037E-2</v>
      </c>
      <c r="O698" s="13">
        <v>1.474537037037037E-2</v>
      </c>
      <c r="P698" s="13"/>
      <c r="Q698" s="13"/>
      <c r="R698" s="13"/>
      <c r="S698" s="13">
        <v>1.3425925925925926E-2</v>
      </c>
      <c r="T698" s="13">
        <v>4.3981481481481481E-4</v>
      </c>
      <c r="U698" s="13">
        <v>6.9675925925925929E-3</v>
      </c>
      <c r="V698" s="13"/>
      <c r="W698" s="13">
        <v>8.143518518518518E-2</v>
      </c>
    </row>
    <row r="699" spans="1:23" ht="15" customHeight="1" x14ac:dyDescent="0.25">
      <c r="A699" s="19">
        <v>46242</v>
      </c>
      <c r="B699" s="11" t="s">
        <v>227</v>
      </c>
      <c r="C699" s="12" t="s">
        <v>557</v>
      </c>
      <c r="D699" s="11" t="s">
        <v>146</v>
      </c>
      <c r="E699" s="12" t="s">
        <v>147</v>
      </c>
      <c r="F699" s="12" t="s">
        <v>106</v>
      </c>
      <c r="G699" s="12">
        <v>8</v>
      </c>
      <c r="H699" s="13">
        <v>0.25780092592592591</v>
      </c>
      <c r="I699" s="13">
        <v>2.087962962962963E-2</v>
      </c>
      <c r="J699" s="13">
        <v>2.6099537037037037E-3</v>
      </c>
      <c r="K699" s="13">
        <v>3.6608796296296299E-2</v>
      </c>
      <c r="L699" s="14">
        <v>0.14200413037622342</v>
      </c>
      <c r="M699" s="12" t="s">
        <v>334</v>
      </c>
      <c r="N699" s="13">
        <v>6.6319444444444446E-3</v>
      </c>
      <c r="O699" s="13">
        <v>1.2372685185185184E-2</v>
      </c>
      <c r="P699" s="13"/>
      <c r="Q699" s="13">
        <v>2.8124999999999999E-3</v>
      </c>
      <c r="R699" s="13"/>
      <c r="S699" s="13">
        <v>1.3541666666666667E-2</v>
      </c>
      <c r="T699" s="13">
        <v>5.7870370370370373E-5</v>
      </c>
      <c r="U699" s="13">
        <v>1.1342592592592593E-3</v>
      </c>
      <c r="V699" s="13"/>
      <c r="W699" s="13"/>
    </row>
    <row r="700" spans="1:23" ht="15" customHeight="1" x14ac:dyDescent="0.25">
      <c r="A700" s="19">
        <v>46242</v>
      </c>
      <c r="B700" s="11" t="s">
        <v>282</v>
      </c>
      <c r="C700" s="12" t="s">
        <v>535</v>
      </c>
      <c r="D700" s="11" t="s">
        <v>233</v>
      </c>
      <c r="E700" s="12" t="s">
        <v>32</v>
      </c>
      <c r="F700" s="12" t="s">
        <v>106</v>
      </c>
      <c r="G700" s="12">
        <v>1</v>
      </c>
      <c r="H700" s="13">
        <v>3.0960648148148147E-2</v>
      </c>
      <c r="I700" s="13">
        <v>3.8310185185185183E-3</v>
      </c>
      <c r="J700" s="13">
        <v>3.8310185185185183E-3</v>
      </c>
      <c r="K700" s="13">
        <v>4.9768518518518521E-4</v>
      </c>
      <c r="L700" s="14">
        <v>1.6074766355140189E-2</v>
      </c>
      <c r="M700" s="12" t="s">
        <v>334</v>
      </c>
      <c r="N700" s="13"/>
      <c r="O700" s="13"/>
      <c r="P700" s="13"/>
      <c r="Q700" s="13"/>
      <c r="R700" s="13"/>
      <c r="S700" s="13"/>
      <c r="T700" s="13">
        <v>4.9768518518518521E-4</v>
      </c>
      <c r="U700" s="13"/>
      <c r="V700" s="13"/>
      <c r="W700" s="13"/>
    </row>
    <row r="701" spans="1:23" ht="15" customHeight="1" x14ac:dyDescent="0.25">
      <c r="A701" s="19">
        <v>46242</v>
      </c>
      <c r="B701" s="11" t="s">
        <v>675</v>
      </c>
      <c r="C701" s="12" t="s">
        <v>676</v>
      </c>
      <c r="D701" s="11" t="s">
        <v>104</v>
      </c>
      <c r="E701" s="12" t="s">
        <v>105</v>
      </c>
      <c r="F701" s="12" t="s">
        <v>106</v>
      </c>
      <c r="G701" s="12">
        <v>3</v>
      </c>
      <c r="H701" s="13">
        <v>0.22050925925925927</v>
      </c>
      <c r="I701" s="13">
        <v>6.0451388888888888E-2</v>
      </c>
      <c r="J701" s="13">
        <v>2.0150462962962964E-2</v>
      </c>
      <c r="K701" s="13">
        <v>0.1333449074074074</v>
      </c>
      <c r="L701" s="14">
        <v>0.60471341591433969</v>
      </c>
      <c r="M701" s="12" t="s">
        <v>334</v>
      </c>
      <c r="N701" s="13">
        <v>2.2685185185185187E-3</v>
      </c>
      <c r="O701" s="13">
        <v>6.7708333333333336E-3</v>
      </c>
      <c r="P701" s="13"/>
      <c r="Q701" s="13">
        <v>3.1747685185185184E-2</v>
      </c>
      <c r="R701" s="13"/>
      <c r="S701" s="13">
        <v>6.3194444444444444E-3</v>
      </c>
      <c r="T701" s="13">
        <v>6.018518518518519E-4</v>
      </c>
      <c r="U701" s="13"/>
      <c r="V701" s="13"/>
      <c r="W701" s="13">
        <v>8.5636574074074073E-2</v>
      </c>
    </row>
    <row r="702" spans="1:23" ht="15" customHeight="1" x14ac:dyDescent="0.25">
      <c r="A702" s="19">
        <v>46242</v>
      </c>
      <c r="B702" s="11" t="s">
        <v>677</v>
      </c>
      <c r="C702" s="12" t="s">
        <v>678</v>
      </c>
      <c r="D702" s="11" t="s">
        <v>274</v>
      </c>
      <c r="E702" s="12" t="s">
        <v>147</v>
      </c>
      <c r="F702" s="12" t="s">
        <v>33</v>
      </c>
      <c r="G702" s="12">
        <v>9</v>
      </c>
      <c r="H702" s="13">
        <v>0.26234953703703706</v>
      </c>
      <c r="I702" s="13">
        <v>5.1574074074074071E-2</v>
      </c>
      <c r="J702" s="13">
        <v>5.7304526748971187E-3</v>
      </c>
      <c r="K702" s="13">
        <v>4.3472222222222225E-2</v>
      </c>
      <c r="L702" s="14">
        <v>0.16570344553756561</v>
      </c>
      <c r="M702" s="12" t="s">
        <v>334</v>
      </c>
      <c r="N702" s="13">
        <v>2.9861111111111113E-3</v>
      </c>
      <c r="O702" s="13">
        <v>1.4108796296296296E-2</v>
      </c>
      <c r="P702" s="13"/>
      <c r="Q702" s="13"/>
      <c r="R702" s="13">
        <v>9.432870370370371E-3</v>
      </c>
      <c r="S702" s="13">
        <v>1.3969907407407407E-2</v>
      </c>
      <c r="T702" s="13">
        <v>2.6620370370370372E-4</v>
      </c>
      <c r="U702" s="13">
        <v>2.6157407407407405E-3</v>
      </c>
      <c r="V702" s="13"/>
      <c r="W702" s="13"/>
    </row>
    <row r="703" spans="1:23" ht="15" customHeight="1" x14ac:dyDescent="0.25">
      <c r="A703" s="19">
        <v>46244</v>
      </c>
      <c r="B703" s="11" t="s">
        <v>186</v>
      </c>
      <c r="C703" s="12" t="s">
        <v>562</v>
      </c>
      <c r="D703" s="11" t="s">
        <v>78</v>
      </c>
      <c r="E703" s="12" t="s">
        <v>80</v>
      </c>
      <c r="F703" s="12" t="s">
        <v>33</v>
      </c>
      <c r="G703" s="12">
        <v>2</v>
      </c>
      <c r="H703" s="13">
        <v>0.26806712962962964</v>
      </c>
      <c r="I703" s="13">
        <v>6.1921296296296299E-3</v>
      </c>
      <c r="J703" s="13">
        <v>3.0960648148148149E-3</v>
      </c>
      <c r="K703" s="13">
        <v>3.9386574074074074E-2</v>
      </c>
      <c r="L703" s="14">
        <v>0.14692802556020895</v>
      </c>
      <c r="M703" s="12" t="s">
        <v>334</v>
      </c>
      <c r="N703" s="13">
        <v>6.5277777777777782E-3</v>
      </c>
      <c r="O703" s="13">
        <v>1.5543981481481482E-2</v>
      </c>
      <c r="P703" s="13"/>
      <c r="Q703" s="13"/>
      <c r="R703" s="13"/>
      <c r="S703" s="13">
        <v>1.6111111111111111E-2</v>
      </c>
      <c r="T703" s="13">
        <v>5.2083333333333333E-4</v>
      </c>
      <c r="U703" s="13">
        <v>6.5972222222222224E-4</v>
      </c>
      <c r="V703" s="13"/>
      <c r="W703" s="13"/>
    </row>
    <row r="704" spans="1:23" ht="15" customHeight="1" x14ac:dyDescent="0.25">
      <c r="A704" s="19">
        <v>46244</v>
      </c>
      <c r="B704" s="11" t="s">
        <v>643</v>
      </c>
      <c r="C704" s="12" t="s">
        <v>644</v>
      </c>
      <c r="D704" s="11" t="s">
        <v>233</v>
      </c>
      <c r="E704" s="12" t="s">
        <v>32</v>
      </c>
      <c r="F704" s="12" t="s">
        <v>106</v>
      </c>
      <c r="G704" s="12">
        <v>20</v>
      </c>
      <c r="H704" s="13">
        <v>0.25575231481481481</v>
      </c>
      <c r="I704" s="13">
        <v>0.16665509259259259</v>
      </c>
      <c r="J704" s="13">
        <v>8.3327546296296292E-3</v>
      </c>
      <c r="K704" s="13">
        <v>3.5347222222222224E-2</v>
      </c>
      <c r="L704" s="14">
        <v>0.13820880662533377</v>
      </c>
      <c r="M704" s="12" t="s">
        <v>334</v>
      </c>
      <c r="N704" s="13">
        <v>6.6435185185185182E-3</v>
      </c>
      <c r="O704" s="13">
        <v>1.4328703703703703E-2</v>
      </c>
      <c r="P704" s="13"/>
      <c r="Q704" s="13"/>
      <c r="R704" s="13"/>
      <c r="S704" s="13">
        <v>1.3703703703703704E-2</v>
      </c>
      <c r="T704" s="13">
        <v>6.9444444444444444E-5</v>
      </c>
      <c r="U704" s="13">
        <v>5.9027777777777778E-4</v>
      </c>
      <c r="V704" s="13"/>
      <c r="W704" s="13"/>
    </row>
    <row r="705" spans="1:23" ht="15" customHeight="1" x14ac:dyDescent="0.25">
      <c r="A705" s="19">
        <v>46244</v>
      </c>
      <c r="B705" s="11" t="s">
        <v>193</v>
      </c>
      <c r="C705" s="12" t="s">
        <v>563</v>
      </c>
      <c r="D705" s="11" t="s">
        <v>274</v>
      </c>
      <c r="E705" s="12" t="s">
        <v>147</v>
      </c>
      <c r="F705" s="12" t="s">
        <v>33</v>
      </c>
      <c r="G705" s="12">
        <v>18</v>
      </c>
      <c r="H705" s="13">
        <v>0.26671296296296299</v>
      </c>
      <c r="I705" s="13">
        <v>6.4548611111111112E-2</v>
      </c>
      <c r="J705" s="13">
        <v>3.5860339506172839E-3</v>
      </c>
      <c r="K705" s="13">
        <v>2.795138888888889E-2</v>
      </c>
      <c r="L705" s="14">
        <v>0.10479951397326853</v>
      </c>
      <c r="M705" s="12" t="s">
        <v>334</v>
      </c>
      <c r="N705" s="13"/>
      <c r="O705" s="13">
        <v>6.9328703703703705E-3</v>
      </c>
      <c r="P705" s="13"/>
      <c r="Q705" s="13"/>
      <c r="R705" s="13">
        <v>6.9675925925925929E-3</v>
      </c>
      <c r="S705" s="13">
        <v>1.3993055555555555E-2</v>
      </c>
      <c r="T705" s="13">
        <v>5.7870370370370373E-5</v>
      </c>
      <c r="U705" s="13"/>
      <c r="V705" s="13"/>
      <c r="W705" s="13"/>
    </row>
    <row r="706" spans="1:23" ht="15" customHeight="1" x14ac:dyDescent="0.25">
      <c r="A706" s="19">
        <v>46244</v>
      </c>
      <c r="B706" s="11" t="s">
        <v>231</v>
      </c>
      <c r="C706" s="12" t="s">
        <v>525</v>
      </c>
      <c r="D706" s="11" t="s">
        <v>233</v>
      </c>
      <c r="E706" s="12" t="s">
        <v>32</v>
      </c>
      <c r="F706" s="12" t="s">
        <v>106</v>
      </c>
      <c r="G706" s="12">
        <v>41</v>
      </c>
      <c r="H706" s="13">
        <v>0.2628125</v>
      </c>
      <c r="I706" s="13">
        <v>0.13798611111111111</v>
      </c>
      <c r="J706" s="13">
        <v>3.3655149051490516E-3</v>
      </c>
      <c r="K706" s="13">
        <v>4.7881944444444442E-2</v>
      </c>
      <c r="L706" s="14">
        <v>0.18219051393843308</v>
      </c>
      <c r="M706" s="12" t="s">
        <v>334</v>
      </c>
      <c r="N706" s="13">
        <v>3.414351851851852E-3</v>
      </c>
      <c r="O706" s="13">
        <v>1.3877314814814815E-2</v>
      </c>
      <c r="P706" s="13"/>
      <c r="Q706" s="13"/>
      <c r="R706" s="13">
        <v>1.2592592592592593E-2</v>
      </c>
      <c r="S706" s="13">
        <v>1.3645833333333333E-2</v>
      </c>
      <c r="T706" s="13">
        <v>3.8773148148148148E-3</v>
      </c>
      <c r="U706" s="13">
        <v>4.2824074074074075E-4</v>
      </c>
      <c r="V706" s="13"/>
      <c r="W706" s="13"/>
    </row>
    <row r="707" spans="1:23" ht="15" customHeight="1" x14ac:dyDescent="0.25">
      <c r="A707" s="19">
        <v>46244</v>
      </c>
      <c r="B707" s="11" t="s">
        <v>148</v>
      </c>
      <c r="C707" s="12" t="s">
        <v>513</v>
      </c>
      <c r="D707" s="11" t="s">
        <v>104</v>
      </c>
      <c r="E707" s="12" t="s">
        <v>105</v>
      </c>
      <c r="F707" s="12" t="s">
        <v>106</v>
      </c>
      <c r="G707" s="12">
        <v>7</v>
      </c>
      <c r="H707" s="13">
        <v>0.23854166666666668</v>
      </c>
      <c r="I707" s="13">
        <v>0.14166666666666666</v>
      </c>
      <c r="J707" s="13">
        <v>2.0238095238095239E-2</v>
      </c>
      <c r="K707" s="13">
        <v>0.14334490740740741</v>
      </c>
      <c r="L707" s="14">
        <v>0.60092188258127122</v>
      </c>
      <c r="M707" s="12" t="s">
        <v>334</v>
      </c>
      <c r="N707" s="13">
        <v>3.2175925925925926E-3</v>
      </c>
      <c r="O707" s="13">
        <v>1.4097222222222223E-2</v>
      </c>
      <c r="P707" s="13"/>
      <c r="Q707" s="13"/>
      <c r="R707" s="13"/>
      <c r="S707" s="13">
        <v>1.40625E-2</v>
      </c>
      <c r="T707" s="13">
        <v>1.3136574074074075E-2</v>
      </c>
      <c r="U707" s="13">
        <v>3.4722222222222224E-4</v>
      </c>
      <c r="V707" s="13"/>
      <c r="W707" s="13">
        <v>9.8483796296296292E-2</v>
      </c>
    </row>
    <row r="708" spans="1:23" ht="15" customHeight="1" x14ac:dyDescent="0.25">
      <c r="A708" s="19">
        <v>46244</v>
      </c>
      <c r="B708" s="11" t="s">
        <v>82</v>
      </c>
      <c r="C708" s="12" t="s">
        <v>83</v>
      </c>
      <c r="D708" s="11" t="s">
        <v>78</v>
      </c>
      <c r="E708" s="12" t="s">
        <v>80</v>
      </c>
      <c r="F708" s="12" t="s">
        <v>81</v>
      </c>
      <c r="G708" s="12">
        <v>0</v>
      </c>
      <c r="H708" s="13">
        <v>0.31284722222222222</v>
      </c>
      <c r="I708" s="13">
        <v>0</v>
      </c>
      <c r="J708" s="13">
        <v>0</v>
      </c>
      <c r="K708" s="13">
        <v>0.26165509259259262</v>
      </c>
      <c r="L708" s="14">
        <v>0.8363669996300408</v>
      </c>
      <c r="M708" s="12" t="s">
        <v>334</v>
      </c>
      <c r="N708" s="13"/>
      <c r="O708" s="13"/>
      <c r="P708" s="13"/>
      <c r="Q708" s="13"/>
      <c r="R708" s="13">
        <v>5.0312500000000003E-2</v>
      </c>
      <c r="S708" s="13"/>
      <c r="T708" s="13">
        <v>0.21131944444444445</v>
      </c>
      <c r="U708" s="13"/>
      <c r="V708" s="13"/>
      <c r="W708" s="13"/>
    </row>
    <row r="709" spans="1:23" ht="15" customHeight="1" x14ac:dyDescent="0.25">
      <c r="A709" s="19">
        <v>46244</v>
      </c>
      <c r="B709" s="11" t="s">
        <v>234</v>
      </c>
      <c r="C709" s="12" t="s">
        <v>550</v>
      </c>
      <c r="D709" s="11" t="s">
        <v>233</v>
      </c>
      <c r="E709" s="12" t="s">
        <v>32</v>
      </c>
      <c r="F709" s="12" t="s">
        <v>106</v>
      </c>
      <c r="G709" s="12">
        <v>32</v>
      </c>
      <c r="H709" s="13">
        <v>0.26538194444444446</v>
      </c>
      <c r="I709" s="13">
        <v>0.1514699074074074</v>
      </c>
      <c r="J709" s="13">
        <v>4.7334346064814813E-3</v>
      </c>
      <c r="K709" s="13">
        <v>3.9849537037037037E-2</v>
      </c>
      <c r="L709" s="14">
        <v>0.15015918705569364</v>
      </c>
      <c r="M709" s="12" t="s">
        <v>334</v>
      </c>
      <c r="N709" s="13">
        <v>6.3425925925925924E-3</v>
      </c>
      <c r="O709" s="13">
        <v>1.5416666666666667E-2</v>
      </c>
      <c r="P709" s="13"/>
      <c r="Q709" s="13">
        <v>3.4722222222222222E-5</v>
      </c>
      <c r="R709" s="13"/>
      <c r="S709" s="13">
        <v>1.4085648148148147E-2</v>
      </c>
      <c r="T709" s="13">
        <v>2.2337962962962962E-3</v>
      </c>
      <c r="U709" s="13">
        <v>1.712962962962963E-3</v>
      </c>
      <c r="V709" s="13"/>
      <c r="W709" s="13"/>
    </row>
    <row r="710" spans="1:23" ht="15" customHeight="1" x14ac:dyDescent="0.25">
      <c r="A710" s="19">
        <v>46244</v>
      </c>
      <c r="B710" s="11" t="s">
        <v>34</v>
      </c>
      <c r="C710" s="12" t="s">
        <v>505</v>
      </c>
      <c r="D710" s="11" t="s">
        <v>233</v>
      </c>
      <c r="E710" s="12" t="s">
        <v>32</v>
      </c>
      <c r="F710" s="12" t="s">
        <v>106</v>
      </c>
      <c r="G710" s="12">
        <v>38</v>
      </c>
      <c r="H710" s="13">
        <v>0.26442129629629629</v>
      </c>
      <c r="I710" s="13">
        <v>0.14078703703703704</v>
      </c>
      <c r="J710" s="13">
        <v>3.7049220272904484E-3</v>
      </c>
      <c r="K710" s="13">
        <v>3.5844907407407409E-2</v>
      </c>
      <c r="L710" s="14">
        <v>0.13555983541976716</v>
      </c>
      <c r="M710" s="12" t="s">
        <v>334</v>
      </c>
      <c r="N710" s="13">
        <v>1.8055555555555555E-3</v>
      </c>
      <c r="O710" s="13">
        <v>1.3321759259259259E-2</v>
      </c>
      <c r="P710" s="13"/>
      <c r="Q710" s="13"/>
      <c r="R710" s="13"/>
      <c r="S710" s="13">
        <v>1.3865740740740741E-2</v>
      </c>
      <c r="T710" s="13">
        <v>9.2592592592592588E-5</v>
      </c>
      <c r="U710" s="13">
        <v>5.208333333333333E-3</v>
      </c>
      <c r="V710" s="13"/>
      <c r="W710" s="13"/>
    </row>
    <row r="711" spans="1:23" ht="15" customHeight="1" x14ac:dyDescent="0.25">
      <c r="A711" s="19">
        <v>46244</v>
      </c>
      <c r="B711" s="11" t="s">
        <v>493</v>
      </c>
      <c r="C711" s="12" t="s">
        <v>569</v>
      </c>
      <c r="D711" s="11" t="s">
        <v>104</v>
      </c>
      <c r="E711" s="12" t="s">
        <v>105</v>
      </c>
      <c r="F711" s="12" t="s">
        <v>106</v>
      </c>
      <c r="G711" s="12">
        <v>6</v>
      </c>
      <c r="H711" s="13">
        <v>0.25368055555555558</v>
      </c>
      <c r="I711" s="13">
        <v>8.532407407407408E-2</v>
      </c>
      <c r="J711" s="13">
        <v>1.422067901234568E-2</v>
      </c>
      <c r="K711" s="13">
        <v>0.19922453703703705</v>
      </c>
      <c r="L711" s="14">
        <v>0.78533625330778356</v>
      </c>
      <c r="M711" s="12" t="s">
        <v>334</v>
      </c>
      <c r="N711" s="13">
        <v>1.1967592592592592E-2</v>
      </c>
      <c r="O711" s="13">
        <v>1.5127314814814816E-2</v>
      </c>
      <c r="P711" s="13"/>
      <c r="Q711" s="13"/>
      <c r="R711" s="13">
        <v>1.9085648148148147E-2</v>
      </c>
      <c r="S711" s="13">
        <v>1.3298611111111112E-2</v>
      </c>
      <c r="T711" s="13">
        <v>3.5879629629629629E-4</v>
      </c>
      <c r="U711" s="13">
        <v>4.8726851851851848E-3</v>
      </c>
      <c r="V711" s="13"/>
      <c r="W711" s="13">
        <v>0.13268518518518518</v>
      </c>
    </row>
    <row r="712" spans="1:23" ht="15" customHeight="1" x14ac:dyDescent="0.25">
      <c r="A712" s="19">
        <v>46244</v>
      </c>
      <c r="B712" s="11" t="s">
        <v>236</v>
      </c>
      <c r="C712" s="12" t="s">
        <v>551</v>
      </c>
      <c r="D712" s="11" t="s">
        <v>233</v>
      </c>
      <c r="E712" s="12" t="s">
        <v>32</v>
      </c>
      <c r="F712" s="12" t="s">
        <v>106</v>
      </c>
      <c r="G712" s="12">
        <v>3</v>
      </c>
      <c r="H712" s="13">
        <v>0.25321759259259258</v>
      </c>
      <c r="I712" s="13">
        <v>1.0300925925925926E-3</v>
      </c>
      <c r="J712" s="13">
        <v>3.433641975308642E-4</v>
      </c>
      <c r="K712" s="13">
        <v>0.24899305555555556</v>
      </c>
      <c r="L712" s="14">
        <v>0.98331657372703185</v>
      </c>
      <c r="M712" s="12" t="s">
        <v>334</v>
      </c>
      <c r="N712" s="13">
        <v>9.8611111111111104E-3</v>
      </c>
      <c r="O712" s="13">
        <v>5.2789351851851851E-2</v>
      </c>
      <c r="P712" s="13"/>
      <c r="Q712" s="13"/>
      <c r="R712" s="13"/>
      <c r="S712" s="13">
        <v>2.2465277777777778E-2</v>
      </c>
      <c r="T712" s="13">
        <v>0.12760416666666666</v>
      </c>
      <c r="U712" s="13"/>
      <c r="V712" s="13"/>
      <c r="W712" s="13">
        <v>3.6273148148148152E-2</v>
      </c>
    </row>
    <row r="713" spans="1:23" ht="15" customHeight="1" x14ac:dyDescent="0.25">
      <c r="A713" s="19">
        <v>46244</v>
      </c>
      <c r="B713" s="11" t="s">
        <v>238</v>
      </c>
      <c r="C713" s="12" t="s">
        <v>526</v>
      </c>
      <c r="D713" s="11" t="s">
        <v>233</v>
      </c>
      <c r="E713" s="12" t="s">
        <v>32</v>
      </c>
      <c r="F713" s="12" t="s">
        <v>106</v>
      </c>
      <c r="G713" s="12">
        <v>0</v>
      </c>
      <c r="H713" s="13">
        <v>0.17890046296296297</v>
      </c>
      <c r="I713" s="13">
        <v>0</v>
      </c>
      <c r="J713" s="13">
        <v>0</v>
      </c>
      <c r="K713" s="13">
        <v>0.17890046296296297</v>
      </c>
      <c r="L713" s="14">
        <v>1</v>
      </c>
      <c r="M713" s="12" t="s">
        <v>334</v>
      </c>
      <c r="N713" s="13"/>
      <c r="O713" s="13">
        <v>5.2893518518518515E-3</v>
      </c>
      <c r="P713" s="13"/>
      <c r="Q713" s="13"/>
      <c r="R713" s="13"/>
      <c r="S713" s="13">
        <v>1.3657407407407408E-2</v>
      </c>
      <c r="T713" s="13">
        <v>4.9768518518518521E-4</v>
      </c>
      <c r="U713" s="13"/>
      <c r="V713" s="13"/>
      <c r="W713" s="13">
        <v>0.15945601851851851</v>
      </c>
    </row>
    <row r="714" spans="1:23" ht="15" customHeight="1" x14ac:dyDescent="0.25">
      <c r="A714" s="19">
        <v>46244</v>
      </c>
      <c r="B714" s="11" t="s">
        <v>608</v>
      </c>
      <c r="C714" s="12" t="s">
        <v>631</v>
      </c>
      <c r="D714" s="11" t="s">
        <v>601</v>
      </c>
      <c r="E714" s="12" t="s">
        <v>105</v>
      </c>
      <c r="F714" s="12" t="s">
        <v>33</v>
      </c>
      <c r="G714" s="12">
        <v>3</v>
      </c>
      <c r="H714" s="13">
        <v>0.21611111111111111</v>
      </c>
      <c r="I714" s="13">
        <v>8.1678240740740746E-2</v>
      </c>
      <c r="J714" s="13">
        <v>2.7226080246913583E-2</v>
      </c>
      <c r="K714" s="13">
        <v>0.18746527777777777</v>
      </c>
      <c r="L714" s="14">
        <v>0.86744858611825193</v>
      </c>
      <c r="M714" s="12" t="s">
        <v>334</v>
      </c>
      <c r="N714" s="13"/>
      <c r="O714" s="13">
        <v>1.4224537037037037E-2</v>
      </c>
      <c r="P714" s="13"/>
      <c r="Q714" s="13"/>
      <c r="R714" s="13"/>
      <c r="S714" s="13">
        <v>1.3703703703703704E-2</v>
      </c>
      <c r="T714" s="13">
        <v>9.3749999999999997E-4</v>
      </c>
      <c r="U714" s="13">
        <v>0.15859953703703702</v>
      </c>
      <c r="V714" s="13"/>
      <c r="W714" s="13"/>
    </row>
    <row r="715" spans="1:23" ht="15" customHeight="1" x14ac:dyDescent="0.25">
      <c r="A715" s="19">
        <v>46244</v>
      </c>
      <c r="B715" s="11" t="s">
        <v>307</v>
      </c>
      <c r="C715" s="12" t="s">
        <v>308</v>
      </c>
      <c r="D715" s="11" t="s">
        <v>78</v>
      </c>
      <c r="E715" s="12" t="s">
        <v>80</v>
      </c>
      <c r="F715" s="12" t="s">
        <v>81</v>
      </c>
      <c r="G715" s="12">
        <v>0</v>
      </c>
      <c r="H715" s="13">
        <v>0.36019675925925926</v>
      </c>
      <c r="I715" s="13">
        <v>0</v>
      </c>
      <c r="J715" s="13">
        <v>0</v>
      </c>
      <c r="K715" s="13">
        <v>0.13211805555555556</v>
      </c>
      <c r="L715" s="14">
        <v>0.36679412615275858</v>
      </c>
      <c r="M715" s="12" t="s">
        <v>334</v>
      </c>
      <c r="N715" s="13"/>
      <c r="O715" s="13"/>
      <c r="P715" s="13"/>
      <c r="Q715" s="13"/>
      <c r="R715" s="13">
        <v>8.1018518518518516E-5</v>
      </c>
      <c r="S715" s="13">
        <v>2.4525462962962964E-2</v>
      </c>
      <c r="T715" s="13"/>
      <c r="U715" s="13">
        <v>0.10737268518518518</v>
      </c>
      <c r="V715" s="13"/>
      <c r="W715" s="13"/>
    </row>
    <row r="716" spans="1:23" ht="15" customHeight="1" x14ac:dyDescent="0.25">
      <c r="A716" s="19">
        <v>46244</v>
      </c>
      <c r="B716" s="11" t="s">
        <v>197</v>
      </c>
      <c r="C716" s="12" t="s">
        <v>564</v>
      </c>
      <c r="D716" s="11" t="s">
        <v>601</v>
      </c>
      <c r="E716" s="12" t="s">
        <v>105</v>
      </c>
      <c r="F716" s="12" t="s">
        <v>33</v>
      </c>
      <c r="G716" s="12">
        <v>1</v>
      </c>
      <c r="H716" s="13">
        <v>0.18006944444444445</v>
      </c>
      <c r="I716" s="13">
        <v>2.4236111111111111E-2</v>
      </c>
      <c r="J716" s="13">
        <v>2.4236111111111111E-2</v>
      </c>
      <c r="K716" s="13">
        <v>0.17141203703703703</v>
      </c>
      <c r="L716" s="14">
        <v>0.95192184085358011</v>
      </c>
      <c r="M716" s="12" t="s">
        <v>334</v>
      </c>
      <c r="N716" s="13"/>
      <c r="O716" s="13">
        <v>7.4884259259259262E-3</v>
      </c>
      <c r="P716" s="13"/>
      <c r="Q716" s="13">
        <v>5.138888888888889E-3</v>
      </c>
      <c r="R716" s="13"/>
      <c r="S716" s="13">
        <v>1.9212962962962964E-3</v>
      </c>
      <c r="T716" s="13">
        <v>3.1481481481481482E-3</v>
      </c>
      <c r="U716" s="13">
        <v>0.15371527777777777</v>
      </c>
      <c r="V716" s="13"/>
      <c r="W716" s="13"/>
    </row>
    <row r="717" spans="1:23" ht="15" customHeight="1" x14ac:dyDescent="0.25">
      <c r="A717" s="19">
        <v>46244</v>
      </c>
      <c r="B717" s="11" t="s">
        <v>38</v>
      </c>
      <c r="C717" s="12" t="s">
        <v>536</v>
      </c>
      <c r="D717" s="11" t="s">
        <v>100</v>
      </c>
      <c r="E717" s="12" t="s">
        <v>32</v>
      </c>
      <c r="F717" s="12" t="s">
        <v>33</v>
      </c>
      <c r="G717" s="12">
        <v>4</v>
      </c>
      <c r="H717" s="13">
        <v>0.25114583333333335</v>
      </c>
      <c r="I717" s="13">
        <v>1.744212962962963E-2</v>
      </c>
      <c r="J717" s="13">
        <v>4.3605324074074076E-3</v>
      </c>
      <c r="K717" s="13">
        <v>0.23752314814814815</v>
      </c>
      <c r="L717" s="14">
        <v>0.94575786902622239</v>
      </c>
      <c r="M717" s="12" t="s">
        <v>334</v>
      </c>
      <c r="N717" s="13">
        <v>9.3634259259259261E-3</v>
      </c>
      <c r="O717" s="13">
        <v>1.4976851851851852E-2</v>
      </c>
      <c r="P717" s="13"/>
      <c r="Q717" s="13"/>
      <c r="R717" s="13"/>
      <c r="S717" s="13">
        <v>4.6192129629629632E-2</v>
      </c>
      <c r="T717" s="13">
        <v>4.6296296296296298E-4</v>
      </c>
      <c r="U717" s="13"/>
      <c r="V717" s="13"/>
      <c r="W717" s="13">
        <v>0.16652777777777777</v>
      </c>
    </row>
    <row r="718" spans="1:23" ht="15" customHeight="1" x14ac:dyDescent="0.25">
      <c r="A718" s="19">
        <v>46244</v>
      </c>
      <c r="B718" s="11" t="s">
        <v>681</v>
      </c>
      <c r="C718" s="12" t="s">
        <v>682</v>
      </c>
      <c r="D718" s="11" t="s">
        <v>601</v>
      </c>
      <c r="E718" s="12" t="s">
        <v>105</v>
      </c>
      <c r="F718" s="12" t="s">
        <v>33</v>
      </c>
      <c r="G718" s="12">
        <v>1</v>
      </c>
      <c r="H718" s="13">
        <v>0.19715277777777779</v>
      </c>
      <c r="I718" s="13">
        <v>3.9247685185185184E-2</v>
      </c>
      <c r="J718" s="13">
        <v>3.9247685185185184E-2</v>
      </c>
      <c r="K718" s="13">
        <v>0.17505787037037038</v>
      </c>
      <c r="L718" s="14">
        <v>0.88793002230832452</v>
      </c>
      <c r="M718" s="12" t="s">
        <v>334</v>
      </c>
      <c r="N718" s="13">
        <v>4.2708333333333331E-3</v>
      </c>
      <c r="O718" s="13">
        <v>1.6805555555555556E-2</v>
      </c>
      <c r="P718" s="13"/>
      <c r="Q718" s="13">
        <v>1.6307870370370372E-2</v>
      </c>
      <c r="R718" s="13"/>
      <c r="S718" s="13">
        <v>1.4444444444444444E-2</v>
      </c>
      <c r="T718" s="13">
        <v>7.407407407407407E-4</v>
      </c>
      <c r="U718" s="13">
        <v>0.12248842592592593</v>
      </c>
      <c r="V718" s="13"/>
      <c r="W718" s="13"/>
    </row>
    <row r="719" spans="1:23" ht="15" customHeight="1" x14ac:dyDescent="0.25">
      <c r="A719" s="19">
        <v>46244</v>
      </c>
      <c r="B719" s="11" t="s">
        <v>154</v>
      </c>
      <c r="C719" s="12" t="s">
        <v>515</v>
      </c>
      <c r="D719" s="11" t="s">
        <v>146</v>
      </c>
      <c r="E719" s="12" t="s">
        <v>147</v>
      </c>
      <c r="F719" s="12" t="s">
        <v>106</v>
      </c>
      <c r="G719" s="12">
        <v>29</v>
      </c>
      <c r="H719" s="13">
        <v>0.2628240740740741</v>
      </c>
      <c r="I719" s="13">
        <v>5.5775462962962964E-2</v>
      </c>
      <c r="J719" s="13">
        <v>1.9232918263090678E-3</v>
      </c>
      <c r="K719" s="13">
        <v>3.4756944444444444E-2</v>
      </c>
      <c r="L719" s="14">
        <v>0.13224414303329221</v>
      </c>
      <c r="M719" s="12" t="s">
        <v>334</v>
      </c>
      <c r="N719" s="13">
        <v>6.9560185185185185E-3</v>
      </c>
      <c r="O719" s="13">
        <v>9.8495370370370369E-3</v>
      </c>
      <c r="P719" s="13"/>
      <c r="Q719" s="13">
        <v>2.7314814814814814E-3</v>
      </c>
      <c r="R719" s="13"/>
      <c r="S719" s="13">
        <v>1.3761574074074074E-2</v>
      </c>
      <c r="T719" s="13">
        <v>4.861111111111111E-4</v>
      </c>
      <c r="U719" s="13">
        <v>9.1435185185185185E-4</v>
      </c>
      <c r="V719" s="13"/>
      <c r="W719" s="13"/>
    </row>
    <row r="720" spans="1:23" ht="15" customHeight="1" x14ac:dyDescent="0.25">
      <c r="A720" s="19">
        <v>46244</v>
      </c>
      <c r="B720" s="11" t="s">
        <v>112</v>
      </c>
      <c r="C720" s="12" t="s">
        <v>570</v>
      </c>
      <c r="D720" s="11" t="s">
        <v>104</v>
      </c>
      <c r="E720" s="12" t="s">
        <v>105</v>
      </c>
      <c r="F720" s="12" t="s">
        <v>106</v>
      </c>
      <c r="G720" s="12">
        <v>5</v>
      </c>
      <c r="H720" s="13">
        <v>0.2429050925925926</v>
      </c>
      <c r="I720" s="13">
        <v>0.1547337962962963</v>
      </c>
      <c r="J720" s="13">
        <v>3.0946759259259261E-2</v>
      </c>
      <c r="K720" s="13">
        <v>0.12387731481481482</v>
      </c>
      <c r="L720" s="14">
        <v>0.50998237003859526</v>
      </c>
      <c r="M720" s="12" t="s">
        <v>334</v>
      </c>
      <c r="N720" s="13">
        <v>1.4999999999999999E-2</v>
      </c>
      <c r="O720" s="13">
        <v>1.8136574074074076E-2</v>
      </c>
      <c r="P720" s="13"/>
      <c r="Q720" s="13"/>
      <c r="R720" s="13"/>
      <c r="S720" s="13">
        <v>1.4548611111111111E-2</v>
      </c>
      <c r="T720" s="13">
        <v>3.6226851851851854E-3</v>
      </c>
      <c r="U720" s="13">
        <v>1.0416666666666667E-4</v>
      </c>
      <c r="V720" s="13"/>
      <c r="W720" s="13">
        <v>7.2465277777777781E-2</v>
      </c>
    </row>
    <row r="721" spans="1:23" ht="15" customHeight="1" x14ac:dyDescent="0.25">
      <c r="A721" s="19">
        <v>46244</v>
      </c>
      <c r="B721" s="11" t="s">
        <v>156</v>
      </c>
      <c r="C721" s="12" t="s">
        <v>516</v>
      </c>
      <c r="D721" s="11" t="s">
        <v>146</v>
      </c>
      <c r="E721" s="12" t="s">
        <v>147</v>
      </c>
      <c r="F721" s="12" t="s">
        <v>106</v>
      </c>
      <c r="G721" s="12">
        <v>27</v>
      </c>
      <c r="H721" s="13">
        <v>0.27464120370370371</v>
      </c>
      <c r="I721" s="13">
        <v>5.7789351851851849E-2</v>
      </c>
      <c r="J721" s="13">
        <v>2.1403463648834017E-3</v>
      </c>
      <c r="K721" s="13">
        <v>4.9756944444444444E-2</v>
      </c>
      <c r="L721" s="14">
        <v>0.1811707193729192</v>
      </c>
      <c r="M721" s="12" t="s">
        <v>334</v>
      </c>
      <c r="N721" s="13">
        <v>1.4930555555555556E-3</v>
      </c>
      <c r="O721" s="13">
        <v>1.2962962962962963E-2</v>
      </c>
      <c r="P721" s="13">
        <v>1.2337962962962964E-2</v>
      </c>
      <c r="Q721" s="13">
        <v>7.5231481481481482E-4</v>
      </c>
      <c r="R721" s="13"/>
      <c r="S721" s="13">
        <v>1.4016203703703704E-2</v>
      </c>
      <c r="T721" s="13">
        <v>3.8194444444444443E-3</v>
      </c>
      <c r="U721" s="13">
        <v>4.2245370370370371E-3</v>
      </c>
      <c r="V721" s="13"/>
      <c r="W721" s="13">
        <v>3.4722222222222222E-5</v>
      </c>
    </row>
    <row r="722" spans="1:23" ht="15" customHeight="1" x14ac:dyDescent="0.25">
      <c r="A722" s="19">
        <v>46244</v>
      </c>
      <c r="B722" s="11" t="s">
        <v>114</v>
      </c>
      <c r="C722" s="12" t="s">
        <v>541</v>
      </c>
      <c r="D722" s="11" t="s">
        <v>104</v>
      </c>
      <c r="E722" s="12" t="s">
        <v>105</v>
      </c>
      <c r="F722" s="12" t="s">
        <v>106</v>
      </c>
      <c r="G722" s="12">
        <v>7</v>
      </c>
      <c r="H722" s="13">
        <v>0.23296296296296296</v>
      </c>
      <c r="I722" s="13">
        <v>0.14543981481481483</v>
      </c>
      <c r="J722" s="13">
        <v>2.0777116402116404E-2</v>
      </c>
      <c r="K722" s="13">
        <v>0.13608796296296297</v>
      </c>
      <c r="L722" s="14">
        <v>0.58416136724960255</v>
      </c>
      <c r="M722" s="12" t="s">
        <v>334</v>
      </c>
      <c r="N722" s="13">
        <v>5.0694444444444441E-3</v>
      </c>
      <c r="O722" s="13">
        <v>1.3935185185185186E-2</v>
      </c>
      <c r="P722" s="13"/>
      <c r="Q722" s="13"/>
      <c r="R722" s="13"/>
      <c r="S722" s="13">
        <v>1.525462962962963E-2</v>
      </c>
      <c r="T722" s="13">
        <v>9.432870370370371E-3</v>
      </c>
      <c r="U722" s="13">
        <v>2.0833333333333335E-4</v>
      </c>
      <c r="V722" s="13"/>
      <c r="W722" s="13">
        <v>9.2187500000000006E-2</v>
      </c>
    </row>
    <row r="723" spans="1:23" ht="15" customHeight="1" x14ac:dyDescent="0.25">
      <c r="A723" s="19">
        <v>46244</v>
      </c>
      <c r="B723" s="11" t="s">
        <v>44</v>
      </c>
      <c r="C723" s="12" t="s">
        <v>506</v>
      </c>
      <c r="D723" s="11" t="s">
        <v>100</v>
      </c>
      <c r="E723" s="12" t="s">
        <v>32</v>
      </c>
      <c r="F723" s="12" t="s">
        <v>33</v>
      </c>
      <c r="G723" s="12">
        <v>33</v>
      </c>
      <c r="H723" s="13">
        <v>0.26233796296296297</v>
      </c>
      <c r="I723" s="13">
        <v>0.16623842592592591</v>
      </c>
      <c r="J723" s="13">
        <v>5.0375280583613916E-3</v>
      </c>
      <c r="K723" s="13">
        <v>3.9120370370370368E-2</v>
      </c>
      <c r="L723" s="14">
        <v>0.1491220330009706</v>
      </c>
      <c r="M723" s="12" t="s">
        <v>334</v>
      </c>
      <c r="N723" s="13">
        <v>2.9513888888888888E-3</v>
      </c>
      <c r="O723" s="13">
        <v>1.4375000000000001E-2</v>
      </c>
      <c r="P723" s="13"/>
      <c r="Q723" s="13"/>
      <c r="R723" s="13"/>
      <c r="S723" s="13">
        <v>1.4097222222222223E-2</v>
      </c>
      <c r="T723" s="13">
        <v>3.9351851851851852E-4</v>
      </c>
      <c r="U723" s="13">
        <v>3.2870370370370371E-3</v>
      </c>
      <c r="V723" s="13"/>
      <c r="W723" s="13">
        <v>3.5416666666666665E-3</v>
      </c>
    </row>
    <row r="724" spans="1:23" ht="15" customHeight="1" x14ac:dyDescent="0.25">
      <c r="A724" s="19">
        <v>46244</v>
      </c>
      <c r="B724" s="11" t="s">
        <v>609</v>
      </c>
      <c r="C724" s="12" t="s">
        <v>632</v>
      </c>
      <c r="D724" s="11" t="s">
        <v>601</v>
      </c>
      <c r="E724" s="12" t="s">
        <v>105</v>
      </c>
      <c r="F724" s="12" t="s">
        <v>33</v>
      </c>
      <c r="G724" s="12">
        <v>2</v>
      </c>
      <c r="H724" s="13">
        <v>0.21304398148148149</v>
      </c>
      <c r="I724" s="13">
        <v>4.0868055555555553E-2</v>
      </c>
      <c r="J724" s="13">
        <v>2.0434027777777777E-2</v>
      </c>
      <c r="K724" s="13">
        <v>0.20399305555555555</v>
      </c>
      <c r="L724" s="14">
        <v>0.9575161623295485</v>
      </c>
      <c r="M724" s="12" t="s">
        <v>334</v>
      </c>
      <c r="N724" s="13">
        <v>2.9942129629629631E-2</v>
      </c>
      <c r="O724" s="13">
        <v>1.7071759259259259E-2</v>
      </c>
      <c r="P724" s="13"/>
      <c r="Q724" s="13"/>
      <c r="R724" s="13"/>
      <c r="S724" s="13">
        <v>3.6574074074074074E-3</v>
      </c>
      <c r="T724" s="13">
        <v>3.2407407407407406E-4</v>
      </c>
      <c r="U724" s="13">
        <v>0.15299768518518519</v>
      </c>
      <c r="V724" s="13"/>
      <c r="W724" s="13"/>
    </row>
    <row r="725" spans="1:23" ht="15" customHeight="1" x14ac:dyDescent="0.25">
      <c r="A725" s="19">
        <v>46244</v>
      </c>
      <c r="B725" s="11" t="s">
        <v>240</v>
      </c>
      <c r="C725" s="12" t="s">
        <v>527</v>
      </c>
      <c r="D725" s="11" t="s">
        <v>233</v>
      </c>
      <c r="E725" s="12" t="s">
        <v>32</v>
      </c>
      <c r="F725" s="12" t="s">
        <v>106</v>
      </c>
      <c r="G725" s="12">
        <v>0</v>
      </c>
      <c r="H725" s="13">
        <v>0.2389236111111111</v>
      </c>
      <c r="I725" s="13">
        <v>0</v>
      </c>
      <c r="J725" s="13">
        <v>0</v>
      </c>
      <c r="K725" s="13">
        <v>0.2389236111111111</v>
      </c>
      <c r="L725" s="14">
        <v>1</v>
      </c>
      <c r="M725" s="12" t="s">
        <v>334</v>
      </c>
      <c r="N725" s="13">
        <v>1.6041666666666666E-2</v>
      </c>
      <c r="O725" s="13">
        <v>1.050925925925926E-2</v>
      </c>
      <c r="P725" s="13"/>
      <c r="Q725" s="13"/>
      <c r="R725" s="13"/>
      <c r="S725" s="13">
        <v>1.3969907407407407E-2</v>
      </c>
      <c r="T725" s="13">
        <v>7.7777777777777776E-3</v>
      </c>
      <c r="U725" s="13"/>
      <c r="V725" s="13"/>
      <c r="W725" s="13">
        <v>0.19062499999999999</v>
      </c>
    </row>
    <row r="726" spans="1:23" ht="15" customHeight="1" x14ac:dyDescent="0.25">
      <c r="A726" s="19">
        <v>46244</v>
      </c>
      <c r="B726" s="11" t="s">
        <v>497</v>
      </c>
      <c r="C726" s="12" t="s">
        <v>498</v>
      </c>
      <c r="D726" s="11" t="s">
        <v>78</v>
      </c>
      <c r="E726" s="12" t="s">
        <v>80</v>
      </c>
      <c r="F726" s="12" t="s">
        <v>81</v>
      </c>
      <c r="G726" s="12">
        <v>0</v>
      </c>
      <c r="H726" s="13">
        <v>0.34225694444444443</v>
      </c>
      <c r="I726" s="13">
        <v>0</v>
      </c>
      <c r="J726" s="13">
        <v>0</v>
      </c>
      <c r="K726" s="13">
        <v>0.11194444444444444</v>
      </c>
      <c r="L726" s="14">
        <v>0.32707720401744955</v>
      </c>
      <c r="M726" s="12" t="s">
        <v>334</v>
      </c>
      <c r="N726" s="13">
        <v>2.6967592592592594E-3</v>
      </c>
      <c r="O726" s="13">
        <v>1.2604166666666666E-2</v>
      </c>
      <c r="P726" s="13"/>
      <c r="Q726" s="13"/>
      <c r="R726" s="13"/>
      <c r="S726" s="13">
        <v>9.5891203703703701E-2</v>
      </c>
      <c r="T726" s="13">
        <v>7.1759259259259259E-4</v>
      </c>
      <c r="U726" s="13"/>
      <c r="V726" s="13"/>
      <c r="W726" s="13"/>
    </row>
    <row r="727" spans="1:23" ht="15" customHeight="1" x14ac:dyDescent="0.25">
      <c r="A727" s="19">
        <v>46244</v>
      </c>
      <c r="B727" s="11" t="s">
        <v>309</v>
      </c>
      <c r="C727" s="12" t="s">
        <v>310</v>
      </c>
      <c r="D727" s="11" t="s">
        <v>78</v>
      </c>
      <c r="E727" s="12" t="s">
        <v>80</v>
      </c>
      <c r="F727" s="12" t="s">
        <v>81</v>
      </c>
      <c r="G727" s="12">
        <v>0</v>
      </c>
      <c r="H727" s="13">
        <v>0.34369212962962964</v>
      </c>
      <c r="I727" s="13">
        <v>0</v>
      </c>
      <c r="J727" s="13">
        <v>0</v>
      </c>
      <c r="K727" s="13">
        <v>5.6504629629629627E-2</v>
      </c>
      <c r="L727" s="14">
        <v>0.16440478194982319</v>
      </c>
      <c r="M727" s="12" t="s">
        <v>334</v>
      </c>
      <c r="N727" s="13">
        <v>5.2199074074074075E-3</v>
      </c>
      <c r="O727" s="13">
        <v>4.2534722222222224E-2</v>
      </c>
      <c r="P727" s="13"/>
      <c r="Q727" s="13"/>
      <c r="R727" s="13"/>
      <c r="S727" s="13">
        <v>7.9398148148148145E-3</v>
      </c>
      <c r="T727" s="13">
        <v>3.5879629629629629E-4</v>
      </c>
      <c r="U727" s="13">
        <v>4.5138888888888887E-4</v>
      </c>
      <c r="V727" s="13"/>
      <c r="W727" s="13"/>
    </row>
    <row r="728" spans="1:23" ht="15" customHeight="1" x14ac:dyDescent="0.25">
      <c r="A728" s="19">
        <v>46244</v>
      </c>
      <c r="B728" s="11" t="s">
        <v>160</v>
      </c>
      <c r="C728" s="12" t="s">
        <v>544</v>
      </c>
      <c r="D728" s="11" t="s">
        <v>146</v>
      </c>
      <c r="E728" s="12" t="s">
        <v>147</v>
      </c>
      <c r="F728" s="12" t="s">
        <v>106</v>
      </c>
      <c r="G728" s="12">
        <v>29</v>
      </c>
      <c r="H728" s="13">
        <v>0.26765046296296297</v>
      </c>
      <c r="I728" s="13">
        <v>5.6585648148148149E-2</v>
      </c>
      <c r="J728" s="13">
        <v>1.9512292464878673E-3</v>
      </c>
      <c r="K728" s="13">
        <v>5.2847222222222219E-2</v>
      </c>
      <c r="L728" s="14">
        <v>0.19744864864864864</v>
      </c>
      <c r="M728" s="12" t="s">
        <v>334</v>
      </c>
      <c r="N728" s="13">
        <v>5.4050925925925924E-3</v>
      </c>
      <c r="O728" s="13">
        <v>1.6932870370370369E-2</v>
      </c>
      <c r="P728" s="13"/>
      <c r="Q728" s="13">
        <v>5.3356481481481484E-3</v>
      </c>
      <c r="R728" s="13"/>
      <c r="S728" s="13">
        <v>1.4513888888888889E-2</v>
      </c>
      <c r="T728" s="13">
        <v>6.4583333333333333E-3</v>
      </c>
      <c r="U728" s="13">
        <v>3.9351851851851848E-3</v>
      </c>
      <c r="V728" s="13"/>
      <c r="W728" s="13"/>
    </row>
    <row r="729" spans="1:23" ht="15" customHeight="1" x14ac:dyDescent="0.25">
      <c r="A729" s="19">
        <v>46244</v>
      </c>
      <c r="B729" s="11" t="s">
        <v>645</v>
      </c>
      <c r="C729" s="12" t="s">
        <v>646</v>
      </c>
      <c r="D729" s="11" t="s">
        <v>100</v>
      </c>
      <c r="E729" s="12" t="s">
        <v>32</v>
      </c>
      <c r="F729" s="12" t="s">
        <v>33</v>
      </c>
      <c r="G729" s="12">
        <v>43</v>
      </c>
      <c r="H729" s="13">
        <v>0.26349537037037035</v>
      </c>
      <c r="I729" s="13">
        <v>0.17996527777777777</v>
      </c>
      <c r="J729" s="13">
        <v>4.1852390180878553E-3</v>
      </c>
      <c r="K729" s="13">
        <v>3.4386574074074076E-2</v>
      </c>
      <c r="L729" s="14">
        <v>0.13050162523060707</v>
      </c>
      <c r="M729" s="12" t="s">
        <v>334</v>
      </c>
      <c r="N729" s="13">
        <v>3.8425925925925928E-3</v>
      </c>
      <c r="O729" s="13">
        <v>1.40625E-2</v>
      </c>
      <c r="P729" s="13"/>
      <c r="Q729" s="13"/>
      <c r="R729" s="13"/>
      <c r="S729" s="13">
        <v>1.3773148148148149E-2</v>
      </c>
      <c r="T729" s="13">
        <v>1.3773148148148147E-3</v>
      </c>
      <c r="U729" s="13">
        <v>1.261574074074074E-3</v>
      </c>
      <c r="V729" s="13"/>
      <c r="W729" s="13"/>
    </row>
    <row r="730" spans="1:23" ht="15" customHeight="1" x14ac:dyDescent="0.25">
      <c r="A730" s="19">
        <v>46244</v>
      </c>
      <c r="B730" s="11" t="s">
        <v>120</v>
      </c>
      <c r="C730" s="12" t="s">
        <v>558</v>
      </c>
      <c r="D730" s="11" t="s">
        <v>233</v>
      </c>
      <c r="E730" s="12" t="s">
        <v>32</v>
      </c>
      <c r="F730" s="12" t="s">
        <v>106</v>
      </c>
      <c r="G730" s="12">
        <v>48</v>
      </c>
      <c r="H730" s="13">
        <v>0.25944444444444442</v>
      </c>
      <c r="I730" s="13">
        <v>0.13994212962962962</v>
      </c>
      <c r="J730" s="13">
        <v>2.9154610339506173E-3</v>
      </c>
      <c r="K730" s="13">
        <v>3.5046296296296298E-2</v>
      </c>
      <c r="L730" s="14">
        <v>0.13508208422555321</v>
      </c>
      <c r="M730" s="12" t="s">
        <v>334</v>
      </c>
      <c r="N730" s="13">
        <v>6.2962962962962964E-3</v>
      </c>
      <c r="O730" s="13">
        <v>1.3182870370370371E-2</v>
      </c>
      <c r="P730" s="13"/>
      <c r="Q730" s="13"/>
      <c r="R730" s="13"/>
      <c r="S730" s="13">
        <v>1.2592592592592593E-2</v>
      </c>
      <c r="T730" s="13">
        <v>7.407407407407407E-4</v>
      </c>
      <c r="U730" s="13">
        <v>2.2106481481481482E-3</v>
      </c>
      <c r="V730" s="13"/>
      <c r="W730" s="13"/>
    </row>
    <row r="731" spans="1:23" ht="15" customHeight="1" x14ac:dyDescent="0.25">
      <c r="A731" s="19">
        <v>46244</v>
      </c>
      <c r="B731" s="11" t="s">
        <v>46</v>
      </c>
      <c r="C731" s="12" t="s">
        <v>507</v>
      </c>
      <c r="D731" s="11" t="s">
        <v>100</v>
      </c>
      <c r="E731" s="12" t="s">
        <v>32</v>
      </c>
      <c r="F731" s="12" t="s">
        <v>33</v>
      </c>
      <c r="G731" s="12">
        <v>44</v>
      </c>
      <c r="H731" s="13">
        <v>0.26416666666666666</v>
      </c>
      <c r="I731" s="13">
        <v>0.17393518518518519</v>
      </c>
      <c r="J731" s="13">
        <v>3.9530723905723906E-3</v>
      </c>
      <c r="K731" s="13">
        <v>3.4884259259259261E-2</v>
      </c>
      <c r="L731" s="14">
        <v>0.13205397826848933</v>
      </c>
      <c r="M731" s="12" t="s">
        <v>334</v>
      </c>
      <c r="N731" s="13">
        <v>2.5462962962962965E-3</v>
      </c>
      <c r="O731" s="13">
        <v>1.4270833333333333E-2</v>
      </c>
      <c r="P731" s="13"/>
      <c r="Q731" s="13"/>
      <c r="R731" s="13"/>
      <c r="S731" s="13">
        <v>1.3981481481481482E-2</v>
      </c>
      <c r="T731" s="13">
        <v>1.6203703703703703E-4</v>
      </c>
      <c r="U731" s="13">
        <v>2.1412037037037038E-3</v>
      </c>
      <c r="V731" s="13"/>
      <c r="W731" s="13">
        <v>1.712962962962963E-3</v>
      </c>
    </row>
    <row r="732" spans="1:23" ht="15" customHeight="1" x14ac:dyDescent="0.25">
      <c r="A732" s="19">
        <v>46244</v>
      </c>
      <c r="B732" s="11" t="s">
        <v>287</v>
      </c>
      <c r="C732" s="12" t="s">
        <v>542</v>
      </c>
      <c r="D732" s="11" t="s">
        <v>104</v>
      </c>
      <c r="E732" s="12" t="s">
        <v>105</v>
      </c>
      <c r="F732" s="12" t="s">
        <v>106</v>
      </c>
      <c r="G732" s="12">
        <v>4</v>
      </c>
      <c r="H732" s="13">
        <v>0.24258101851851852</v>
      </c>
      <c r="I732" s="13">
        <v>8.7766203703703707E-2</v>
      </c>
      <c r="J732" s="13">
        <v>2.1941550925925927E-2</v>
      </c>
      <c r="K732" s="13">
        <v>0.19160879629629629</v>
      </c>
      <c r="L732" s="14">
        <v>0.78987547115797507</v>
      </c>
      <c r="M732" s="12" t="s">
        <v>334</v>
      </c>
      <c r="N732" s="13">
        <v>2.9571759259259259E-2</v>
      </c>
      <c r="O732" s="13">
        <v>2.5914351851851852E-2</v>
      </c>
      <c r="P732" s="13"/>
      <c r="Q732" s="13"/>
      <c r="R732" s="13"/>
      <c r="S732" s="13">
        <v>1.4849537037037038E-2</v>
      </c>
      <c r="T732" s="13">
        <v>3.7037037037037038E-3</v>
      </c>
      <c r="U732" s="13"/>
      <c r="V732" s="13"/>
      <c r="W732" s="13">
        <v>0.11756944444444445</v>
      </c>
    </row>
    <row r="733" spans="1:23" ht="15" customHeight="1" x14ac:dyDescent="0.25">
      <c r="A733" s="19">
        <v>46244</v>
      </c>
      <c r="B733" s="11" t="s">
        <v>499</v>
      </c>
      <c r="C733" s="12" t="s">
        <v>517</v>
      </c>
      <c r="D733" s="11" t="s">
        <v>146</v>
      </c>
      <c r="E733" s="12" t="s">
        <v>147</v>
      </c>
      <c r="F733" s="12" t="s">
        <v>106</v>
      </c>
      <c r="G733" s="12">
        <v>24</v>
      </c>
      <c r="H733" s="13">
        <v>0.25908564814814816</v>
      </c>
      <c r="I733" s="13">
        <v>7.4050925925925923E-2</v>
      </c>
      <c r="J733" s="13">
        <v>3.0854552469135803E-3</v>
      </c>
      <c r="K733" s="13">
        <v>4.3541666666666666E-2</v>
      </c>
      <c r="L733" s="14">
        <v>0.16805896805896806</v>
      </c>
      <c r="M733" s="12" t="s">
        <v>334</v>
      </c>
      <c r="N733" s="13">
        <v>6.0069444444444441E-3</v>
      </c>
      <c r="O733" s="13">
        <v>1.5613425925925926E-2</v>
      </c>
      <c r="P733" s="13">
        <v>1.7708333333333332E-3</v>
      </c>
      <c r="Q733" s="13"/>
      <c r="R733" s="13"/>
      <c r="S733" s="13">
        <v>1.4988425925925926E-2</v>
      </c>
      <c r="T733" s="13">
        <v>2.0949074074074073E-3</v>
      </c>
      <c r="U733" s="13">
        <v>1.6319444444444445E-3</v>
      </c>
      <c r="V733" s="13"/>
      <c r="W733" s="13">
        <v>1.25E-3</v>
      </c>
    </row>
    <row r="734" spans="1:23" ht="15" customHeight="1" x14ac:dyDescent="0.25">
      <c r="A734" s="19">
        <v>46244</v>
      </c>
      <c r="B734" s="11" t="s">
        <v>647</v>
      </c>
      <c r="C734" s="12" t="s">
        <v>648</v>
      </c>
      <c r="D734" s="11" t="s">
        <v>233</v>
      </c>
      <c r="E734" s="12" t="s">
        <v>32</v>
      </c>
      <c r="F734" s="12" t="s">
        <v>106</v>
      </c>
      <c r="G734" s="12">
        <v>33</v>
      </c>
      <c r="H734" s="13">
        <v>0.26017361111111109</v>
      </c>
      <c r="I734" s="13">
        <v>0.14221064814814816</v>
      </c>
      <c r="J734" s="13">
        <v>4.3094135802469137E-3</v>
      </c>
      <c r="K734" s="13">
        <v>4.2060185185185187E-2</v>
      </c>
      <c r="L734" s="14">
        <v>0.16166199564037548</v>
      </c>
      <c r="M734" s="12" t="s">
        <v>334</v>
      </c>
      <c r="N734" s="13">
        <v>9.7106481481481488E-3</v>
      </c>
      <c r="O734" s="13">
        <v>8.0208333333333329E-3</v>
      </c>
      <c r="P734" s="13"/>
      <c r="Q734" s="13">
        <v>4.4675925925925924E-3</v>
      </c>
      <c r="R734" s="13"/>
      <c r="S734" s="13">
        <v>1.4594907407407407E-2</v>
      </c>
      <c r="T734" s="13">
        <v>5.0578703703703706E-3</v>
      </c>
      <c r="U734" s="13">
        <v>1.9675925925925926E-4</v>
      </c>
      <c r="V734" s="13"/>
      <c r="W734" s="13"/>
    </row>
    <row r="735" spans="1:23" ht="15" customHeight="1" x14ac:dyDescent="0.25">
      <c r="A735" s="19">
        <v>46244</v>
      </c>
      <c r="B735" s="11" t="s">
        <v>649</v>
      </c>
      <c r="C735" s="12" t="s">
        <v>650</v>
      </c>
      <c r="D735" s="11" t="s">
        <v>104</v>
      </c>
      <c r="E735" s="12" t="s">
        <v>105</v>
      </c>
      <c r="F735" s="12" t="s">
        <v>106</v>
      </c>
      <c r="G735" s="12">
        <v>18</v>
      </c>
      <c r="H735" s="13">
        <v>0.34038194444444442</v>
      </c>
      <c r="I735" s="13">
        <v>0.22212962962962962</v>
      </c>
      <c r="J735" s="13">
        <v>1.2340534979423869E-2</v>
      </c>
      <c r="K735" s="13">
        <v>0.17054398148148148</v>
      </c>
      <c r="L735" s="14">
        <v>0.50103709748716385</v>
      </c>
      <c r="M735" s="12" t="s">
        <v>334</v>
      </c>
      <c r="N735" s="13">
        <v>8.9930555555555562E-3</v>
      </c>
      <c r="O735" s="13">
        <v>1.3969907407407407E-2</v>
      </c>
      <c r="P735" s="13"/>
      <c r="Q735" s="13"/>
      <c r="R735" s="13"/>
      <c r="S735" s="13">
        <v>1.380787037037037E-2</v>
      </c>
      <c r="T735" s="13">
        <v>4.1666666666666669E-4</v>
      </c>
      <c r="U735" s="13">
        <v>2.4305555555555556E-2</v>
      </c>
      <c r="V735" s="13"/>
      <c r="W735" s="13">
        <v>0.10902777777777778</v>
      </c>
    </row>
    <row r="736" spans="1:23" ht="15" customHeight="1" x14ac:dyDescent="0.25">
      <c r="A736" s="19">
        <v>46244</v>
      </c>
      <c r="B736" s="11" t="s">
        <v>246</v>
      </c>
      <c r="C736" s="12" t="s">
        <v>568</v>
      </c>
      <c r="D736" s="11" t="s">
        <v>233</v>
      </c>
      <c r="E736" s="12" t="s">
        <v>32</v>
      </c>
      <c r="F736" s="12" t="s">
        <v>106</v>
      </c>
      <c r="G736" s="12">
        <v>40</v>
      </c>
      <c r="H736" s="13">
        <v>0.3556597222222222</v>
      </c>
      <c r="I736" s="13">
        <v>0.20607638888888888</v>
      </c>
      <c r="J736" s="13">
        <v>5.1519097222222218E-3</v>
      </c>
      <c r="K736" s="13">
        <v>4.6990740740740743E-2</v>
      </c>
      <c r="L736" s="14">
        <v>0.13212275049627389</v>
      </c>
      <c r="M736" s="12" t="s">
        <v>334</v>
      </c>
      <c r="N736" s="13">
        <v>4.1203703703703706E-3</v>
      </c>
      <c r="O736" s="13">
        <v>1.5046296296296295E-2</v>
      </c>
      <c r="P736" s="13"/>
      <c r="Q736" s="13">
        <v>2.8356481481481483E-3</v>
      </c>
      <c r="R736" s="13"/>
      <c r="S736" s="13">
        <v>1.3993055555555555E-2</v>
      </c>
      <c r="T736" s="13">
        <v>1.0601851851851852E-2</v>
      </c>
      <c r="U736" s="13">
        <v>3.9351851851851852E-4</v>
      </c>
      <c r="V736" s="13"/>
      <c r="W736" s="13"/>
    </row>
    <row r="737" spans="1:23" ht="15" customHeight="1" x14ac:dyDescent="0.25">
      <c r="A737" s="19">
        <v>46244</v>
      </c>
      <c r="B737" s="11" t="s">
        <v>50</v>
      </c>
      <c r="C737" s="12" t="s">
        <v>538</v>
      </c>
      <c r="D737" s="11" t="s">
        <v>100</v>
      </c>
      <c r="E737" s="12" t="s">
        <v>32</v>
      </c>
      <c r="F737" s="12" t="s">
        <v>33</v>
      </c>
      <c r="G737" s="12">
        <v>7</v>
      </c>
      <c r="H737" s="13">
        <v>0.24403935185185185</v>
      </c>
      <c r="I737" s="13">
        <v>1.7465277777777777E-2</v>
      </c>
      <c r="J737" s="13">
        <v>2.4950396825396824E-3</v>
      </c>
      <c r="K737" s="13">
        <v>0.22443287037037038</v>
      </c>
      <c r="L737" s="14">
        <v>0.91965852501778522</v>
      </c>
      <c r="M737" s="12" t="s">
        <v>334</v>
      </c>
      <c r="N737" s="13">
        <v>1.3206018518518518E-2</v>
      </c>
      <c r="O737" s="13">
        <v>1.5243055555555555E-2</v>
      </c>
      <c r="P737" s="13"/>
      <c r="Q737" s="13"/>
      <c r="R737" s="13"/>
      <c r="S737" s="13"/>
      <c r="T737" s="13">
        <v>4.2824074074074075E-4</v>
      </c>
      <c r="U737" s="13">
        <v>2.7314814814814814E-3</v>
      </c>
      <c r="V737" s="13"/>
      <c r="W737" s="13">
        <v>0.19282407407407406</v>
      </c>
    </row>
    <row r="738" spans="1:23" ht="15" customHeight="1" x14ac:dyDescent="0.25">
      <c r="A738" s="19">
        <v>46244</v>
      </c>
      <c r="B738" s="11" t="s">
        <v>242</v>
      </c>
      <c r="C738" s="12" t="s">
        <v>603</v>
      </c>
      <c r="D738" s="11" t="s">
        <v>233</v>
      </c>
      <c r="E738" s="12" t="s">
        <v>32</v>
      </c>
      <c r="F738" s="12" t="s">
        <v>106</v>
      </c>
      <c r="G738" s="12">
        <v>28</v>
      </c>
      <c r="H738" s="13">
        <v>0.26511574074074074</v>
      </c>
      <c r="I738" s="13">
        <v>0.15961805555555555</v>
      </c>
      <c r="J738" s="13">
        <v>5.7006448412698415E-3</v>
      </c>
      <c r="K738" s="13">
        <v>1.5196759259259259E-2</v>
      </c>
      <c r="L738" s="14">
        <v>5.7321225879682178E-2</v>
      </c>
      <c r="M738" s="12" t="s">
        <v>334</v>
      </c>
      <c r="N738" s="13"/>
      <c r="O738" s="13"/>
      <c r="P738" s="13"/>
      <c r="Q738" s="13"/>
      <c r="R738" s="13"/>
      <c r="S738" s="13">
        <v>1.2881944444444444E-2</v>
      </c>
      <c r="T738" s="13">
        <v>5.7870370370370373E-5</v>
      </c>
      <c r="U738" s="13">
        <v>2.1643518518518518E-3</v>
      </c>
      <c r="V738" s="13"/>
      <c r="W738" s="13">
        <v>2.3148148148148147E-5</v>
      </c>
    </row>
    <row r="739" spans="1:23" ht="15" customHeight="1" x14ac:dyDescent="0.25">
      <c r="A739" s="19">
        <v>46244</v>
      </c>
      <c r="B739" s="11" t="s">
        <v>248</v>
      </c>
      <c r="C739" s="12" t="s">
        <v>249</v>
      </c>
      <c r="D739" s="11" t="s">
        <v>78</v>
      </c>
      <c r="E739" s="12" t="s">
        <v>80</v>
      </c>
      <c r="F739" s="12" t="s">
        <v>81</v>
      </c>
      <c r="G739" s="12">
        <v>1</v>
      </c>
      <c r="H739" s="13">
        <v>0.29121527777777778</v>
      </c>
      <c r="I739" s="13">
        <v>3.7870370370370374E-2</v>
      </c>
      <c r="J739" s="13">
        <v>3.7870370370370374E-2</v>
      </c>
      <c r="K739" s="13">
        <v>3.1944444444444446E-3</v>
      </c>
      <c r="L739" s="14">
        <v>1.0969357338738524E-2</v>
      </c>
      <c r="M739" s="12" t="s">
        <v>334</v>
      </c>
      <c r="N739" s="13"/>
      <c r="O739" s="13"/>
      <c r="P739" s="13"/>
      <c r="Q739" s="13"/>
      <c r="R739" s="13"/>
      <c r="S739" s="13"/>
      <c r="T739" s="13">
        <v>2.0833333333333335E-4</v>
      </c>
      <c r="U739" s="13">
        <v>2.9745370370370373E-3</v>
      </c>
      <c r="V739" s="13"/>
      <c r="W739" s="13"/>
    </row>
    <row r="740" spans="1:23" ht="15" customHeight="1" x14ac:dyDescent="0.25">
      <c r="A740" s="19">
        <v>46244</v>
      </c>
      <c r="B740" s="11" t="s">
        <v>289</v>
      </c>
      <c r="C740" s="12" t="s">
        <v>559</v>
      </c>
      <c r="D740" s="11" t="s">
        <v>104</v>
      </c>
      <c r="E740" s="12" t="s">
        <v>105</v>
      </c>
      <c r="F740" s="12" t="s">
        <v>106</v>
      </c>
      <c r="G740" s="12">
        <v>8</v>
      </c>
      <c r="H740" s="13">
        <v>0.24024305555555556</v>
      </c>
      <c r="I740" s="13">
        <v>0.14472222222222222</v>
      </c>
      <c r="J740" s="13">
        <v>1.8090277777777778E-2</v>
      </c>
      <c r="K740" s="13">
        <v>0.1454050925925926</v>
      </c>
      <c r="L740" s="14">
        <v>0.60524160524160531</v>
      </c>
      <c r="M740" s="12" t="s">
        <v>334</v>
      </c>
      <c r="N740" s="13">
        <v>5.1967592592592595E-3</v>
      </c>
      <c r="O740" s="13">
        <v>1.3738425925925926E-2</v>
      </c>
      <c r="P740" s="13">
        <v>2.6111111111111113E-2</v>
      </c>
      <c r="Q740" s="13"/>
      <c r="R740" s="13"/>
      <c r="S740" s="13">
        <v>2.2280092592592591E-2</v>
      </c>
      <c r="T740" s="13">
        <v>2.476851851851852E-3</v>
      </c>
      <c r="U740" s="13">
        <v>9.3749999999999997E-4</v>
      </c>
      <c r="V740" s="13"/>
      <c r="W740" s="13">
        <v>7.4652777777777776E-2</v>
      </c>
    </row>
    <row r="741" spans="1:23" ht="15" customHeight="1" x14ac:dyDescent="0.25">
      <c r="A741" s="19">
        <v>46244</v>
      </c>
      <c r="B741" s="11" t="s">
        <v>252</v>
      </c>
      <c r="C741" s="12" t="s">
        <v>553</v>
      </c>
      <c r="D741" s="11" t="s">
        <v>78</v>
      </c>
      <c r="E741" s="12" t="s">
        <v>80</v>
      </c>
      <c r="F741" s="12" t="s">
        <v>81</v>
      </c>
      <c r="G741" s="12">
        <v>0</v>
      </c>
      <c r="H741" s="13">
        <v>0.36846064814814816</v>
      </c>
      <c r="I741" s="13">
        <v>0</v>
      </c>
      <c r="J741" s="13">
        <v>0</v>
      </c>
      <c r="K741" s="13">
        <v>1.1111111111111111E-3</v>
      </c>
      <c r="L741" s="14">
        <v>3.0155489241400972E-3</v>
      </c>
      <c r="M741" s="12" t="s">
        <v>334</v>
      </c>
      <c r="N741" s="13"/>
      <c r="O741" s="13"/>
      <c r="P741" s="13"/>
      <c r="Q741" s="13"/>
      <c r="R741" s="13"/>
      <c r="S741" s="13"/>
      <c r="T741" s="13">
        <v>6.9444444444444444E-5</v>
      </c>
      <c r="U741" s="13">
        <v>1.0185185185185184E-3</v>
      </c>
      <c r="V741" s="13"/>
      <c r="W741" s="13"/>
    </row>
    <row r="742" spans="1:23" ht="15" customHeight="1" x14ac:dyDescent="0.25">
      <c r="A742" s="19">
        <v>46244</v>
      </c>
      <c r="B742" s="11" t="s">
        <v>500</v>
      </c>
      <c r="C742" s="12" t="s">
        <v>518</v>
      </c>
      <c r="D742" s="11" t="s">
        <v>274</v>
      </c>
      <c r="E742" s="12" t="s">
        <v>147</v>
      </c>
      <c r="F742" s="12" t="s">
        <v>33</v>
      </c>
      <c r="G742" s="12">
        <v>23</v>
      </c>
      <c r="H742" s="13">
        <v>0.26100694444444444</v>
      </c>
      <c r="I742" s="13">
        <v>6.8032407407407403E-2</v>
      </c>
      <c r="J742" s="13">
        <v>2.9579307568438E-3</v>
      </c>
      <c r="K742" s="13">
        <v>2.6064814814814815E-2</v>
      </c>
      <c r="L742" s="14">
        <v>9.98625338122478E-2</v>
      </c>
      <c r="M742" s="12" t="s">
        <v>334</v>
      </c>
      <c r="N742" s="13">
        <v>2.2800925925925927E-3</v>
      </c>
      <c r="O742" s="13">
        <v>1.1319444444444444E-2</v>
      </c>
      <c r="P742" s="13"/>
      <c r="Q742" s="13"/>
      <c r="R742" s="13"/>
      <c r="S742" s="13">
        <v>1.2303240740740741E-2</v>
      </c>
      <c r="T742" s="13">
        <v>6.9444444444444444E-5</v>
      </c>
      <c r="U742" s="13">
        <v>8.1018518518518516E-5</v>
      </c>
      <c r="V742" s="13"/>
      <c r="W742" s="13"/>
    </row>
    <row r="743" spans="1:23" ht="15" customHeight="1" x14ac:dyDescent="0.25">
      <c r="A743" s="19">
        <v>46244</v>
      </c>
      <c r="B743" s="11" t="s">
        <v>683</v>
      </c>
      <c r="C743" s="12" t="s">
        <v>684</v>
      </c>
      <c r="D743" s="11" t="s">
        <v>233</v>
      </c>
      <c r="E743" s="12" t="s">
        <v>32</v>
      </c>
      <c r="F743" s="12" t="s">
        <v>106</v>
      </c>
      <c r="G743" s="12">
        <v>30</v>
      </c>
      <c r="H743" s="13">
        <v>0.25524305555555554</v>
      </c>
      <c r="I743" s="13">
        <v>0.14435185185185184</v>
      </c>
      <c r="J743" s="13">
        <v>4.8117283950617285E-3</v>
      </c>
      <c r="K743" s="13">
        <v>4.445601851851852E-2</v>
      </c>
      <c r="L743" s="14">
        <v>0.17417131456037729</v>
      </c>
      <c r="M743" s="12" t="s">
        <v>334</v>
      </c>
      <c r="N743" s="13">
        <v>2.8356481481481483E-3</v>
      </c>
      <c r="O743" s="13">
        <v>8.067129629629629E-3</v>
      </c>
      <c r="P743" s="13"/>
      <c r="Q743" s="13">
        <v>3.3333333333333335E-3</v>
      </c>
      <c r="R743" s="13"/>
      <c r="S743" s="13">
        <v>1.0046296296296296E-2</v>
      </c>
      <c r="T743" s="13">
        <v>1.7361111111111112E-4</v>
      </c>
      <c r="U743" s="13">
        <v>1.9988425925925927E-2</v>
      </c>
      <c r="V743" s="13"/>
      <c r="W743" s="13"/>
    </row>
    <row r="744" spans="1:23" ht="15" customHeight="1" x14ac:dyDescent="0.25">
      <c r="A744" s="19">
        <v>46244</v>
      </c>
      <c r="B744" s="11" t="s">
        <v>653</v>
      </c>
      <c r="C744" s="12" t="s">
        <v>654</v>
      </c>
      <c r="D744" s="11" t="s">
        <v>100</v>
      </c>
      <c r="E744" s="12" t="s">
        <v>32</v>
      </c>
      <c r="F744" s="12" t="s">
        <v>33</v>
      </c>
      <c r="G744" s="12">
        <v>41</v>
      </c>
      <c r="H744" s="13">
        <v>0.25082175925925926</v>
      </c>
      <c r="I744" s="13">
        <v>0.1519212962962963</v>
      </c>
      <c r="J744" s="13">
        <v>3.7053974706413731E-3</v>
      </c>
      <c r="K744" s="13">
        <v>3.6701388888888888E-2</v>
      </c>
      <c r="L744" s="14">
        <v>0.14632458123759862</v>
      </c>
      <c r="M744" s="12" t="s">
        <v>334</v>
      </c>
      <c r="N744" s="13">
        <v>3.3449074074074076E-3</v>
      </c>
      <c r="O744" s="13">
        <v>1.4467592592592593E-2</v>
      </c>
      <c r="P744" s="13"/>
      <c r="Q744" s="13"/>
      <c r="R744" s="13"/>
      <c r="S744" s="13">
        <v>1.3773148148148149E-2</v>
      </c>
      <c r="T744" s="13">
        <v>1.1805555555555556E-3</v>
      </c>
      <c r="U744" s="13">
        <v>3.8310185185185183E-3</v>
      </c>
      <c r="V744" s="13"/>
      <c r="W744" s="13"/>
    </row>
    <row r="745" spans="1:23" ht="15" customHeight="1" x14ac:dyDescent="0.25">
      <c r="A745" s="19">
        <v>46244</v>
      </c>
      <c r="B745" s="11" t="s">
        <v>52</v>
      </c>
      <c r="C745" s="12" t="s">
        <v>509</v>
      </c>
      <c r="D745" s="11" t="s">
        <v>100</v>
      </c>
      <c r="E745" s="12" t="s">
        <v>32</v>
      </c>
      <c r="F745" s="12" t="s">
        <v>33</v>
      </c>
      <c r="G745" s="12">
        <v>7</v>
      </c>
      <c r="H745" s="13">
        <v>0.25140046296296298</v>
      </c>
      <c r="I745" s="13">
        <v>3.9745370370370368E-2</v>
      </c>
      <c r="J745" s="13">
        <v>5.6779100529100526E-3</v>
      </c>
      <c r="K745" s="13">
        <v>0.21981481481481482</v>
      </c>
      <c r="L745" s="14">
        <v>0.87436121725519078</v>
      </c>
      <c r="M745" s="12" t="s">
        <v>334</v>
      </c>
      <c r="N745" s="13">
        <v>1.4976851851851852E-2</v>
      </c>
      <c r="O745" s="13">
        <v>7.9976851851851858E-3</v>
      </c>
      <c r="P745" s="13"/>
      <c r="Q745" s="13"/>
      <c r="R745" s="13"/>
      <c r="S745" s="13">
        <v>1.3634259259259259E-2</v>
      </c>
      <c r="T745" s="13">
        <v>1.1458333333333333E-3</v>
      </c>
      <c r="U745" s="13">
        <v>4.2824074074074075E-4</v>
      </c>
      <c r="V745" s="13"/>
      <c r="W745" s="13">
        <v>0.18163194444444444</v>
      </c>
    </row>
    <row r="746" spans="1:23" ht="15" customHeight="1" x14ac:dyDescent="0.25">
      <c r="A746" s="19">
        <v>46244</v>
      </c>
      <c r="B746" s="11" t="s">
        <v>655</v>
      </c>
      <c r="C746" s="12" t="s">
        <v>656</v>
      </c>
      <c r="D746" s="11" t="s">
        <v>100</v>
      </c>
      <c r="E746" s="12" t="s">
        <v>32</v>
      </c>
      <c r="F746" s="12" t="s">
        <v>33</v>
      </c>
      <c r="G746" s="12">
        <v>35</v>
      </c>
      <c r="H746" s="13">
        <v>0.26194444444444442</v>
      </c>
      <c r="I746" s="13">
        <v>0.16173611111111111</v>
      </c>
      <c r="J746" s="13">
        <v>4.6210317460317462E-3</v>
      </c>
      <c r="K746" s="13">
        <v>3.3113425925925928E-2</v>
      </c>
      <c r="L746" s="14">
        <v>0.1264139271827501</v>
      </c>
      <c r="M746" s="12" t="s">
        <v>334</v>
      </c>
      <c r="N746" s="13">
        <v>3.1944444444444446E-3</v>
      </c>
      <c r="O746" s="13">
        <v>2.8148148148148148E-2</v>
      </c>
      <c r="P746" s="13"/>
      <c r="Q746" s="13"/>
      <c r="R746" s="13"/>
      <c r="S746" s="13"/>
      <c r="T746" s="13">
        <v>1.3888888888888889E-4</v>
      </c>
      <c r="U746" s="13">
        <v>1.5625000000000001E-3</v>
      </c>
      <c r="V746" s="13"/>
      <c r="W746" s="13"/>
    </row>
    <row r="747" spans="1:23" ht="15" customHeight="1" x14ac:dyDescent="0.25">
      <c r="A747" s="19">
        <v>46244</v>
      </c>
      <c r="B747" s="11" t="s">
        <v>657</v>
      </c>
      <c r="C747" s="12" t="s">
        <v>658</v>
      </c>
      <c r="D747" s="11" t="s">
        <v>274</v>
      </c>
      <c r="E747" s="12" t="s">
        <v>147</v>
      </c>
      <c r="F747" s="12" t="s">
        <v>33</v>
      </c>
      <c r="G747" s="12">
        <v>18</v>
      </c>
      <c r="H747" s="13">
        <v>0.26459490740740743</v>
      </c>
      <c r="I747" s="13">
        <v>8.4988425925925926E-2</v>
      </c>
      <c r="J747" s="13">
        <v>4.7215792181069961E-3</v>
      </c>
      <c r="K747" s="13">
        <v>3.0787037037037036E-2</v>
      </c>
      <c r="L747" s="14">
        <v>0.11635536503215081</v>
      </c>
      <c r="M747" s="12" t="s">
        <v>334</v>
      </c>
      <c r="N747" s="13">
        <v>2.673611111111111E-3</v>
      </c>
      <c r="O747" s="13">
        <v>8.1018518518518514E-3</v>
      </c>
      <c r="P747" s="13"/>
      <c r="Q747" s="13"/>
      <c r="R747" s="13">
        <v>6.4236111111111108E-3</v>
      </c>
      <c r="S747" s="13">
        <v>1.3530092592592592E-2</v>
      </c>
      <c r="T747" s="13">
        <v>5.7870370370370373E-5</v>
      </c>
      <c r="U747" s="13"/>
      <c r="V747" s="13"/>
      <c r="W747" s="13"/>
    </row>
    <row r="748" spans="1:23" ht="15" customHeight="1" x14ac:dyDescent="0.25">
      <c r="A748" s="19">
        <v>46244</v>
      </c>
      <c r="B748" s="11" t="s">
        <v>166</v>
      </c>
      <c r="C748" s="12" t="s">
        <v>167</v>
      </c>
      <c r="D748" s="11" t="s">
        <v>146</v>
      </c>
      <c r="E748" s="12" t="s">
        <v>147</v>
      </c>
      <c r="F748" s="12" t="s">
        <v>106</v>
      </c>
      <c r="G748" s="12">
        <v>31</v>
      </c>
      <c r="H748" s="13">
        <v>0.25230324074074073</v>
      </c>
      <c r="I748" s="13">
        <v>4.8993055555555554E-2</v>
      </c>
      <c r="J748" s="13">
        <v>1.580421146953405E-3</v>
      </c>
      <c r="K748" s="13">
        <v>4.4710648148148145E-2</v>
      </c>
      <c r="L748" s="14">
        <v>0.17720996375980549</v>
      </c>
      <c r="M748" s="12" t="s">
        <v>334</v>
      </c>
      <c r="N748" s="13">
        <v>3.7152777777777778E-3</v>
      </c>
      <c r="O748" s="13">
        <v>1.2430555555555556E-2</v>
      </c>
      <c r="P748" s="13"/>
      <c r="Q748" s="13"/>
      <c r="R748" s="13"/>
      <c r="S748" s="13">
        <v>1.1643518518518518E-2</v>
      </c>
      <c r="T748" s="13">
        <v>2.0138888888888888E-3</v>
      </c>
      <c r="U748" s="13">
        <v>1.4548611111111111E-2</v>
      </c>
      <c r="V748" s="13"/>
      <c r="W748" s="13"/>
    </row>
    <row r="749" spans="1:23" ht="15" customHeight="1" x14ac:dyDescent="0.25">
      <c r="A749" s="19">
        <v>46244</v>
      </c>
      <c r="B749" s="11" t="s">
        <v>659</v>
      </c>
      <c r="C749" s="12" t="s">
        <v>660</v>
      </c>
      <c r="D749" s="11" t="s">
        <v>100</v>
      </c>
      <c r="E749" s="12" t="s">
        <v>32</v>
      </c>
      <c r="F749" s="12" t="s">
        <v>33</v>
      </c>
      <c r="G749" s="12">
        <v>5</v>
      </c>
      <c r="H749" s="13">
        <v>0.22777777777777777</v>
      </c>
      <c r="I749" s="13">
        <v>3.6736111111111108E-2</v>
      </c>
      <c r="J749" s="13">
        <v>7.347222222222222E-3</v>
      </c>
      <c r="K749" s="13">
        <v>0.19533564814814816</v>
      </c>
      <c r="L749" s="14">
        <v>0.8575711382113822</v>
      </c>
      <c r="M749" s="12" t="s">
        <v>334</v>
      </c>
      <c r="N749" s="13"/>
      <c r="O749" s="13">
        <v>5.7407407407407407E-3</v>
      </c>
      <c r="P749" s="13"/>
      <c r="Q749" s="13"/>
      <c r="R749" s="13"/>
      <c r="S749" s="13"/>
      <c r="T749" s="13">
        <v>3.8194444444444446E-4</v>
      </c>
      <c r="U749" s="13">
        <v>2.0833333333333335E-4</v>
      </c>
      <c r="V749" s="13"/>
      <c r="W749" s="13">
        <v>0.18899305555555557</v>
      </c>
    </row>
    <row r="750" spans="1:23" ht="15" customHeight="1" x14ac:dyDescent="0.25">
      <c r="A750" s="19">
        <v>46244</v>
      </c>
      <c r="B750" s="11" t="s">
        <v>254</v>
      </c>
      <c r="C750" s="12" t="s">
        <v>528</v>
      </c>
      <c r="D750" s="11" t="s">
        <v>233</v>
      </c>
      <c r="E750" s="12" t="s">
        <v>32</v>
      </c>
      <c r="F750" s="12" t="s">
        <v>106</v>
      </c>
      <c r="G750" s="12">
        <v>26</v>
      </c>
      <c r="H750" s="13">
        <v>0.2682060185185185</v>
      </c>
      <c r="I750" s="13">
        <v>0.12406250000000001</v>
      </c>
      <c r="J750" s="13">
        <v>4.771634615384616E-3</v>
      </c>
      <c r="K750" s="13">
        <v>5.3229166666666668E-2</v>
      </c>
      <c r="L750" s="14">
        <v>0.19846372934018039</v>
      </c>
      <c r="M750" s="12" t="s">
        <v>334</v>
      </c>
      <c r="N750" s="13">
        <v>1.4016203703703704E-2</v>
      </c>
      <c r="O750" s="13">
        <v>9.2476851851851852E-3</v>
      </c>
      <c r="P750" s="13"/>
      <c r="Q750" s="13">
        <v>4.8148148148148152E-3</v>
      </c>
      <c r="R750" s="13">
        <v>4.5138888888888887E-4</v>
      </c>
      <c r="S750" s="13">
        <v>1.3622685185185186E-2</v>
      </c>
      <c r="T750" s="13">
        <v>5.9606481481481481E-3</v>
      </c>
      <c r="U750" s="13">
        <v>5.0810185185185186E-3</v>
      </c>
      <c r="V750" s="13"/>
      <c r="W750" s="13"/>
    </row>
    <row r="751" spans="1:23" ht="15" customHeight="1" x14ac:dyDescent="0.25">
      <c r="A751" s="19">
        <v>46244</v>
      </c>
      <c r="B751" s="11" t="s">
        <v>201</v>
      </c>
      <c r="C751" s="12" t="s">
        <v>545</v>
      </c>
      <c r="D751" s="11" t="s">
        <v>601</v>
      </c>
      <c r="E751" s="12" t="s">
        <v>600</v>
      </c>
      <c r="F751" s="12" t="s">
        <v>33</v>
      </c>
      <c r="G751" s="12">
        <v>23</v>
      </c>
      <c r="H751" s="13">
        <v>0.2444212962962963</v>
      </c>
      <c r="I751" s="13">
        <v>7.6516203703703697E-2</v>
      </c>
      <c r="J751" s="13">
        <v>3.3267914653784215E-3</v>
      </c>
      <c r="K751" s="13">
        <v>6.958333333333333E-2</v>
      </c>
      <c r="L751" s="14">
        <v>0.28468604981532342</v>
      </c>
      <c r="M751" s="12" t="s">
        <v>334</v>
      </c>
      <c r="N751" s="13">
        <v>9.0740740740740747E-3</v>
      </c>
      <c r="O751" s="13">
        <v>2.2928240740740742E-2</v>
      </c>
      <c r="P751" s="13">
        <v>1.9641203703703702E-2</v>
      </c>
      <c r="Q751" s="13"/>
      <c r="R751" s="13"/>
      <c r="S751" s="13"/>
      <c r="T751" s="13">
        <v>5.2662037037037035E-3</v>
      </c>
      <c r="U751" s="13">
        <v>1.2662037037037038E-2</v>
      </c>
      <c r="V751" s="13"/>
      <c r="W751" s="13"/>
    </row>
    <row r="752" spans="1:23" ht="15" customHeight="1" x14ac:dyDescent="0.25">
      <c r="A752" s="19">
        <v>46244</v>
      </c>
      <c r="B752" s="11" t="s">
        <v>168</v>
      </c>
      <c r="C752" s="12" t="s">
        <v>520</v>
      </c>
      <c r="D752" s="11" t="s">
        <v>274</v>
      </c>
      <c r="E752" s="12" t="s">
        <v>147</v>
      </c>
      <c r="F752" s="12" t="s">
        <v>33</v>
      </c>
      <c r="G752" s="12">
        <v>23</v>
      </c>
      <c r="H752" s="13">
        <v>0.26947916666666666</v>
      </c>
      <c r="I752" s="13">
        <v>6.3495370370370369E-2</v>
      </c>
      <c r="J752" s="13">
        <v>2.7606682769726249E-3</v>
      </c>
      <c r="K752" s="13">
        <v>3.9050925925925926E-2</v>
      </c>
      <c r="L752" s="14">
        <v>0.1449125971739037</v>
      </c>
      <c r="M752" s="12" t="s">
        <v>334</v>
      </c>
      <c r="N752" s="13">
        <v>4.1319444444444442E-3</v>
      </c>
      <c r="O752" s="13">
        <v>1.4270833333333333E-2</v>
      </c>
      <c r="P752" s="13">
        <v>6.7939814814814816E-3</v>
      </c>
      <c r="Q752" s="13"/>
      <c r="R752" s="13"/>
      <c r="S752" s="13">
        <v>1.3356481481481481E-2</v>
      </c>
      <c r="T752" s="13">
        <v>6.9444444444444444E-5</v>
      </c>
      <c r="U752" s="13">
        <v>4.0509259259259258E-4</v>
      </c>
      <c r="V752" s="13"/>
      <c r="W752" s="13"/>
    </row>
    <row r="753" spans="1:23" ht="15" customHeight="1" x14ac:dyDescent="0.25">
      <c r="A753" s="19">
        <v>46244</v>
      </c>
      <c r="B753" s="11" t="s">
        <v>170</v>
      </c>
      <c r="C753" s="12" t="s">
        <v>521</v>
      </c>
      <c r="D753" s="11" t="s">
        <v>146</v>
      </c>
      <c r="E753" s="12" t="s">
        <v>147</v>
      </c>
      <c r="F753" s="12" t="s">
        <v>106</v>
      </c>
      <c r="G753" s="12">
        <v>18</v>
      </c>
      <c r="H753" s="13">
        <v>0.25451388888888887</v>
      </c>
      <c r="I753" s="13">
        <v>0.10163194444444444</v>
      </c>
      <c r="J753" s="13">
        <v>5.6462191358024692E-3</v>
      </c>
      <c r="K753" s="13">
        <v>4.4259259259259262E-2</v>
      </c>
      <c r="L753" s="14">
        <v>0.17389722601182359</v>
      </c>
      <c r="M753" s="12" t="s">
        <v>334</v>
      </c>
      <c r="N753" s="13">
        <v>1.2430555555555556E-2</v>
      </c>
      <c r="O753" s="13">
        <v>1.5381944444444445E-2</v>
      </c>
      <c r="P753" s="13"/>
      <c r="Q753" s="13">
        <v>2.5115740740740741E-3</v>
      </c>
      <c r="R753" s="13"/>
      <c r="S753" s="13">
        <v>1.2268518518518519E-2</v>
      </c>
      <c r="T753" s="13">
        <v>8.1018518518518516E-5</v>
      </c>
      <c r="U753" s="13">
        <v>1.5509259259259259E-3</v>
      </c>
      <c r="V753" s="13"/>
      <c r="W753" s="13"/>
    </row>
    <row r="754" spans="1:23" ht="15" customHeight="1" x14ac:dyDescent="0.25">
      <c r="A754" s="19">
        <v>46244</v>
      </c>
      <c r="B754" s="11" t="s">
        <v>92</v>
      </c>
      <c r="C754" s="12" t="s">
        <v>93</v>
      </c>
      <c r="D754" s="11" t="s">
        <v>78</v>
      </c>
      <c r="E754" s="12" t="s">
        <v>80</v>
      </c>
      <c r="F754" s="12" t="s">
        <v>81</v>
      </c>
      <c r="G754" s="12">
        <v>0</v>
      </c>
      <c r="H754" s="13">
        <v>0.33258101851851851</v>
      </c>
      <c r="I754" s="13">
        <v>0</v>
      </c>
      <c r="J754" s="13">
        <v>0</v>
      </c>
      <c r="K754" s="13">
        <v>8.7222222222222229E-2</v>
      </c>
      <c r="L754" s="14">
        <v>0.26225856968853317</v>
      </c>
      <c r="M754" s="12" t="s">
        <v>334</v>
      </c>
      <c r="N754" s="13">
        <v>5.3819444444444444E-3</v>
      </c>
      <c r="O754" s="13">
        <v>4.2592592592592592E-2</v>
      </c>
      <c r="P754" s="13"/>
      <c r="Q754" s="13"/>
      <c r="R754" s="13"/>
      <c r="S754" s="13">
        <v>3.0775462962962963E-2</v>
      </c>
      <c r="T754" s="13">
        <v>7.2453703703703708E-3</v>
      </c>
      <c r="U754" s="13">
        <v>1.2152777777777778E-3</v>
      </c>
      <c r="V754" s="13"/>
      <c r="W754" s="13"/>
    </row>
    <row r="755" spans="1:23" ht="15" customHeight="1" x14ac:dyDescent="0.25">
      <c r="A755" s="19">
        <v>46244</v>
      </c>
      <c r="B755" s="11" t="s">
        <v>94</v>
      </c>
      <c r="C755" s="12" t="s">
        <v>95</v>
      </c>
      <c r="D755" s="11" t="s">
        <v>78</v>
      </c>
      <c r="E755" s="12" t="s">
        <v>80</v>
      </c>
      <c r="F755" s="12" t="s">
        <v>81</v>
      </c>
      <c r="G755" s="12">
        <v>0</v>
      </c>
      <c r="H755" s="13">
        <v>0.2953587962962963</v>
      </c>
      <c r="I755" s="13">
        <v>0</v>
      </c>
      <c r="J755" s="13">
        <v>0</v>
      </c>
      <c r="K755" s="13">
        <v>9.3425925925925926E-2</v>
      </c>
      <c r="L755" s="14">
        <v>0.31631333516203614</v>
      </c>
      <c r="M755" s="12" t="s">
        <v>334</v>
      </c>
      <c r="N755" s="13"/>
      <c r="O755" s="13"/>
      <c r="P755" s="13"/>
      <c r="Q755" s="13"/>
      <c r="R755" s="13">
        <v>9.3425925925925926E-2</v>
      </c>
      <c r="S755" s="13"/>
      <c r="T755" s="13"/>
      <c r="U755" s="13"/>
      <c r="V755" s="13"/>
      <c r="W755" s="13"/>
    </row>
    <row r="756" spans="1:23" ht="15" customHeight="1" x14ac:dyDescent="0.25">
      <c r="A756" s="19">
        <v>46244</v>
      </c>
      <c r="B756" s="11" t="s">
        <v>293</v>
      </c>
      <c r="C756" s="12" t="s">
        <v>543</v>
      </c>
      <c r="D756" s="11" t="s">
        <v>104</v>
      </c>
      <c r="E756" s="12" t="s">
        <v>600</v>
      </c>
      <c r="F756" s="12" t="s">
        <v>106</v>
      </c>
      <c r="G756" s="12">
        <v>53</v>
      </c>
      <c r="H756" s="13">
        <v>0.26197916666666665</v>
      </c>
      <c r="I756" s="13">
        <v>8.9907407407407408E-2</v>
      </c>
      <c r="J756" s="13">
        <v>1.696366177498253E-3</v>
      </c>
      <c r="K756" s="13">
        <v>0.1152662037037037</v>
      </c>
      <c r="L756" s="14">
        <v>0.439982328252706</v>
      </c>
      <c r="M756" s="12" t="s">
        <v>334</v>
      </c>
      <c r="N756" s="13">
        <v>1.1898148148148149E-2</v>
      </c>
      <c r="O756" s="13">
        <v>2.1979166666666668E-2</v>
      </c>
      <c r="P756" s="13"/>
      <c r="Q756" s="13"/>
      <c r="R756" s="13"/>
      <c r="S756" s="13">
        <v>1.3472222222222222E-2</v>
      </c>
      <c r="T756" s="13">
        <v>1.6747685185185185E-2</v>
      </c>
      <c r="U756" s="13"/>
      <c r="V756" s="13"/>
      <c r="W756" s="13">
        <v>5.1168981481481482E-2</v>
      </c>
    </row>
    <row r="757" spans="1:23" ht="15" customHeight="1" x14ac:dyDescent="0.25">
      <c r="A757" s="19">
        <v>46244</v>
      </c>
      <c r="B757" s="11" t="s">
        <v>256</v>
      </c>
      <c r="C757" s="12" t="s">
        <v>529</v>
      </c>
      <c r="D757" s="11" t="s">
        <v>233</v>
      </c>
      <c r="E757" s="12" t="s">
        <v>32</v>
      </c>
      <c r="F757" s="12" t="s">
        <v>106</v>
      </c>
      <c r="G757" s="12">
        <v>27</v>
      </c>
      <c r="H757" s="13">
        <v>0.24931712962962962</v>
      </c>
      <c r="I757" s="13">
        <v>7.1006944444444442E-2</v>
      </c>
      <c r="J757" s="13">
        <v>2.6298868312757202E-3</v>
      </c>
      <c r="K757" s="13">
        <v>7.0567129629629632E-2</v>
      </c>
      <c r="L757" s="14">
        <v>0.28304164152082079</v>
      </c>
      <c r="M757" s="12" t="s">
        <v>334</v>
      </c>
      <c r="N757" s="13">
        <v>2.0995370370370369E-2</v>
      </c>
      <c r="O757" s="13">
        <v>1.7106481481481483E-2</v>
      </c>
      <c r="P757" s="13"/>
      <c r="Q757" s="13"/>
      <c r="R757" s="13"/>
      <c r="S757" s="13">
        <v>2.1087962962962965E-2</v>
      </c>
      <c r="T757" s="13">
        <v>1.273148148148148E-4</v>
      </c>
      <c r="U757" s="13">
        <v>1.119212962962963E-2</v>
      </c>
      <c r="V757" s="13"/>
      <c r="W757" s="13"/>
    </row>
    <row r="758" spans="1:23" ht="15" customHeight="1" x14ac:dyDescent="0.25">
      <c r="A758" s="19">
        <v>46244</v>
      </c>
      <c r="B758" s="11" t="s">
        <v>612</v>
      </c>
      <c r="C758" s="12" t="s">
        <v>634</v>
      </c>
      <c r="D758" s="11" t="s">
        <v>601</v>
      </c>
      <c r="E758" s="12" t="s">
        <v>105</v>
      </c>
      <c r="F758" s="12" t="s">
        <v>33</v>
      </c>
      <c r="G758" s="12">
        <v>1</v>
      </c>
      <c r="H758" s="13">
        <v>0.19530092592592593</v>
      </c>
      <c r="I758" s="13">
        <v>3.1805555555555552E-2</v>
      </c>
      <c r="J758" s="13">
        <v>3.1805555555555552E-2</v>
      </c>
      <c r="K758" s="13">
        <v>0.18412037037037038</v>
      </c>
      <c r="L758" s="14">
        <v>0.94275216309114618</v>
      </c>
      <c r="M758" s="12" t="s">
        <v>334</v>
      </c>
      <c r="N758" s="13">
        <v>7.9398148148148145E-3</v>
      </c>
      <c r="O758" s="13">
        <v>1.0752314814814815E-2</v>
      </c>
      <c r="P758" s="13"/>
      <c r="Q758" s="13">
        <v>2.9259259259259259E-2</v>
      </c>
      <c r="R758" s="13"/>
      <c r="S758" s="13"/>
      <c r="T758" s="13">
        <v>3.3101851851851855E-2</v>
      </c>
      <c r="U758" s="13">
        <v>0.10300925925925926</v>
      </c>
      <c r="V758" s="13"/>
      <c r="W758" s="13">
        <v>5.7870370370370373E-5</v>
      </c>
    </row>
    <row r="759" spans="1:23" ht="15" customHeight="1" x14ac:dyDescent="0.25">
      <c r="A759" s="19">
        <v>46244</v>
      </c>
      <c r="B759" s="11" t="s">
        <v>258</v>
      </c>
      <c r="C759" s="12" t="s">
        <v>554</v>
      </c>
      <c r="D759" s="11" t="s">
        <v>233</v>
      </c>
      <c r="E759" s="12" t="s">
        <v>32</v>
      </c>
      <c r="F759" s="12" t="s">
        <v>106</v>
      </c>
      <c r="G759" s="12">
        <v>4</v>
      </c>
      <c r="H759" s="13">
        <v>0.24201388888888889</v>
      </c>
      <c r="I759" s="13">
        <v>1.5671296296296298E-2</v>
      </c>
      <c r="J759" s="13">
        <v>3.9178240740740744E-3</v>
      </c>
      <c r="K759" s="13">
        <v>0.21930555555555556</v>
      </c>
      <c r="L759" s="14">
        <v>0.90616929698708748</v>
      </c>
      <c r="M759" s="12" t="s">
        <v>334</v>
      </c>
      <c r="N759" s="13"/>
      <c r="O759" s="13"/>
      <c r="P759" s="13"/>
      <c r="Q759" s="13"/>
      <c r="R759" s="13"/>
      <c r="S759" s="13">
        <v>1.3506944444444445E-2</v>
      </c>
      <c r="T759" s="13">
        <v>3.2407407407407406E-4</v>
      </c>
      <c r="U759" s="13"/>
      <c r="V759" s="13"/>
      <c r="W759" s="13">
        <v>0.20547453703703702</v>
      </c>
    </row>
    <row r="760" spans="1:23" ht="15" customHeight="1" x14ac:dyDescent="0.25">
      <c r="A760" s="19">
        <v>46244</v>
      </c>
      <c r="B760" s="11" t="s">
        <v>661</v>
      </c>
      <c r="C760" s="12" t="s">
        <v>662</v>
      </c>
      <c r="D760" s="11" t="s">
        <v>100</v>
      </c>
      <c r="E760" s="12" t="s">
        <v>32</v>
      </c>
      <c r="F760" s="12" t="s">
        <v>33</v>
      </c>
      <c r="G760" s="12">
        <v>45</v>
      </c>
      <c r="H760" s="13">
        <v>0.26120370370370372</v>
      </c>
      <c r="I760" s="13">
        <v>0.15459490740740742</v>
      </c>
      <c r="J760" s="13">
        <v>3.4354423868312761E-3</v>
      </c>
      <c r="K760" s="13">
        <v>4.4224537037037034E-2</v>
      </c>
      <c r="L760" s="14">
        <v>0.16931052818149592</v>
      </c>
      <c r="M760" s="12" t="s">
        <v>334</v>
      </c>
      <c r="N760" s="13">
        <v>4.0972222222222226E-3</v>
      </c>
      <c r="O760" s="13">
        <v>1.4988425925925926E-2</v>
      </c>
      <c r="P760" s="13"/>
      <c r="Q760" s="13">
        <v>1.9791666666666668E-3</v>
      </c>
      <c r="R760" s="13"/>
      <c r="S760" s="13">
        <v>1.4143518518518519E-2</v>
      </c>
      <c r="T760" s="13">
        <v>3.7037037037037038E-3</v>
      </c>
      <c r="U760" s="13">
        <v>5.1967592592592595E-3</v>
      </c>
      <c r="V760" s="13"/>
      <c r="W760" s="13"/>
    </row>
    <row r="761" spans="1:23" ht="15" customHeight="1" x14ac:dyDescent="0.25">
      <c r="A761" s="19">
        <v>46244</v>
      </c>
      <c r="B761" s="11" t="s">
        <v>663</v>
      </c>
      <c r="C761" s="12" t="s">
        <v>664</v>
      </c>
      <c r="D761" s="11" t="s">
        <v>233</v>
      </c>
      <c r="E761" s="12" t="s">
        <v>32</v>
      </c>
      <c r="F761" s="12" t="s">
        <v>106</v>
      </c>
      <c r="G761" s="12">
        <v>22</v>
      </c>
      <c r="H761" s="13">
        <v>0.25586805555555553</v>
      </c>
      <c r="I761" s="13">
        <v>0.15608796296296296</v>
      </c>
      <c r="J761" s="13">
        <v>7.0949074074074074E-3</v>
      </c>
      <c r="K761" s="13">
        <v>4.0972222222222222E-2</v>
      </c>
      <c r="L761" s="14">
        <v>0.16013027547835529</v>
      </c>
      <c r="M761" s="12" t="s">
        <v>334</v>
      </c>
      <c r="N761" s="13">
        <v>6.4120370370370373E-3</v>
      </c>
      <c r="O761" s="13">
        <v>1.7754629629629631E-2</v>
      </c>
      <c r="P761" s="13"/>
      <c r="Q761" s="13"/>
      <c r="R761" s="13">
        <v>1.1574074074074075E-4</v>
      </c>
      <c r="S761" s="13">
        <v>1.3634259259259259E-2</v>
      </c>
      <c r="T761" s="13">
        <v>8.9120370370370373E-4</v>
      </c>
      <c r="U761" s="13">
        <v>1.0648148148148149E-3</v>
      </c>
      <c r="V761" s="13"/>
      <c r="W761" s="13">
        <v>1.0763888888888889E-3</v>
      </c>
    </row>
    <row r="762" spans="1:23" ht="15" customHeight="1" x14ac:dyDescent="0.25">
      <c r="A762" s="19">
        <v>46244</v>
      </c>
      <c r="B762" s="11" t="s">
        <v>203</v>
      </c>
      <c r="C762" s="12" t="s">
        <v>565</v>
      </c>
      <c r="D762" s="11" t="s">
        <v>601</v>
      </c>
      <c r="E762" s="12" t="s">
        <v>105</v>
      </c>
      <c r="F762" s="12" t="s">
        <v>33</v>
      </c>
      <c r="G762" s="12">
        <v>1</v>
      </c>
      <c r="H762" s="13">
        <v>0.24332175925925925</v>
      </c>
      <c r="I762" s="13">
        <v>2.4502314814814814E-2</v>
      </c>
      <c r="J762" s="13">
        <v>2.4502314814814814E-2</v>
      </c>
      <c r="K762" s="13">
        <v>0.23430555555555554</v>
      </c>
      <c r="L762" s="14">
        <v>0.96294534557389522</v>
      </c>
      <c r="M762" s="12" t="s">
        <v>334</v>
      </c>
      <c r="N762" s="13"/>
      <c r="O762" s="13">
        <v>1.9108796296296297E-2</v>
      </c>
      <c r="P762" s="13"/>
      <c r="Q762" s="13"/>
      <c r="R762" s="13"/>
      <c r="S762" s="13">
        <v>1.4502314814814815E-2</v>
      </c>
      <c r="T762" s="13">
        <v>1.3773148148148147E-3</v>
      </c>
      <c r="U762" s="13">
        <v>0.19931712962962964</v>
      </c>
      <c r="V762" s="13"/>
      <c r="W762" s="13"/>
    </row>
    <row r="763" spans="1:23" ht="15" customHeight="1" x14ac:dyDescent="0.25">
      <c r="A763" s="19">
        <v>46244</v>
      </c>
      <c r="B763" s="11" t="s">
        <v>665</v>
      </c>
      <c r="C763" s="12" t="s">
        <v>666</v>
      </c>
      <c r="D763" s="11" t="s">
        <v>100</v>
      </c>
      <c r="E763" s="12" t="s">
        <v>32</v>
      </c>
      <c r="F763" s="12" t="s">
        <v>33</v>
      </c>
      <c r="G763" s="12">
        <v>41</v>
      </c>
      <c r="H763" s="13">
        <v>0.25532407407407409</v>
      </c>
      <c r="I763" s="13">
        <v>0.1733912037037037</v>
      </c>
      <c r="J763" s="13">
        <v>4.2290537488708221E-3</v>
      </c>
      <c r="K763" s="13">
        <v>2.2395833333333334E-2</v>
      </c>
      <c r="L763" s="14">
        <v>8.7715321849501357E-2</v>
      </c>
      <c r="M763" s="12" t="s">
        <v>334</v>
      </c>
      <c r="N763" s="13"/>
      <c r="O763" s="13">
        <v>6.5393518518518517E-3</v>
      </c>
      <c r="P763" s="13"/>
      <c r="Q763" s="13"/>
      <c r="R763" s="13"/>
      <c r="S763" s="13">
        <v>1.4050925925925927E-2</v>
      </c>
      <c r="T763" s="13">
        <v>1.8518518518518518E-4</v>
      </c>
      <c r="U763" s="13">
        <v>1.5393518518518519E-3</v>
      </c>
      <c r="V763" s="13"/>
      <c r="W763" s="13"/>
    </row>
    <row r="764" spans="1:23" ht="15" customHeight="1" x14ac:dyDescent="0.25">
      <c r="A764" s="19">
        <v>46244</v>
      </c>
      <c r="B764" s="11" t="s">
        <v>128</v>
      </c>
      <c r="C764" s="12" t="s">
        <v>555</v>
      </c>
      <c r="D764" s="11" t="s">
        <v>233</v>
      </c>
      <c r="E764" s="12" t="s">
        <v>32</v>
      </c>
      <c r="F764" s="12" t="s">
        <v>106</v>
      </c>
      <c r="G764" s="12">
        <v>34</v>
      </c>
      <c r="H764" s="13">
        <v>0.25048611111111113</v>
      </c>
      <c r="I764" s="13">
        <v>0.13476851851851851</v>
      </c>
      <c r="J764" s="13">
        <v>3.9637799564270146E-3</v>
      </c>
      <c r="K764" s="13">
        <v>5.7604166666666665E-2</v>
      </c>
      <c r="L764" s="14">
        <v>0.22996950374272246</v>
      </c>
      <c r="M764" s="12" t="s">
        <v>334</v>
      </c>
      <c r="N764" s="13">
        <v>1.3113425925925926E-2</v>
      </c>
      <c r="O764" s="13">
        <v>2.0833333333333332E-2</v>
      </c>
      <c r="P764" s="13"/>
      <c r="Q764" s="13"/>
      <c r="R764" s="13"/>
      <c r="S764" s="13">
        <v>1.4687499999999999E-2</v>
      </c>
      <c r="T764" s="13">
        <v>8.0555555555555554E-3</v>
      </c>
      <c r="U764" s="13">
        <v>8.564814814814815E-4</v>
      </c>
      <c r="V764" s="13"/>
      <c r="W764" s="13"/>
    </row>
    <row r="765" spans="1:23" ht="15" customHeight="1" x14ac:dyDescent="0.25">
      <c r="A765" s="19">
        <v>46244</v>
      </c>
      <c r="B765" s="11" t="s">
        <v>178</v>
      </c>
      <c r="C765" s="12" t="s">
        <v>522</v>
      </c>
      <c r="D765" s="11" t="s">
        <v>146</v>
      </c>
      <c r="E765" s="12" t="s">
        <v>147</v>
      </c>
      <c r="F765" s="12" t="s">
        <v>106</v>
      </c>
      <c r="G765" s="12">
        <v>17</v>
      </c>
      <c r="H765" s="13">
        <v>0.26386574074074076</v>
      </c>
      <c r="I765" s="13">
        <v>0.13115740740740742</v>
      </c>
      <c r="J765" s="13">
        <v>7.7151416122004362E-3</v>
      </c>
      <c r="K765" s="13">
        <v>2.5300925925925925E-2</v>
      </c>
      <c r="L765" s="14">
        <v>9.5885604000350899E-2</v>
      </c>
      <c r="M765" s="12" t="s">
        <v>334</v>
      </c>
      <c r="N765" s="13">
        <v>2.0833333333333333E-3</v>
      </c>
      <c r="O765" s="13">
        <v>6.7939814814814816E-3</v>
      </c>
      <c r="P765" s="13">
        <v>2.0370370370370369E-3</v>
      </c>
      <c r="Q765" s="13"/>
      <c r="R765" s="13"/>
      <c r="S765" s="13">
        <v>1.105324074074074E-2</v>
      </c>
      <c r="T765" s="13">
        <v>4.6296296296296298E-4</v>
      </c>
      <c r="U765" s="13">
        <v>2.7662037037037039E-3</v>
      </c>
      <c r="V765" s="13"/>
      <c r="W765" s="13"/>
    </row>
    <row r="766" spans="1:23" ht="15" customHeight="1" x14ac:dyDescent="0.25">
      <c r="A766" s="19">
        <v>46244</v>
      </c>
      <c r="B766" s="11" t="s">
        <v>266</v>
      </c>
      <c r="C766" s="12" t="s">
        <v>531</v>
      </c>
      <c r="D766" s="11" t="s">
        <v>233</v>
      </c>
      <c r="E766" s="12" t="s">
        <v>32</v>
      </c>
      <c r="F766" s="12" t="s">
        <v>106</v>
      </c>
      <c r="G766" s="12">
        <v>0</v>
      </c>
      <c r="H766" s="13">
        <v>0.25077546296296294</v>
      </c>
      <c r="I766" s="13">
        <v>0</v>
      </c>
      <c r="J766" s="13">
        <v>0</v>
      </c>
      <c r="K766" s="13">
        <v>0.25077546296296294</v>
      </c>
      <c r="L766" s="14">
        <v>1</v>
      </c>
      <c r="M766" s="12" t="s">
        <v>334</v>
      </c>
      <c r="N766" s="13"/>
      <c r="O766" s="13">
        <v>1.2812499999999999E-2</v>
      </c>
      <c r="P766" s="13"/>
      <c r="Q766" s="13"/>
      <c r="R766" s="13"/>
      <c r="S766" s="13">
        <v>8.3217592592592596E-3</v>
      </c>
      <c r="T766" s="13">
        <v>5.7870370370370367E-4</v>
      </c>
      <c r="U766" s="13"/>
      <c r="V766" s="13"/>
      <c r="W766" s="13">
        <v>0.2290625</v>
      </c>
    </row>
    <row r="767" spans="1:23" ht="15" customHeight="1" x14ac:dyDescent="0.25">
      <c r="A767" s="19">
        <v>46244</v>
      </c>
      <c r="B767" s="11" t="s">
        <v>297</v>
      </c>
      <c r="C767" s="12" t="s">
        <v>667</v>
      </c>
      <c r="D767" s="11" t="s">
        <v>104</v>
      </c>
      <c r="E767" s="12" t="s">
        <v>105</v>
      </c>
      <c r="F767" s="12" t="s">
        <v>106</v>
      </c>
      <c r="G767" s="12">
        <v>8</v>
      </c>
      <c r="H767" s="13">
        <v>0.24731481481481482</v>
      </c>
      <c r="I767" s="13">
        <v>0.13532407407407407</v>
      </c>
      <c r="J767" s="13">
        <v>1.6915509259259259E-2</v>
      </c>
      <c r="K767" s="13">
        <v>0.18322916666666667</v>
      </c>
      <c r="L767" s="14">
        <v>0.74087420441782104</v>
      </c>
      <c r="M767" s="12" t="s">
        <v>334</v>
      </c>
      <c r="N767" s="13">
        <v>1.019675925925926E-2</v>
      </c>
      <c r="O767" s="13">
        <v>1.7638888888888888E-2</v>
      </c>
      <c r="P767" s="13"/>
      <c r="Q767" s="13"/>
      <c r="R767" s="13"/>
      <c r="S767" s="13">
        <v>1.4513888888888889E-2</v>
      </c>
      <c r="T767" s="13">
        <v>7.1759259259259259E-3</v>
      </c>
      <c r="U767" s="13">
        <v>1.7361111111111112E-4</v>
      </c>
      <c r="V767" s="13"/>
      <c r="W767" s="13">
        <v>0.13351851851851851</v>
      </c>
    </row>
    <row r="768" spans="1:23" ht="15" customHeight="1" x14ac:dyDescent="0.25">
      <c r="A768" s="19">
        <v>46244</v>
      </c>
      <c r="B768" s="11" t="s">
        <v>207</v>
      </c>
      <c r="C768" s="12" t="s">
        <v>566</v>
      </c>
      <c r="D768" s="11" t="s">
        <v>274</v>
      </c>
      <c r="E768" s="12" t="s">
        <v>147</v>
      </c>
      <c r="F768" s="12" t="s">
        <v>33</v>
      </c>
      <c r="G768" s="12">
        <v>18</v>
      </c>
      <c r="H768" s="13">
        <v>0.26521990740740742</v>
      </c>
      <c r="I768" s="13">
        <v>5.5405092592592596E-2</v>
      </c>
      <c r="J768" s="13">
        <v>3.0780606995884775E-3</v>
      </c>
      <c r="K768" s="13">
        <v>3.3472222222222223E-2</v>
      </c>
      <c r="L768" s="14">
        <v>0.12620554222125246</v>
      </c>
      <c r="M768" s="12" t="s">
        <v>334</v>
      </c>
      <c r="N768" s="13">
        <v>3.1481481481481482E-3</v>
      </c>
      <c r="O768" s="13">
        <v>1.4606481481481481E-2</v>
      </c>
      <c r="P768" s="13"/>
      <c r="Q768" s="13"/>
      <c r="R768" s="13">
        <v>7.6388888888888893E-4</v>
      </c>
      <c r="S768" s="13">
        <v>1.4027777777777778E-2</v>
      </c>
      <c r="T768" s="13">
        <v>6.9444444444444444E-5</v>
      </c>
      <c r="U768" s="13">
        <v>8.4490740740740739E-4</v>
      </c>
      <c r="V768" s="13"/>
      <c r="W768" s="13"/>
    </row>
    <row r="769" spans="1:23" ht="15" customHeight="1" x14ac:dyDescent="0.25">
      <c r="A769" s="19">
        <v>46244</v>
      </c>
      <c r="B769" s="11" t="s">
        <v>614</v>
      </c>
      <c r="C769" s="12" t="s">
        <v>635</v>
      </c>
      <c r="D769" s="11" t="s">
        <v>601</v>
      </c>
      <c r="E769" s="12" t="s">
        <v>105</v>
      </c>
      <c r="F769" s="12" t="s">
        <v>33</v>
      </c>
      <c r="G769" s="12">
        <v>1</v>
      </c>
      <c r="H769" s="13">
        <v>0.18759259259259259</v>
      </c>
      <c r="I769" s="13">
        <v>3.2731481481481479E-2</v>
      </c>
      <c r="J769" s="13">
        <v>3.2731481481481479E-2</v>
      </c>
      <c r="K769" s="13">
        <v>0.17546296296296296</v>
      </c>
      <c r="L769" s="14">
        <v>0.93534057255676206</v>
      </c>
      <c r="M769" s="12" t="s">
        <v>334</v>
      </c>
      <c r="N769" s="13"/>
      <c r="O769" s="13">
        <v>1.6006944444444445E-2</v>
      </c>
      <c r="P769" s="13"/>
      <c r="Q769" s="13"/>
      <c r="R769" s="13"/>
      <c r="S769" s="13">
        <v>9.9189814814814817E-3</v>
      </c>
      <c r="T769" s="13">
        <v>4.1435185185185186E-2</v>
      </c>
      <c r="U769" s="13">
        <v>0.10810185185185185</v>
      </c>
      <c r="V769" s="13"/>
      <c r="W769" s="13"/>
    </row>
    <row r="770" spans="1:23" ht="15" customHeight="1" x14ac:dyDescent="0.25">
      <c r="A770" s="19">
        <v>46244</v>
      </c>
      <c r="B770" s="11" t="s">
        <v>96</v>
      </c>
      <c r="C770" s="12" t="s">
        <v>97</v>
      </c>
      <c r="D770" s="11" t="s">
        <v>78</v>
      </c>
      <c r="E770" s="12" t="s">
        <v>80</v>
      </c>
      <c r="F770" s="12" t="s">
        <v>81</v>
      </c>
      <c r="G770" s="12">
        <v>0</v>
      </c>
      <c r="H770" s="13">
        <v>0.33701388888888889</v>
      </c>
      <c r="I770" s="13">
        <v>0</v>
      </c>
      <c r="J770" s="13">
        <v>0</v>
      </c>
      <c r="K770" s="13">
        <v>5.8564814814814813E-2</v>
      </c>
      <c r="L770" s="14">
        <v>0.17377567140600314</v>
      </c>
      <c r="M770" s="12" t="s">
        <v>334</v>
      </c>
      <c r="N770" s="13">
        <v>2.8703703703703703E-3</v>
      </c>
      <c r="O770" s="13">
        <v>4.1539351851851855E-2</v>
      </c>
      <c r="P770" s="13"/>
      <c r="Q770" s="13"/>
      <c r="R770" s="13"/>
      <c r="S770" s="13">
        <v>1.4039351851851851E-2</v>
      </c>
      <c r="T770" s="13">
        <v>6.9444444444444444E-5</v>
      </c>
      <c r="U770" s="13">
        <v>4.6296296296296294E-5</v>
      </c>
      <c r="V770" s="13"/>
      <c r="W770" s="13"/>
    </row>
    <row r="771" spans="1:23" ht="15" customHeight="1" x14ac:dyDescent="0.25">
      <c r="A771" s="19">
        <v>46244</v>
      </c>
      <c r="B771" s="11" t="s">
        <v>180</v>
      </c>
      <c r="C771" s="12" t="s">
        <v>523</v>
      </c>
      <c r="D771" s="11" t="s">
        <v>146</v>
      </c>
      <c r="E771" s="12" t="s">
        <v>147</v>
      </c>
      <c r="F771" s="12" t="s">
        <v>106</v>
      </c>
      <c r="G771" s="12">
        <v>28</v>
      </c>
      <c r="H771" s="13">
        <v>0.32145833333333335</v>
      </c>
      <c r="I771" s="13">
        <v>9.4803240740740743E-2</v>
      </c>
      <c r="J771" s="13">
        <v>3.3858300264550264E-3</v>
      </c>
      <c r="K771" s="13">
        <v>3.2118055555555552E-2</v>
      </c>
      <c r="L771" s="14">
        <v>9.9913588248001714E-2</v>
      </c>
      <c r="M771" s="12" t="s">
        <v>334</v>
      </c>
      <c r="N771" s="13">
        <v>2.6041666666666665E-3</v>
      </c>
      <c r="O771" s="13">
        <v>1.4328703703703703E-2</v>
      </c>
      <c r="P771" s="13"/>
      <c r="Q771" s="13">
        <v>2.8935185185185184E-4</v>
      </c>
      <c r="R771" s="13"/>
      <c r="S771" s="13">
        <v>1.3738425925925926E-2</v>
      </c>
      <c r="T771" s="13">
        <v>9.2592592592592596E-4</v>
      </c>
      <c r="U771" s="13">
        <v>2.199074074074074E-4</v>
      </c>
      <c r="V771" s="13"/>
      <c r="W771" s="13"/>
    </row>
    <row r="772" spans="1:23" ht="15" customHeight="1" x14ac:dyDescent="0.25">
      <c r="A772" s="19">
        <v>46244</v>
      </c>
      <c r="B772" s="11" t="s">
        <v>615</v>
      </c>
      <c r="C772" s="12" t="s">
        <v>636</v>
      </c>
      <c r="D772" s="11" t="s">
        <v>601</v>
      </c>
      <c r="E772" s="12" t="s">
        <v>105</v>
      </c>
      <c r="F772" s="12" t="s">
        <v>33</v>
      </c>
      <c r="G772" s="12">
        <v>3</v>
      </c>
      <c r="H772" s="13">
        <v>0.22512731481481482</v>
      </c>
      <c r="I772" s="13">
        <v>6.3148148148148148E-2</v>
      </c>
      <c r="J772" s="13">
        <v>2.1049382716049381E-2</v>
      </c>
      <c r="K772" s="13">
        <v>0.20373842592592592</v>
      </c>
      <c r="L772" s="14">
        <v>0.90499203125803296</v>
      </c>
      <c r="M772" s="12" t="s">
        <v>334</v>
      </c>
      <c r="N772" s="13">
        <v>2.9513888888888888E-3</v>
      </c>
      <c r="O772" s="13">
        <v>1.5740740740740739E-2</v>
      </c>
      <c r="P772" s="13"/>
      <c r="Q772" s="13"/>
      <c r="R772" s="13"/>
      <c r="S772" s="13">
        <v>1.1643518518518518E-2</v>
      </c>
      <c r="T772" s="13">
        <v>1.273148148148148E-4</v>
      </c>
      <c r="U772" s="13">
        <v>0.17304398148148148</v>
      </c>
      <c r="V772" s="13"/>
      <c r="W772" s="13">
        <v>2.3148148148148149E-4</v>
      </c>
    </row>
    <row r="773" spans="1:23" ht="15" customHeight="1" x14ac:dyDescent="0.25">
      <c r="A773" s="19">
        <v>46244</v>
      </c>
      <c r="B773" s="11" t="s">
        <v>616</v>
      </c>
      <c r="C773" s="12" t="s">
        <v>637</v>
      </c>
      <c r="D773" s="11" t="s">
        <v>601</v>
      </c>
      <c r="E773" s="12" t="s">
        <v>105</v>
      </c>
      <c r="F773" s="12" t="s">
        <v>33</v>
      </c>
      <c r="G773" s="12">
        <v>1</v>
      </c>
      <c r="H773" s="13">
        <v>0.20846064814814816</v>
      </c>
      <c r="I773" s="13">
        <v>2.9641203703703704E-2</v>
      </c>
      <c r="J773" s="13">
        <v>2.9641203703703704E-2</v>
      </c>
      <c r="K773" s="13">
        <v>0.19712962962962963</v>
      </c>
      <c r="L773" s="14">
        <v>0.94564432846593738</v>
      </c>
      <c r="M773" s="12" t="s">
        <v>334</v>
      </c>
      <c r="N773" s="13">
        <v>5.4050925925925924E-3</v>
      </c>
      <c r="O773" s="13">
        <v>1.4710648148148148E-2</v>
      </c>
      <c r="P773" s="13"/>
      <c r="Q773" s="13"/>
      <c r="R773" s="13"/>
      <c r="S773" s="13">
        <v>1.3449074074074073E-2</v>
      </c>
      <c r="T773" s="13">
        <v>4.5138888888888887E-4</v>
      </c>
      <c r="U773" s="13">
        <v>0.16311342592592593</v>
      </c>
      <c r="V773" s="13"/>
      <c r="W773" s="13"/>
    </row>
    <row r="774" spans="1:23" ht="15" customHeight="1" x14ac:dyDescent="0.25">
      <c r="A774" s="19">
        <v>46244</v>
      </c>
      <c r="B774" s="11" t="s">
        <v>209</v>
      </c>
      <c r="C774" s="12" t="s">
        <v>567</v>
      </c>
      <c r="D774" s="11" t="s">
        <v>601</v>
      </c>
      <c r="E774" s="12" t="s">
        <v>105</v>
      </c>
      <c r="F774" s="12" t="s">
        <v>33</v>
      </c>
      <c r="G774" s="12">
        <v>1</v>
      </c>
      <c r="H774" s="13">
        <v>0.21016203703703704</v>
      </c>
      <c r="I774" s="13">
        <v>2.7604166666666666E-2</v>
      </c>
      <c r="J774" s="13">
        <v>2.7604166666666666E-2</v>
      </c>
      <c r="K774" s="13">
        <v>0.19850694444444444</v>
      </c>
      <c r="L774" s="14">
        <v>0.94454235047912771</v>
      </c>
      <c r="M774" s="12" t="s">
        <v>334</v>
      </c>
      <c r="N774" s="13">
        <v>2.9976851851851853E-3</v>
      </c>
      <c r="O774" s="13">
        <v>1.380787037037037E-2</v>
      </c>
      <c r="P774" s="13"/>
      <c r="Q774" s="13"/>
      <c r="R774" s="13"/>
      <c r="S774" s="13">
        <v>1.4224537037037037E-2</v>
      </c>
      <c r="T774" s="13">
        <v>2.5347222222222221E-3</v>
      </c>
      <c r="U774" s="13">
        <v>0.16494212962962962</v>
      </c>
      <c r="V774" s="13"/>
      <c r="W774" s="13"/>
    </row>
    <row r="775" spans="1:23" ht="15" customHeight="1" x14ac:dyDescent="0.25">
      <c r="A775" s="19">
        <v>46244</v>
      </c>
      <c r="B775" s="11" t="s">
        <v>60</v>
      </c>
      <c r="C775" s="12" t="s">
        <v>510</v>
      </c>
      <c r="D775" s="11" t="s">
        <v>100</v>
      </c>
      <c r="E775" s="12" t="s">
        <v>32</v>
      </c>
      <c r="F775" s="12" t="s">
        <v>33</v>
      </c>
      <c r="G775" s="12">
        <v>23</v>
      </c>
      <c r="H775" s="13">
        <v>0.11918981481481482</v>
      </c>
      <c r="I775" s="13">
        <v>0.1072337962962963</v>
      </c>
      <c r="J775" s="13">
        <v>4.6623389694041865E-3</v>
      </c>
      <c r="K775" s="13">
        <v>1.2222222222222223E-2</v>
      </c>
      <c r="L775" s="14">
        <v>0.10254418333657021</v>
      </c>
      <c r="M775" s="12" t="s">
        <v>334</v>
      </c>
      <c r="N775" s="13">
        <v>2.3148148148148147E-3</v>
      </c>
      <c r="O775" s="13">
        <v>8.5995370370370375E-3</v>
      </c>
      <c r="P775" s="13"/>
      <c r="Q775" s="13"/>
      <c r="R775" s="13"/>
      <c r="S775" s="13"/>
      <c r="T775" s="13">
        <v>1.0416666666666667E-4</v>
      </c>
      <c r="U775" s="13">
        <v>1.1689814814814816E-3</v>
      </c>
      <c r="V775" s="13"/>
      <c r="W775" s="13"/>
    </row>
    <row r="776" spans="1:23" ht="15" customHeight="1" x14ac:dyDescent="0.25">
      <c r="A776" s="19">
        <v>46244</v>
      </c>
      <c r="B776" s="11" t="s">
        <v>132</v>
      </c>
      <c r="C776" s="12" t="s">
        <v>512</v>
      </c>
      <c r="D776" s="11" t="s">
        <v>104</v>
      </c>
      <c r="E776" s="12" t="s">
        <v>105</v>
      </c>
      <c r="F776" s="12" t="s">
        <v>106</v>
      </c>
      <c r="G776" s="12">
        <v>9</v>
      </c>
      <c r="H776" s="13">
        <v>0.26550925925925928</v>
      </c>
      <c r="I776" s="13">
        <v>0.14924768518518519</v>
      </c>
      <c r="J776" s="13">
        <v>1.6583076131687243E-2</v>
      </c>
      <c r="K776" s="13">
        <v>0.19828703703703704</v>
      </c>
      <c r="L776" s="14">
        <v>0.74681778552746292</v>
      </c>
      <c r="M776" s="12" t="s">
        <v>334</v>
      </c>
      <c r="N776" s="13">
        <v>1.9097222222222222E-3</v>
      </c>
      <c r="O776" s="13">
        <v>1.6562500000000001E-2</v>
      </c>
      <c r="P776" s="13"/>
      <c r="Q776" s="13"/>
      <c r="R776" s="13">
        <v>1.9016203703703705E-2</v>
      </c>
      <c r="S776" s="13">
        <v>1.4930555555555556E-2</v>
      </c>
      <c r="T776" s="13">
        <v>1.8912037037037036E-2</v>
      </c>
      <c r="U776" s="13">
        <v>3.449074074074074E-3</v>
      </c>
      <c r="V776" s="13"/>
      <c r="W776" s="13">
        <v>0.12350694444444445</v>
      </c>
    </row>
    <row r="777" spans="1:23" ht="15" customHeight="1" x14ac:dyDescent="0.25">
      <c r="A777" s="19">
        <v>46244</v>
      </c>
      <c r="B777" s="11" t="s">
        <v>134</v>
      </c>
      <c r="C777" s="12" t="s">
        <v>560</v>
      </c>
      <c r="D777" s="11" t="s">
        <v>104</v>
      </c>
      <c r="E777" s="12" t="s">
        <v>105</v>
      </c>
      <c r="F777" s="12" t="s">
        <v>106</v>
      </c>
      <c r="G777" s="12">
        <v>9</v>
      </c>
      <c r="H777" s="13">
        <v>0.2630439814814815</v>
      </c>
      <c r="I777" s="13">
        <v>0.18839120370370371</v>
      </c>
      <c r="J777" s="13">
        <v>2.0932355967078192E-2</v>
      </c>
      <c r="K777" s="13">
        <v>0.15893518518518518</v>
      </c>
      <c r="L777" s="14">
        <v>0.60421525058300696</v>
      </c>
      <c r="M777" s="12" t="s">
        <v>334</v>
      </c>
      <c r="N777" s="13">
        <v>7.2569444444444443E-3</v>
      </c>
      <c r="O777" s="13">
        <v>6.7129629629629631E-3</v>
      </c>
      <c r="P777" s="13"/>
      <c r="Q777" s="13"/>
      <c r="R777" s="13"/>
      <c r="S777" s="13">
        <v>1.3275462962962963E-2</v>
      </c>
      <c r="T777" s="13">
        <v>1.4837962962962963E-2</v>
      </c>
      <c r="U777" s="13">
        <v>2.2916666666666667E-3</v>
      </c>
      <c r="V777" s="13"/>
      <c r="W777" s="13">
        <v>0.11454861111111111</v>
      </c>
    </row>
    <row r="778" spans="1:23" ht="15" customHeight="1" x14ac:dyDescent="0.25">
      <c r="A778" s="19">
        <v>46244</v>
      </c>
      <c r="B778" s="11" t="s">
        <v>617</v>
      </c>
      <c r="C778" s="12" t="s">
        <v>638</v>
      </c>
      <c r="D778" s="11" t="s">
        <v>601</v>
      </c>
      <c r="E778" s="12" t="s">
        <v>105</v>
      </c>
      <c r="F778" s="12" t="s">
        <v>33</v>
      </c>
      <c r="G778" s="12">
        <v>1</v>
      </c>
      <c r="H778" s="13">
        <v>0.19327546296296297</v>
      </c>
      <c r="I778" s="13">
        <v>3.0636574074074073E-2</v>
      </c>
      <c r="J778" s="13">
        <v>3.0636574074074073E-2</v>
      </c>
      <c r="K778" s="13">
        <v>0.18106481481481482</v>
      </c>
      <c r="L778" s="14">
        <v>0.93682256422540267</v>
      </c>
      <c r="M778" s="12" t="s">
        <v>334</v>
      </c>
      <c r="N778" s="13">
        <v>3.6921296296296298E-3</v>
      </c>
      <c r="O778" s="13">
        <v>7.2222222222222219E-3</v>
      </c>
      <c r="P778" s="13"/>
      <c r="Q778" s="13"/>
      <c r="R778" s="13"/>
      <c r="S778" s="13">
        <v>2.5185185185185185E-2</v>
      </c>
      <c r="T778" s="13">
        <v>3.965277777777778E-2</v>
      </c>
      <c r="U778" s="13">
        <v>0.1053125</v>
      </c>
      <c r="V778" s="13"/>
      <c r="W778" s="13"/>
    </row>
    <row r="779" spans="1:23" ht="15" customHeight="1" x14ac:dyDescent="0.25">
      <c r="A779" s="19">
        <v>46244</v>
      </c>
      <c r="B779" s="11" t="s">
        <v>618</v>
      </c>
      <c r="C779" s="12" t="s">
        <v>639</v>
      </c>
      <c r="D779" s="11" t="s">
        <v>601</v>
      </c>
      <c r="E779" s="12" t="s">
        <v>105</v>
      </c>
      <c r="F779" s="12" t="s">
        <v>33</v>
      </c>
      <c r="G779" s="12">
        <v>1</v>
      </c>
      <c r="H779" s="13">
        <v>0.20300925925925925</v>
      </c>
      <c r="I779" s="13">
        <v>2.585648148148148E-2</v>
      </c>
      <c r="J779" s="13">
        <v>2.585648148148148E-2</v>
      </c>
      <c r="K779" s="13">
        <v>0.1962962962962963</v>
      </c>
      <c r="L779" s="14">
        <v>0.96693272519954399</v>
      </c>
      <c r="M779" s="12" t="s">
        <v>334</v>
      </c>
      <c r="N779" s="13">
        <v>2.662037037037037E-3</v>
      </c>
      <c r="O779" s="13">
        <v>1.8842592592592591E-2</v>
      </c>
      <c r="P779" s="13"/>
      <c r="Q779" s="13"/>
      <c r="R779" s="13"/>
      <c r="S779" s="13">
        <v>1.5266203703703704E-2</v>
      </c>
      <c r="T779" s="13">
        <v>6.3310185185185188E-3</v>
      </c>
      <c r="U779" s="13">
        <v>0.15319444444444444</v>
      </c>
      <c r="V779" s="13"/>
      <c r="W779" s="13"/>
    </row>
    <row r="780" spans="1:23" ht="15" customHeight="1" x14ac:dyDescent="0.25">
      <c r="A780" s="19">
        <v>46244</v>
      </c>
      <c r="B780" s="11" t="s">
        <v>501</v>
      </c>
      <c r="C780" s="12" t="s">
        <v>524</v>
      </c>
      <c r="D780" s="11" t="s">
        <v>274</v>
      </c>
      <c r="E780" s="12" t="s">
        <v>147</v>
      </c>
      <c r="F780" s="12" t="s">
        <v>33</v>
      </c>
      <c r="G780" s="12">
        <v>21</v>
      </c>
      <c r="H780" s="13">
        <v>0.31214120370370368</v>
      </c>
      <c r="I780" s="13">
        <v>7.3888888888888893E-2</v>
      </c>
      <c r="J780" s="13">
        <v>3.5185185185185189E-3</v>
      </c>
      <c r="K780" s="13">
        <v>4.4618055555555557E-2</v>
      </c>
      <c r="L780" s="14">
        <v>0.14294189625125145</v>
      </c>
      <c r="M780" s="12" t="s">
        <v>334</v>
      </c>
      <c r="N780" s="13">
        <v>3.0671296296296297E-3</v>
      </c>
      <c r="O780" s="13">
        <v>1.4699074074074074E-2</v>
      </c>
      <c r="P780" s="13"/>
      <c r="Q780" s="13"/>
      <c r="R780" s="13">
        <v>7.4652777777777781E-3</v>
      </c>
      <c r="S780" s="13">
        <v>1.8668981481481481E-2</v>
      </c>
      <c r="T780" s="13">
        <v>4.5138888888888887E-4</v>
      </c>
      <c r="U780" s="13">
        <v>2.4305555555555555E-4</v>
      </c>
      <c r="V780" s="13"/>
      <c r="W780" s="13"/>
    </row>
    <row r="781" spans="1:23" ht="15" customHeight="1" x14ac:dyDescent="0.25">
      <c r="A781" s="19">
        <v>46244</v>
      </c>
      <c r="B781" s="11" t="s">
        <v>213</v>
      </c>
      <c r="C781" s="12" t="s">
        <v>572</v>
      </c>
      <c r="D781" s="11" t="s">
        <v>601</v>
      </c>
      <c r="E781" s="12" t="s">
        <v>105</v>
      </c>
      <c r="F781" s="12" t="s">
        <v>33</v>
      </c>
      <c r="G781" s="12">
        <v>1</v>
      </c>
      <c r="H781" s="13">
        <v>0.22920138888888889</v>
      </c>
      <c r="I781" s="13">
        <v>2.4340277777777777E-2</v>
      </c>
      <c r="J781" s="13">
        <v>2.4340277777777777E-2</v>
      </c>
      <c r="K781" s="13">
        <v>0.2235300925925926</v>
      </c>
      <c r="L781" s="14">
        <v>0.97525627430187345</v>
      </c>
      <c r="M781" s="12" t="s">
        <v>334</v>
      </c>
      <c r="N781" s="13">
        <v>2.1365740740740741E-2</v>
      </c>
      <c r="O781" s="13">
        <v>1.6481481481481482E-2</v>
      </c>
      <c r="P781" s="13"/>
      <c r="Q781" s="13"/>
      <c r="R781" s="13"/>
      <c r="S781" s="13">
        <v>1.3877314814814815E-2</v>
      </c>
      <c r="T781" s="13">
        <v>8.7962962962962962E-4</v>
      </c>
      <c r="U781" s="13">
        <v>0.17092592592592593</v>
      </c>
      <c r="V781" s="13"/>
      <c r="W781" s="13"/>
    </row>
    <row r="782" spans="1:23" ht="15" customHeight="1" x14ac:dyDescent="0.25">
      <c r="A782" s="19">
        <v>46244</v>
      </c>
      <c r="B782" s="11" t="s">
        <v>619</v>
      </c>
      <c r="C782" s="12" t="s">
        <v>640</v>
      </c>
      <c r="D782" s="11" t="s">
        <v>601</v>
      </c>
      <c r="E782" s="12" t="s">
        <v>105</v>
      </c>
      <c r="F782" s="12" t="s">
        <v>33</v>
      </c>
      <c r="G782" s="12">
        <v>1</v>
      </c>
      <c r="H782" s="13">
        <v>0.21048611111111112</v>
      </c>
      <c r="I782" s="13">
        <v>2.960648148148148E-2</v>
      </c>
      <c r="J782" s="13">
        <v>2.960648148148148E-2</v>
      </c>
      <c r="K782" s="13">
        <v>0.2011226851851852</v>
      </c>
      <c r="L782" s="14">
        <v>0.95551523149675577</v>
      </c>
      <c r="M782" s="12" t="s">
        <v>334</v>
      </c>
      <c r="N782" s="13"/>
      <c r="O782" s="13">
        <v>1.7777777777777778E-2</v>
      </c>
      <c r="P782" s="13"/>
      <c r="Q782" s="13"/>
      <c r="R782" s="13"/>
      <c r="S782" s="13">
        <v>1.5509259259259259E-3</v>
      </c>
      <c r="T782" s="13">
        <v>4.2824074074074075E-4</v>
      </c>
      <c r="U782" s="13">
        <v>0.17258101851851851</v>
      </c>
      <c r="V782" s="13"/>
      <c r="W782" s="13">
        <v>8.7847222222222215E-3</v>
      </c>
    </row>
    <row r="783" spans="1:23" ht="15" customHeight="1" x14ac:dyDescent="0.25">
      <c r="A783" s="19">
        <v>46244</v>
      </c>
      <c r="B783" s="11" t="s">
        <v>146</v>
      </c>
      <c r="C783" s="12" t="s">
        <v>743</v>
      </c>
      <c r="D783" s="11" t="s">
        <v>146</v>
      </c>
      <c r="E783" s="12" t="s">
        <v>147</v>
      </c>
      <c r="F783" s="12" t="s">
        <v>106</v>
      </c>
      <c r="G783" s="12">
        <v>0</v>
      </c>
      <c r="H783" s="13">
        <v>0</v>
      </c>
      <c r="I783" s="13">
        <v>0</v>
      </c>
      <c r="J783" s="13">
        <v>0</v>
      </c>
      <c r="K783" s="13">
        <v>0</v>
      </c>
      <c r="L783" s="14">
        <v>0</v>
      </c>
      <c r="M783" s="12" t="s">
        <v>333</v>
      </c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ht="15" customHeight="1" x14ac:dyDescent="0.25">
      <c r="A784" s="19">
        <v>46244</v>
      </c>
      <c r="B784" s="11" t="s">
        <v>668</v>
      </c>
      <c r="C784" s="12" t="s">
        <v>669</v>
      </c>
      <c r="D784" s="11" t="s">
        <v>233</v>
      </c>
      <c r="E784" s="12" t="s">
        <v>32</v>
      </c>
      <c r="F784" s="12" t="s">
        <v>106</v>
      </c>
      <c r="G784" s="12">
        <v>37</v>
      </c>
      <c r="H784" s="13">
        <v>0.25564814814814812</v>
      </c>
      <c r="I784" s="13">
        <v>0.15172453703703703</v>
      </c>
      <c r="J784" s="13">
        <v>4.1006631631631627E-3</v>
      </c>
      <c r="K784" s="13">
        <v>3.6597222222222225E-2</v>
      </c>
      <c r="L784" s="14">
        <v>0.14315465411082945</v>
      </c>
      <c r="M784" s="12" t="s">
        <v>334</v>
      </c>
      <c r="N784" s="13">
        <v>3.8310185185185183E-3</v>
      </c>
      <c r="O784" s="13">
        <v>1.7800925925925925E-2</v>
      </c>
      <c r="P784" s="13"/>
      <c r="Q784" s="13"/>
      <c r="R784" s="13"/>
      <c r="S784" s="13">
        <v>3.3101851851851851E-3</v>
      </c>
      <c r="T784" s="13">
        <v>8.2870370370370372E-3</v>
      </c>
      <c r="U784" s="13">
        <v>3.3564814814814816E-3</v>
      </c>
      <c r="V784" s="13"/>
      <c r="W784" s="13"/>
    </row>
    <row r="785" spans="1:23" ht="15" customHeight="1" x14ac:dyDescent="0.25">
      <c r="A785" s="19">
        <v>46244</v>
      </c>
      <c r="B785" s="11" t="s">
        <v>744</v>
      </c>
      <c r="C785" s="12" t="s">
        <v>670</v>
      </c>
      <c r="D785" s="11" t="s">
        <v>100</v>
      </c>
      <c r="E785" s="12" t="s">
        <v>32</v>
      </c>
      <c r="F785" s="12" t="s">
        <v>33</v>
      </c>
      <c r="G785" s="12">
        <v>35</v>
      </c>
      <c r="H785" s="13">
        <v>0.2581134259259259</v>
      </c>
      <c r="I785" s="13">
        <v>0.13523148148148148</v>
      </c>
      <c r="J785" s="13">
        <v>3.8637566137566135E-3</v>
      </c>
      <c r="K785" s="13">
        <v>5.7615740740740738E-2</v>
      </c>
      <c r="L785" s="14">
        <v>0.22321868974485451</v>
      </c>
      <c r="M785" s="12" t="s">
        <v>334</v>
      </c>
      <c r="N785" s="13">
        <v>2.105324074074074E-2</v>
      </c>
      <c r="O785" s="13">
        <v>6.6550925925925927E-3</v>
      </c>
      <c r="P785" s="13"/>
      <c r="Q785" s="13"/>
      <c r="R785" s="13">
        <v>7.1180555555555554E-3</v>
      </c>
      <c r="S785" s="13">
        <v>1.3680555555555555E-2</v>
      </c>
      <c r="T785" s="13">
        <v>4.1666666666666669E-4</v>
      </c>
      <c r="U785" s="13">
        <v>8.0208333333333329E-3</v>
      </c>
      <c r="V785" s="13"/>
      <c r="W785" s="13">
        <v>6.7129629629629625E-4</v>
      </c>
    </row>
    <row r="786" spans="1:23" ht="15" customHeight="1" x14ac:dyDescent="0.25">
      <c r="A786" s="19">
        <v>46244</v>
      </c>
      <c r="B786" s="11" t="s">
        <v>219</v>
      </c>
      <c r="C786" s="12" t="s">
        <v>548</v>
      </c>
      <c r="D786" s="11" t="s">
        <v>104</v>
      </c>
      <c r="E786" s="12" t="s">
        <v>105</v>
      </c>
      <c r="F786" s="12" t="s">
        <v>106</v>
      </c>
      <c r="G786" s="12">
        <v>6</v>
      </c>
      <c r="H786" s="13">
        <v>0.23708333333333334</v>
      </c>
      <c r="I786" s="13">
        <v>0.12835648148148149</v>
      </c>
      <c r="J786" s="13">
        <v>2.1392746913580247E-2</v>
      </c>
      <c r="K786" s="13">
        <v>0.155</v>
      </c>
      <c r="L786" s="14">
        <v>0.65377855887521963</v>
      </c>
      <c r="M786" s="12" t="s">
        <v>334</v>
      </c>
      <c r="N786" s="13">
        <v>3.5300925925925925E-3</v>
      </c>
      <c r="O786" s="13">
        <v>1.638888888888889E-2</v>
      </c>
      <c r="P786" s="13"/>
      <c r="Q786" s="13"/>
      <c r="R786" s="13"/>
      <c r="S786" s="13">
        <v>1.3923611111111111E-2</v>
      </c>
      <c r="T786" s="13">
        <v>4.0740740740740737E-3</v>
      </c>
      <c r="U786" s="13">
        <v>1.1574074074074073E-3</v>
      </c>
      <c r="V786" s="13"/>
      <c r="W786" s="13">
        <v>0.11592592592592593</v>
      </c>
    </row>
    <row r="787" spans="1:23" ht="15" customHeight="1" x14ac:dyDescent="0.25">
      <c r="A787" s="19">
        <v>46244</v>
      </c>
      <c r="B787" s="11" t="s">
        <v>305</v>
      </c>
      <c r="C787" s="12" t="s">
        <v>306</v>
      </c>
      <c r="D787" s="11" t="s">
        <v>100</v>
      </c>
      <c r="E787" s="12" t="s">
        <v>32</v>
      </c>
      <c r="F787" s="12" t="s">
        <v>33</v>
      </c>
      <c r="G787" s="12">
        <v>46</v>
      </c>
      <c r="H787" s="13">
        <v>0.2603240740740741</v>
      </c>
      <c r="I787" s="13">
        <v>0.1332986111111111</v>
      </c>
      <c r="J787" s="13">
        <v>2.8977958937198068E-3</v>
      </c>
      <c r="K787" s="13">
        <v>5.8125000000000003E-2</v>
      </c>
      <c r="L787" s="14">
        <v>0.22327938822692511</v>
      </c>
      <c r="M787" s="12" t="s">
        <v>334</v>
      </c>
      <c r="N787" s="13">
        <v>2.5509259259259259E-2</v>
      </c>
      <c r="O787" s="13">
        <v>1.4293981481481482E-2</v>
      </c>
      <c r="P787" s="13"/>
      <c r="Q787" s="13"/>
      <c r="R787" s="13"/>
      <c r="S787" s="13">
        <v>1.5011574074074075E-2</v>
      </c>
      <c r="T787" s="13">
        <v>2.0833333333333335E-4</v>
      </c>
      <c r="U787" s="13">
        <v>6.9444444444444444E-5</v>
      </c>
      <c r="V787" s="13"/>
      <c r="W787" s="13">
        <v>3.0208333333333333E-3</v>
      </c>
    </row>
    <row r="788" spans="1:23" ht="15" customHeight="1" x14ac:dyDescent="0.25">
      <c r="A788" s="19">
        <v>46244</v>
      </c>
      <c r="B788" s="11" t="s">
        <v>620</v>
      </c>
      <c r="C788" s="12" t="s">
        <v>641</v>
      </c>
      <c r="D788" s="11" t="s">
        <v>601</v>
      </c>
      <c r="E788" s="12" t="s">
        <v>105</v>
      </c>
      <c r="F788" s="12" t="s">
        <v>33</v>
      </c>
      <c r="G788" s="12">
        <v>2</v>
      </c>
      <c r="H788" s="13">
        <v>0.18957175925925926</v>
      </c>
      <c r="I788" s="13">
        <v>5.0509259259259261E-2</v>
      </c>
      <c r="J788" s="13">
        <v>2.525462962962963E-2</v>
      </c>
      <c r="K788" s="13">
        <v>0.17258101851851851</v>
      </c>
      <c r="L788" s="14">
        <v>0.91037303864704799</v>
      </c>
      <c r="M788" s="12" t="s">
        <v>334</v>
      </c>
      <c r="N788" s="13">
        <v>8.7962962962962968E-3</v>
      </c>
      <c r="O788" s="13">
        <v>1.5775462962962963E-2</v>
      </c>
      <c r="P788" s="13"/>
      <c r="Q788" s="13"/>
      <c r="R788" s="13"/>
      <c r="S788" s="13">
        <v>1.1516203703703704E-2</v>
      </c>
      <c r="T788" s="13">
        <v>3.7152777777777778E-3</v>
      </c>
      <c r="U788" s="13">
        <v>0.13277777777777777</v>
      </c>
      <c r="V788" s="13"/>
      <c r="W788" s="13"/>
    </row>
    <row r="789" spans="1:23" ht="15" customHeight="1" x14ac:dyDescent="0.25">
      <c r="A789" s="19">
        <v>46244</v>
      </c>
      <c r="B789" s="11" t="s">
        <v>138</v>
      </c>
      <c r="C789" s="12" t="s">
        <v>556</v>
      </c>
      <c r="D789" s="11" t="s">
        <v>104</v>
      </c>
      <c r="E789" s="12" t="s">
        <v>105</v>
      </c>
      <c r="F789" s="12" t="s">
        <v>106</v>
      </c>
      <c r="G789" s="12">
        <v>20</v>
      </c>
      <c r="H789" s="13">
        <v>0.32982638888888888</v>
      </c>
      <c r="I789" s="13">
        <v>0.23695601851851852</v>
      </c>
      <c r="J789" s="13">
        <v>1.1847800925925927E-2</v>
      </c>
      <c r="K789" s="13">
        <v>0.16668981481481482</v>
      </c>
      <c r="L789" s="14">
        <v>0.50538653191564031</v>
      </c>
      <c r="M789" s="12" t="s">
        <v>334</v>
      </c>
      <c r="N789" s="13">
        <v>1.1805555555555555E-2</v>
      </c>
      <c r="O789" s="13">
        <v>1.9918981481481482E-2</v>
      </c>
      <c r="P789" s="13"/>
      <c r="Q789" s="13"/>
      <c r="R789" s="13"/>
      <c r="S789" s="13">
        <v>1.4606481481481481E-2</v>
      </c>
      <c r="T789" s="13">
        <v>2.8009259259259259E-3</v>
      </c>
      <c r="U789" s="13">
        <v>6.1111111111111114E-3</v>
      </c>
      <c r="V789" s="13"/>
      <c r="W789" s="13">
        <v>0.11142361111111111</v>
      </c>
    </row>
    <row r="790" spans="1:23" ht="15" customHeight="1" x14ac:dyDescent="0.25">
      <c r="A790" s="19">
        <v>46244</v>
      </c>
      <c r="B790" s="11" t="s">
        <v>276</v>
      </c>
      <c r="C790" s="12" t="s">
        <v>532</v>
      </c>
      <c r="D790" s="11" t="s">
        <v>233</v>
      </c>
      <c r="E790" s="12" t="s">
        <v>32</v>
      </c>
      <c r="F790" s="12" t="s">
        <v>106</v>
      </c>
      <c r="G790" s="12">
        <v>44</v>
      </c>
      <c r="H790" s="13">
        <v>0.25979166666666664</v>
      </c>
      <c r="I790" s="13">
        <v>0.10769675925925926</v>
      </c>
      <c r="J790" s="13">
        <v>2.4476536195286195E-3</v>
      </c>
      <c r="K790" s="13">
        <v>5.1562499999999997E-2</v>
      </c>
      <c r="L790" s="14">
        <v>0.19847634322373697</v>
      </c>
      <c r="M790" s="12" t="s">
        <v>334</v>
      </c>
      <c r="N790" s="13">
        <v>1.4513888888888889E-2</v>
      </c>
      <c r="O790" s="13">
        <v>1.2581018518518519E-2</v>
      </c>
      <c r="P790" s="13"/>
      <c r="Q790" s="13"/>
      <c r="R790" s="13"/>
      <c r="S790" s="13">
        <v>1.2777777777777779E-2</v>
      </c>
      <c r="T790" s="13">
        <v>1.1168981481481481E-2</v>
      </c>
      <c r="U790" s="13"/>
      <c r="V790" s="13"/>
      <c r="W790" s="13">
        <v>5.2083333333333333E-4</v>
      </c>
    </row>
    <row r="791" spans="1:23" ht="15" customHeight="1" x14ac:dyDescent="0.25">
      <c r="A791" s="19">
        <v>46244</v>
      </c>
      <c r="B791" s="11" t="s">
        <v>278</v>
      </c>
      <c r="C791" s="12" t="s">
        <v>533</v>
      </c>
      <c r="D791" s="11" t="s">
        <v>233</v>
      </c>
      <c r="E791" s="12" t="s">
        <v>32</v>
      </c>
      <c r="F791" s="12" t="s">
        <v>106</v>
      </c>
      <c r="G791" s="12">
        <v>26</v>
      </c>
      <c r="H791" s="13">
        <v>0.26537037037037037</v>
      </c>
      <c r="I791" s="13">
        <v>0.12795138888888888</v>
      </c>
      <c r="J791" s="13">
        <v>4.9212072649572648E-3</v>
      </c>
      <c r="K791" s="13">
        <v>3.8356481481481484E-2</v>
      </c>
      <c r="L791" s="14">
        <v>0.14453942777390091</v>
      </c>
      <c r="M791" s="12" t="s">
        <v>334</v>
      </c>
      <c r="N791" s="13">
        <v>2.2337962962962962E-3</v>
      </c>
      <c r="O791" s="13">
        <v>1.4050925925925927E-2</v>
      </c>
      <c r="P791" s="13"/>
      <c r="Q791" s="13">
        <v>4.6990740740740743E-3</v>
      </c>
      <c r="R791" s="13"/>
      <c r="S791" s="13">
        <v>1.412037037037037E-2</v>
      </c>
      <c r="T791" s="13">
        <v>2.7083333333333334E-3</v>
      </c>
      <c r="U791" s="13">
        <v>5.4398148148148144E-4</v>
      </c>
      <c r="V791" s="13"/>
      <c r="W791" s="13"/>
    </row>
    <row r="792" spans="1:23" ht="15" customHeight="1" x14ac:dyDescent="0.25">
      <c r="A792" s="19">
        <v>46244</v>
      </c>
      <c r="B792" s="11" t="s">
        <v>313</v>
      </c>
      <c r="C792" s="12" t="s">
        <v>511</v>
      </c>
      <c r="D792" s="11" t="s">
        <v>78</v>
      </c>
      <c r="E792" s="12" t="s">
        <v>80</v>
      </c>
      <c r="F792" s="12" t="s">
        <v>81</v>
      </c>
      <c r="G792" s="12">
        <v>4</v>
      </c>
      <c r="H792" s="13">
        <v>0.2389236111111111</v>
      </c>
      <c r="I792" s="13">
        <v>7.9629629629629634E-3</v>
      </c>
      <c r="J792" s="13">
        <v>1.9907407407407408E-3</v>
      </c>
      <c r="K792" s="13">
        <v>3.1192129629629629E-2</v>
      </c>
      <c r="L792" s="14">
        <v>0.13055272973889454</v>
      </c>
      <c r="M792" s="12" t="s">
        <v>334</v>
      </c>
      <c r="N792" s="13"/>
      <c r="O792" s="13">
        <v>1.2581018518518519E-2</v>
      </c>
      <c r="P792" s="13"/>
      <c r="Q792" s="13"/>
      <c r="R792" s="13"/>
      <c r="S792" s="13">
        <v>1.8530092592592591E-2</v>
      </c>
      <c r="T792" s="13">
        <v>8.1018518518518516E-5</v>
      </c>
      <c r="U792" s="13"/>
      <c r="V792" s="13"/>
      <c r="W792" s="13"/>
    </row>
    <row r="793" spans="1:23" ht="15" customHeight="1" x14ac:dyDescent="0.25">
      <c r="A793" s="19">
        <v>46244</v>
      </c>
      <c r="B793" s="11" t="s">
        <v>673</v>
      </c>
      <c r="C793" s="12" t="s">
        <v>674</v>
      </c>
      <c r="D793" s="11" t="s">
        <v>104</v>
      </c>
      <c r="E793" s="12" t="s">
        <v>105</v>
      </c>
      <c r="F793" s="12" t="s">
        <v>106</v>
      </c>
      <c r="G793" s="12">
        <v>17</v>
      </c>
      <c r="H793" s="13">
        <v>0.29814814814814816</v>
      </c>
      <c r="I793" s="13">
        <v>0.2287962962962963</v>
      </c>
      <c r="J793" s="13">
        <v>1.3458605664488019E-2</v>
      </c>
      <c r="K793" s="13">
        <v>0.15819444444444444</v>
      </c>
      <c r="L793" s="14">
        <v>0.53059006211180126</v>
      </c>
      <c r="M793" s="12" t="s">
        <v>334</v>
      </c>
      <c r="N793" s="13">
        <v>2.2337962962962962E-3</v>
      </c>
      <c r="O793" s="13">
        <v>1.457175925925926E-2</v>
      </c>
      <c r="P793" s="13"/>
      <c r="Q793" s="13"/>
      <c r="R793" s="13"/>
      <c r="S793" s="13">
        <v>1.3726851851851851E-2</v>
      </c>
      <c r="T793" s="13">
        <v>3.8194444444444446E-4</v>
      </c>
      <c r="U793" s="13">
        <v>1.3773148148148147E-3</v>
      </c>
      <c r="V793" s="13"/>
      <c r="W793" s="13">
        <v>0.12590277777777778</v>
      </c>
    </row>
    <row r="794" spans="1:23" ht="15" customHeight="1" x14ac:dyDescent="0.25">
      <c r="A794" s="19">
        <v>46244</v>
      </c>
      <c r="B794" s="11" t="s">
        <v>225</v>
      </c>
      <c r="C794" s="12" t="s">
        <v>549</v>
      </c>
      <c r="D794" s="11" t="s">
        <v>601</v>
      </c>
      <c r="E794" s="12" t="s">
        <v>105</v>
      </c>
      <c r="F794" s="12" t="s">
        <v>33</v>
      </c>
      <c r="G794" s="12">
        <v>1</v>
      </c>
      <c r="H794" s="13">
        <v>0.24085648148148148</v>
      </c>
      <c r="I794" s="13">
        <v>3.591435185185185E-2</v>
      </c>
      <c r="J794" s="13">
        <v>3.591435185185185E-2</v>
      </c>
      <c r="K794" s="13">
        <v>0.22340277777777778</v>
      </c>
      <c r="L794" s="14">
        <v>0.92753483901970213</v>
      </c>
      <c r="M794" s="12" t="s">
        <v>334</v>
      </c>
      <c r="N794" s="13">
        <v>3.8078703703703703E-3</v>
      </c>
      <c r="O794" s="13">
        <v>1.3055555555555556E-2</v>
      </c>
      <c r="P794" s="13"/>
      <c r="Q794" s="13"/>
      <c r="R794" s="13"/>
      <c r="S794" s="13">
        <v>1.5034722222222222E-2</v>
      </c>
      <c r="T794" s="13">
        <v>5.6712962962962967E-4</v>
      </c>
      <c r="U794" s="13">
        <v>0.19093750000000001</v>
      </c>
      <c r="V794" s="13"/>
      <c r="W794" s="13"/>
    </row>
    <row r="795" spans="1:23" ht="15" customHeight="1" x14ac:dyDescent="0.25">
      <c r="A795" s="19">
        <v>46244</v>
      </c>
      <c r="B795" s="11" t="s">
        <v>70</v>
      </c>
      <c r="C795" s="12" t="s">
        <v>71</v>
      </c>
      <c r="D795" s="11" t="s">
        <v>78</v>
      </c>
      <c r="E795" s="12" t="s">
        <v>80</v>
      </c>
      <c r="F795" s="12" t="s">
        <v>33</v>
      </c>
      <c r="G795" s="12">
        <v>0</v>
      </c>
      <c r="H795" s="13">
        <v>0.3359375</v>
      </c>
      <c r="I795" s="13">
        <v>0</v>
      </c>
      <c r="J795" s="13">
        <v>0</v>
      </c>
      <c r="K795" s="13">
        <v>6.0636574074074072E-2</v>
      </c>
      <c r="L795" s="14">
        <v>0.18049956933677863</v>
      </c>
      <c r="M795" s="12" t="s">
        <v>334</v>
      </c>
      <c r="N795" s="13"/>
      <c r="O795" s="13">
        <v>4.1585648148148149E-2</v>
      </c>
      <c r="P795" s="13"/>
      <c r="Q795" s="13"/>
      <c r="R795" s="13"/>
      <c r="S795" s="13">
        <v>1.6215277777777776E-2</v>
      </c>
      <c r="T795" s="13">
        <v>2.8356481481481483E-3</v>
      </c>
      <c r="U795" s="13"/>
      <c r="V795" s="13"/>
      <c r="W795" s="13"/>
    </row>
    <row r="796" spans="1:23" ht="15" customHeight="1" x14ac:dyDescent="0.25">
      <c r="A796" s="19">
        <v>46244</v>
      </c>
      <c r="B796" s="11" t="s">
        <v>280</v>
      </c>
      <c r="C796" s="12" t="s">
        <v>534</v>
      </c>
      <c r="D796" s="11" t="s">
        <v>233</v>
      </c>
      <c r="E796" s="12" t="s">
        <v>32</v>
      </c>
      <c r="F796" s="12" t="s">
        <v>106</v>
      </c>
      <c r="G796" s="12">
        <v>3</v>
      </c>
      <c r="H796" s="13">
        <v>4.6759259259259257E-2</v>
      </c>
      <c r="I796" s="13">
        <v>6.2037037037037035E-3</v>
      </c>
      <c r="J796" s="13">
        <v>2.0679012345679012E-3</v>
      </c>
      <c r="K796" s="13">
        <v>5.5439814814814813E-3</v>
      </c>
      <c r="L796" s="14">
        <v>0.11856435643564357</v>
      </c>
      <c r="M796" s="12" t="s">
        <v>334</v>
      </c>
      <c r="N796" s="13">
        <v>1.7824074074074075E-3</v>
      </c>
      <c r="O796" s="13"/>
      <c r="P796" s="13"/>
      <c r="Q796" s="13"/>
      <c r="R796" s="13"/>
      <c r="S796" s="13"/>
      <c r="T796" s="13">
        <v>1.5046296296296297E-4</v>
      </c>
      <c r="U796" s="13"/>
      <c r="V796" s="13"/>
      <c r="W796" s="13">
        <v>3.6111111111111109E-3</v>
      </c>
    </row>
    <row r="797" spans="1:23" ht="15" customHeight="1" x14ac:dyDescent="0.25">
      <c r="A797" s="19">
        <v>46244</v>
      </c>
      <c r="B797" s="11" t="s">
        <v>299</v>
      </c>
      <c r="C797" s="12" t="s">
        <v>571</v>
      </c>
      <c r="D797" s="11" t="s">
        <v>104</v>
      </c>
      <c r="E797" s="12" t="s">
        <v>105</v>
      </c>
      <c r="F797" s="12" t="s">
        <v>106</v>
      </c>
      <c r="G797" s="12">
        <v>8</v>
      </c>
      <c r="H797" s="13">
        <v>0.24892361111111111</v>
      </c>
      <c r="I797" s="13">
        <v>0.19877314814814814</v>
      </c>
      <c r="J797" s="13">
        <v>2.4846643518518518E-2</v>
      </c>
      <c r="K797" s="13">
        <v>0.10586805555555556</v>
      </c>
      <c r="L797" s="14">
        <v>0.4253033895940857</v>
      </c>
      <c r="M797" s="12" t="s">
        <v>334</v>
      </c>
      <c r="N797" s="13">
        <v>2.3842592592592591E-3</v>
      </c>
      <c r="O797" s="13">
        <v>1.4016203703703704E-2</v>
      </c>
      <c r="P797" s="13"/>
      <c r="Q797" s="13"/>
      <c r="R797" s="13"/>
      <c r="S797" s="13">
        <v>1.0543981481481482E-2</v>
      </c>
      <c r="T797" s="13">
        <v>1.7361111111111112E-4</v>
      </c>
      <c r="U797" s="13">
        <v>9.6874999999999999E-3</v>
      </c>
      <c r="V797" s="13"/>
      <c r="W797" s="13">
        <v>6.9050925925925932E-2</v>
      </c>
    </row>
    <row r="798" spans="1:23" ht="15" customHeight="1" x14ac:dyDescent="0.25">
      <c r="A798" s="19">
        <v>46244</v>
      </c>
      <c r="B798" s="11" t="s">
        <v>227</v>
      </c>
      <c r="C798" s="12" t="s">
        <v>557</v>
      </c>
      <c r="D798" s="11" t="s">
        <v>146</v>
      </c>
      <c r="E798" s="12" t="s">
        <v>147</v>
      </c>
      <c r="F798" s="12" t="s">
        <v>106</v>
      </c>
      <c r="G798" s="12">
        <v>14</v>
      </c>
      <c r="H798" s="13">
        <v>0.26619212962962963</v>
      </c>
      <c r="I798" s="13">
        <v>7.4861111111111114E-2</v>
      </c>
      <c r="J798" s="13">
        <v>5.3472222222222228E-3</v>
      </c>
      <c r="K798" s="13">
        <v>5.4178240740740742E-2</v>
      </c>
      <c r="L798" s="14">
        <v>0.20353058828644724</v>
      </c>
      <c r="M798" s="12" t="s">
        <v>334</v>
      </c>
      <c r="N798" s="13">
        <v>4.9421296296296297E-3</v>
      </c>
      <c r="O798" s="13">
        <v>1.3310185185185185E-2</v>
      </c>
      <c r="P798" s="13">
        <v>2.7546296296296294E-3</v>
      </c>
      <c r="Q798" s="13">
        <v>1.6157407407407409E-2</v>
      </c>
      <c r="R798" s="13">
        <v>1.1458333333333333E-3</v>
      </c>
      <c r="S798" s="13">
        <v>1.3310185185185185E-2</v>
      </c>
      <c r="T798" s="13">
        <v>1.0185185185185184E-3</v>
      </c>
      <c r="U798" s="13">
        <v>1.4004629629629629E-3</v>
      </c>
      <c r="V798" s="13"/>
      <c r="W798" s="13"/>
    </row>
    <row r="799" spans="1:23" ht="15" customHeight="1" x14ac:dyDescent="0.25">
      <c r="A799" s="19">
        <v>46244</v>
      </c>
      <c r="B799" s="11" t="s">
        <v>675</v>
      </c>
      <c r="C799" s="12" t="s">
        <v>676</v>
      </c>
      <c r="D799" s="11" t="s">
        <v>104</v>
      </c>
      <c r="E799" s="12" t="s">
        <v>105</v>
      </c>
      <c r="F799" s="12" t="s">
        <v>106</v>
      </c>
      <c r="G799" s="12">
        <v>6</v>
      </c>
      <c r="H799" s="13">
        <v>0.20166666666666666</v>
      </c>
      <c r="I799" s="13">
        <v>0.19896990740740741</v>
      </c>
      <c r="J799" s="13">
        <v>3.31616512345679E-2</v>
      </c>
      <c r="K799" s="13">
        <v>9.3854166666666669E-2</v>
      </c>
      <c r="L799" s="14">
        <v>0.46539256198347112</v>
      </c>
      <c r="M799" s="12" t="s">
        <v>334</v>
      </c>
      <c r="N799" s="13"/>
      <c r="O799" s="13">
        <v>7.2337962962962963E-3</v>
      </c>
      <c r="P799" s="13"/>
      <c r="Q799" s="13"/>
      <c r="R799" s="13"/>
      <c r="S799" s="13">
        <v>1.4004629629629629E-2</v>
      </c>
      <c r="T799" s="13">
        <v>6.5972222222222224E-4</v>
      </c>
      <c r="U799" s="13">
        <v>2.7893518518518519E-3</v>
      </c>
      <c r="V799" s="13"/>
      <c r="W799" s="13">
        <v>6.9166666666666668E-2</v>
      </c>
    </row>
    <row r="800" spans="1:23" ht="15" customHeight="1" x14ac:dyDescent="0.25">
      <c r="A800" s="19">
        <v>46244</v>
      </c>
      <c r="B800" s="11" t="s">
        <v>677</v>
      </c>
      <c r="C800" s="12" t="s">
        <v>678</v>
      </c>
      <c r="D800" s="11" t="s">
        <v>274</v>
      </c>
      <c r="E800" s="12" t="s">
        <v>147</v>
      </c>
      <c r="F800" s="12" t="s">
        <v>33</v>
      </c>
      <c r="G800" s="12">
        <v>18</v>
      </c>
      <c r="H800" s="13">
        <v>0.26354166666666667</v>
      </c>
      <c r="I800" s="13">
        <v>7.8159722222222228E-2</v>
      </c>
      <c r="J800" s="13">
        <v>4.3422067901234575E-3</v>
      </c>
      <c r="K800" s="13">
        <v>3.3599537037037039E-2</v>
      </c>
      <c r="L800" s="14">
        <v>0.12749231444883619</v>
      </c>
      <c r="M800" s="12" t="s">
        <v>334</v>
      </c>
      <c r="N800" s="13"/>
      <c r="O800" s="13">
        <v>1.4618055555555556E-2</v>
      </c>
      <c r="P800" s="13">
        <v>3.0902777777777777E-3</v>
      </c>
      <c r="Q800" s="13"/>
      <c r="R800" s="13"/>
      <c r="S800" s="13">
        <v>1.4027777777777778E-2</v>
      </c>
      <c r="T800" s="13">
        <v>4.1666666666666669E-4</v>
      </c>
      <c r="U800" s="13">
        <v>4.6296296296296294E-5</v>
      </c>
      <c r="V800" s="13"/>
      <c r="W800" s="13">
        <v>1.3888888888888889E-3</v>
      </c>
    </row>
    <row r="801" spans="1:23" ht="15" customHeight="1" x14ac:dyDescent="0.25">
      <c r="A801" s="19">
        <v>46245</v>
      </c>
      <c r="B801" s="11" t="s">
        <v>186</v>
      </c>
      <c r="C801" s="12" t="s">
        <v>562</v>
      </c>
      <c r="D801" s="11" t="s">
        <v>78</v>
      </c>
      <c r="E801" s="12" t="s">
        <v>80</v>
      </c>
      <c r="F801" s="12" t="s">
        <v>33</v>
      </c>
      <c r="G801" s="12">
        <v>1</v>
      </c>
      <c r="H801" s="13">
        <v>0.26798611111111109</v>
      </c>
      <c r="I801" s="13">
        <v>2.0023148148148148E-2</v>
      </c>
      <c r="J801" s="13">
        <v>2.0023148148148148E-2</v>
      </c>
      <c r="K801" s="13">
        <v>4.8240740740740744E-2</v>
      </c>
      <c r="L801" s="14">
        <v>0.18001209294290405</v>
      </c>
      <c r="M801" s="12" t="s">
        <v>334</v>
      </c>
      <c r="N801" s="13">
        <v>1.1886574074074074E-2</v>
      </c>
      <c r="O801" s="13">
        <v>1.6342592592592593E-2</v>
      </c>
      <c r="P801" s="13"/>
      <c r="Q801" s="13"/>
      <c r="R801" s="13"/>
      <c r="S801" s="13">
        <v>1.5613425925925926E-2</v>
      </c>
      <c r="T801" s="13">
        <v>4.3287037037037035E-3</v>
      </c>
      <c r="U801" s="13">
        <v>5.7870370370370373E-5</v>
      </c>
      <c r="V801" s="13"/>
      <c r="W801" s="13"/>
    </row>
    <row r="802" spans="1:23" ht="15" customHeight="1" x14ac:dyDescent="0.25">
      <c r="A802" s="19">
        <v>46245</v>
      </c>
      <c r="B802" s="11" t="s">
        <v>643</v>
      </c>
      <c r="C802" s="12" t="s">
        <v>644</v>
      </c>
      <c r="D802" s="11" t="s">
        <v>233</v>
      </c>
      <c r="E802" s="12" t="s">
        <v>32</v>
      </c>
      <c r="F802" s="12" t="s">
        <v>106</v>
      </c>
      <c r="G802" s="12">
        <v>16</v>
      </c>
      <c r="H802" s="13">
        <v>0.25136574074074075</v>
      </c>
      <c r="I802" s="13">
        <v>0.11626157407407407</v>
      </c>
      <c r="J802" s="13">
        <v>7.2663483796296295E-3</v>
      </c>
      <c r="K802" s="13">
        <v>3.6759259259259262E-2</v>
      </c>
      <c r="L802" s="14">
        <v>0.14623814347545816</v>
      </c>
      <c r="M802" s="12" t="s">
        <v>334</v>
      </c>
      <c r="N802" s="13">
        <v>5.6365740740740742E-3</v>
      </c>
      <c r="O802" s="13">
        <v>1.474537037037037E-2</v>
      </c>
      <c r="P802" s="13"/>
      <c r="Q802" s="13"/>
      <c r="R802" s="13"/>
      <c r="S802" s="13">
        <v>1.3842592592592592E-2</v>
      </c>
      <c r="T802" s="13">
        <v>1.6203703703703703E-4</v>
      </c>
      <c r="U802" s="13">
        <v>2.1990740740740742E-3</v>
      </c>
      <c r="V802" s="13"/>
      <c r="W802" s="13"/>
    </row>
    <row r="803" spans="1:23" ht="15" customHeight="1" x14ac:dyDescent="0.25">
      <c r="A803" s="19">
        <v>46245</v>
      </c>
      <c r="B803" s="11" t="s">
        <v>193</v>
      </c>
      <c r="C803" s="12" t="s">
        <v>563</v>
      </c>
      <c r="D803" s="11" t="s">
        <v>274</v>
      </c>
      <c r="E803" s="12" t="s">
        <v>147</v>
      </c>
      <c r="F803" s="12" t="s">
        <v>33</v>
      </c>
      <c r="G803" s="12">
        <v>19</v>
      </c>
      <c r="H803" s="13">
        <v>0.25124999999999997</v>
      </c>
      <c r="I803" s="13">
        <v>8.6157407407407405E-2</v>
      </c>
      <c r="J803" s="13">
        <v>4.5346003898635474E-3</v>
      </c>
      <c r="K803" s="13">
        <v>4.0914351851851855E-2</v>
      </c>
      <c r="L803" s="14">
        <v>0.16284319145015666</v>
      </c>
      <c r="M803" s="12" t="s">
        <v>334</v>
      </c>
      <c r="N803" s="13"/>
      <c r="O803" s="13">
        <v>7.0023148148148145E-3</v>
      </c>
      <c r="P803" s="13"/>
      <c r="Q803" s="13">
        <v>1.2719907407407407E-2</v>
      </c>
      <c r="R803" s="13">
        <v>6.9212962962962961E-3</v>
      </c>
      <c r="S803" s="13">
        <v>1.3923611111111111E-2</v>
      </c>
      <c r="T803" s="13">
        <v>1.1574074074074075E-4</v>
      </c>
      <c r="U803" s="13">
        <v>2.0833333333333335E-4</v>
      </c>
      <c r="V803" s="13"/>
      <c r="W803" s="13"/>
    </row>
    <row r="804" spans="1:23" ht="15" customHeight="1" x14ac:dyDescent="0.25">
      <c r="A804" s="19">
        <v>46245</v>
      </c>
      <c r="B804" s="11" t="s">
        <v>231</v>
      </c>
      <c r="C804" s="12" t="s">
        <v>525</v>
      </c>
      <c r="D804" s="11" t="s">
        <v>233</v>
      </c>
      <c r="E804" s="12" t="s">
        <v>32</v>
      </c>
      <c r="F804" s="12" t="s">
        <v>106</v>
      </c>
      <c r="G804" s="12">
        <v>27</v>
      </c>
      <c r="H804" s="13">
        <v>0.25710648148148146</v>
      </c>
      <c r="I804" s="13">
        <v>0.12085648148148148</v>
      </c>
      <c r="J804" s="13">
        <v>4.4761659807956104E-3</v>
      </c>
      <c r="K804" s="13">
        <v>2.9791666666666668E-2</v>
      </c>
      <c r="L804" s="14">
        <v>0.11587287296299632</v>
      </c>
      <c r="M804" s="12" t="s">
        <v>334</v>
      </c>
      <c r="N804" s="13"/>
      <c r="O804" s="13">
        <v>1.2812499999999999E-2</v>
      </c>
      <c r="P804" s="13"/>
      <c r="Q804" s="13"/>
      <c r="R804" s="13"/>
      <c r="S804" s="13">
        <v>1.4027777777777778E-2</v>
      </c>
      <c r="T804" s="13">
        <v>2.685185185185185E-3</v>
      </c>
      <c r="U804" s="13">
        <v>2.6620370370370372E-4</v>
      </c>
      <c r="V804" s="13"/>
      <c r="W804" s="13"/>
    </row>
    <row r="805" spans="1:23" ht="15" customHeight="1" x14ac:dyDescent="0.25">
      <c r="A805" s="19">
        <v>46245</v>
      </c>
      <c r="B805" s="11" t="s">
        <v>148</v>
      </c>
      <c r="C805" s="12" t="s">
        <v>513</v>
      </c>
      <c r="D805" s="11" t="s">
        <v>104</v>
      </c>
      <c r="E805" s="12" t="s">
        <v>105</v>
      </c>
      <c r="F805" s="12" t="s">
        <v>106</v>
      </c>
      <c r="G805" s="12">
        <v>5</v>
      </c>
      <c r="H805" s="13">
        <v>0.23407407407407407</v>
      </c>
      <c r="I805" s="13">
        <v>7.8981481481481486E-2</v>
      </c>
      <c r="J805" s="13">
        <v>1.5796296296296298E-2</v>
      </c>
      <c r="K805" s="13">
        <v>0.13819444444444445</v>
      </c>
      <c r="L805" s="14">
        <v>0.59038765822784811</v>
      </c>
      <c r="M805" s="12" t="s">
        <v>334</v>
      </c>
      <c r="N805" s="13">
        <v>1.5150462962962963E-2</v>
      </c>
      <c r="O805" s="13">
        <v>1.4988425925925926E-2</v>
      </c>
      <c r="P805" s="13"/>
      <c r="Q805" s="13"/>
      <c r="R805" s="13"/>
      <c r="S805" s="13">
        <v>7.9398148148148145E-3</v>
      </c>
      <c r="T805" s="13">
        <v>1.2592592592592593E-2</v>
      </c>
      <c r="U805" s="13">
        <v>4.5138888888888887E-4</v>
      </c>
      <c r="V805" s="13"/>
      <c r="W805" s="13">
        <v>8.7071759259259265E-2</v>
      </c>
    </row>
    <row r="806" spans="1:23" ht="15" customHeight="1" x14ac:dyDescent="0.25">
      <c r="A806" s="19">
        <v>46245</v>
      </c>
      <c r="B806" s="11" t="s">
        <v>82</v>
      </c>
      <c r="C806" s="12" t="s">
        <v>83</v>
      </c>
      <c r="D806" s="11" t="s">
        <v>78</v>
      </c>
      <c r="E806" s="12" t="s">
        <v>80</v>
      </c>
      <c r="F806" s="12" t="s">
        <v>81</v>
      </c>
      <c r="G806" s="12">
        <v>0</v>
      </c>
      <c r="H806" s="13">
        <v>0.22681712962962963</v>
      </c>
      <c r="I806" s="13">
        <v>0</v>
      </c>
      <c r="J806" s="13">
        <v>0</v>
      </c>
      <c r="K806" s="13">
        <v>0.14959490740740741</v>
      </c>
      <c r="L806" s="14">
        <v>0.65953972546818396</v>
      </c>
      <c r="M806" s="12" t="s">
        <v>334</v>
      </c>
      <c r="N806" s="13"/>
      <c r="O806" s="13"/>
      <c r="P806" s="13"/>
      <c r="Q806" s="13"/>
      <c r="R806" s="13">
        <v>0.14959490740740741</v>
      </c>
      <c r="S806" s="13"/>
      <c r="T806" s="13"/>
      <c r="U806" s="13"/>
      <c r="V806" s="13"/>
      <c r="W806" s="13"/>
    </row>
    <row r="807" spans="1:23" ht="15" customHeight="1" x14ac:dyDescent="0.25">
      <c r="A807" s="19">
        <v>46245</v>
      </c>
      <c r="B807" s="11" t="s">
        <v>234</v>
      </c>
      <c r="C807" s="12" t="s">
        <v>550</v>
      </c>
      <c r="D807" s="11" t="s">
        <v>233</v>
      </c>
      <c r="E807" s="12" t="s">
        <v>32</v>
      </c>
      <c r="F807" s="12" t="s">
        <v>106</v>
      </c>
      <c r="G807" s="12">
        <v>36</v>
      </c>
      <c r="H807" s="13">
        <v>0.26188657407407406</v>
      </c>
      <c r="I807" s="13">
        <v>9.2824074074074073E-2</v>
      </c>
      <c r="J807" s="13">
        <v>2.5784465020576132E-3</v>
      </c>
      <c r="K807" s="13">
        <v>3.6620370370370373E-2</v>
      </c>
      <c r="L807" s="14">
        <v>0.13983294294427012</v>
      </c>
      <c r="M807" s="12" t="s">
        <v>334</v>
      </c>
      <c r="N807" s="13">
        <v>5.9490740740740745E-3</v>
      </c>
      <c r="O807" s="13">
        <v>1.4050925925925927E-2</v>
      </c>
      <c r="P807" s="13"/>
      <c r="Q807" s="13">
        <v>3.4722222222222222E-5</v>
      </c>
      <c r="R807" s="13"/>
      <c r="S807" s="13">
        <v>1.2951388888888889E-2</v>
      </c>
      <c r="T807" s="13">
        <v>3.2523148148148147E-3</v>
      </c>
      <c r="U807" s="13">
        <v>3.7037037037037035E-4</v>
      </c>
      <c r="V807" s="13"/>
      <c r="W807" s="13"/>
    </row>
    <row r="808" spans="1:23" ht="15" customHeight="1" x14ac:dyDescent="0.25">
      <c r="A808" s="19">
        <v>46245</v>
      </c>
      <c r="B808" s="11" t="s">
        <v>34</v>
      </c>
      <c r="C808" s="12" t="s">
        <v>505</v>
      </c>
      <c r="D808" s="11" t="s">
        <v>233</v>
      </c>
      <c r="E808" s="12" t="s">
        <v>32</v>
      </c>
      <c r="F808" s="12" t="s">
        <v>106</v>
      </c>
      <c r="G808" s="12">
        <v>32</v>
      </c>
      <c r="H808" s="13">
        <v>0.26040509259259259</v>
      </c>
      <c r="I808" s="13">
        <v>0.10459490740740741</v>
      </c>
      <c r="J808" s="13">
        <v>3.2685908564814817E-3</v>
      </c>
      <c r="K808" s="13">
        <v>3.215277777777778E-2</v>
      </c>
      <c r="L808" s="14">
        <v>0.12347215431796969</v>
      </c>
      <c r="M808" s="12" t="s">
        <v>334</v>
      </c>
      <c r="N808" s="13">
        <v>4.7106481481481478E-3</v>
      </c>
      <c r="O808" s="13">
        <v>1.3553240740740741E-2</v>
      </c>
      <c r="P808" s="13"/>
      <c r="Q808" s="13"/>
      <c r="R808" s="13"/>
      <c r="S808" s="13">
        <v>1.2847222222222222E-2</v>
      </c>
      <c r="T808" s="13">
        <v>6.9444444444444444E-5</v>
      </c>
      <c r="U808" s="13">
        <v>9.7222222222222219E-4</v>
      </c>
      <c r="V808" s="13"/>
      <c r="W808" s="13"/>
    </row>
    <row r="809" spans="1:23" ht="15" customHeight="1" x14ac:dyDescent="0.25">
      <c r="A809" s="19">
        <v>46245</v>
      </c>
      <c r="B809" s="11" t="s">
        <v>493</v>
      </c>
      <c r="C809" s="12" t="s">
        <v>569</v>
      </c>
      <c r="D809" s="11" t="s">
        <v>104</v>
      </c>
      <c r="E809" s="12" t="s">
        <v>105</v>
      </c>
      <c r="F809" s="12" t="s">
        <v>106</v>
      </c>
      <c r="G809" s="12">
        <v>7</v>
      </c>
      <c r="H809" s="13">
        <v>0.23118055555555556</v>
      </c>
      <c r="I809" s="13">
        <v>9.7766203703703702E-2</v>
      </c>
      <c r="J809" s="13">
        <v>1.3966600529100528E-2</v>
      </c>
      <c r="K809" s="13">
        <v>0.13428240740740741</v>
      </c>
      <c r="L809" s="14">
        <v>0.5808551116451387</v>
      </c>
      <c r="M809" s="12" t="s">
        <v>334</v>
      </c>
      <c r="N809" s="13">
        <v>6.851851851851852E-3</v>
      </c>
      <c r="O809" s="13">
        <v>9.9652777777777778E-3</v>
      </c>
      <c r="P809" s="13">
        <v>4.3090277777777776E-2</v>
      </c>
      <c r="Q809" s="13"/>
      <c r="R809" s="13"/>
      <c r="S809" s="13">
        <v>3.7384259259259259E-3</v>
      </c>
      <c r="T809" s="13">
        <v>4.7453703703703704E-4</v>
      </c>
      <c r="U809" s="13">
        <v>2.0833333333333335E-4</v>
      </c>
      <c r="V809" s="13"/>
      <c r="W809" s="13">
        <v>6.9953703703703699E-2</v>
      </c>
    </row>
    <row r="810" spans="1:23" ht="15" customHeight="1" x14ac:dyDescent="0.25">
      <c r="A810" s="19">
        <v>46245</v>
      </c>
      <c r="B810" s="11" t="s">
        <v>238</v>
      </c>
      <c r="C810" s="12" t="s">
        <v>526</v>
      </c>
      <c r="D810" s="11" t="s">
        <v>233</v>
      </c>
      <c r="E810" s="12" t="s">
        <v>32</v>
      </c>
      <c r="F810" s="12" t="s">
        <v>106</v>
      </c>
      <c r="G810" s="12">
        <v>0</v>
      </c>
      <c r="H810" s="13">
        <v>0.25001157407407409</v>
      </c>
      <c r="I810" s="13">
        <v>0</v>
      </c>
      <c r="J810" s="13">
        <v>0</v>
      </c>
      <c r="K810" s="13">
        <v>0.24997685185185184</v>
      </c>
      <c r="L810" s="14">
        <v>0.99986111754085449</v>
      </c>
      <c r="M810" s="12" t="s">
        <v>334</v>
      </c>
      <c r="N810" s="13"/>
      <c r="O810" s="13">
        <v>6.7129629629629631E-3</v>
      </c>
      <c r="P810" s="13"/>
      <c r="Q810" s="13"/>
      <c r="R810" s="13"/>
      <c r="S810" s="13">
        <v>1.0069444444444445E-2</v>
      </c>
      <c r="T810" s="13">
        <v>5.3240740740740744E-4</v>
      </c>
      <c r="U810" s="13"/>
      <c r="V810" s="13"/>
      <c r="W810" s="13">
        <v>0.23266203703703703</v>
      </c>
    </row>
    <row r="811" spans="1:23" ht="15" customHeight="1" x14ac:dyDescent="0.25">
      <c r="A811" s="19">
        <v>46245</v>
      </c>
      <c r="B811" s="11" t="s">
        <v>608</v>
      </c>
      <c r="C811" s="12" t="s">
        <v>631</v>
      </c>
      <c r="D811" s="11" t="s">
        <v>601</v>
      </c>
      <c r="E811" s="12" t="s">
        <v>105</v>
      </c>
      <c r="F811" s="12" t="s">
        <v>33</v>
      </c>
      <c r="G811" s="12">
        <v>4</v>
      </c>
      <c r="H811" s="13">
        <v>0.23406250000000001</v>
      </c>
      <c r="I811" s="13">
        <v>7.8414351851851846E-2</v>
      </c>
      <c r="J811" s="13">
        <v>1.9603587962962962E-2</v>
      </c>
      <c r="K811" s="13">
        <v>0.20949074074074073</v>
      </c>
      <c r="L811" s="14">
        <v>0.89502052118874542</v>
      </c>
      <c r="M811" s="12" t="s">
        <v>334</v>
      </c>
      <c r="N811" s="13"/>
      <c r="O811" s="13">
        <v>1.3969907407407407E-2</v>
      </c>
      <c r="P811" s="13"/>
      <c r="Q811" s="13"/>
      <c r="R811" s="13"/>
      <c r="S811" s="13">
        <v>1.425925925925926E-2</v>
      </c>
      <c r="T811" s="13">
        <v>1.3078703703703703E-3</v>
      </c>
      <c r="U811" s="13">
        <v>0.1799537037037037</v>
      </c>
      <c r="V811" s="13"/>
      <c r="W811" s="13"/>
    </row>
    <row r="812" spans="1:23" ht="15" customHeight="1" x14ac:dyDescent="0.25">
      <c r="A812" s="19">
        <v>46245</v>
      </c>
      <c r="B812" s="11" t="s">
        <v>307</v>
      </c>
      <c r="C812" s="12" t="s">
        <v>308</v>
      </c>
      <c r="D812" s="11" t="s">
        <v>78</v>
      </c>
      <c r="E812" s="12" t="s">
        <v>80</v>
      </c>
      <c r="F812" s="12" t="s">
        <v>81</v>
      </c>
      <c r="G812" s="12">
        <v>0</v>
      </c>
      <c r="H812" s="13">
        <v>0.3591435185185185</v>
      </c>
      <c r="I812" s="13">
        <v>0</v>
      </c>
      <c r="J812" s="13">
        <v>0</v>
      </c>
      <c r="K812" s="13">
        <v>1.6180555555555556E-2</v>
      </c>
      <c r="L812" s="14">
        <v>4.5053174347405738E-2</v>
      </c>
      <c r="M812" s="12" t="s">
        <v>334</v>
      </c>
      <c r="N812" s="13"/>
      <c r="O812" s="13"/>
      <c r="P812" s="13"/>
      <c r="Q812" s="13"/>
      <c r="R812" s="13">
        <v>5.6365740740740742E-3</v>
      </c>
      <c r="S812" s="13">
        <v>6.9675925925925929E-3</v>
      </c>
      <c r="T812" s="13">
        <v>1.6203703703703703E-3</v>
      </c>
      <c r="U812" s="13">
        <v>1.7708333333333332E-3</v>
      </c>
      <c r="V812" s="13"/>
      <c r="W812" s="13"/>
    </row>
    <row r="813" spans="1:23" ht="15" customHeight="1" x14ac:dyDescent="0.25">
      <c r="A813" s="19">
        <v>46245</v>
      </c>
      <c r="B813" s="11" t="s">
        <v>197</v>
      </c>
      <c r="C813" s="12" t="s">
        <v>564</v>
      </c>
      <c r="D813" s="11" t="s">
        <v>601</v>
      </c>
      <c r="E813" s="12" t="s">
        <v>105</v>
      </c>
      <c r="F813" s="12" t="s">
        <v>33</v>
      </c>
      <c r="G813" s="12">
        <v>2</v>
      </c>
      <c r="H813" s="13">
        <v>0.17856481481481482</v>
      </c>
      <c r="I813" s="13">
        <v>5.8067129629629628E-2</v>
      </c>
      <c r="J813" s="13">
        <v>2.9033564814814814E-2</v>
      </c>
      <c r="K813" s="13">
        <v>0.15525462962962963</v>
      </c>
      <c r="L813" s="14">
        <v>0.86945812807881773</v>
      </c>
      <c r="M813" s="12" t="s">
        <v>334</v>
      </c>
      <c r="N813" s="13"/>
      <c r="O813" s="13">
        <v>1.5891203703703703E-2</v>
      </c>
      <c r="P813" s="13"/>
      <c r="Q813" s="13"/>
      <c r="R813" s="13"/>
      <c r="S813" s="13">
        <v>1.4872685185185185E-2</v>
      </c>
      <c r="T813" s="13">
        <v>7.4305555555555557E-3</v>
      </c>
      <c r="U813" s="13">
        <v>0.11706018518518518</v>
      </c>
      <c r="V813" s="13"/>
      <c r="W813" s="13"/>
    </row>
    <row r="814" spans="1:23" ht="15" customHeight="1" x14ac:dyDescent="0.25">
      <c r="A814" s="19">
        <v>46245</v>
      </c>
      <c r="B814" s="11" t="s">
        <v>150</v>
      </c>
      <c r="C814" s="12" t="s">
        <v>514</v>
      </c>
      <c r="D814" s="11" t="s">
        <v>146</v>
      </c>
      <c r="E814" s="12" t="s">
        <v>147</v>
      </c>
      <c r="F814" s="12" t="s">
        <v>106</v>
      </c>
      <c r="G814" s="12">
        <v>18</v>
      </c>
      <c r="H814" s="13">
        <v>0.26234953703703706</v>
      </c>
      <c r="I814" s="13">
        <v>4.0706018518518516E-2</v>
      </c>
      <c r="J814" s="13">
        <v>2.2614454732510286E-3</v>
      </c>
      <c r="K814" s="13">
        <v>3.1435185185185184E-2</v>
      </c>
      <c r="L814" s="14">
        <v>0.11982176732695106</v>
      </c>
      <c r="M814" s="12" t="s">
        <v>334</v>
      </c>
      <c r="N814" s="13"/>
      <c r="O814" s="13">
        <v>1.4074074074074074E-2</v>
      </c>
      <c r="P814" s="13"/>
      <c r="Q814" s="13">
        <v>3.0555555555555557E-3</v>
      </c>
      <c r="R814" s="13"/>
      <c r="S814" s="13">
        <v>1.4236111111111111E-2</v>
      </c>
      <c r="T814" s="13">
        <v>6.9444444444444444E-5</v>
      </c>
      <c r="U814" s="13"/>
      <c r="V814" s="13"/>
      <c r="W814" s="13"/>
    </row>
    <row r="815" spans="1:23" ht="15" customHeight="1" x14ac:dyDescent="0.25">
      <c r="A815" s="19">
        <v>46245</v>
      </c>
      <c r="B815" s="11" t="s">
        <v>681</v>
      </c>
      <c r="C815" s="12" t="s">
        <v>682</v>
      </c>
      <c r="D815" s="11" t="s">
        <v>601</v>
      </c>
      <c r="E815" s="12" t="s">
        <v>105</v>
      </c>
      <c r="F815" s="12" t="s">
        <v>33</v>
      </c>
      <c r="G815" s="12">
        <v>3</v>
      </c>
      <c r="H815" s="13">
        <v>0.23373842592592592</v>
      </c>
      <c r="I815" s="13">
        <v>0.1257175925925926</v>
      </c>
      <c r="J815" s="13">
        <v>4.1905864197530868E-2</v>
      </c>
      <c r="K815" s="13">
        <v>0.14782407407407408</v>
      </c>
      <c r="L815" s="14">
        <v>0.63243377073533058</v>
      </c>
      <c r="M815" s="12" t="s">
        <v>334</v>
      </c>
      <c r="N815" s="13">
        <v>5.324074074074074E-3</v>
      </c>
      <c r="O815" s="13">
        <v>1.5613425925925926E-2</v>
      </c>
      <c r="P815" s="13"/>
      <c r="Q815" s="13"/>
      <c r="R815" s="13"/>
      <c r="S815" s="13">
        <v>1.3229166666666667E-2</v>
      </c>
      <c r="T815" s="13">
        <v>7.6388888888888893E-4</v>
      </c>
      <c r="U815" s="13">
        <v>0.11289351851851852</v>
      </c>
      <c r="V815" s="13"/>
      <c r="W815" s="13"/>
    </row>
    <row r="816" spans="1:23" ht="15" customHeight="1" x14ac:dyDescent="0.25">
      <c r="A816" s="19">
        <v>46245</v>
      </c>
      <c r="B816" s="11" t="s">
        <v>154</v>
      </c>
      <c r="C816" s="12" t="s">
        <v>515</v>
      </c>
      <c r="D816" s="11" t="s">
        <v>146</v>
      </c>
      <c r="E816" s="12" t="s">
        <v>147</v>
      </c>
      <c r="F816" s="12" t="s">
        <v>106</v>
      </c>
      <c r="G816" s="12">
        <v>14</v>
      </c>
      <c r="H816" s="13">
        <v>0.26498842592592592</v>
      </c>
      <c r="I816" s="13">
        <v>3.125E-2</v>
      </c>
      <c r="J816" s="13">
        <v>2.232142857142857E-3</v>
      </c>
      <c r="K816" s="13">
        <v>2.7569444444444445E-2</v>
      </c>
      <c r="L816" s="14">
        <v>0.10404018344616729</v>
      </c>
      <c r="M816" s="12" t="s">
        <v>334</v>
      </c>
      <c r="N816" s="13">
        <v>3.9351851851851848E-3</v>
      </c>
      <c r="O816" s="13">
        <v>8.8773148148148153E-3</v>
      </c>
      <c r="P816" s="13"/>
      <c r="Q816" s="13"/>
      <c r="R816" s="13"/>
      <c r="S816" s="13">
        <v>1.3946759259259259E-2</v>
      </c>
      <c r="T816" s="13">
        <v>1.9675925925925926E-4</v>
      </c>
      <c r="U816" s="13">
        <v>6.018518518518519E-4</v>
      </c>
      <c r="V816" s="13"/>
      <c r="W816" s="13"/>
    </row>
    <row r="817" spans="1:23" ht="15" customHeight="1" x14ac:dyDescent="0.25">
      <c r="A817" s="19">
        <v>46245</v>
      </c>
      <c r="B817" s="11" t="s">
        <v>112</v>
      </c>
      <c r="C817" s="12" t="s">
        <v>570</v>
      </c>
      <c r="D817" s="11" t="s">
        <v>104</v>
      </c>
      <c r="E817" s="12" t="s">
        <v>105</v>
      </c>
      <c r="F817" s="12" t="s">
        <v>106</v>
      </c>
      <c r="G817" s="12">
        <v>5</v>
      </c>
      <c r="H817" s="13">
        <v>0.23469907407407409</v>
      </c>
      <c r="I817" s="13">
        <v>9.8460648148148144E-2</v>
      </c>
      <c r="J817" s="13">
        <v>1.9692129629629629E-2</v>
      </c>
      <c r="K817" s="13">
        <v>0.14082175925925927</v>
      </c>
      <c r="L817" s="14">
        <v>0.60000986290561198</v>
      </c>
      <c r="M817" s="12" t="s">
        <v>334</v>
      </c>
      <c r="N817" s="13">
        <v>1.7361111111111112E-2</v>
      </c>
      <c r="O817" s="13">
        <v>2.4594907407407409E-2</v>
      </c>
      <c r="P817" s="13"/>
      <c r="Q817" s="13"/>
      <c r="R817" s="13"/>
      <c r="S817" s="13">
        <v>4.6296296296296294E-3</v>
      </c>
      <c r="T817" s="13">
        <v>1.7939814814814815E-2</v>
      </c>
      <c r="U817" s="13">
        <v>3.3831018518518517E-2</v>
      </c>
      <c r="V817" s="13"/>
      <c r="W817" s="13">
        <v>4.2453703703703702E-2</v>
      </c>
    </row>
    <row r="818" spans="1:23" ht="15" customHeight="1" x14ac:dyDescent="0.25">
      <c r="A818" s="19">
        <v>46245</v>
      </c>
      <c r="B818" s="11" t="s">
        <v>42</v>
      </c>
      <c r="C818" s="12" t="s">
        <v>537</v>
      </c>
      <c r="D818" s="11" t="s">
        <v>104</v>
      </c>
      <c r="E818" s="12" t="s">
        <v>105</v>
      </c>
      <c r="F818" s="12" t="s">
        <v>106</v>
      </c>
      <c r="G818" s="12">
        <v>9</v>
      </c>
      <c r="H818" s="13">
        <v>0.23618055555555556</v>
      </c>
      <c r="I818" s="13">
        <v>0.1228125</v>
      </c>
      <c r="J818" s="13">
        <v>1.3645833333333334E-2</v>
      </c>
      <c r="K818" s="13">
        <v>0.17106481481481481</v>
      </c>
      <c r="L818" s="14">
        <v>0.72429677545819848</v>
      </c>
      <c r="M818" s="12" t="s">
        <v>334</v>
      </c>
      <c r="N818" s="13">
        <v>3.9236111111111112E-3</v>
      </c>
      <c r="O818" s="13">
        <v>1.457175925925926E-2</v>
      </c>
      <c r="P818" s="13"/>
      <c r="Q818" s="13"/>
      <c r="R818" s="13"/>
      <c r="S818" s="13">
        <v>1.4085648148148147E-2</v>
      </c>
      <c r="T818" s="13">
        <v>4.2824074074074075E-4</v>
      </c>
      <c r="U818" s="13">
        <v>7.0601851851851847E-4</v>
      </c>
      <c r="V818" s="13"/>
      <c r="W818" s="13">
        <v>0.13733796296296297</v>
      </c>
    </row>
    <row r="819" spans="1:23" ht="15" customHeight="1" x14ac:dyDescent="0.25">
      <c r="A819" s="19">
        <v>46245</v>
      </c>
      <c r="B819" s="11" t="s">
        <v>156</v>
      </c>
      <c r="C819" s="12" t="s">
        <v>516</v>
      </c>
      <c r="D819" s="11" t="s">
        <v>146</v>
      </c>
      <c r="E819" s="12" t="s">
        <v>147</v>
      </c>
      <c r="F819" s="12" t="s">
        <v>106</v>
      </c>
      <c r="G819" s="12">
        <v>12</v>
      </c>
      <c r="H819" s="13">
        <v>0.27025462962962965</v>
      </c>
      <c r="I819" s="13">
        <v>3.3252314814814818E-2</v>
      </c>
      <c r="J819" s="13">
        <v>2.7710262345679013E-3</v>
      </c>
      <c r="K819" s="13">
        <v>4.2696759259259261E-2</v>
      </c>
      <c r="L819" s="14">
        <v>0.15798715203426122</v>
      </c>
      <c r="M819" s="12" t="s">
        <v>334</v>
      </c>
      <c r="N819" s="13"/>
      <c r="O819" s="13">
        <v>6.9560185185185185E-3</v>
      </c>
      <c r="P819" s="13"/>
      <c r="Q819" s="13">
        <v>1.8148148148148149E-2</v>
      </c>
      <c r="R819" s="13"/>
      <c r="S819" s="13">
        <v>1.380787037037037E-2</v>
      </c>
      <c r="T819" s="13">
        <v>3.7847222222222223E-3</v>
      </c>
      <c r="U819" s="13"/>
      <c r="V819" s="13"/>
      <c r="W819" s="13"/>
    </row>
    <row r="820" spans="1:23" ht="15" customHeight="1" x14ac:dyDescent="0.25">
      <c r="A820" s="19">
        <v>46245</v>
      </c>
      <c r="B820" s="11" t="s">
        <v>114</v>
      </c>
      <c r="C820" s="12" t="s">
        <v>541</v>
      </c>
      <c r="D820" s="11" t="s">
        <v>104</v>
      </c>
      <c r="E820" s="12" t="s">
        <v>105</v>
      </c>
      <c r="F820" s="12" t="s">
        <v>106</v>
      </c>
      <c r="G820" s="12">
        <v>6</v>
      </c>
      <c r="H820" s="13">
        <v>0.2492476851851852</v>
      </c>
      <c r="I820" s="13">
        <v>0.10204861111111112</v>
      </c>
      <c r="J820" s="13">
        <v>1.7008101851851854E-2</v>
      </c>
      <c r="K820" s="13">
        <v>0.17921296296296296</v>
      </c>
      <c r="L820" s="14">
        <v>0.71901555607151146</v>
      </c>
      <c r="M820" s="12" t="s">
        <v>334</v>
      </c>
      <c r="N820" s="13">
        <v>3.5763888888888889E-3</v>
      </c>
      <c r="O820" s="13">
        <v>1.3842592592592592E-2</v>
      </c>
      <c r="P820" s="13"/>
      <c r="Q820" s="13"/>
      <c r="R820" s="13"/>
      <c r="S820" s="13">
        <v>1.712962962962963E-2</v>
      </c>
      <c r="T820" s="13">
        <v>2.8506944444444446E-2</v>
      </c>
      <c r="U820" s="13"/>
      <c r="V820" s="13"/>
      <c r="W820" s="13">
        <v>0.1161574074074074</v>
      </c>
    </row>
    <row r="821" spans="1:23" ht="15" customHeight="1" x14ac:dyDescent="0.25">
      <c r="A821" s="19">
        <v>46245</v>
      </c>
      <c r="B821" s="11" t="s">
        <v>44</v>
      </c>
      <c r="C821" s="12" t="s">
        <v>506</v>
      </c>
      <c r="D821" s="11" t="s">
        <v>100</v>
      </c>
      <c r="E821" s="12" t="s">
        <v>32</v>
      </c>
      <c r="F821" s="12" t="s">
        <v>33</v>
      </c>
      <c r="G821" s="12">
        <v>29</v>
      </c>
      <c r="H821" s="13">
        <v>0.25689814814814815</v>
      </c>
      <c r="I821" s="13">
        <v>0.17787037037037037</v>
      </c>
      <c r="J821" s="13">
        <v>6.1334610472541509E-3</v>
      </c>
      <c r="K821" s="13">
        <v>4.4259259259259262E-2</v>
      </c>
      <c r="L821" s="14">
        <v>0.17228329428725897</v>
      </c>
      <c r="M821" s="12" t="s">
        <v>334</v>
      </c>
      <c r="N821" s="13">
        <v>1.8402777777777777E-3</v>
      </c>
      <c r="O821" s="13">
        <v>1.5300925925925926E-2</v>
      </c>
      <c r="P821" s="13"/>
      <c r="Q821" s="13"/>
      <c r="R821" s="13">
        <v>2.488425925925926E-3</v>
      </c>
      <c r="S821" s="13">
        <v>1.4479166666666666E-2</v>
      </c>
      <c r="T821" s="13">
        <v>9.4907407407407408E-4</v>
      </c>
      <c r="U821" s="13">
        <v>6.3888888888888893E-3</v>
      </c>
      <c r="V821" s="13"/>
      <c r="W821" s="13">
        <v>2.7777777777777779E-3</v>
      </c>
    </row>
    <row r="822" spans="1:23" ht="15" customHeight="1" x14ac:dyDescent="0.25">
      <c r="A822" s="19">
        <v>46245</v>
      </c>
      <c r="B822" s="11" t="s">
        <v>609</v>
      </c>
      <c r="C822" s="12" t="s">
        <v>632</v>
      </c>
      <c r="D822" s="11" t="s">
        <v>601</v>
      </c>
      <c r="E822" s="12" t="s">
        <v>105</v>
      </c>
      <c r="F822" s="12" t="s">
        <v>33</v>
      </c>
      <c r="G822" s="12">
        <v>2</v>
      </c>
      <c r="H822" s="13">
        <v>0.21865740740740741</v>
      </c>
      <c r="I822" s="13">
        <v>6.8831018518518514E-2</v>
      </c>
      <c r="J822" s="13">
        <v>3.4415509259259257E-2</v>
      </c>
      <c r="K822" s="13">
        <v>0.18550925925925926</v>
      </c>
      <c r="L822" s="14">
        <v>0.84840143976286264</v>
      </c>
      <c r="M822" s="12" t="s">
        <v>334</v>
      </c>
      <c r="N822" s="13">
        <v>3.0243055555555554E-2</v>
      </c>
      <c r="O822" s="13">
        <v>1.5428240740740741E-2</v>
      </c>
      <c r="P822" s="13"/>
      <c r="Q822" s="13">
        <v>4.5138888888888887E-4</v>
      </c>
      <c r="R822" s="13"/>
      <c r="S822" s="13">
        <v>1.4444444444444444E-2</v>
      </c>
      <c r="T822" s="13">
        <v>3.8194444444444446E-4</v>
      </c>
      <c r="U822" s="13">
        <v>0.12456018518518519</v>
      </c>
      <c r="V822" s="13"/>
      <c r="W822" s="13"/>
    </row>
    <row r="823" spans="1:23" ht="15" customHeight="1" x14ac:dyDescent="0.25">
      <c r="A823" s="19">
        <v>46245</v>
      </c>
      <c r="B823" s="11" t="s">
        <v>240</v>
      </c>
      <c r="C823" s="12" t="s">
        <v>527</v>
      </c>
      <c r="D823" s="11" t="s">
        <v>233</v>
      </c>
      <c r="E823" s="12" t="s">
        <v>32</v>
      </c>
      <c r="F823" s="12" t="s">
        <v>106</v>
      </c>
      <c r="G823" s="12">
        <v>0</v>
      </c>
      <c r="H823" s="13">
        <v>0.21399305555555556</v>
      </c>
      <c r="I823" s="13">
        <v>0</v>
      </c>
      <c r="J823" s="13">
        <v>0</v>
      </c>
      <c r="K823" s="13">
        <v>0.21399305555555556</v>
      </c>
      <c r="L823" s="14">
        <v>1</v>
      </c>
      <c r="M823" s="12" t="s">
        <v>334</v>
      </c>
      <c r="N823" s="13">
        <v>1.7569444444444443E-2</v>
      </c>
      <c r="O823" s="13">
        <v>1.3402777777777777E-2</v>
      </c>
      <c r="P823" s="13"/>
      <c r="Q823" s="13"/>
      <c r="R823" s="13"/>
      <c r="S823" s="13">
        <v>2.7314814814814814E-3</v>
      </c>
      <c r="T823" s="13">
        <v>6.9444444444444447E-4</v>
      </c>
      <c r="U823" s="13"/>
      <c r="V823" s="13"/>
      <c r="W823" s="13">
        <v>0.17959490740740741</v>
      </c>
    </row>
    <row r="824" spans="1:23" ht="15" customHeight="1" x14ac:dyDescent="0.25">
      <c r="A824" s="19">
        <v>46245</v>
      </c>
      <c r="B824" s="11" t="s">
        <v>497</v>
      </c>
      <c r="C824" s="12" t="s">
        <v>498</v>
      </c>
      <c r="D824" s="11" t="s">
        <v>78</v>
      </c>
      <c r="E824" s="12" t="s">
        <v>80</v>
      </c>
      <c r="F824" s="12" t="s">
        <v>81</v>
      </c>
      <c r="G824" s="12">
        <v>1</v>
      </c>
      <c r="H824" s="13">
        <v>0.34302083333333333</v>
      </c>
      <c r="I824" s="13">
        <v>1.0185185185185184E-3</v>
      </c>
      <c r="J824" s="13">
        <v>1.0185185185185184E-3</v>
      </c>
      <c r="K824" s="13">
        <v>6.1701388888888889E-2</v>
      </c>
      <c r="L824" s="14">
        <v>0.17987650571920236</v>
      </c>
      <c r="M824" s="12" t="s">
        <v>334</v>
      </c>
      <c r="N824" s="13">
        <v>4.3981481481481484E-3</v>
      </c>
      <c r="O824" s="13">
        <v>1.4409722222222223E-2</v>
      </c>
      <c r="P824" s="13"/>
      <c r="Q824" s="13"/>
      <c r="R824" s="13"/>
      <c r="S824" s="13">
        <v>4.1296296296296296E-2</v>
      </c>
      <c r="T824" s="13">
        <v>1.5277777777777779E-3</v>
      </c>
      <c r="U824" s="13"/>
      <c r="V824" s="13"/>
      <c r="W824" s="13"/>
    </row>
    <row r="825" spans="1:23" ht="15" customHeight="1" x14ac:dyDescent="0.25">
      <c r="A825" s="19">
        <v>46245</v>
      </c>
      <c r="B825" s="11" t="s">
        <v>309</v>
      </c>
      <c r="C825" s="12" t="s">
        <v>310</v>
      </c>
      <c r="D825" s="11" t="s">
        <v>78</v>
      </c>
      <c r="E825" s="12" t="s">
        <v>80</v>
      </c>
      <c r="F825" s="12" t="s">
        <v>81</v>
      </c>
      <c r="G825" s="12">
        <v>1</v>
      </c>
      <c r="H825" s="13">
        <v>0.34250000000000003</v>
      </c>
      <c r="I825" s="13">
        <v>1.1608796296296296E-2</v>
      </c>
      <c r="J825" s="13">
        <v>1.1608796296296296E-2</v>
      </c>
      <c r="K825" s="13">
        <v>5.7986111111111113E-2</v>
      </c>
      <c r="L825" s="14">
        <v>0.16930251419302514</v>
      </c>
      <c r="M825" s="12" t="s">
        <v>334</v>
      </c>
      <c r="N825" s="13">
        <v>9.2013888888888892E-3</v>
      </c>
      <c r="O825" s="13">
        <v>4.1793981481481481E-2</v>
      </c>
      <c r="P825" s="13"/>
      <c r="Q825" s="13"/>
      <c r="R825" s="13"/>
      <c r="S825" s="13">
        <v>6.1921296296296299E-3</v>
      </c>
      <c r="T825" s="13">
        <v>5.7870370370370373E-5</v>
      </c>
      <c r="U825" s="13">
        <v>7.1759259259259259E-4</v>
      </c>
      <c r="V825" s="13"/>
      <c r="W825" s="13"/>
    </row>
    <row r="826" spans="1:23" ht="15" customHeight="1" x14ac:dyDescent="0.25">
      <c r="A826" s="19">
        <v>46245</v>
      </c>
      <c r="B826" s="11" t="s">
        <v>160</v>
      </c>
      <c r="C826" s="12" t="s">
        <v>544</v>
      </c>
      <c r="D826" s="11" t="s">
        <v>146</v>
      </c>
      <c r="E826" s="12" t="s">
        <v>147</v>
      </c>
      <c r="F826" s="12" t="s">
        <v>106</v>
      </c>
      <c r="G826" s="12">
        <v>14</v>
      </c>
      <c r="H826" s="13">
        <v>0.26090277777777776</v>
      </c>
      <c r="I826" s="13">
        <v>3.829861111111111E-2</v>
      </c>
      <c r="J826" s="13">
        <v>2.7356150793650794E-3</v>
      </c>
      <c r="K826" s="13">
        <v>5.7326388888888892E-2</v>
      </c>
      <c r="L826" s="14">
        <v>0.2197231833910035</v>
      </c>
      <c r="M826" s="12" t="s">
        <v>334</v>
      </c>
      <c r="N826" s="13">
        <v>5.7407407407407407E-3</v>
      </c>
      <c r="O826" s="13">
        <v>1.4444444444444444E-2</v>
      </c>
      <c r="P826" s="13"/>
      <c r="Q826" s="13">
        <v>1.6111111111111111E-2</v>
      </c>
      <c r="R826" s="13"/>
      <c r="S826" s="13">
        <v>1.4664351851851852E-2</v>
      </c>
      <c r="T826" s="13">
        <v>2.3148148148148149E-4</v>
      </c>
      <c r="U826" s="13">
        <v>6.053240740740741E-3</v>
      </c>
      <c r="V826" s="13"/>
      <c r="W826" s="13"/>
    </row>
    <row r="827" spans="1:23" ht="15" customHeight="1" x14ac:dyDescent="0.25">
      <c r="A827" s="19">
        <v>46245</v>
      </c>
      <c r="B827" s="11" t="s">
        <v>645</v>
      </c>
      <c r="C827" s="12" t="s">
        <v>646</v>
      </c>
      <c r="D827" s="11" t="s">
        <v>100</v>
      </c>
      <c r="E827" s="12" t="s">
        <v>32</v>
      </c>
      <c r="F827" s="12" t="s">
        <v>33</v>
      </c>
      <c r="G827" s="12">
        <v>33</v>
      </c>
      <c r="H827" s="13">
        <v>0.26010416666666669</v>
      </c>
      <c r="I827" s="13">
        <v>0.19530092592592593</v>
      </c>
      <c r="J827" s="13">
        <v>5.9182098765432102E-3</v>
      </c>
      <c r="K827" s="13">
        <v>4.1134259259259259E-2</v>
      </c>
      <c r="L827" s="14">
        <v>0.15814532995149733</v>
      </c>
      <c r="M827" s="12" t="s">
        <v>334</v>
      </c>
      <c r="N827" s="13">
        <v>3.8888888888888888E-3</v>
      </c>
      <c r="O827" s="13">
        <v>1.3298611111111112E-2</v>
      </c>
      <c r="P827" s="13"/>
      <c r="Q827" s="13">
        <v>4.861111111111111E-4</v>
      </c>
      <c r="R827" s="13"/>
      <c r="S827" s="13">
        <v>1.5011574074074075E-2</v>
      </c>
      <c r="T827" s="13">
        <v>1.3541666666666667E-3</v>
      </c>
      <c r="U827" s="13">
        <v>7.0486111111111114E-3</v>
      </c>
      <c r="V827" s="13"/>
      <c r="W827" s="13"/>
    </row>
    <row r="828" spans="1:23" ht="15" customHeight="1" x14ac:dyDescent="0.25">
      <c r="A828" s="19">
        <v>46245</v>
      </c>
      <c r="B828" s="11" t="s">
        <v>120</v>
      </c>
      <c r="C828" s="12" t="s">
        <v>558</v>
      </c>
      <c r="D828" s="11" t="s">
        <v>233</v>
      </c>
      <c r="E828" s="12" t="s">
        <v>32</v>
      </c>
      <c r="F828" s="12" t="s">
        <v>106</v>
      </c>
      <c r="G828" s="12">
        <v>33</v>
      </c>
      <c r="H828" s="13">
        <v>0.26130787037037034</v>
      </c>
      <c r="I828" s="13">
        <v>9.8217592592592592E-2</v>
      </c>
      <c r="J828" s="13">
        <v>2.976290684624018E-3</v>
      </c>
      <c r="K828" s="13">
        <v>3.2604166666666663E-2</v>
      </c>
      <c r="L828" s="14">
        <v>0.12477299906984984</v>
      </c>
      <c r="M828" s="12" t="s">
        <v>334</v>
      </c>
      <c r="N828" s="13">
        <v>4.7800925925925927E-3</v>
      </c>
      <c r="O828" s="13">
        <v>1.3599537037037037E-2</v>
      </c>
      <c r="P828" s="13"/>
      <c r="Q828" s="13"/>
      <c r="R828" s="13"/>
      <c r="S828" s="13">
        <v>1.2407407407407407E-2</v>
      </c>
      <c r="T828" s="13">
        <v>9.6064814814814819E-4</v>
      </c>
      <c r="U828" s="13">
        <v>8.4490740740740739E-4</v>
      </c>
      <c r="V828" s="13"/>
      <c r="W828" s="13"/>
    </row>
    <row r="829" spans="1:23" ht="15" customHeight="1" x14ac:dyDescent="0.25">
      <c r="A829" s="19">
        <v>46245</v>
      </c>
      <c r="B829" s="11" t="s">
        <v>46</v>
      </c>
      <c r="C829" s="12" t="s">
        <v>507</v>
      </c>
      <c r="D829" s="11" t="s">
        <v>100</v>
      </c>
      <c r="E829" s="12" t="s">
        <v>32</v>
      </c>
      <c r="F829" s="12" t="s">
        <v>33</v>
      </c>
      <c r="G829" s="12">
        <v>35</v>
      </c>
      <c r="H829" s="13">
        <v>0.26310185185185186</v>
      </c>
      <c r="I829" s="13">
        <v>0.19304398148148147</v>
      </c>
      <c r="J829" s="13">
        <v>5.5155423280423277E-3</v>
      </c>
      <c r="K829" s="13">
        <v>3.8518518518518521E-2</v>
      </c>
      <c r="L829" s="14">
        <v>0.14640154847791659</v>
      </c>
      <c r="M829" s="12" t="s">
        <v>334</v>
      </c>
      <c r="N829" s="13">
        <v>2.4189814814814816E-3</v>
      </c>
      <c r="O829" s="13">
        <v>1.4143518518518519E-2</v>
      </c>
      <c r="P829" s="13"/>
      <c r="Q829" s="13"/>
      <c r="R829" s="13"/>
      <c r="S829" s="13">
        <v>1.4050925925925927E-2</v>
      </c>
      <c r="T829" s="13">
        <v>6.9444444444444444E-5</v>
      </c>
      <c r="U829" s="13">
        <v>7.7314814814814815E-3</v>
      </c>
      <c r="V829" s="13"/>
      <c r="W829" s="13"/>
    </row>
    <row r="830" spans="1:23" ht="15" customHeight="1" x14ac:dyDescent="0.25">
      <c r="A830" s="19">
        <v>46245</v>
      </c>
      <c r="B830" s="11" t="s">
        <v>499</v>
      </c>
      <c r="C830" s="12" t="s">
        <v>517</v>
      </c>
      <c r="D830" s="11" t="s">
        <v>146</v>
      </c>
      <c r="E830" s="12" t="s">
        <v>147</v>
      </c>
      <c r="F830" s="12" t="s">
        <v>106</v>
      </c>
      <c r="G830" s="12">
        <v>10</v>
      </c>
      <c r="H830" s="13">
        <v>0.24568287037037037</v>
      </c>
      <c r="I830" s="13">
        <v>3.9687500000000001E-2</v>
      </c>
      <c r="J830" s="13">
        <v>3.9687500000000001E-3</v>
      </c>
      <c r="K830" s="13">
        <v>7.5023148148148144E-2</v>
      </c>
      <c r="L830" s="14">
        <v>0.30536580769774341</v>
      </c>
      <c r="M830" s="12" t="s">
        <v>334</v>
      </c>
      <c r="N830" s="13">
        <v>1.3726851851851851E-2</v>
      </c>
      <c r="O830" s="13">
        <v>1.59375E-2</v>
      </c>
      <c r="P830" s="13">
        <v>2.476851851851852E-3</v>
      </c>
      <c r="Q830" s="13">
        <v>2.4375000000000001E-2</v>
      </c>
      <c r="R830" s="13"/>
      <c r="S830" s="13">
        <v>1.4143518518518519E-2</v>
      </c>
      <c r="T830" s="13">
        <v>2.5462962962962961E-4</v>
      </c>
      <c r="U830" s="13">
        <v>4.3981481481481481E-4</v>
      </c>
      <c r="V830" s="13"/>
      <c r="W830" s="13">
        <v>3.6574074074074074E-3</v>
      </c>
    </row>
    <row r="831" spans="1:23" ht="15" customHeight="1" x14ac:dyDescent="0.25">
      <c r="A831" s="19">
        <v>46245</v>
      </c>
      <c r="B831" s="11" t="s">
        <v>647</v>
      </c>
      <c r="C831" s="12" t="s">
        <v>648</v>
      </c>
      <c r="D831" s="11" t="s">
        <v>233</v>
      </c>
      <c r="E831" s="12" t="s">
        <v>32</v>
      </c>
      <c r="F831" s="12" t="s">
        <v>106</v>
      </c>
      <c r="G831" s="12">
        <v>32</v>
      </c>
      <c r="H831" s="13">
        <v>0.26373842592592595</v>
      </c>
      <c r="I831" s="13">
        <v>8.2430555555555562E-2</v>
      </c>
      <c r="J831" s="13">
        <v>2.5759548611111113E-3</v>
      </c>
      <c r="K831" s="13">
        <v>3.7592592592592594E-2</v>
      </c>
      <c r="L831" s="14">
        <v>0.14253741168209944</v>
      </c>
      <c r="M831" s="12" t="s">
        <v>334</v>
      </c>
      <c r="N831" s="13">
        <v>5.5902777777777773E-3</v>
      </c>
      <c r="O831" s="13">
        <v>1.4780092592592593E-2</v>
      </c>
      <c r="P831" s="13"/>
      <c r="Q831" s="13">
        <v>2.2685185185185187E-3</v>
      </c>
      <c r="R831" s="13"/>
      <c r="S831" s="13">
        <v>1.4201388888888888E-2</v>
      </c>
      <c r="T831" s="13">
        <v>7.5231481481481482E-4</v>
      </c>
      <c r="U831" s="13"/>
      <c r="V831" s="13"/>
      <c r="W831" s="13"/>
    </row>
    <row r="832" spans="1:23" ht="15" customHeight="1" x14ac:dyDescent="0.25">
      <c r="A832" s="19">
        <v>46245</v>
      </c>
      <c r="B832" s="11" t="s">
        <v>649</v>
      </c>
      <c r="C832" s="12" t="s">
        <v>650</v>
      </c>
      <c r="D832" s="11" t="s">
        <v>104</v>
      </c>
      <c r="E832" s="12" t="s">
        <v>105</v>
      </c>
      <c r="F832" s="12" t="s">
        <v>106</v>
      </c>
      <c r="G832" s="12">
        <v>6</v>
      </c>
      <c r="H832" s="13">
        <v>0.25480324074074073</v>
      </c>
      <c r="I832" s="13">
        <v>9.6701388888888892E-2</v>
      </c>
      <c r="J832" s="13">
        <v>1.6116898148148148E-2</v>
      </c>
      <c r="K832" s="13">
        <v>0.15319444444444444</v>
      </c>
      <c r="L832" s="14">
        <v>0.60122643652055419</v>
      </c>
      <c r="M832" s="12" t="s">
        <v>334</v>
      </c>
      <c r="N832" s="13">
        <v>4.8495370370370368E-3</v>
      </c>
      <c r="O832" s="13">
        <v>1.5405092592592592E-2</v>
      </c>
      <c r="P832" s="13"/>
      <c r="Q832" s="13"/>
      <c r="R832" s="13"/>
      <c r="S832" s="13">
        <v>1.2835648148148148E-2</v>
      </c>
      <c r="T832" s="13">
        <v>1.8518518518518518E-4</v>
      </c>
      <c r="U832" s="13">
        <v>4.340277777777778E-3</v>
      </c>
      <c r="V832" s="13"/>
      <c r="W832" s="13">
        <v>0.1155787037037037</v>
      </c>
    </row>
    <row r="833" spans="1:23" ht="15" customHeight="1" x14ac:dyDescent="0.25">
      <c r="A833" s="19">
        <v>46245</v>
      </c>
      <c r="B833" s="11" t="s">
        <v>651</v>
      </c>
      <c r="C833" s="12" t="s">
        <v>652</v>
      </c>
      <c r="D833" s="11" t="s">
        <v>100</v>
      </c>
      <c r="E833" s="12" t="s">
        <v>32</v>
      </c>
      <c r="F833" s="12" t="s">
        <v>33</v>
      </c>
      <c r="G833" s="12">
        <v>26</v>
      </c>
      <c r="H833" s="13">
        <v>0.26221064814814815</v>
      </c>
      <c r="I833" s="13">
        <v>0.16525462962962964</v>
      </c>
      <c r="J833" s="13">
        <v>6.3559472934472941E-3</v>
      </c>
      <c r="K833" s="13">
        <v>4.4814814814814814E-2</v>
      </c>
      <c r="L833" s="14">
        <v>0.17091149856543808</v>
      </c>
      <c r="M833" s="12" t="s">
        <v>334</v>
      </c>
      <c r="N833" s="13">
        <v>1.2442129629629629E-2</v>
      </c>
      <c r="O833" s="13">
        <v>1.6006944444444445E-2</v>
      </c>
      <c r="P833" s="13"/>
      <c r="Q833" s="13"/>
      <c r="R833" s="13"/>
      <c r="S833" s="13">
        <v>1.2789351851851852E-2</v>
      </c>
      <c r="T833" s="13">
        <v>6.9444444444444444E-5</v>
      </c>
      <c r="U833" s="13">
        <v>3.4837962962962965E-3</v>
      </c>
      <c r="V833" s="13"/>
      <c r="W833" s="13"/>
    </row>
    <row r="834" spans="1:23" ht="15" customHeight="1" x14ac:dyDescent="0.25">
      <c r="A834" s="19">
        <v>46245</v>
      </c>
      <c r="B834" s="11" t="s">
        <v>246</v>
      </c>
      <c r="C834" s="12" t="s">
        <v>568</v>
      </c>
      <c r="D834" s="11" t="s">
        <v>233</v>
      </c>
      <c r="E834" s="12" t="s">
        <v>32</v>
      </c>
      <c r="F834" s="12" t="s">
        <v>106</v>
      </c>
      <c r="G834" s="12">
        <v>47</v>
      </c>
      <c r="H834" s="13">
        <v>0.34641203703703705</v>
      </c>
      <c r="I834" s="13">
        <v>0.1632986111111111</v>
      </c>
      <c r="J834" s="13">
        <v>3.4744385342789594E-3</v>
      </c>
      <c r="K834" s="13">
        <v>3.8796296296296294E-2</v>
      </c>
      <c r="L834" s="14">
        <v>0.11199465419311726</v>
      </c>
      <c r="M834" s="12" t="s">
        <v>334</v>
      </c>
      <c r="N834" s="13">
        <v>4.6643518518518518E-3</v>
      </c>
      <c r="O834" s="13">
        <v>1.3587962962962963E-2</v>
      </c>
      <c r="P834" s="13"/>
      <c r="Q834" s="13"/>
      <c r="R834" s="13"/>
      <c r="S834" s="13">
        <v>1.3761574074074074E-2</v>
      </c>
      <c r="T834" s="13">
        <v>6.7824074074074071E-3</v>
      </c>
      <c r="U834" s="13"/>
      <c r="V834" s="13"/>
      <c r="W834" s="13"/>
    </row>
    <row r="835" spans="1:23" ht="15" customHeight="1" x14ac:dyDescent="0.25">
      <c r="A835" s="19">
        <v>46245</v>
      </c>
      <c r="B835" s="11" t="s">
        <v>48</v>
      </c>
      <c r="C835" s="12" t="s">
        <v>508</v>
      </c>
      <c r="D835" s="11" t="s">
        <v>100</v>
      </c>
      <c r="E835" s="12" t="s">
        <v>32</v>
      </c>
      <c r="F835" s="12" t="s">
        <v>33</v>
      </c>
      <c r="G835" s="12">
        <v>43</v>
      </c>
      <c r="H835" s="13">
        <v>0.25725694444444447</v>
      </c>
      <c r="I835" s="13">
        <v>0.15912037037037038</v>
      </c>
      <c r="J835" s="13">
        <v>3.7004737295434974E-3</v>
      </c>
      <c r="K835" s="13">
        <v>5.6122685185185185E-2</v>
      </c>
      <c r="L835" s="14">
        <v>0.21815809600935795</v>
      </c>
      <c r="M835" s="12" t="s">
        <v>334</v>
      </c>
      <c r="N835" s="13">
        <v>5.0115740740740737E-3</v>
      </c>
      <c r="O835" s="13">
        <v>1.3958333333333333E-2</v>
      </c>
      <c r="P835" s="13"/>
      <c r="Q835" s="13"/>
      <c r="R835" s="13"/>
      <c r="S835" s="13">
        <v>1.3912037037037037E-2</v>
      </c>
      <c r="T835" s="13">
        <v>9.4907407407407408E-4</v>
      </c>
      <c r="U835" s="13">
        <v>1.3888888888888889E-4</v>
      </c>
      <c r="V835" s="13"/>
      <c r="W835" s="13">
        <v>2.2152777777777778E-2</v>
      </c>
    </row>
    <row r="836" spans="1:23" ht="15" customHeight="1" x14ac:dyDescent="0.25">
      <c r="A836" s="19">
        <v>46245</v>
      </c>
      <c r="B836" s="11" t="s">
        <v>50</v>
      </c>
      <c r="C836" s="12" t="s">
        <v>538</v>
      </c>
      <c r="D836" s="11" t="s">
        <v>100</v>
      </c>
      <c r="E836" s="12" t="s">
        <v>32</v>
      </c>
      <c r="F836" s="12" t="s">
        <v>33</v>
      </c>
      <c r="G836" s="12">
        <v>5</v>
      </c>
      <c r="H836" s="13">
        <v>0.21496527777777777</v>
      </c>
      <c r="I836" s="13">
        <v>5.4722222222222221E-2</v>
      </c>
      <c r="J836" s="13">
        <v>1.0944444444444444E-2</v>
      </c>
      <c r="K836" s="13">
        <v>0.19378472222222223</v>
      </c>
      <c r="L836" s="14">
        <v>0.90146987562590863</v>
      </c>
      <c r="M836" s="12" t="s">
        <v>334</v>
      </c>
      <c r="N836" s="13">
        <v>1.8715277777777779E-2</v>
      </c>
      <c r="O836" s="13">
        <v>8.7037037037037031E-3</v>
      </c>
      <c r="P836" s="13"/>
      <c r="Q836" s="13"/>
      <c r="R836" s="13"/>
      <c r="S836" s="13">
        <v>1.4189814814814815E-2</v>
      </c>
      <c r="T836" s="13">
        <v>2.6620370370370372E-4</v>
      </c>
      <c r="U836" s="13">
        <v>2.6620370370370372E-4</v>
      </c>
      <c r="V836" s="13"/>
      <c r="W836" s="13">
        <v>0.15164351851851851</v>
      </c>
    </row>
    <row r="837" spans="1:23" ht="15" customHeight="1" x14ac:dyDescent="0.25">
      <c r="A837" s="19">
        <v>46245</v>
      </c>
      <c r="B837" s="11" t="s">
        <v>242</v>
      </c>
      <c r="C837" s="12" t="s">
        <v>603</v>
      </c>
      <c r="D837" s="11" t="s">
        <v>233</v>
      </c>
      <c r="E837" s="12" t="s">
        <v>32</v>
      </c>
      <c r="F837" s="12" t="s">
        <v>106</v>
      </c>
      <c r="G837" s="12">
        <v>25</v>
      </c>
      <c r="H837" s="13">
        <v>0.27013888888888887</v>
      </c>
      <c r="I837" s="13">
        <v>0.12487268518518518</v>
      </c>
      <c r="J837" s="13">
        <v>4.9949074074074071E-3</v>
      </c>
      <c r="K837" s="13">
        <v>3.1215277777777779E-2</v>
      </c>
      <c r="L837" s="14">
        <v>0.11555269922879179</v>
      </c>
      <c r="M837" s="12" t="s">
        <v>334</v>
      </c>
      <c r="N837" s="13"/>
      <c r="O837" s="13"/>
      <c r="P837" s="13"/>
      <c r="Q837" s="13">
        <v>1.2407407407407407E-2</v>
      </c>
      <c r="R837" s="13"/>
      <c r="S837" s="13">
        <v>1.6828703703703703E-2</v>
      </c>
      <c r="T837" s="13">
        <v>1.0416666666666667E-4</v>
      </c>
      <c r="U837" s="13">
        <v>1.7939814814814815E-3</v>
      </c>
      <c r="V837" s="13"/>
      <c r="W837" s="13">
        <v>4.6296296296296294E-5</v>
      </c>
    </row>
    <row r="838" spans="1:23" ht="15" customHeight="1" x14ac:dyDescent="0.25">
      <c r="A838" s="19">
        <v>46245</v>
      </c>
      <c r="B838" s="11" t="s">
        <v>289</v>
      </c>
      <c r="C838" s="12" t="s">
        <v>559</v>
      </c>
      <c r="D838" s="11" t="s">
        <v>104</v>
      </c>
      <c r="E838" s="12" t="s">
        <v>105</v>
      </c>
      <c r="F838" s="12" t="s">
        <v>106</v>
      </c>
      <c r="G838" s="12">
        <v>5</v>
      </c>
      <c r="H838" s="13">
        <v>0.20771990740740739</v>
      </c>
      <c r="I838" s="13">
        <v>8.9525462962962959E-2</v>
      </c>
      <c r="J838" s="13">
        <v>1.7905092592592591E-2</v>
      </c>
      <c r="K838" s="13">
        <v>0.14141203703703703</v>
      </c>
      <c r="L838" s="14">
        <v>0.68078230344904445</v>
      </c>
      <c r="M838" s="12" t="s">
        <v>334</v>
      </c>
      <c r="N838" s="13">
        <v>6.7129629629629625E-4</v>
      </c>
      <c r="O838" s="13">
        <v>1.0937499999999999E-2</v>
      </c>
      <c r="P838" s="13"/>
      <c r="Q838" s="13"/>
      <c r="R838" s="13"/>
      <c r="S838" s="13">
        <v>1.7835648148148149E-2</v>
      </c>
      <c r="T838" s="13">
        <v>1.8807870370370371E-2</v>
      </c>
      <c r="U838" s="13">
        <v>6.2037037037037035E-3</v>
      </c>
      <c r="V838" s="13"/>
      <c r="W838" s="13">
        <v>8.6956018518518516E-2</v>
      </c>
    </row>
    <row r="839" spans="1:23" ht="15" customHeight="1" x14ac:dyDescent="0.25">
      <c r="A839" s="19">
        <v>46245</v>
      </c>
      <c r="B839" s="11" t="s">
        <v>252</v>
      </c>
      <c r="C839" s="12" t="s">
        <v>553</v>
      </c>
      <c r="D839" s="11" t="s">
        <v>78</v>
      </c>
      <c r="E839" s="12" t="s">
        <v>80</v>
      </c>
      <c r="F839" s="12" t="s">
        <v>81</v>
      </c>
      <c r="G839" s="12">
        <v>1</v>
      </c>
      <c r="H839" s="13">
        <v>0.55401620370370375</v>
      </c>
      <c r="I839" s="13">
        <v>7.1064814814814819E-3</v>
      </c>
      <c r="J839" s="13">
        <v>7.1064814814814819E-3</v>
      </c>
      <c r="K839" s="13">
        <v>1.5856481481481481E-3</v>
      </c>
      <c r="L839" s="14">
        <v>2.862097060605427E-3</v>
      </c>
      <c r="M839" s="12" t="s">
        <v>334</v>
      </c>
      <c r="N839" s="13"/>
      <c r="O839" s="13"/>
      <c r="P839" s="13"/>
      <c r="Q839" s="13"/>
      <c r="R839" s="13"/>
      <c r="S839" s="13"/>
      <c r="T839" s="13">
        <v>1.1574074074074075E-4</v>
      </c>
      <c r="U839" s="13">
        <v>1.4004629629629629E-3</v>
      </c>
      <c r="V839" s="13"/>
      <c r="W839" s="13"/>
    </row>
    <row r="840" spans="1:23" ht="15" customHeight="1" x14ac:dyDescent="0.25">
      <c r="A840" s="19">
        <v>46245</v>
      </c>
      <c r="B840" s="11" t="s">
        <v>500</v>
      </c>
      <c r="C840" s="12" t="s">
        <v>518</v>
      </c>
      <c r="D840" s="11" t="s">
        <v>274</v>
      </c>
      <c r="E840" s="12" t="s">
        <v>147</v>
      </c>
      <c r="F840" s="12" t="s">
        <v>33</v>
      </c>
      <c r="G840" s="12">
        <v>18</v>
      </c>
      <c r="H840" s="13">
        <v>0.26149305555555558</v>
      </c>
      <c r="I840" s="13">
        <v>7.873842592592592E-2</v>
      </c>
      <c r="J840" s="13">
        <v>4.3743569958847733E-3</v>
      </c>
      <c r="K840" s="13">
        <v>3.1759259259259258E-2</v>
      </c>
      <c r="L840" s="14">
        <v>0.12145354755897843</v>
      </c>
      <c r="M840" s="12" t="s">
        <v>334</v>
      </c>
      <c r="N840" s="13"/>
      <c r="O840" s="13">
        <v>5.3587962962962964E-3</v>
      </c>
      <c r="P840" s="13"/>
      <c r="Q840" s="13">
        <v>7.060185185185185E-3</v>
      </c>
      <c r="R840" s="13"/>
      <c r="S840" s="13">
        <v>1.894675925925926E-2</v>
      </c>
      <c r="T840" s="13">
        <v>1.273148148148148E-4</v>
      </c>
      <c r="U840" s="13">
        <v>2.5462962962962961E-4</v>
      </c>
      <c r="V840" s="13"/>
      <c r="W840" s="13"/>
    </row>
    <row r="841" spans="1:23" ht="15" customHeight="1" x14ac:dyDescent="0.25">
      <c r="A841" s="19">
        <v>46245</v>
      </c>
      <c r="B841" s="11" t="s">
        <v>683</v>
      </c>
      <c r="C841" s="12" t="s">
        <v>684</v>
      </c>
      <c r="D841" s="11" t="s">
        <v>233</v>
      </c>
      <c r="E841" s="12" t="s">
        <v>32</v>
      </c>
      <c r="F841" s="12" t="s">
        <v>106</v>
      </c>
      <c r="G841" s="12">
        <v>27</v>
      </c>
      <c r="H841" s="13">
        <v>0.26393518518518516</v>
      </c>
      <c r="I841" s="13">
        <v>0.1082638888888889</v>
      </c>
      <c r="J841" s="13">
        <v>4.0097736625514403E-3</v>
      </c>
      <c r="K841" s="13">
        <v>5.1076388888888886E-2</v>
      </c>
      <c r="L841" s="14">
        <v>0.19351868093316962</v>
      </c>
      <c r="M841" s="12" t="s">
        <v>334</v>
      </c>
      <c r="N841" s="13">
        <v>1.4641203703703703E-2</v>
      </c>
      <c r="O841" s="13">
        <v>6.851851851851852E-3</v>
      </c>
      <c r="P841" s="13"/>
      <c r="Q841" s="13"/>
      <c r="R841" s="13"/>
      <c r="S841" s="13">
        <v>1.2997685185185185E-2</v>
      </c>
      <c r="T841" s="13">
        <v>3.0671296296296297E-3</v>
      </c>
      <c r="U841" s="13">
        <v>6.1111111111111114E-3</v>
      </c>
      <c r="V841" s="13"/>
      <c r="W841" s="13">
        <v>7.4074074074074077E-3</v>
      </c>
    </row>
    <row r="842" spans="1:23" ht="15" customHeight="1" x14ac:dyDescent="0.25">
      <c r="A842" s="19">
        <v>46245</v>
      </c>
      <c r="B842" s="11" t="s">
        <v>653</v>
      </c>
      <c r="C842" s="12" t="s">
        <v>654</v>
      </c>
      <c r="D842" s="11" t="s">
        <v>100</v>
      </c>
      <c r="E842" s="12" t="s">
        <v>32</v>
      </c>
      <c r="F842" s="12" t="s">
        <v>33</v>
      </c>
      <c r="G842" s="12">
        <v>26</v>
      </c>
      <c r="H842" s="13">
        <v>0.25392361111111111</v>
      </c>
      <c r="I842" s="13">
        <v>0.18335648148148148</v>
      </c>
      <c r="J842" s="13">
        <v>7.052172364672365E-3</v>
      </c>
      <c r="K842" s="13">
        <v>4.494212962962963E-2</v>
      </c>
      <c r="L842" s="14">
        <v>0.17699074707142531</v>
      </c>
      <c r="M842" s="12" t="s">
        <v>334</v>
      </c>
      <c r="N842" s="13">
        <v>9.8032407407407408E-3</v>
      </c>
      <c r="O842" s="13">
        <v>1.576388888888889E-2</v>
      </c>
      <c r="P842" s="13"/>
      <c r="Q842" s="13"/>
      <c r="R842" s="13"/>
      <c r="S842" s="13">
        <v>1.3935185185185186E-2</v>
      </c>
      <c r="T842" s="13">
        <v>5.7870370370370367E-4</v>
      </c>
      <c r="U842" s="13">
        <v>4.8379629629629632E-3</v>
      </c>
      <c r="V842" s="13"/>
      <c r="W842" s="13"/>
    </row>
    <row r="843" spans="1:23" ht="15" customHeight="1" x14ac:dyDescent="0.25">
      <c r="A843" s="19">
        <v>46245</v>
      </c>
      <c r="B843" s="11" t="s">
        <v>52</v>
      </c>
      <c r="C843" s="12" t="s">
        <v>509</v>
      </c>
      <c r="D843" s="11" t="s">
        <v>100</v>
      </c>
      <c r="E843" s="12" t="s">
        <v>32</v>
      </c>
      <c r="F843" s="12" t="s">
        <v>33</v>
      </c>
      <c r="G843" s="12">
        <v>5</v>
      </c>
      <c r="H843" s="13">
        <v>0.24372685185185186</v>
      </c>
      <c r="I843" s="13">
        <v>1.8101851851851852E-2</v>
      </c>
      <c r="J843" s="13">
        <v>3.6203703703703701E-3</v>
      </c>
      <c r="K843" s="13">
        <v>0.22377314814814814</v>
      </c>
      <c r="L843" s="14">
        <v>0.9181308766264602</v>
      </c>
      <c r="M843" s="12" t="s">
        <v>334</v>
      </c>
      <c r="N843" s="13"/>
      <c r="O843" s="13">
        <v>1.4525462962962962E-2</v>
      </c>
      <c r="P843" s="13"/>
      <c r="Q843" s="13"/>
      <c r="R843" s="13"/>
      <c r="S843" s="13">
        <v>1.4548611111111111E-2</v>
      </c>
      <c r="T843" s="13">
        <v>1.3657407407407407E-3</v>
      </c>
      <c r="U843" s="13">
        <v>1.7488425925925925E-2</v>
      </c>
      <c r="V843" s="13"/>
      <c r="W843" s="13">
        <v>0.17584490740740741</v>
      </c>
    </row>
    <row r="844" spans="1:23" ht="15" customHeight="1" x14ac:dyDescent="0.25">
      <c r="A844" s="19">
        <v>46245</v>
      </c>
      <c r="B844" s="11" t="s">
        <v>655</v>
      </c>
      <c r="C844" s="12" t="s">
        <v>656</v>
      </c>
      <c r="D844" s="11" t="s">
        <v>100</v>
      </c>
      <c r="E844" s="12" t="s">
        <v>32</v>
      </c>
      <c r="F844" s="12" t="s">
        <v>33</v>
      </c>
      <c r="G844" s="12">
        <v>39</v>
      </c>
      <c r="H844" s="13">
        <v>0.26163194444444443</v>
      </c>
      <c r="I844" s="13">
        <v>0.1653125</v>
      </c>
      <c r="J844" s="13">
        <v>4.2387820512820515E-3</v>
      </c>
      <c r="K844" s="13">
        <v>3.9976851851851854E-2</v>
      </c>
      <c r="L844" s="14">
        <v>0.15279805352798054</v>
      </c>
      <c r="M844" s="12" t="s">
        <v>334</v>
      </c>
      <c r="N844" s="13">
        <v>3.3796296296296296E-3</v>
      </c>
      <c r="O844" s="13">
        <v>1.3541666666666667E-2</v>
      </c>
      <c r="P844" s="13"/>
      <c r="Q844" s="13"/>
      <c r="R844" s="13"/>
      <c r="S844" s="13">
        <v>1.412037037037037E-2</v>
      </c>
      <c r="T844" s="13">
        <v>2.4305555555555555E-4</v>
      </c>
      <c r="U844" s="13">
        <v>8.6342592592592599E-3</v>
      </c>
      <c r="V844" s="13"/>
      <c r="W844" s="13"/>
    </row>
    <row r="845" spans="1:23" ht="15" customHeight="1" x14ac:dyDescent="0.25">
      <c r="A845" s="19">
        <v>46245</v>
      </c>
      <c r="B845" s="11" t="s">
        <v>657</v>
      </c>
      <c r="C845" s="12" t="s">
        <v>658</v>
      </c>
      <c r="D845" s="11" t="s">
        <v>274</v>
      </c>
      <c r="E845" s="12" t="s">
        <v>147</v>
      </c>
      <c r="F845" s="12" t="s">
        <v>33</v>
      </c>
      <c r="G845" s="12">
        <v>20</v>
      </c>
      <c r="H845" s="13">
        <v>0.26653935185185185</v>
      </c>
      <c r="I845" s="13">
        <v>8.8437500000000002E-2</v>
      </c>
      <c r="J845" s="13">
        <v>4.4218750000000005E-3</v>
      </c>
      <c r="K845" s="13">
        <v>3.3761574074074076E-2</v>
      </c>
      <c r="L845" s="14">
        <v>0.12666637717660342</v>
      </c>
      <c r="M845" s="12" t="s">
        <v>334</v>
      </c>
      <c r="N845" s="13"/>
      <c r="O845" s="13">
        <v>6.4351851851851853E-3</v>
      </c>
      <c r="P845" s="13"/>
      <c r="Q845" s="13">
        <v>3.3680555555555556E-3</v>
      </c>
      <c r="R845" s="13">
        <v>7.7199074074074071E-3</v>
      </c>
      <c r="S845" s="13">
        <v>1.5682870370370371E-2</v>
      </c>
      <c r="T845" s="13">
        <v>5.7870370370370373E-5</v>
      </c>
      <c r="U845" s="13">
        <v>4.6296296296296298E-4</v>
      </c>
      <c r="V845" s="13"/>
      <c r="W845" s="13"/>
    </row>
    <row r="846" spans="1:23" ht="15" customHeight="1" x14ac:dyDescent="0.25">
      <c r="A846" s="19">
        <v>46245</v>
      </c>
      <c r="B846" s="11" t="s">
        <v>166</v>
      </c>
      <c r="C846" s="12" t="s">
        <v>167</v>
      </c>
      <c r="D846" s="11" t="s">
        <v>146</v>
      </c>
      <c r="E846" s="12" t="s">
        <v>147</v>
      </c>
      <c r="F846" s="12" t="s">
        <v>106</v>
      </c>
      <c r="G846" s="12">
        <v>13</v>
      </c>
      <c r="H846" s="13">
        <v>0.2354050925925926</v>
      </c>
      <c r="I846" s="13">
        <v>4.0173611111111111E-2</v>
      </c>
      <c r="J846" s="13">
        <v>3.0902777777777777E-3</v>
      </c>
      <c r="K846" s="13">
        <v>7.5543981481481476E-2</v>
      </c>
      <c r="L846" s="14">
        <v>0.32091056590786171</v>
      </c>
      <c r="M846" s="12" t="s">
        <v>334</v>
      </c>
      <c r="N846" s="13">
        <v>2.7430555555555554E-3</v>
      </c>
      <c r="O846" s="13">
        <v>1.1886574074074074E-2</v>
      </c>
      <c r="P846" s="13">
        <v>1.7280092592592593E-2</v>
      </c>
      <c r="Q846" s="13">
        <v>2.8668981481481483E-2</v>
      </c>
      <c r="R846" s="13"/>
      <c r="S846" s="13">
        <v>6.5856481481481478E-3</v>
      </c>
      <c r="T846" s="13">
        <v>6.9444444444444444E-5</v>
      </c>
      <c r="U846" s="13">
        <v>8.2986111111111108E-3</v>
      </c>
      <c r="V846" s="13"/>
      <c r="W846" s="13"/>
    </row>
    <row r="847" spans="1:23" ht="15" customHeight="1" x14ac:dyDescent="0.25">
      <c r="A847" s="19">
        <v>46245</v>
      </c>
      <c r="B847" s="11" t="s">
        <v>659</v>
      </c>
      <c r="C847" s="12" t="s">
        <v>660</v>
      </c>
      <c r="D847" s="11" t="s">
        <v>100</v>
      </c>
      <c r="E847" s="12" t="s">
        <v>32</v>
      </c>
      <c r="F847" s="12" t="s">
        <v>33</v>
      </c>
      <c r="G847" s="12">
        <v>6</v>
      </c>
      <c r="H847" s="13">
        <v>0.24780092592592592</v>
      </c>
      <c r="I847" s="13">
        <v>2.0324074074074074E-2</v>
      </c>
      <c r="J847" s="13">
        <v>3.3873456790123459E-3</v>
      </c>
      <c r="K847" s="13">
        <v>0.22407407407407406</v>
      </c>
      <c r="L847" s="14">
        <v>0.90425035030359646</v>
      </c>
      <c r="M847" s="12" t="s">
        <v>334</v>
      </c>
      <c r="N847" s="13">
        <v>1.5208333333333334E-2</v>
      </c>
      <c r="O847" s="13">
        <v>1.5277777777777777E-2</v>
      </c>
      <c r="P847" s="13"/>
      <c r="Q847" s="13"/>
      <c r="R847" s="13"/>
      <c r="S847" s="13">
        <v>2.3229166666666665E-2</v>
      </c>
      <c r="T847" s="13">
        <v>1.2268518518518518E-3</v>
      </c>
      <c r="U847" s="13">
        <v>8.1018518518518516E-5</v>
      </c>
      <c r="V847" s="13"/>
      <c r="W847" s="13">
        <v>0.16903935185185184</v>
      </c>
    </row>
    <row r="848" spans="1:23" ht="15" customHeight="1" x14ac:dyDescent="0.25">
      <c r="A848" s="19">
        <v>46245</v>
      </c>
      <c r="B848" s="11" t="s">
        <v>254</v>
      </c>
      <c r="C848" s="12" t="s">
        <v>528</v>
      </c>
      <c r="D848" s="11" t="s">
        <v>233</v>
      </c>
      <c r="E848" s="12" t="s">
        <v>32</v>
      </c>
      <c r="F848" s="12" t="s">
        <v>106</v>
      </c>
      <c r="G848" s="12">
        <v>24</v>
      </c>
      <c r="H848" s="13">
        <v>0.26750000000000002</v>
      </c>
      <c r="I848" s="13">
        <v>0.1028587962962963</v>
      </c>
      <c r="J848" s="13">
        <v>4.2857831790123454E-3</v>
      </c>
      <c r="K848" s="13">
        <v>4.3993055555555556E-2</v>
      </c>
      <c r="L848" s="14">
        <v>0.16446002076843197</v>
      </c>
      <c r="M848" s="12" t="s">
        <v>334</v>
      </c>
      <c r="N848" s="13">
        <v>1.8854166666666668E-2</v>
      </c>
      <c r="O848" s="13">
        <v>6.3194444444444444E-3</v>
      </c>
      <c r="P848" s="13"/>
      <c r="Q848" s="13">
        <v>1.6666666666666668E-3</v>
      </c>
      <c r="R848" s="13"/>
      <c r="S848" s="13">
        <v>1.1793981481481482E-2</v>
      </c>
      <c r="T848" s="13">
        <v>3.9004629629629628E-3</v>
      </c>
      <c r="U848" s="13">
        <v>1.4004629629629629E-3</v>
      </c>
      <c r="V848" s="13"/>
      <c r="W848" s="13"/>
    </row>
    <row r="849" spans="1:23" ht="15" customHeight="1" x14ac:dyDescent="0.25">
      <c r="A849" s="19">
        <v>46245</v>
      </c>
      <c r="B849" s="11" t="s">
        <v>201</v>
      </c>
      <c r="C849" s="12" t="s">
        <v>545</v>
      </c>
      <c r="D849" s="11" t="s">
        <v>601</v>
      </c>
      <c r="E849" s="12" t="s">
        <v>600</v>
      </c>
      <c r="F849" s="12" t="s">
        <v>33</v>
      </c>
      <c r="G849" s="12">
        <v>32</v>
      </c>
      <c r="H849" s="13">
        <v>0.24452546296296296</v>
      </c>
      <c r="I849" s="13">
        <v>5.7175925925925929E-2</v>
      </c>
      <c r="J849" s="13">
        <v>1.7867476851851853E-3</v>
      </c>
      <c r="K849" s="13">
        <v>7.0393518518518522E-2</v>
      </c>
      <c r="L849" s="14">
        <v>0.28787807071519855</v>
      </c>
      <c r="M849" s="12" t="s">
        <v>334</v>
      </c>
      <c r="N849" s="13">
        <v>6.8402777777777776E-3</v>
      </c>
      <c r="O849" s="13">
        <v>2.7673611111111111E-2</v>
      </c>
      <c r="P849" s="13">
        <v>2.2685185185185187E-3</v>
      </c>
      <c r="Q849" s="13"/>
      <c r="R849" s="13"/>
      <c r="S849" s="13">
        <v>1.8368055555555554E-2</v>
      </c>
      <c r="T849" s="13">
        <v>4.0393518518518521E-3</v>
      </c>
      <c r="U849" s="13">
        <v>1.1203703703703704E-2</v>
      </c>
      <c r="V849" s="13"/>
      <c r="W849" s="13"/>
    </row>
    <row r="850" spans="1:23" ht="15" customHeight="1" x14ac:dyDescent="0.25">
      <c r="A850" s="19">
        <v>46245</v>
      </c>
      <c r="B850" s="11" t="s">
        <v>168</v>
      </c>
      <c r="C850" s="12" t="s">
        <v>520</v>
      </c>
      <c r="D850" s="11" t="s">
        <v>274</v>
      </c>
      <c r="E850" s="12" t="s">
        <v>147</v>
      </c>
      <c r="F850" s="12" t="s">
        <v>33</v>
      </c>
      <c r="G850" s="12">
        <v>15</v>
      </c>
      <c r="H850" s="13">
        <v>0.26971064814814816</v>
      </c>
      <c r="I850" s="13">
        <v>6.3449074074074074E-2</v>
      </c>
      <c r="J850" s="13">
        <v>4.2299382716049381E-3</v>
      </c>
      <c r="K850" s="13">
        <v>4.6342592592592595E-2</v>
      </c>
      <c r="L850" s="14">
        <v>0.17182337038149595</v>
      </c>
      <c r="M850" s="12" t="s">
        <v>334</v>
      </c>
      <c r="N850" s="13">
        <v>4.7222222222222223E-3</v>
      </c>
      <c r="O850" s="13">
        <v>8.4837962962962966E-3</v>
      </c>
      <c r="P850" s="13">
        <v>2.2916666666666667E-3</v>
      </c>
      <c r="Q850" s="13">
        <v>7.9745370370370369E-3</v>
      </c>
      <c r="R850" s="13">
        <v>8.2060185185185187E-3</v>
      </c>
      <c r="S850" s="13">
        <v>1.4363425925925925E-2</v>
      </c>
      <c r="T850" s="13">
        <v>2.4305555555555555E-4</v>
      </c>
      <c r="U850" s="13">
        <v>4.6296296296296294E-5</v>
      </c>
      <c r="V850" s="13"/>
      <c r="W850" s="13"/>
    </row>
    <row r="851" spans="1:23" ht="15" customHeight="1" x14ac:dyDescent="0.25">
      <c r="A851" s="19">
        <v>46245</v>
      </c>
      <c r="B851" s="11" t="s">
        <v>170</v>
      </c>
      <c r="C851" s="12" t="s">
        <v>521</v>
      </c>
      <c r="D851" s="11" t="s">
        <v>146</v>
      </c>
      <c r="E851" s="12" t="s">
        <v>147</v>
      </c>
      <c r="F851" s="12" t="s">
        <v>106</v>
      </c>
      <c r="G851" s="12">
        <v>15</v>
      </c>
      <c r="H851" s="13">
        <v>0.27398148148148149</v>
      </c>
      <c r="I851" s="13">
        <v>8.3055555555555549E-2</v>
      </c>
      <c r="J851" s="13">
        <v>5.5370370370370365E-3</v>
      </c>
      <c r="K851" s="13">
        <v>3.3171296296296296E-2</v>
      </c>
      <c r="L851" s="14">
        <v>0.12107130787428184</v>
      </c>
      <c r="M851" s="12" t="s">
        <v>334</v>
      </c>
      <c r="N851" s="13">
        <v>2.2106481481481482E-3</v>
      </c>
      <c r="O851" s="13">
        <v>1.3344907407407408E-2</v>
      </c>
      <c r="P851" s="13"/>
      <c r="Q851" s="13"/>
      <c r="R851" s="13"/>
      <c r="S851" s="13">
        <v>1.5347222222222222E-2</v>
      </c>
      <c r="T851" s="13">
        <v>5.7870370370370373E-5</v>
      </c>
      <c r="U851" s="13">
        <v>5.2083333333333333E-4</v>
      </c>
      <c r="V851" s="13"/>
      <c r="W851" s="13">
        <v>1.6666666666666668E-3</v>
      </c>
    </row>
    <row r="852" spans="1:23" ht="15" customHeight="1" x14ac:dyDescent="0.25">
      <c r="A852" s="19">
        <v>46245</v>
      </c>
      <c r="B852" s="11" t="s">
        <v>92</v>
      </c>
      <c r="C852" s="12" t="s">
        <v>93</v>
      </c>
      <c r="D852" s="11" t="s">
        <v>78</v>
      </c>
      <c r="E852" s="12" t="s">
        <v>80</v>
      </c>
      <c r="F852" s="12" t="s">
        <v>81</v>
      </c>
      <c r="G852" s="12">
        <v>1</v>
      </c>
      <c r="H852" s="13">
        <v>0.33579861111111109</v>
      </c>
      <c r="I852" s="13">
        <v>2.6990740740740742E-2</v>
      </c>
      <c r="J852" s="13">
        <v>2.6990740740740742E-2</v>
      </c>
      <c r="K852" s="13">
        <v>0.13574074074074075</v>
      </c>
      <c r="L852" s="14">
        <v>0.40423258539275503</v>
      </c>
      <c r="M852" s="12" t="s">
        <v>334</v>
      </c>
      <c r="N852" s="13"/>
      <c r="O852" s="13">
        <v>5.3541666666666668E-2</v>
      </c>
      <c r="P852" s="13"/>
      <c r="Q852" s="13"/>
      <c r="R852" s="13"/>
      <c r="S852" s="13">
        <v>7.1898148148148142E-2</v>
      </c>
      <c r="T852" s="13">
        <v>6.4583333333333333E-3</v>
      </c>
      <c r="U852" s="13">
        <v>3.8194444444444443E-3</v>
      </c>
      <c r="V852" s="13"/>
      <c r="W852" s="13"/>
    </row>
    <row r="853" spans="1:23" ht="15" customHeight="1" x14ac:dyDescent="0.25">
      <c r="A853" s="19">
        <v>46245</v>
      </c>
      <c r="B853" s="11" t="s">
        <v>94</v>
      </c>
      <c r="C853" s="12" t="s">
        <v>95</v>
      </c>
      <c r="D853" s="11" t="s">
        <v>78</v>
      </c>
      <c r="E853" s="12" t="s">
        <v>80</v>
      </c>
      <c r="F853" s="12" t="s">
        <v>81</v>
      </c>
      <c r="G853" s="12">
        <v>0</v>
      </c>
      <c r="H853" s="13">
        <v>0.30214120370370373</v>
      </c>
      <c r="I853" s="13">
        <v>0</v>
      </c>
      <c r="J853" s="13">
        <v>0</v>
      </c>
      <c r="K853" s="13">
        <v>0.21054398148148148</v>
      </c>
      <c r="L853" s="14">
        <v>0.69683968588393019</v>
      </c>
      <c r="M853" s="12" t="s">
        <v>334</v>
      </c>
      <c r="N853" s="13"/>
      <c r="O853" s="13">
        <v>5.9386574074074071E-2</v>
      </c>
      <c r="P853" s="13"/>
      <c r="Q853" s="13"/>
      <c r="R853" s="13">
        <v>0.15115740740740741</v>
      </c>
      <c r="S853" s="13"/>
      <c r="T853" s="13"/>
      <c r="U853" s="13"/>
      <c r="V853" s="13"/>
      <c r="W853" s="13"/>
    </row>
    <row r="854" spans="1:23" ht="15" customHeight="1" x14ac:dyDescent="0.25">
      <c r="A854" s="19">
        <v>46245</v>
      </c>
      <c r="B854" s="11" t="s">
        <v>293</v>
      </c>
      <c r="C854" s="12" t="s">
        <v>543</v>
      </c>
      <c r="D854" s="11" t="s">
        <v>104</v>
      </c>
      <c r="E854" s="12" t="s">
        <v>600</v>
      </c>
      <c r="F854" s="12" t="s">
        <v>106</v>
      </c>
      <c r="G854" s="12">
        <v>34</v>
      </c>
      <c r="H854" s="13">
        <v>0.25982638888888887</v>
      </c>
      <c r="I854" s="13">
        <v>6.2488425925925926E-2</v>
      </c>
      <c r="J854" s="13">
        <v>1.837894880174292E-3</v>
      </c>
      <c r="K854" s="13">
        <v>0.12789351851851852</v>
      </c>
      <c r="L854" s="14">
        <v>0.49222682524834072</v>
      </c>
      <c r="M854" s="12" t="s">
        <v>334</v>
      </c>
      <c r="N854" s="13">
        <v>6.6550925925925927E-3</v>
      </c>
      <c r="O854" s="13">
        <v>2.0011574074074074E-2</v>
      </c>
      <c r="P854" s="13"/>
      <c r="Q854" s="13"/>
      <c r="R854" s="13"/>
      <c r="S854" s="13">
        <v>1.3981481481481482E-2</v>
      </c>
      <c r="T854" s="13">
        <v>4.7453703703703703E-3</v>
      </c>
      <c r="U854" s="13">
        <v>1.1574074074074075E-4</v>
      </c>
      <c r="V854" s="13"/>
      <c r="W854" s="13">
        <v>8.2372685185185188E-2</v>
      </c>
    </row>
    <row r="855" spans="1:23" ht="15" customHeight="1" x14ac:dyDescent="0.25">
      <c r="A855" s="19">
        <v>46245</v>
      </c>
      <c r="B855" s="11" t="s">
        <v>606</v>
      </c>
      <c r="C855" s="12" t="s">
        <v>633</v>
      </c>
      <c r="D855" s="11" t="s">
        <v>146</v>
      </c>
      <c r="E855" s="12" t="s">
        <v>147</v>
      </c>
      <c r="F855" s="12" t="s">
        <v>106</v>
      </c>
      <c r="G855" s="12">
        <v>8</v>
      </c>
      <c r="H855" s="13">
        <v>0.26225694444444442</v>
      </c>
      <c r="I855" s="13">
        <v>5.1550925925925924E-2</v>
      </c>
      <c r="J855" s="13">
        <v>6.4438657407407405E-3</v>
      </c>
      <c r="K855" s="13">
        <v>9.7592592592592592E-2</v>
      </c>
      <c r="L855" s="14">
        <v>0.37212586610176973</v>
      </c>
      <c r="M855" s="12" t="s">
        <v>334</v>
      </c>
      <c r="N855" s="13">
        <v>2.7372685185185184E-2</v>
      </c>
      <c r="O855" s="13">
        <v>1.4837962962962963E-2</v>
      </c>
      <c r="P855" s="13"/>
      <c r="Q855" s="13">
        <v>2.5925925925925925E-3</v>
      </c>
      <c r="R855" s="13">
        <v>1.6203703703703703E-4</v>
      </c>
      <c r="S855" s="13">
        <v>1.3958333333333333E-2</v>
      </c>
      <c r="T855" s="13">
        <v>2.2453703703703702E-3</v>
      </c>
      <c r="U855" s="13">
        <v>3.4756944444444444E-2</v>
      </c>
      <c r="V855" s="13"/>
      <c r="W855" s="13">
        <v>1.6319444444444445E-3</v>
      </c>
    </row>
    <row r="856" spans="1:23" ht="15" customHeight="1" x14ac:dyDescent="0.25">
      <c r="A856" s="19">
        <v>46245</v>
      </c>
      <c r="B856" s="11" t="s">
        <v>256</v>
      </c>
      <c r="C856" s="12" t="s">
        <v>529</v>
      </c>
      <c r="D856" s="11" t="s">
        <v>233</v>
      </c>
      <c r="E856" s="12" t="s">
        <v>32</v>
      </c>
      <c r="F856" s="12" t="s">
        <v>106</v>
      </c>
      <c r="G856" s="12">
        <v>19</v>
      </c>
      <c r="H856" s="13">
        <v>0.2457175925925926</v>
      </c>
      <c r="I856" s="13">
        <v>7.4490740740740746E-2</v>
      </c>
      <c r="J856" s="13">
        <v>3.9205653021442497E-3</v>
      </c>
      <c r="K856" s="13">
        <v>6.4444444444444443E-2</v>
      </c>
      <c r="L856" s="14">
        <v>0.2622703721149317</v>
      </c>
      <c r="M856" s="12" t="s">
        <v>334</v>
      </c>
      <c r="N856" s="13">
        <v>1.5532407407407408E-2</v>
      </c>
      <c r="O856" s="13">
        <v>2.5902777777777778E-2</v>
      </c>
      <c r="P856" s="13"/>
      <c r="Q856" s="13"/>
      <c r="R856" s="13"/>
      <c r="S856" s="13">
        <v>1.7280092592592593E-2</v>
      </c>
      <c r="T856" s="13">
        <v>1.9907407407407408E-3</v>
      </c>
      <c r="U856" s="13">
        <v>3.7268518518518519E-3</v>
      </c>
      <c r="V856" s="13"/>
      <c r="W856" s="13"/>
    </row>
    <row r="857" spans="1:23" ht="15" customHeight="1" x14ac:dyDescent="0.25">
      <c r="A857" s="19">
        <v>46245</v>
      </c>
      <c r="B857" s="11" t="s">
        <v>612</v>
      </c>
      <c r="C857" s="12" t="s">
        <v>634</v>
      </c>
      <c r="D857" s="11" t="s">
        <v>601</v>
      </c>
      <c r="E857" s="12" t="s">
        <v>105</v>
      </c>
      <c r="F857" s="12" t="s">
        <v>33</v>
      </c>
      <c r="G857" s="12">
        <v>2</v>
      </c>
      <c r="H857" s="13">
        <v>0.23844907407407406</v>
      </c>
      <c r="I857" s="13">
        <v>3.619212962962963E-2</v>
      </c>
      <c r="J857" s="13">
        <v>1.8096064814814815E-2</v>
      </c>
      <c r="K857" s="13">
        <v>0.22055555555555556</v>
      </c>
      <c r="L857" s="14">
        <v>0.92495874186972149</v>
      </c>
      <c r="M857" s="12" t="s">
        <v>334</v>
      </c>
      <c r="N857" s="13">
        <v>8.1481481481481474E-3</v>
      </c>
      <c r="O857" s="13">
        <v>1.8287037037037036E-2</v>
      </c>
      <c r="P857" s="13"/>
      <c r="Q857" s="13"/>
      <c r="R857" s="13"/>
      <c r="S857" s="13">
        <v>1.6793981481481483E-2</v>
      </c>
      <c r="T857" s="13">
        <v>9.9305555555555553E-3</v>
      </c>
      <c r="U857" s="13">
        <v>0.16739583333333333</v>
      </c>
      <c r="V857" s="13"/>
      <c r="W857" s="13"/>
    </row>
    <row r="858" spans="1:23" ht="15" customHeight="1" x14ac:dyDescent="0.25">
      <c r="A858" s="19">
        <v>46245</v>
      </c>
      <c r="B858" s="11" t="s">
        <v>258</v>
      </c>
      <c r="C858" s="12" t="s">
        <v>554</v>
      </c>
      <c r="D858" s="11" t="s">
        <v>233</v>
      </c>
      <c r="E858" s="12" t="s">
        <v>32</v>
      </c>
      <c r="F858" s="12" t="s">
        <v>106</v>
      </c>
      <c r="G858" s="12">
        <v>0</v>
      </c>
      <c r="H858" s="13">
        <v>0.23766203703703703</v>
      </c>
      <c r="I858" s="13">
        <v>0</v>
      </c>
      <c r="J858" s="13">
        <v>0</v>
      </c>
      <c r="K858" s="13">
        <v>0.23443287037037036</v>
      </c>
      <c r="L858" s="14">
        <v>0.98641277880588285</v>
      </c>
      <c r="M858" s="12" t="s">
        <v>334</v>
      </c>
      <c r="N858" s="13"/>
      <c r="O858" s="13"/>
      <c r="P858" s="13"/>
      <c r="Q858" s="13"/>
      <c r="R858" s="13"/>
      <c r="S858" s="13">
        <v>1.4178240740740741E-2</v>
      </c>
      <c r="T858" s="13">
        <v>6.134259259259259E-4</v>
      </c>
      <c r="U858" s="13"/>
      <c r="V858" s="13"/>
      <c r="W858" s="13">
        <v>0.21964120370370371</v>
      </c>
    </row>
    <row r="859" spans="1:23" ht="15" customHeight="1" x14ac:dyDescent="0.25">
      <c r="A859" s="19">
        <v>46245</v>
      </c>
      <c r="B859" s="11" t="s">
        <v>661</v>
      </c>
      <c r="C859" s="12" t="s">
        <v>662</v>
      </c>
      <c r="D859" s="11" t="s">
        <v>100</v>
      </c>
      <c r="E859" s="12" t="s">
        <v>32</v>
      </c>
      <c r="F859" s="12" t="s">
        <v>33</v>
      </c>
      <c r="G859" s="12">
        <v>25</v>
      </c>
      <c r="H859" s="13">
        <v>0.25982638888888887</v>
      </c>
      <c r="I859" s="13">
        <v>0.18712962962962962</v>
      </c>
      <c r="J859" s="13">
        <v>7.485185185185185E-3</v>
      </c>
      <c r="K859" s="13">
        <v>5.2071759259259262E-2</v>
      </c>
      <c r="L859" s="14">
        <v>0.20040981780925657</v>
      </c>
      <c r="M859" s="12" t="s">
        <v>334</v>
      </c>
      <c r="N859" s="13">
        <v>1.238425925925926E-2</v>
      </c>
      <c r="O859" s="13">
        <v>7.9861111111111105E-3</v>
      </c>
      <c r="P859" s="13"/>
      <c r="Q859" s="13">
        <v>1.4467592592592592E-3</v>
      </c>
      <c r="R859" s="13"/>
      <c r="S859" s="13">
        <v>1.5011574074074075E-2</v>
      </c>
      <c r="T859" s="13">
        <v>9.3865740740740732E-3</v>
      </c>
      <c r="U859" s="13">
        <v>5.8217592592592592E-3</v>
      </c>
      <c r="V859" s="13"/>
      <c r="W859" s="13"/>
    </row>
    <row r="860" spans="1:23" ht="15" customHeight="1" x14ac:dyDescent="0.25">
      <c r="A860" s="19">
        <v>46245</v>
      </c>
      <c r="B860" s="11" t="s">
        <v>663</v>
      </c>
      <c r="C860" s="12" t="s">
        <v>664</v>
      </c>
      <c r="D860" s="11" t="s">
        <v>233</v>
      </c>
      <c r="E860" s="12" t="s">
        <v>32</v>
      </c>
      <c r="F860" s="12" t="s">
        <v>106</v>
      </c>
      <c r="G860" s="12">
        <v>21</v>
      </c>
      <c r="H860" s="13">
        <v>0.25723379629629628</v>
      </c>
      <c r="I860" s="13">
        <v>0.13513888888888889</v>
      </c>
      <c r="J860" s="13">
        <v>6.4351851851851853E-3</v>
      </c>
      <c r="K860" s="13">
        <v>2.8645833333333332E-2</v>
      </c>
      <c r="L860" s="14">
        <v>0.11136107986501688</v>
      </c>
      <c r="M860" s="12" t="s">
        <v>334</v>
      </c>
      <c r="N860" s="13">
        <v>3.6111111111111109E-3</v>
      </c>
      <c r="O860" s="13">
        <v>8.7962962962962968E-3</v>
      </c>
      <c r="P860" s="13"/>
      <c r="Q860" s="13"/>
      <c r="R860" s="13"/>
      <c r="S860" s="13">
        <v>1.4270833333333333E-2</v>
      </c>
      <c r="T860" s="13">
        <v>4.6296296296296298E-4</v>
      </c>
      <c r="U860" s="13">
        <v>1.5046296296296296E-3</v>
      </c>
      <c r="V860" s="13"/>
      <c r="W860" s="13"/>
    </row>
    <row r="861" spans="1:23" ht="15" customHeight="1" x14ac:dyDescent="0.25">
      <c r="A861" s="19">
        <v>46245</v>
      </c>
      <c r="B861" s="11" t="s">
        <v>203</v>
      </c>
      <c r="C861" s="12" t="s">
        <v>565</v>
      </c>
      <c r="D861" s="11" t="s">
        <v>601</v>
      </c>
      <c r="E861" s="12" t="s">
        <v>105</v>
      </c>
      <c r="F861" s="12" t="s">
        <v>33</v>
      </c>
      <c r="G861" s="12">
        <v>3</v>
      </c>
      <c r="H861" s="13">
        <v>0.18732638888888889</v>
      </c>
      <c r="I861" s="13">
        <v>4.7835648148148148E-2</v>
      </c>
      <c r="J861" s="13">
        <v>1.5945216049382715E-2</v>
      </c>
      <c r="K861" s="13">
        <v>0.15702546296296296</v>
      </c>
      <c r="L861" s="14">
        <v>0.83824528884769844</v>
      </c>
      <c r="M861" s="12" t="s">
        <v>334</v>
      </c>
      <c r="N861" s="13"/>
      <c r="O861" s="13">
        <v>1.1481481481481481E-2</v>
      </c>
      <c r="P861" s="13"/>
      <c r="Q861" s="13"/>
      <c r="R861" s="13"/>
      <c r="S861" s="13">
        <v>1.3391203703703704E-2</v>
      </c>
      <c r="T861" s="13">
        <v>7.5231481481481482E-4</v>
      </c>
      <c r="U861" s="13">
        <v>0.13140046296296296</v>
      </c>
      <c r="V861" s="13"/>
      <c r="W861" s="13"/>
    </row>
    <row r="862" spans="1:23" ht="15" customHeight="1" x14ac:dyDescent="0.25">
      <c r="A862" s="19">
        <v>46245</v>
      </c>
      <c r="B862" s="11" t="s">
        <v>665</v>
      </c>
      <c r="C862" s="12" t="s">
        <v>666</v>
      </c>
      <c r="D862" s="11" t="s">
        <v>100</v>
      </c>
      <c r="E862" s="12" t="s">
        <v>32</v>
      </c>
      <c r="F862" s="12" t="s">
        <v>33</v>
      </c>
      <c r="G862" s="12">
        <v>36</v>
      </c>
      <c r="H862" s="13">
        <v>0.2484837962962963</v>
      </c>
      <c r="I862" s="13">
        <v>0.17743055555555556</v>
      </c>
      <c r="J862" s="13">
        <v>4.9286265432098766E-3</v>
      </c>
      <c r="K862" s="13">
        <v>4.0740740740740744E-2</v>
      </c>
      <c r="L862" s="14">
        <v>0.16395733383017375</v>
      </c>
      <c r="M862" s="12" t="s">
        <v>334</v>
      </c>
      <c r="N862" s="13"/>
      <c r="O862" s="13">
        <v>1.4328703703703703E-2</v>
      </c>
      <c r="P862" s="13"/>
      <c r="Q862" s="13"/>
      <c r="R862" s="13">
        <v>6.9444444444444444E-5</v>
      </c>
      <c r="S862" s="13">
        <v>1.3831018518518519E-2</v>
      </c>
      <c r="T862" s="13">
        <v>3.449074074074074E-3</v>
      </c>
      <c r="U862" s="13">
        <v>9.0046296296296298E-3</v>
      </c>
      <c r="V862" s="13"/>
      <c r="W862" s="13"/>
    </row>
    <row r="863" spans="1:23" ht="15" customHeight="1" x14ac:dyDescent="0.25">
      <c r="A863" s="19">
        <v>46245</v>
      </c>
      <c r="B863" s="11" t="s">
        <v>128</v>
      </c>
      <c r="C863" s="12" t="s">
        <v>555</v>
      </c>
      <c r="D863" s="11" t="s">
        <v>233</v>
      </c>
      <c r="E863" s="12" t="s">
        <v>32</v>
      </c>
      <c r="F863" s="12" t="s">
        <v>106</v>
      </c>
      <c r="G863" s="12">
        <v>20</v>
      </c>
      <c r="H863" s="13">
        <v>0.23435185185185184</v>
      </c>
      <c r="I863" s="13">
        <v>8.458333333333333E-2</v>
      </c>
      <c r="J863" s="13">
        <v>4.2291666666666667E-3</v>
      </c>
      <c r="K863" s="13">
        <v>6.5949074074074077E-2</v>
      </c>
      <c r="L863" s="14">
        <v>0.28141050967996845</v>
      </c>
      <c r="M863" s="12" t="s">
        <v>334</v>
      </c>
      <c r="N863" s="13">
        <v>2.8229166666666666E-2</v>
      </c>
      <c r="O863" s="13">
        <v>1.6701388888888891E-2</v>
      </c>
      <c r="P863" s="13"/>
      <c r="Q863" s="13"/>
      <c r="R863" s="13"/>
      <c r="S863" s="13">
        <v>1.8842592592592591E-2</v>
      </c>
      <c r="T863" s="13">
        <v>1.9791666666666668E-3</v>
      </c>
      <c r="U863" s="13">
        <v>1.9675925925925926E-4</v>
      </c>
      <c r="V863" s="13"/>
      <c r="W863" s="13"/>
    </row>
    <row r="864" spans="1:23" ht="15" customHeight="1" x14ac:dyDescent="0.25">
      <c r="A864" s="19">
        <v>46245</v>
      </c>
      <c r="B864" s="11" t="s">
        <v>178</v>
      </c>
      <c r="C864" s="12" t="s">
        <v>522</v>
      </c>
      <c r="D864" s="11" t="s">
        <v>146</v>
      </c>
      <c r="E864" s="12" t="s">
        <v>147</v>
      </c>
      <c r="F864" s="12" t="s">
        <v>106</v>
      </c>
      <c r="G864" s="12">
        <v>12</v>
      </c>
      <c r="H864" s="13">
        <v>0.26142361111111112</v>
      </c>
      <c r="I864" s="13">
        <v>4.5868055555555558E-2</v>
      </c>
      <c r="J864" s="13">
        <v>3.8223379629629631E-3</v>
      </c>
      <c r="K864" s="13">
        <v>3.6238425925925924E-2</v>
      </c>
      <c r="L864" s="14">
        <v>0.13861955992385</v>
      </c>
      <c r="M864" s="12" t="s">
        <v>334</v>
      </c>
      <c r="N864" s="13">
        <v>3.6805555555555554E-3</v>
      </c>
      <c r="O864" s="13">
        <v>1.53125E-2</v>
      </c>
      <c r="P864" s="13"/>
      <c r="Q864" s="13">
        <v>2.4189814814814816E-3</v>
      </c>
      <c r="R864" s="13"/>
      <c r="S864" s="13">
        <v>1.4467592592592593E-2</v>
      </c>
      <c r="T864" s="13">
        <v>6.9444444444444444E-5</v>
      </c>
      <c r="U864" s="13">
        <v>2.8935185185185184E-4</v>
      </c>
      <c r="V864" s="13"/>
      <c r="W864" s="13"/>
    </row>
    <row r="865" spans="1:23" ht="15" customHeight="1" x14ac:dyDescent="0.25">
      <c r="A865" s="19">
        <v>46245</v>
      </c>
      <c r="B865" s="11" t="s">
        <v>266</v>
      </c>
      <c r="C865" s="12" t="s">
        <v>531</v>
      </c>
      <c r="D865" s="11" t="s">
        <v>233</v>
      </c>
      <c r="E865" s="12" t="s">
        <v>32</v>
      </c>
      <c r="F865" s="12" t="s">
        <v>106</v>
      </c>
      <c r="G865" s="12">
        <v>0</v>
      </c>
      <c r="H865" s="13">
        <v>0.24214120370370371</v>
      </c>
      <c r="I865" s="13">
        <v>0</v>
      </c>
      <c r="J865" s="13">
        <v>0</v>
      </c>
      <c r="K865" s="13">
        <v>0.24214120370370371</v>
      </c>
      <c r="L865" s="14">
        <v>1</v>
      </c>
      <c r="M865" s="12" t="s">
        <v>334</v>
      </c>
      <c r="N865" s="13"/>
      <c r="O865" s="13">
        <v>1.5173611111111112E-2</v>
      </c>
      <c r="P865" s="13"/>
      <c r="Q865" s="13"/>
      <c r="R865" s="13"/>
      <c r="S865" s="13">
        <v>1.4143518518518519E-2</v>
      </c>
      <c r="T865" s="13">
        <v>5.6712962962962967E-4</v>
      </c>
      <c r="U865" s="13"/>
      <c r="V865" s="13"/>
      <c r="W865" s="13">
        <v>0.21225694444444446</v>
      </c>
    </row>
    <row r="866" spans="1:23" ht="15" customHeight="1" x14ac:dyDescent="0.25">
      <c r="A866" s="19">
        <v>46245</v>
      </c>
      <c r="B866" s="11" t="s">
        <v>297</v>
      </c>
      <c r="C866" s="12" t="s">
        <v>667</v>
      </c>
      <c r="D866" s="11" t="s">
        <v>104</v>
      </c>
      <c r="E866" s="12" t="s">
        <v>105</v>
      </c>
      <c r="F866" s="12" t="s">
        <v>106</v>
      </c>
      <c r="G866" s="12">
        <v>9</v>
      </c>
      <c r="H866" s="13">
        <v>0.2300925925925926</v>
      </c>
      <c r="I866" s="13">
        <v>0.1207175925925926</v>
      </c>
      <c r="J866" s="13">
        <v>1.34130658436214E-2</v>
      </c>
      <c r="K866" s="13">
        <v>0.14802083333333332</v>
      </c>
      <c r="L866" s="14">
        <v>0.64330985915492955</v>
      </c>
      <c r="M866" s="12" t="s">
        <v>334</v>
      </c>
      <c r="N866" s="13">
        <v>1.1238425925925926E-2</v>
      </c>
      <c r="O866" s="13">
        <v>1.3252314814814814E-2</v>
      </c>
      <c r="P866" s="13"/>
      <c r="Q866" s="13"/>
      <c r="R866" s="13"/>
      <c r="S866" s="13">
        <v>3.6458333333333334E-3</v>
      </c>
      <c r="T866" s="13">
        <v>1.8518518518518518E-4</v>
      </c>
      <c r="U866" s="13">
        <v>2.0833333333333335E-4</v>
      </c>
      <c r="V866" s="13"/>
      <c r="W866" s="13">
        <v>0.11947916666666666</v>
      </c>
    </row>
    <row r="867" spans="1:23" ht="15" customHeight="1" x14ac:dyDescent="0.25">
      <c r="A867" s="19">
        <v>46245</v>
      </c>
      <c r="B867" s="11" t="s">
        <v>207</v>
      </c>
      <c r="C867" s="12" t="s">
        <v>566</v>
      </c>
      <c r="D867" s="11" t="s">
        <v>274</v>
      </c>
      <c r="E867" s="12" t="s">
        <v>147</v>
      </c>
      <c r="F867" s="12" t="s">
        <v>33</v>
      </c>
      <c r="G867" s="12">
        <v>23</v>
      </c>
      <c r="H867" s="13">
        <v>0.26</v>
      </c>
      <c r="I867" s="13">
        <v>8.666666666666667E-2</v>
      </c>
      <c r="J867" s="13">
        <v>3.7681159420289855E-3</v>
      </c>
      <c r="K867" s="13">
        <v>3.2361111111111111E-2</v>
      </c>
      <c r="L867" s="14">
        <v>0.12446581196581197</v>
      </c>
      <c r="M867" s="12" t="s">
        <v>334</v>
      </c>
      <c r="N867" s="13">
        <v>2.1527777777777778E-3</v>
      </c>
      <c r="O867" s="13">
        <v>1.40625E-2</v>
      </c>
      <c r="P867" s="13"/>
      <c r="Q867" s="13"/>
      <c r="R867" s="13"/>
      <c r="S867" s="13">
        <v>1.474537037037037E-2</v>
      </c>
      <c r="T867" s="13">
        <v>6.9444444444444444E-5</v>
      </c>
      <c r="U867" s="13">
        <v>1.2731481481481483E-3</v>
      </c>
      <c r="V867" s="13"/>
      <c r="W867" s="13"/>
    </row>
    <row r="868" spans="1:23" ht="15" customHeight="1" x14ac:dyDescent="0.25">
      <c r="A868" s="19">
        <v>46245</v>
      </c>
      <c r="B868" s="11" t="s">
        <v>614</v>
      </c>
      <c r="C868" s="12" t="s">
        <v>635</v>
      </c>
      <c r="D868" s="11" t="s">
        <v>601</v>
      </c>
      <c r="E868" s="12" t="s">
        <v>105</v>
      </c>
      <c r="F868" s="12" t="s">
        <v>33</v>
      </c>
      <c r="G868" s="12">
        <v>4</v>
      </c>
      <c r="H868" s="13">
        <v>0.21465277777777778</v>
      </c>
      <c r="I868" s="13">
        <v>8.4513888888888888E-2</v>
      </c>
      <c r="J868" s="13">
        <v>2.1128472222222222E-2</v>
      </c>
      <c r="K868" s="13">
        <v>0.15942129629629628</v>
      </c>
      <c r="L868" s="14">
        <v>0.74269384233797042</v>
      </c>
      <c r="M868" s="12" t="s">
        <v>334</v>
      </c>
      <c r="N868" s="13">
        <v>2.1412037037037038E-3</v>
      </c>
      <c r="O868" s="13">
        <v>1.2291666666666666E-2</v>
      </c>
      <c r="P868" s="13"/>
      <c r="Q868" s="13"/>
      <c r="R868" s="13"/>
      <c r="S868" s="13">
        <v>1.5289351851851853E-2</v>
      </c>
      <c r="T868" s="13">
        <v>6.7361111111111111E-3</v>
      </c>
      <c r="U868" s="13">
        <v>0.12283564814814815</v>
      </c>
      <c r="V868" s="13"/>
      <c r="W868" s="13">
        <v>1.273148148148148E-4</v>
      </c>
    </row>
    <row r="869" spans="1:23" ht="15" customHeight="1" x14ac:dyDescent="0.25">
      <c r="A869" s="19">
        <v>46245</v>
      </c>
      <c r="B869" s="11" t="s">
        <v>96</v>
      </c>
      <c r="C869" s="12" t="s">
        <v>97</v>
      </c>
      <c r="D869" s="11" t="s">
        <v>78</v>
      </c>
      <c r="E869" s="12" t="s">
        <v>80</v>
      </c>
      <c r="F869" s="12" t="s">
        <v>81</v>
      </c>
      <c r="G869" s="12">
        <v>1</v>
      </c>
      <c r="H869" s="13">
        <v>0.31935185185185183</v>
      </c>
      <c r="I869" s="13">
        <v>1.9872685185185184E-2</v>
      </c>
      <c r="J869" s="13">
        <v>1.9872685185185184E-2</v>
      </c>
      <c r="K869" s="13">
        <v>7.6585648148148153E-2</v>
      </c>
      <c r="L869" s="14">
        <v>0.23981588866338072</v>
      </c>
      <c r="M869" s="12" t="s">
        <v>334</v>
      </c>
      <c r="N869" s="13">
        <v>1.7025462962962964E-2</v>
      </c>
      <c r="O869" s="13">
        <v>5.949074074074074E-2</v>
      </c>
      <c r="P869" s="13"/>
      <c r="Q869" s="13"/>
      <c r="R869" s="13"/>
      <c r="S869" s="13"/>
      <c r="T869" s="13">
        <v>6.9444444444444444E-5</v>
      </c>
      <c r="U869" s="13"/>
      <c r="V869" s="13"/>
      <c r="W869" s="13"/>
    </row>
    <row r="870" spans="1:23" ht="15" customHeight="1" x14ac:dyDescent="0.25">
      <c r="A870" s="19">
        <v>46245</v>
      </c>
      <c r="B870" s="11" t="s">
        <v>180</v>
      </c>
      <c r="C870" s="12" t="s">
        <v>523</v>
      </c>
      <c r="D870" s="11" t="s">
        <v>146</v>
      </c>
      <c r="E870" s="12" t="s">
        <v>147</v>
      </c>
      <c r="F870" s="12" t="s">
        <v>106</v>
      </c>
      <c r="G870" s="12">
        <v>14</v>
      </c>
      <c r="H870" s="13">
        <v>0.31408564814814816</v>
      </c>
      <c r="I870" s="13">
        <v>6.4849537037037039E-2</v>
      </c>
      <c r="J870" s="13">
        <v>4.6321097883597886E-3</v>
      </c>
      <c r="K870" s="13">
        <v>3.502314814814815E-2</v>
      </c>
      <c r="L870" s="14">
        <v>0.1115082728378229</v>
      </c>
      <c r="M870" s="12" t="s">
        <v>334</v>
      </c>
      <c r="N870" s="13">
        <v>3.6458333333333334E-3</v>
      </c>
      <c r="O870" s="13">
        <v>1.4189814814814815E-2</v>
      </c>
      <c r="P870" s="13"/>
      <c r="Q870" s="13">
        <v>2.4074074074074076E-3</v>
      </c>
      <c r="R870" s="13"/>
      <c r="S870" s="13">
        <v>1.3657407407407408E-2</v>
      </c>
      <c r="T870" s="13">
        <v>2.0833333333333335E-4</v>
      </c>
      <c r="U870" s="13">
        <v>5.3240740740740744E-4</v>
      </c>
      <c r="V870" s="13"/>
      <c r="W870" s="13">
        <v>3.8194444444444446E-4</v>
      </c>
    </row>
    <row r="871" spans="1:23" ht="15" customHeight="1" x14ac:dyDescent="0.25">
      <c r="A871" s="19">
        <v>46245</v>
      </c>
      <c r="B871" s="11" t="s">
        <v>615</v>
      </c>
      <c r="C871" s="12" t="s">
        <v>636</v>
      </c>
      <c r="D871" s="11" t="s">
        <v>601</v>
      </c>
      <c r="E871" s="12" t="s">
        <v>105</v>
      </c>
      <c r="F871" s="12" t="s">
        <v>33</v>
      </c>
      <c r="G871" s="12">
        <v>4</v>
      </c>
      <c r="H871" s="13">
        <v>0.19876157407407408</v>
      </c>
      <c r="I871" s="13">
        <v>5.1377314814814813E-2</v>
      </c>
      <c r="J871" s="13">
        <v>1.2844328703703703E-2</v>
      </c>
      <c r="K871" s="13">
        <v>0.17444444444444446</v>
      </c>
      <c r="L871" s="14">
        <v>0.87765678681651438</v>
      </c>
      <c r="M871" s="12" t="s">
        <v>334</v>
      </c>
      <c r="N871" s="13">
        <v>2.0717592592592593E-3</v>
      </c>
      <c r="O871" s="13">
        <v>1.3796296296296296E-2</v>
      </c>
      <c r="P871" s="13"/>
      <c r="Q871" s="13"/>
      <c r="R871" s="13"/>
      <c r="S871" s="13">
        <v>1.2083333333333333E-2</v>
      </c>
      <c r="T871" s="13">
        <v>6.018518518518519E-4</v>
      </c>
      <c r="U871" s="13">
        <v>0.14570601851851853</v>
      </c>
      <c r="V871" s="13"/>
      <c r="W871" s="13">
        <v>1.8518518518518518E-4</v>
      </c>
    </row>
    <row r="872" spans="1:23" ht="15" customHeight="1" x14ac:dyDescent="0.25">
      <c r="A872" s="19">
        <v>46245</v>
      </c>
      <c r="B872" s="11" t="s">
        <v>616</v>
      </c>
      <c r="C872" s="12" t="s">
        <v>637</v>
      </c>
      <c r="D872" s="11" t="s">
        <v>601</v>
      </c>
      <c r="E872" s="12" t="s">
        <v>105</v>
      </c>
      <c r="F872" s="12" t="s">
        <v>33</v>
      </c>
      <c r="G872" s="12">
        <v>2</v>
      </c>
      <c r="H872" s="13">
        <v>0.22685185185185186</v>
      </c>
      <c r="I872" s="13">
        <v>5.4837962962962963E-2</v>
      </c>
      <c r="J872" s="13">
        <v>2.7418981481481482E-2</v>
      </c>
      <c r="K872" s="13">
        <v>0.20548611111111112</v>
      </c>
      <c r="L872" s="14">
        <v>0.90581632653061228</v>
      </c>
      <c r="M872" s="12" t="s">
        <v>334</v>
      </c>
      <c r="N872" s="13"/>
      <c r="O872" s="13">
        <v>1.5081018518518518E-2</v>
      </c>
      <c r="P872" s="13"/>
      <c r="Q872" s="13"/>
      <c r="R872" s="13"/>
      <c r="S872" s="13">
        <v>1.4131944444444445E-2</v>
      </c>
      <c r="T872" s="13">
        <v>4.1666666666666669E-4</v>
      </c>
      <c r="U872" s="13">
        <v>0.17585648148148147</v>
      </c>
      <c r="V872" s="13"/>
      <c r="W872" s="13"/>
    </row>
    <row r="873" spans="1:23" ht="15" customHeight="1" x14ac:dyDescent="0.25">
      <c r="A873" s="19">
        <v>46245</v>
      </c>
      <c r="B873" s="11" t="s">
        <v>209</v>
      </c>
      <c r="C873" s="12" t="s">
        <v>567</v>
      </c>
      <c r="D873" s="11" t="s">
        <v>601</v>
      </c>
      <c r="E873" s="12" t="s">
        <v>105</v>
      </c>
      <c r="F873" s="12" t="s">
        <v>33</v>
      </c>
      <c r="G873" s="12">
        <v>2</v>
      </c>
      <c r="H873" s="13">
        <v>0.23480324074074074</v>
      </c>
      <c r="I873" s="13">
        <v>6.8437499999999998E-2</v>
      </c>
      <c r="J873" s="13">
        <v>3.4218749999999999E-2</v>
      </c>
      <c r="K873" s="13">
        <v>0.19642361111111112</v>
      </c>
      <c r="L873" s="14">
        <v>0.83654557105535565</v>
      </c>
      <c r="M873" s="12" t="s">
        <v>334</v>
      </c>
      <c r="N873" s="13"/>
      <c r="O873" s="13">
        <v>7.0486111111111114E-3</v>
      </c>
      <c r="P873" s="13"/>
      <c r="Q873" s="13"/>
      <c r="R873" s="13"/>
      <c r="S873" s="13">
        <v>3.8194444444444443E-3</v>
      </c>
      <c r="T873" s="13">
        <v>8.564814814814815E-4</v>
      </c>
      <c r="U873" s="13">
        <v>0.18469907407407407</v>
      </c>
      <c r="V873" s="13"/>
      <c r="W873" s="13"/>
    </row>
    <row r="874" spans="1:23" ht="15" customHeight="1" x14ac:dyDescent="0.25">
      <c r="A874" s="19">
        <v>46245</v>
      </c>
      <c r="B874" s="11" t="s">
        <v>60</v>
      </c>
      <c r="C874" s="12" t="s">
        <v>510</v>
      </c>
      <c r="D874" s="11" t="s">
        <v>100</v>
      </c>
      <c r="E874" s="12" t="s">
        <v>32</v>
      </c>
      <c r="F874" s="12" t="s">
        <v>33</v>
      </c>
      <c r="G874" s="12">
        <v>42</v>
      </c>
      <c r="H874" s="13">
        <v>0.33210648148148147</v>
      </c>
      <c r="I874" s="13">
        <v>0.24208333333333334</v>
      </c>
      <c r="J874" s="13">
        <v>5.7638888888888896E-3</v>
      </c>
      <c r="K874" s="13">
        <v>3.7384259259259256E-2</v>
      </c>
      <c r="L874" s="14">
        <v>0.11256708719592945</v>
      </c>
      <c r="M874" s="12" t="s">
        <v>334</v>
      </c>
      <c r="N874" s="13"/>
      <c r="O874" s="13">
        <v>1.3993055555555555E-2</v>
      </c>
      <c r="P874" s="13"/>
      <c r="Q874" s="13"/>
      <c r="R874" s="13"/>
      <c r="S874" s="13">
        <v>1.462962962962963E-2</v>
      </c>
      <c r="T874" s="13">
        <v>2.3148148148148149E-4</v>
      </c>
      <c r="U874" s="13">
        <v>8.472222222222223E-3</v>
      </c>
      <c r="V874" s="13"/>
      <c r="W874" s="13"/>
    </row>
    <row r="875" spans="1:23" ht="15" customHeight="1" x14ac:dyDescent="0.25">
      <c r="A875" s="19">
        <v>46245</v>
      </c>
      <c r="B875" s="11" t="s">
        <v>132</v>
      </c>
      <c r="C875" s="12" t="s">
        <v>512</v>
      </c>
      <c r="D875" s="11" t="s">
        <v>104</v>
      </c>
      <c r="E875" s="12" t="s">
        <v>105</v>
      </c>
      <c r="F875" s="12" t="s">
        <v>106</v>
      </c>
      <c r="G875" s="12">
        <v>8</v>
      </c>
      <c r="H875" s="13">
        <v>0.25024305555555554</v>
      </c>
      <c r="I875" s="13">
        <v>0.10751157407407408</v>
      </c>
      <c r="J875" s="13">
        <v>1.343894675925926E-2</v>
      </c>
      <c r="K875" s="13">
        <v>0.1411574074074074</v>
      </c>
      <c r="L875" s="14">
        <v>0.56408121733499839</v>
      </c>
      <c r="M875" s="12" t="s">
        <v>334</v>
      </c>
      <c r="N875" s="13">
        <v>6.030092592592593E-3</v>
      </c>
      <c r="O875" s="13">
        <v>1.5092592592592593E-2</v>
      </c>
      <c r="P875" s="13"/>
      <c r="Q875" s="13">
        <v>5.0925925925925921E-4</v>
      </c>
      <c r="R875" s="13"/>
      <c r="S875" s="13">
        <v>7.1527777777777779E-3</v>
      </c>
      <c r="T875" s="13">
        <v>5.4166666666666669E-3</v>
      </c>
      <c r="U875" s="13">
        <v>8.3333333333333339E-4</v>
      </c>
      <c r="V875" s="13"/>
      <c r="W875" s="13">
        <v>0.10611111111111111</v>
      </c>
    </row>
    <row r="876" spans="1:23" ht="15" customHeight="1" x14ac:dyDescent="0.25">
      <c r="A876" s="19">
        <v>46245</v>
      </c>
      <c r="B876" s="11" t="s">
        <v>134</v>
      </c>
      <c r="C876" s="12" t="s">
        <v>560</v>
      </c>
      <c r="D876" s="11" t="s">
        <v>104</v>
      </c>
      <c r="E876" s="12" t="s">
        <v>105</v>
      </c>
      <c r="F876" s="12" t="s">
        <v>106</v>
      </c>
      <c r="G876" s="12">
        <v>6</v>
      </c>
      <c r="H876" s="13">
        <v>0.26297453703703705</v>
      </c>
      <c r="I876" s="13">
        <v>8.7499999999999994E-2</v>
      </c>
      <c r="J876" s="13">
        <v>1.4583333333333332E-2</v>
      </c>
      <c r="K876" s="13">
        <v>0.16138888888888889</v>
      </c>
      <c r="L876" s="14">
        <v>0.61370538268562125</v>
      </c>
      <c r="M876" s="12" t="s">
        <v>334</v>
      </c>
      <c r="N876" s="13">
        <v>1.3159722222222222E-2</v>
      </c>
      <c r="O876" s="13">
        <v>1.2094907407407407E-2</v>
      </c>
      <c r="P876" s="13"/>
      <c r="Q876" s="13"/>
      <c r="R876" s="13"/>
      <c r="S876" s="13">
        <v>1.1377314814814814E-2</v>
      </c>
      <c r="T876" s="13">
        <v>2.2337962962962962E-3</v>
      </c>
      <c r="U876" s="13">
        <v>1.1319444444444444E-2</v>
      </c>
      <c r="V876" s="13"/>
      <c r="W876" s="13">
        <v>0.11119212962962963</v>
      </c>
    </row>
    <row r="877" spans="1:23" ht="15" customHeight="1" x14ac:dyDescent="0.25">
      <c r="A877" s="19">
        <v>46245</v>
      </c>
      <c r="B877" s="11" t="s">
        <v>211</v>
      </c>
      <c r="C877" s="12" t="s">
        <v>546</v>
      </c>
      <c r="D877" s="11" t="s">
        <v>104</v>
      </c>
      <c r="E877" s="12" t="s">
        <v>105</v>
      </c>
      <c r="F877" s="12" t="s">
        <v>106</v>
      </c>
      <c r="G877" s="12">
        <v>8</v>
      </c>
      <c r="H877" s="13">
        <v>0.2217824074074074</v>
      </c>
      <c r="I877" s="13">
        <v>0.13574074074074075</v>
      </c>
      <c r="J877" s="13">
        <v>1.6967592592592593E-2</v>
      </c>
      <c r="K877" s="13">
        <v>8.9340277777777782E-2</v>
      </c>
      <c r="L877" s="14">
        <v>0.40282851476881332</v>
      </c>
      <c r="M877" s="12" t="s">
        <v>334</v>
      </c>
      <c r="N877" s="13">
        <v>3.449074074074074E-3</v>
      </c>
      <c r="O877" s="13">
        <v>6.6782407407407407E-3</v>
      </c>
      <c r="P877" s="13"/>
      <c r="Q877" s="13"/>
      <c r="R877" s="13"/>
      <c r="S877" s="13">
        <v>1.269675925925926E-2</v>
      </c>
      <c r="T877" s="13">
        <v>5.0925925925925921E-4</v>
      </c>
      <c r="U877" s="13">
        <v>9.8379629629629633E-3</v>
      </c>
      <c r="V877" s="13"/>
      <c r="W877" s="13">
        <v>5.6145833333333332E-2</v>
      </c>
    </row>
    <row r="878" spans="1:23" ht="15" customHeight="1" x14ac:dyDescent="0.25">
      <c r="A878" s="19">
        <v>46245</v>
      </c>
      <c r="B878" s="11" t="s">
        <v>617</v>
      </c>
      <c r="C878" s="12" t="s">
        <v>638</v>
      </c>
      <c r="D878" s="11" t="s">
        <v>601</v>
      </c>
      <c r="E878" s="12" t="s">
        <v>105</v>
      </c>
      <c r="F878" s="12" t="s">
        <v>33</v>
      </c>
      <c r="G878" s="12">
        <v>4</v>
      </c>
      <c r="H878" s="13">
        <v>0.23505787037037038</v>
      </c>
      <c r="I878" s="13">
        <v>3.7592592592592594E-2</v>
      </c>
      <c r="J878" s="13">
        <v>9.3981481481481485E-3</v>
      </c>
      <c r="K878" s="13">
        <v>0.21524305555555556</v>
      </c>
      <c r="L878" s="14">
        <v>0.9157023979516471</v>
      </c>
      <c r="M878" s="12" t="s">
        <v>334</v>
      </c>
      <c r="N878" s="13">
        <v>8.1712962962962963E-3</v>
      </c>
      <c r="O878" s="13">
        <v>2.0532407407407409E-2</v>
      </c>
      <c r="P878" s="13"/>
      <c r="Q878" s="13"/>
      <c r="R878" s="13"/>
      <c r="S878" s="13">
        <v>1.5358796296296296E-2</v>
      </c>
      <c r="T878" s="13">
        <v>2.8587962962962963E-3</v>
      </c>
      <c r="U878" s="13">
        <v>0.16832175925925927</v>
      </c>
      <c r="V878" s="13"/>
      <c r="W878" s="13"/>
    </row>
    <row r="879" spans="1:23" ht="15" customHeight="1" x14ac:dyDescent="0.25">
      <c r="A879" s="19">
        <v>46245</v>
      </c>
      <c r="B879" s="11" t="s">
        <v>618</v>
      </c>
      <c r="C879" s="12" t="s">
        <v>639</v>
      </c>
      <c r="D879" s="11" t="s">
        <v>601</v>
      </c>
      <c r="E879" s="12" t="s">
        <v>105</v>
      </c>
      <c r="F879" s="12" t="s">
        <v>33</v>
      </c>
      <c r="G879" s="12">
        <v>3</v>
      </c>
      <c r="H879" s="13">
        <v>0.21516203703703704</v>
      </c>
      <c r="I879" s="13">
        <v>7.5671296296296292E-2</v>
      </c>
      <c r="J879" s="13">
        <v>2.5223765432098765E-2</v>
      </c>
      <c r="K879" s="13">
        <v>0.18054398148148149</v>
      </c>
      <c r="L879" s="14">
        <v>0.83910704679935455</v>
      </c>
      <c r="M879" s="12" t="s">
        <v>334</v>
      </c>
      <c r="N879" s="13">
        <v>7.8009259259259256E-3</v>
      </c>
      <c r="O879" s="13">
        <v>1.832175925925926E-2</v>
      </c>
      <c r="P879" s="13"/>
      <c r="Q879" s="13"/>
      <c r="R879" s="13"/>
      <c r="S879" s="13">
        <v>1.6331018518518519E-2</v>
      </c>
      <c r="T879" s="13">
        <v>3.2638888888888891E-3</v>
      </c>
      <c r="U879" s="13">
        <v>0.1348148148148148</v>
      </c>
      <c r="V879" s="13"/>
      <c r="W879" s="13"/>
    </row>
    <row r="880" spans="1:23" ht="15" customHeight="1" x14ac:dyDescent="0.25">
      <c r="A880" s="19">
        <v>46245</v>
      </c>
      <c r="B880" s="11" t="s">
        <v>501</v>
      </c>
      <c r="C880" s="12" t="s">
        <v>524</v>
      </c>
      <c r="D880" s="11" t="s">
        <v>274</v>
      </c>
      <c r="E880" s="12" t="s">
        <v>147</v>
      </c>
      <c r="F880" s="12" t="s">
        <v>33</v>
      </c>
      <c r="G880" s="12">
        <v>20</v>
      </c>
      <c r="H880" s="13">
        <v>0.27166666666666667</v>
      </c>
      <c r="I880" s="13">
        <v>6.4814814814814811E-2</v>
      </c>
      <c r="J880" s="13">
        <v>3.2407407407407406E-3</v>
      </c>
      <c r="K880" s="13">
        <v>3.484953703703704E-2</v>
      </c>
      <c r="L880" s="14">
        <v>0.12828050443081118</v>
      </c>
      <c r="M880" s="12" t="s">
        <v>334</v>
      </c>
      <c r="N880" s="13">
        <v>2.8819444444444444E-3</v>
      </c>
      <c r="O880" s="13">
        <v>1.5231481481481481E-2</v>
      </c>
      <c r="P880" s="13"/>
      <c r="Q880" s="13">
        <v>4.1435185185185186E-3</v>
      </c>
      <c r="R880" s="13"/>
      <c r="S880" s="13">
        <v>1.1909722222222223E-2</v>
      </c>
      <c r="T880" s="13">
        <v>5.2083333333333333E-4</v>
      </c>
      <c r="U880" s="13">
        <v>1.6203703703703703E-4</v>
      </c>
      <c r="V880" s="13"/>
      <c r="W880" s="13"/>
    </row>
    <row r="881" spans="1:23" ht="15" customHeight="1" x14ac:dyDescent="0.25">
      <c r="A881" s="19">
        <v>46245</v>
      </c>
      <c r="B881" s="11" t="s">
        <v>213</v>
      </c>
      <c r="C881" s="12" t="s">
        <v>572</v>
      </c>
      <c r="D881" s="11" t="s">
        <v>601</v>
      </c>
      <c r="E881" s="12" t="s">
        <v>105</v>
      </c>
      <c r="F881" s="12" t="s">
        <v>33</v>
      </c>
      <c r="G881" s="12">
        <v>3</v>
      </c>
      <c r="H881" s="13">
        <v>0.25072916666666667</v>
      </c>
      <c r="I881" s="13">
        <v>6.4062499999999994E-2</v>
      </c>
      <c r="J881" s="13">
        <v>2.1354166666666664E-2</v>
      </c>
      <c r="K881" s="13">
        <v>0.22990740740740739</v>
      </c>
      <c r="L881" s="14">
        <v>0.91695517702995888</v>
      </c>
      <c r="M881" s="12" t="s">
        <v>334</v>
      </c>
      <c r="N881" s="13">
        <v>1.7916666666666668E-2</v>
      </c>
      <c r="O881" s="13">
        <v>1.8587962962962962E-2</v>
      </c>
      <c r="P881" s="13"/>
      <c r="Q881" s="13"/>
      <c r="R881" s="13"/>
      <c r="S881" s="13">
        <v>1.4050925925925927E-2</v>
      </c>
      <c r="T881" s="13">
        <v>6.7013888888888887E-3</v>
      </c>
      <c r="U881" s="13">
        <v>0.17265046296296296</v>
      </c>
      <c r="V881" s="13"/>
      <c r="W881" s="13"/>
    </row>
    <row r="882" spans="1:23" ht="15" customHeight="1" x14ac:dyDescent="0.25">
      <c r="A882" s="19">
        <v>46245</v>
      </c>
      <c r="B882" s="11" t="s">
        <v>619</v>
      </c>
      <c r="C882" s="12" t="s">
        <v>640</v>
      </c>
      <c r="D882" s="11" t="s">
        <v>601</v>
      </c>
      <c r="E882" s="12" t="s">
        <v>105</v>
      </c>
      <c r="F882" s="12" t="s">
        <v>33</v>
      </c>
      <c r="G882" s="12">
        <v>4</v>
      </c>
      <c r="H882" s="13">
        <v>0.2069212962962963</v>
      </c>
      <c r="I882" s="13">
        <v>6.5405092592592598E-2</v>
      </c>
      <c r="J882" s="13">
        <v>1.6351273148148149E-2</v>
      </c>
      <c r="K882" s="13">
        <v>0.17898148148148149</v>
      </c>
      <c r="L882" s="14">
        <v>0.86497371070589557</v>
      </c>
      <c r="M882" s="12" t="s">
        <v>334</v>
      </c>
      <c r="N882" s="13">
        <v>6.8402777777777776E-3</v>
      </c>
      <c r="O882" s="13">
        <v>8.9814814814814809E-3</v>
      </c>
      <c r="P882" s="13"/>
      <c r="Q882" s="13"/>
      <c r="R882" s="13"/>
      <c r="S882" s="13">
        <v>1.4768518518518519E-2</v>
      </c>
      <c r="T882" s="13">
        <v>5.9027777777777778E-4</v>
      </c>
      <c r="U882" s="13">
        <v>0.14774305555555556</v>
      </c>
      <c r="V882" s="13"/>
      <c r="W882" s="13">
        <v>5.7870370370370373E-5</v>
      </c>
    </row>
    <row r="883" spans="1:23" ht="15" customHeight="1" x14ac:dyDescent="0.25">
      <c r="A883" s="19">
        <v>46245</v>
      </c>
      <c r="B883" s="11" t="s">
        <v>668</v>
      </c>
      <c r="C883" s="12" t="s">
        <v>669</v>
      </c>
      <c r="D883" s="11" t="s">
        <v>233</v>
      </c>
      <c r="E883" s="12" t="s">
        <v>32</v>
      </c>
      <c r="F883" s="12" t="s">
        <v>106</v>
      </c>
      <c r="G883" s="12">
        <v>23</v>
      </c>
      <c r="H883" s="13">
        <v>0.25666666666666665</v>
      </c>
      <c r="I883" s="13">
        <v>0.11449074074074074</v>
      </c>
      <c r="J883" s="13">
        <v>4.9778582930756843E-3</v>
      </c>
      <c r="K883" s="13">
        <v>4.628472222222222E-2</v>
      </c>
      <c r="L883" s="14">
        <v>0.18033008658008659</v>
      </c>
      <c r="M883" s="12" t="s">
        <v>334</v>
      </c>
      <c r="N883" s="13">
        <v>8.9583333333333338E-3</v>
      </c>
      <c r="O883" s="13">
        <v>1.7488425925925925E-2</v>
      </c>
      <c r="P883" s="13"/>
      <c r="Q883" s="13"/>
      <c r="R883" s="13"/>
      <c r="S883" s="13">
        <v>1.2847222222222222E-2</v>
      </c>
      <c r="T883" s="13">
        <v>5.9722222222222225E-3</v>
      </c>
      <c r="U883" s="13">
        <v>1.0185185185185184E-3</v>
      </c>
      <c r="V883" s="13"/>
      <c r="W883" s="13"/>
    </row>
    <row r="884" spans="1:23" ht="15" customHeight="1" x14ac:dyDescent="0.25">
      <c r="A884" s="19">
        <v>46245</v>
      </c>
      <c r="B884" s="11" t="s">
        <v>744</v>
      </c>
      <c r="C884" s="12" t="s">
        <v>670</v>
      </c>
      <c r="D884" s="11" t="s">
        <v>100</v>
      </c>
      <c r="E884" s="12" t="s">
        <v>32</v>
      </c>
      <c r="F884" s="12" t="s">
        <v>33</v>
      </c>
      <c r="G884" s="12">
        <v>25</v>
      </c>
      <c r="H884" s="13">
        <v>0.25828703703703704</v>
      </c>
      <c r="I884" s="13">
        <v>0.17966435185185184</v>
      </c>
      <c r="J884" s="13">
        <v>7.1865740740740735E-3</v>
      </c>
      <c r="K884" s="13">
        <v>6.4571759259259259E-2</v>
      </c>
      <c r="L884" s="14">
        <v>0.25</v>
      </c>
      <c r="M884" s="12" t="s">
        <v>334</v>
      </c>
      <c r="N884" s="13">
        <v>1.8969907407407408E-2</v>
      </c>
      <c r="O884" s="13">
        <v>1.3703703703703704E-2</v>
      </c>
      <c r="P884" s="13"/>
      <c r="Q884" s="13">
        <v>2.662037037037037E-3</v>
      </c>
      <c r="R884" s="13"/>
      <c r="S884" s="13">
        <v>1.4155092592592592E-2</v>
      </c>
      <c r="T884" s="13">
        <v>2.0833333333333335E-4</v>
      </c>
      <c r="U884" s="13">
        <v>1.4872685185185185E-2</v>
      </c>
      <c r="V884" s="13"/>
      <c r="W884" s="13"/>
    </row>
    <row r="885" spans="1:23" ht="15" customHeight="1" x14ac:dyDescent="0.25">
      <c r="A885" s="19">
        <v>46245</v>
      </c>
      <c r="B885" s="11" t="s">
        <v>219</v>
      </c>
      <c r="C885" s="12" t="s">
        <v>548</v>
      </c>
      <c r="D885" s="11" t="s">
        <v>104</v>
      </c>
      <c r="E885" s="12" t="s">
        <v>105</v>
      </c>
      <c r="F885" s="12" t="s">
        <v>106</v>
      </c>
      <c r="G885" s="12">
        <v>6</v>
      </c>
      <c r="H885" s="13">
        <v>0.24577546296296296</v>
      </c>
      <c r="I885" s="13">
        <v>5.5023148148148147E-2</v>
      </c>
      <c r="J885" s="13">
        <v>9.170524691358024E-3</v>
      </c>
      <c r="K885" s="13">
        <v>0.19929398148148147</v>
      </c>
      <c r="L885" s="14">
        <v>0.81087826701200849</v>
      </c>
      <c r="M885" s="12" t="s">
        <v>334</v>
      </c>
      <c r="N885" s="13">
        <v>4.5439814814814815E-2</v>
      </c>
      <c r="O885" s="13">
        <v>1.494212962962963E-2</v>
      </c>
      <c r="P885" s="13"/>
      <c r="Q885" s="13"/>
      <c r="R885" s="13"/>
      <c r="S885" s="13">
        <v>7.8356481481481489E-3</v>
      </c>
      <c r="T885" s="13">
        <v>3.9351851851851852E-4</v>
      </c>
      <c r="U885" s="13">
        <v>1.5358796296296296E-2</v>
      </c>
      <c r="V885" s="13"/>
      <c r="W885" s="13">
        <v>0.11530092592592593</v>
      </c>
    </row>
    <row r="886" spans="1:23" ht="15" customHeight="1" x14ac:dyDescent="0.25">
      <c r="A886" s="19">
        <v>46245</v>
      </c>
      <c r="B886" s="11" t="s">
        <v>305</v>
      </c>
      <c r="C886" s="12" t="s">
        <v>306</v>
      </c>
      <c r="D886" s="11" t="s">
        <v>100</v>
      </c>
      <c r="E886" s="12" t="s">
        <v>32</v>
      </c>
      <c r="F886" s="12" t="s">
        <v>33</v>
      </c>
      <c r="G886" s="12">
        <v>38</v>
      </c>
      <c r="H886" s="13">
        <v>0.26010416666666669</v>
      </c>
      <c r="I886" s="13">
        <v>0.14732638888888888</v>
      </c>
      <c r="J886" s="13">
        <v>3.8770102339181285E-3</v>
      </c>
      <c r="K886" s="13">
        <v>6.6527777777777783E-2</v>
      </c>
      <c r="L886" s="14">
        <v>0.25577359498064345</v>
      </c>
      <c r="M886" s="12" t="s">
        <v>334</v>
      </c>
      <c r="N886" s="13">
        <v>1.9212962962962963E-2</v>
      </c>
      <c r="O886" s="13">
        <v>1.5671296296296298E-2</v>
      </c>
      <c r="P886" s="13"/>
      <c r="Q886" s="13"/>
      <c r="R886" s="13"/>
      <c r="S886" s="13">
        <v>1.7615740740740741E-2</v>
      </c>
      <c r="T886" s="13">
        <v>3.1250000000000001E-4</v>
      </c>
      <c r="U886" s="13">
        <v>1.3715277777777778E-2</v>
      </c>
      <c r="V886" s="13"/>
      <c r="W886" s="13"/>
    </row>
    <row r="887" spans="1:23" ht="15" customHeight="1" x14ac:dyDescent="0.25">
      <c r="A887" s="19">
        <v>46245</v>
      </c>
      <c r="B887" s="11" t="s">
        <v>620</v>
      </c>
      <c r="C887" s="12" t="s">
        <v>641</v>
      </c>
      <c r="D887" s="11" t="s">
        <v>601</v>
      </c>
      <c r="E887" s="12" t="s">
        <v>105</v>
      </c>
      <c r="F887" s="12" t="s">
        <v>33</v>
      </c>
      <c r="G887" s="12">
        <v>4</v>
      </c>
      <c r="H887" s="13">
        <v>0.21076388888888889</v>
      </c>
      <c r="I887" s="13">
        <v>7.210648148148148E-2</v>
      </c>
      <c r="J887" s="13">
        <v>1.802662037037037E-2</v>
      </c>
      <c r="K887" s="13">
        <v>0.1698611111111111</v>
      </c>
      <c r="L887" s="14">
        <v>0.80593080724876431</v>
      </c>
      <c r="M887" s="12" t="s">
        <v>334</v>
      </c>
      <c r="N887" s="13">
        <v>1.736111111111111E-3</v>
      </c>
      <c r="O887" s="13">
        <v>1.4918981481481481E-2</v>
      </c>
      <c r="P887" s="13"/>
      <c r="Q887" s="13"/>
      <c r="R887" s="13"/>
      <c r="S887" s="13">
        <v>1.3298611111111112E-2</v>
      </c>
      <c r="T887" s="13">
        <v>9.0856481481481483E-3</v>
      </c>
      <c r="U887" s="13">
        <v>0.13082175925925926</v>
      </c>
      <c r="V887" s="13"/>
      <c r="W887" s="13"/>
    </row>
    <row r="888" spans="1:23" ht="15" customHeight="1" x14ac:dyDescent="0.25">
      <c r="A888" s="19">
        <v>46245</v>
      </c>
      <c r="B888" s="11" t="s">
        <v>138</v>
      </c>
      <c r="C888" s="12" t="s">
        <v>556</v>
      </c>
      <c r="D888" s="11" t="s">
        <v>104</v>
      </c>
      <c r="E888" s="12" t="s">
        <v>105</v>
      </c>
      <c r="F888" s="12" t="s">
        <v>106</v>
      </c>
      <c r="G888" s="12">
        <v>7</v>
      </c>
      <c r="H888" s="13">
        <v>0.24711805555555555</v>
      </c>
      <c r="I888" s="13">
        <v>8.5277777777777772E-2</v>
      </c>
      <c r="J888" s="13">
        <v>1.2182539682539682E-2</v>
      </c>
      <c r="K888" s="13">
        <v>0.13974537037037038</v>
      </c>
      <c r="L888" s="14">
        <v>0.56550044494403073</v>
      </c>
      <c r="M888" s="12" t="s">
        <v>334</v>
      </c>
      <c r="N888" s="13">
        <v>1.6099537037037037E-2</v>
      </c>
      <c r="O888" s="13">
        <v>1.695601851851852E-2</v>
      </c>
      <c r="P888" s="13"/>
      <c r="Q888" s="13"/>
      <c r="R888" s="13"/>
      <c r="S888" s="13">
        <v>1.5902777777777776E-2</v>
      </c>
      <c r="T888" s="13">
        <v>8.5532407407407415E-3</v>
      </c>
      <c r="U888" s="13">
        <v>3.0787037037037037E-3</v>
      </c>
      <c r="V888" s="13"/>
      <c r="W888" s="13">
        <v>7.9143518518518516E-2</v>
      </c>
    </row>
    <row r="889" spans="1:23" ht="15" customHeight="1" x14ac:dyDescent="0.25">
      <c r="A889" s="19">
        <v>46245</v>
      </c>
      <c r="B889" s="11" t="s">
        <v>276</v>
      </c>
      <c r="C889" s="12" t="s">
        <v>532</v>
      </c>
      <c r="D889" s="11" t="s">
        <v>233</v>
      </c>
      <c r="E889" s="12" t="s">
        <v>32</v>
      </c>
      <c r="F889" s="12" t="s">
        <v>106</v>
      </c>
      <c r="G889" s="12">
        <v>39</v>
      </c>
      <c r="H889" s="13">
        <v>0.30822916666666667</v>
      </c>
      <c r="I889" s="13">
        <v>0.12739583333333335</v>
      </c>
      <c r="J889" s="13">
        <v>3.2665598290598295E-3</v>
      </c>
      <c r="K889" s="13">
        <v>5.4537037037037037E-2</v>
      </c>
      <c r="L889" s="14">
        <v>0.17693665277308401</v>
      </c>
      <c r="M889" s="12" t="s">
        <v>334</v>
      </c>
      <c r="N889" s="13">
        <v>1.7048611111111112E-2</v>
      </c>
      <c r="O889" s="13">
        <v>9.3287037037037036E-3</v>
      </c>
      <c r="P889" s="13"/>
      <c r="Q889" s="13"/>
      <c r="R889" s="13"/>
      <c r="S889" s="13">
        <v>1.457175925925926E-2</v>
      </c>
      <c r="T889" s="13">
        <v>1.3587962962962963E-2</v>
      </c>
      <c r="U889" s="13"/>
      <c r="V889" s="13"/>
      <c r="W889" s="13"/>
    </row>
    <row r="890" spans="1:23" ht="15" customHeight="1" x14ac:dyDescent="0.25">
      <c r="A890" s="19">
        <v>46245</v>
      </c>
      <c r="B890" s="11" t="s">
        <v>278</v>
      </c>
      <c r="C890" s="12" t="s">
        <v>533</v>
      </c>
      <c r="D890" s="11" t="s">
        <v>233</v>
      </c>
      <c r="E890" s="12" t="s">
        <v>32</v>
      </c>
      <c r="F890" s="12" t="s">
        <v>106</v>
      </c>
      <c r="G890" s="12">
        <v>19</v>
      </c>
      <c r="H890" s="13">
        <v>0.26622685185185185</v>
      </c>
      <c r="I890" s="13">
        <v>0.1025462962962963</v>
      </c>
      <c r="J890" s="13">
        <v>5.3971734892787528E-3</v>
      </c>
      <c r="K890" s="13">
        <v>4.4664351851851851E-2</v>
      </c>
      <c r="L890" s="14">
        <v>0.16776802017215894</v>
      </c>
      <c r="M890" s="12" t="s">
        <v>334</v>
      </c>
      <c r="N890" s="13">
        <v>2.8935185185185184E-3</v>
      </c>
      <c r="O890" s="13">
        <v>1.3958333333333333E-2</v>
      </c>
      <c r="P890" s="13"/>
      <c r="Q890" s="13">
        <v>1.1909722222222223E-2</v>
      </c>
      <c r="R890" s="13"/>
      <c r="S890" s="13">
        <v>1.4212962962962964E-2</v>
      </c>
      <c r="T890" s="13">
        <v>1.4699074074074074E-3</v>
      </c>
      <c r="U890" s="13">
        <v>2.0833333333333335E-4</v>
      </c>
      <c r="V890" s="13"/>
      <c r="W890" s="13"/>
    </row>
    <row r="891" spans="1:23" ht="15" customHeight="1" x14ac:dyDescent="0.25">
      <c r="A891" s="19">
        <v>46245</v>
      </c>
      <c r="B891" s="11" t="s">
        <v>313</v>
      </c>
      <c r="C891" s="12" t="s">
        <v>511</v>
      </c>
      <c r="D891" s="11" t="s">
        <v>78</v>
      </c>
      <c r="E891" s="12" t="s">
        <v>80</v>
      </c>
      <c r="F891" s="12" t="s">
        <v>81</v>
      </c>
      <c r="G891" s="12">
        <v>1</v>
      </c>
      <c r="H891" s="13">
        <v>0.25976851851851851</v>
      </c>
      <c r="I891" s="13">
        <v>3.1250000000000001E-4</v>
      </c>
      <c r="J891" s="13">
        <v>3.1250000000000001E-4</v>
      </c>
      <c r="K891" s="13">
        <v>3.695601851851852E-2</v>
      </c>
      <c r="L891" s="14">
        <v>0.14226519337016574</v>
      </c>
      <c r="M891" s="12" t="s">
        <v>334</v>
      </c>
      <c r="N891" s="13">
        <v>1.1817129629629629E-2</v>
      </c>
      <c r="O891" s="13">
        <v>1.5486111111111112E-2</v>
      </c>
      <c r="P891" s="13"/>
      <c r="Q891" s="13"/>
      <c r="R891" s="13"/>
      <c r="S891" s="13">
        <v>9.5370370370370366E-3</v>
      </c>
      <c r="T891" s="13">
        <v>1.1574074074074075E-4</v>
      </c>
      <c r="U891" s="13"/>
      <c r="V891" s="13"/>
      <c r="W891" s="13"/>
    </row>
    <row r="892" spans="1:23" ht="15" customHeight="1" x14ac:dyDescent="0.25">
      <c r="A892" s="19">
        <v>46245</v>
      </c>
      <c r="B892" s="11" t="s">
        <v>673</v>
      </c>
      <c r="C892" s="12" t="s">
        <v>674</v>
      </c>
      <c r="D892" s="11" t="s">
        <v>104</v>
      </c>
      <c r="E892" s="12" t="s">
        <v>105</v>
      </c>
      <c r="F892" s="12" t="s">
        <v>106</v>
      </c>
      <c r="G892" s="12">
        <v>5</v>
      </c>
      <c r="H892" s="13">
        <v>0.25062499999999999</v>
      </c>
      <c r="I892" s="13">
        <v>7.8321759259259258E-2</v>
      </c>
      <c r="J892" s="13">
        <v>1.5664351851851853E-2</v>
      </c>
      <c r="K892" s="13">
        <v>0.14555555555555555</v>
      </c>
      <c r="L892" s="14">
        <v>0.58077029648101963</v>
      </c>
      <c r="M892" s="12" t="s">
        <v>334</v>
      </c>
      <c r="N892" s="13"/>
      <c r="O892" s="13">
        <v>1.4039351851851851E-2</v>
      </c>
      <c r="P892" s="13"/>
      <c r="Q892" s="13"/>
      <c r="R892" s="13"/>
      <c r="S892" s="13">
        <v>1.2881944444444444E-2</v>
      </c>
      <c r="T892" s="13">
        <v>1.273148148148148E-4</v>
      </c>
      <c r="U892" s="13">
        <v>7.291666666666667E-4</v>
      </c>
      <c r="V892" s="13"/>
      <c r="W892" s="13">
        <v>0.11777777777777777</v>
      </c>
    </row>
    <row r="893" spans="1:23" ht="15" customHeight="1" x14ac:dyDescent="0.25">
      <c r="A893" s="19">
        <v>46245</v>
      </c>
      <c r="B893" s="11" t="s">
        <v>225</v>
      </c>
      <c r="C893" s="12" t="s">
        <v>549</v>
      </c>
      <c r="D893" s="11" t="s">
        <v>601</v>
      </c>
      <c r="E893" s="12" t="s">
        <v>105</v>
      </c>
      <c r="F893" s="12" t="s">
        <v>33</v>
      </c>
      <c r="G893" s="12">
        <v>0</v>
      </c>
      <c r="H893" s="13">
        <v>0.15796296296296297</v>
      </c>
      <c r="I893" s="13">
        <v>0</v>
      </c>
      <c r="J893" s="13">
        <v>0</v>
      </c>
      <c r="K893" s="13">
        <v>0.15796296296296297</v>
      </c>
      <c r="L893" s="14">
        <v>1</v>
      </c>
      <c r="M893" s="12" t="s">
        <v>334</v>
      </c>
      <c r="N893" s="13">
        <v>3.3564814814814816E-3</v>
      </c>
      <c r="O893" s="13">
        <v>1.6030092592592592E-2</v>
      </c>
      <c r="P893" s="13"/>
      <c r="Q893" s="13"/>
      <c r="R893" s="13"/>
      <c r="S893" s="13">
        <v>1.1747685185185186E-2</v>
      </c>
      <c r="T893" s="13">
        <v>5.0925925925925921E-4</v>
      </c>
      <c r="U893" s="13">
        <v>0.12631944444444446</v>
      </c>
      <c r="V893" s="13"/>
      <c r="W893" s="13"/>
    </row>
    <row r="894" spans="1:23" ht="15" customHeight="1" x14ac:dyDescent="0.25">
      <c r="A894" s="19">
        <v>46245</v>
      </c>
      <c r="B894" s="11" t="s">
        <v>70</v>
      </c>
      <c r="C894" s="12" t="s">
        <v>71</v>
      </c>
      <c r="D894" s="11" t="s">
        <v>78</v>
      </c>
      <c r="E894" s="12" t="s">
        <v>80</v>
      </c>
      <c r="F894" s="12" t="s">
        <v>33</v>
      </c>
      <c r="G894" s="12">
        <v>0</v>
      </c>
      <c r="H894" s="13">
        <v>0.34877314814814814</v>
      </c>
      <c r="I894" s="13">
        <v>0</v>
      </c>
      <c r="J894" s="13">
        <v>0</v>
      </c>
      <c r="K894" s="13">
        <v>0.13903935185185184</v>
      </c>
      <c r="L894" s="14">
        <v>0.39865268467511777</v>
      </c>
      <c r="M894" s="12" t="s">
        <v>334</v>
      </c>
      <c r="N894" s="13"/>
      <c r="O894" s="13">
        <v>4.2280092592592591E-2</v>
      </c>
      <c r="P894" s="13"/>
      <c r="Q894" s="13"/>
      <c r="R894" s="13">
        <v>8.3449074074074078E-2</v>
      </c>
      <c r="S894" s="13">
        <v>8.0439814814814818E-3</v>
      </c>
      <c r="T894" s="13">
        <v>5.2662037037037035E-3</v>
      </c>
      <c r="U894" s="13"/>
      <c r="V894" s="13"/>
      <c r="W894" s="13"/>
    </row>
    <row r="895" spans="1:23" ht="15" customHeight="1" x14ac:dyDescent="0.25">
      <c r="A895" s="19">
        <v>46245</v>
      </c>
      <c r="B895" s="11" t="s">
        <v>299</v>
      </c>
      <c r="C895" s="12" t="s">
        <v>571</v>
      </c>
      <c r="D895" s="11" t="s">
        <v>104</v>
      </c>
      <c r="E895" s="12" t="s">
        <v>105</v>
      </c>
      <c r="F895" s="12" t="s">
        <v>106</v>
      </c>
      <c r="G895" s="12">
        <v>7</v>
      </c>
      <c r="H895" s="13">
        <v>0.25829861111111113</v>
      </c>
      <c r="I895" s="13">
        <v>8.5925925925925919E-2</v>
      </c>
      <c r="J895" s="13">
        <v>1.2275132275132274E-2</v>
      </c>
      <c r="K895" s="13">
        <v>0.15620370370370371</v>
      </c>
      <c r="L895" s="14">
        <v>0.60474078057086522</v>
      </c>
      <c r="M895" s="12" t="s">
        <v>334</v>
      </c>
      <c r="N895" s="13"/>
      <c r="O895" s="13">
        <v>1.3622685185185186E-2</v>
      </c>
      <c r="P895" s="13"/>
      <c r="Q895" s="13"/>
      <c r="R895" s="13"/>
      <c r="S895" s="13">
        <v>1.2546296296296297E-2</v>
      </c>
      <c r="T895" s="13">
        <v>2.4305555555555555E-4</v>
      </c>
      <c r="U895" s="13">
        <v>5.7986111111111112E-3</v>
      </c>
      <c r="V895" s="13"/>
      <c r="W895" s="13">
        <v>0.12399305555555555</v>
      </c>
    </row>
    <row r="896" spans="1:23" ht="15" customHeight="1" x14ac:dyDescent="0.25">
      <c r="A896" s="19">
        <v>46245</v>
      </c>
      <c r="B896" s="11" t="s">
        <v>227</v>
      </c>
      <c r="C896" s="12" t="s">
        <v>557</v>
      </c>
      <c r="D896" s="11" t="s">
        <v>146</v>
      </c>
      <c r="E896" s="12" t="s">
        <v>147</v>
      </c>
      <c r="F896" s="12" t="s">
        <v>106</v>
      </c>
      <c r="G896" s="12">
        <v>10</v>
      </c>
      <c r="H896" s="13">
        <v>0.27598379629629627</v>
      </c>
      <c r="I896" s="13">
        <v>5.364583333333333E-2</v>
      </c>
      <c r="J896" s="13">
        <v>5.3645833333333332E-3</v>
      </c>
      <c r="K896" s="13">
        <v>4.1678240740740738E-2</v>
      </c>
      <c r="L896" s="14">
        <v>0.15101698469280772</v>
      </c>
      <c r="M896" s="12" t="s">
        <v>334</v>
      </c>
      <c r="N896" s="13">
        <v>8.3333333333333332E-3</v>
      </c>
      <c r="O896" s="13">
        <v>6.9675925925925929E-3</v>
      </c>
      <c r="P896" s="13">
        <v>4.363425925925926E-3</v>
      </c>
      <c r="Q896" s="13">
        <v>1.6782407407407408E-3</v>
      </c>
      <c r="R896" s="13">
        <v>4.5601851851851853E-3</v>
      </c>
      <c r="S896" s="13">
        <v>1.40625E-2</v>
      </c>
      <c r="T896" s="13">
        <v>1.712962962962963E-3</v>
      </c>
      <c r="U896" s="13"/>
      <c r="V896" s="13"/>
      <c r="W896" s="13"/>
    </row>
    <row r="897" spans="1:23" ht="15" customHeight="1" x14ac:dyDescent="0.25">
      <c r="A897" s="19">
        <v>46245</v>
      </c>
      <c r="B897" s="11" t="s">
        <v>282</v>
      </c>
      <c r="C897" s="12" t="s">
        <v>535</v>
      </c>
      <c r="D897" s="11" t="s">
        <v>233</v>
      </c>
      <c r="E897" s="12" t="s">
        <v>32</v>
      </c>
      <c r="F897" s="12" t="s">
        <v>106</v>
      </c>
      <c r="G897" s="12">
        <v>37</v>
      </c>
      <c r="H897" s="13">
        <v>0.26127314814814817</v>
      </c>
      <c r="I897" s="13">
        <v>9.7986111111111107E-2</v>
      </c>
      <c r="J897" s="13">
        <v>2.648273273273273E-3</v>
      </c>
      <c r="K897" s="13">
        <v>3.1180555555555555E-2</v>
      </c>
      <c r="L897" s="14">
        <v>0.11934083458846459</v>
      </c>
      <c r="M897" s="12" t="s">
        <v>334</v>
      </c>
      <c r="N897" s="13"/>
      <c r="O897" s="13">
        <v>1.6527777777777777E-2</v>
      </c>
      <c r="P897" s="13"/>
      <c r="Q897" s="13"/>
      <c r="R897" s="13"/>
      <c r="S897" s="13">
        <v>1.4548611111111111E-2</v>
      </c>
      <c r="T897" s="13">
        <v>1.0416666666666667E-4</v>
      </c>
      <c r="U897" s="13"/>
      <c r="V897" s="13"/>
      <c r="W897" s="13"/>
    </row>
    <row r="898" spans="1:23" ht="15" customHeight="1" x14ac:dyDescent="0.25">
      <c r="A898" s="19">
        <v>46245</v>
      </c>
      <c r="B898" s="11" t="s">
        <v>675</v>
      </c>
      <c r="C898" s="12" t="s">
        <v>676</v>
      </c>
      <c r="D898" s="11" t="s">
        <v>104</v>
      </c>
      <c r="E898" s="12" t="s">
        <v>105</v>
      </c>
      <c r="F898" s="12" t="s">
        <v>106</v>
      </c>
      <c r="G898" s="12">
        <v>5</v>
      </c>
      <c r="H898" s="13">
        <v>0.25800925925925927</v>
      </c>
      <c r="I898" s="13">
        <v>0.10912037037037037</v>
      </c>
      <c r="J898" s="13">
        <v>2.1824074074074072E-2</v>
      </c>
      <c r="K898" s="13">
        <v>0.12406250000000001</v>
      </c>
      <c r="L898" s="14">
        <v>0.48084514624080388</v>
      </c>
      <c r="M898" s="12" t="s">
        <v>334</v>
      </c>
      <c r="N898" s="13">
        <v>2.2106481481481482E-3</v>
      </c>
      <c r="O898" s="13">
        <v>1.4305555555555556E-2</v>
      </c>
      <c r="P898" s="13"/>
      <c r="Q898" s="13"/>
      <c r="R898" s="13"/>
      <c r="S898" s="13">
        <v>1.4270833333333333E-2</v>
      </c>
      <c r="T898" s="13">
        <v>5.3240740740740744E-4</v>
      </c>
      <c r="U898" s="13">
        <v>6.9444444444444444E-5</v>
      </c>
      <c r="V898" s="13"/>
      <c r="W898" s="13">
        <v>9.2662037037037043E-2</v>
      </c>
    </row>
    <row r="899" spans="1:23" ht="15" customHeight="1" x14ac:dyDescent="0.25">
      <c r="A899" s="19">
        <v>46245</v>
      </c>
      <c r="B899" s="11" t="s">
        <v>677</v>
      </c>
      <c r="C899" s="12" t="s">
        <v>678</v>
      </c>
      <c r="D899" s="11" t="s">
        <v>274</v>
      </c>
      <c r="E899" s="12" t="s">
        <v>147</v>
      </c>
      <c r="F899" s="12" t="s">
        <v>33</v>
      </c>
      <c r="G899" s="12">
        <v>26</v>
      </c>
      <c r="H899" s="13">
        <v>0.27055555555555555</v>
      </c>
      <c r="I899" s="13">
        <v>9.0532407407407409E-2</v>
      </c>
      <c r="J899" s="13">
        <v>3.4820156695156697E-3</v>
      </c>
      <c r="K899" s="13">
        <v>4.1643518518518517E-2</v>
      </c>
      <c r="L899" s="14">
        <v>0.15391854893908283</v>
      </c>
      <c r="M899" s="12" t="s">
        <v>334</v>
      </c>
      <c r="N899" s="13">
        <v>2.4305555555555555E-4</v>
      </c>
      <c r="O899" s="13">
        <v>1.5590277777777778E-2</v>
      </c>
      <c r="P899" s="13"/>
      <c r="Q899" s="13">
        <v>7.7546296296296295E-3</v>
      </c>
      <c r="R899" s="13"/>
      <c r="S899" s="13">
        <v>1.4224537037037037E-2</v>
      </c>
      <c r="T899" s="13">
        <v>1.6203703703703703E-4</v>
      </c>
      <c r="U899" s="13">
        <v>3.6574074074074074E-3</v>
      </c>
      <c r="V899" s="13"/>
      <c r="W899" s="13"/>
    </row>
    <row r="900" spans="1:23" ht="15" customHeight="1" x14ac:dyDescent="0.25">
      <c r="A900" s="19">
        <v>46246</v>
      </c>
      <c r="B900" s="11" t="s">
        <v>186</v>
      </c>
      <c r="C900" s="12" t="s">
        <v>562</v>
      </c>
      <c r="D900" s="11" t="s">
        <v>78</v>
      </c>
      <c r="E900" s="12" t="s">
        <v>80</v>
      </c>
      <c r="F900" s="12" t="s">
        <v>33</v>
      </c>
      <c r="G900" s="12">
        <v>2</v>
      </c>
      <c r="H900" s="13">
        <v>0.27549768518518519</v>
      </c>
      <c r="I900" s="13">
        <v>1.8287037037037037E-3</v>
      </c>
      <c r="J900" s="13">
        <v>9.1435185185185185E-4</v>
      </c>
      <c r="K900" s="13">
        <v>4.0543981481481479E-2</v>
      </c>
      <c r="L900" s="14">
        <v>0.14716632357265891</v>
      </c>
      <c r="M900" s="12" t="s">
        <v>334</v>
      </c>
      <c r="N900" s="13">
        <v>1.1493055555555555E-2</v>
      </c>
      <c r="O900" s="13">
        <v>1.4421296296296297E-2</v>
      </c>
      <c r="P900" s="13"/>
      <c r="Q900" s="13"/>
      <c r="R900" s="13"/>
      <c r="S900" s="13">
        <v>1.425925925925926E-2</v>
      </c>
      <c r="T900" s="13">
        <v>9.2592592592592588E-5</v>
      </c>
      <c r="U900" s="13">
        <v>2.6620370370370372E-4</v>
      </c>
      <c r="V900" s="13"/>
      <c r="W900" s="13"/>
    </row>
    <row r="901" spans="1:23" ht="15" customHeight="1" x14ac:dyDescent="0.25">
      <c r="A901" s="19">
        <v>46246</v>
      </c>
      <c r="B901" s="11" t="s">
        <v>643</v>
      </c>
      <c r="C901" s="12" t="s">
        <v>644</v>
      </c>
      <c r="D901" s="11" t="s">
        <v>233</v>
      </c>
      <c r="E901" s="12" t="s">
        <v>32</v>
      </c>
      <c r="F901" s="12" t="s">
        <v>106</v>
      </c>
      <c r="G901" s="12">
        <v>18</v>
      </c>
      <c r="H901" s="13">
        <v>0.2618287037037037</v>
      </c>
      <c r="I901" s="13">
        <v>0.14105324074074074</v>
      </c>
      <c r="J901" s="13">
        <v>7.8362911522633742E-3</v>
      </c>
      <c r="K901" s="13">
        <v>4.4733796296296299E-2</v>
      </c>
      <c r="L901" s="14">
        <v>0.17085138360887633</v>
      </c>
      <c r="M901" s="12" t="s">
        <v>334</v>
      </c>
      <c r="N901" s="13">
        <v>6.9791666666666665E-3</v>
      </c>
      <c r="O901" s="13">
        <v>1.6828703703703703E-2</v>
      </c>
      <c r="P901" s="13">
        <v>7.9861111111111116E-4</v>
      </c>
      <c r="Q901" s="13"/>
      <c r="R901" s="13"/>
      <c r="S901" s="13">
        <v>1.4143518518518519E-2</v>
      </c>
      <c r="T901" s="13">
        <v>3.3449074074074076E-3</v>
      </c>
      <c r="U901" s="13">
        <v>2.627314814814815E-3</v>
      </c>
      <c r="V901" s="13"/>
      <c r="W901" s="13"/>
    </row>
    <row r="902" spans="1:23" ht="15" customHeight="1" x14ac:dyDescent="0.25">
      <c r="A902" s="19">
        <v>46246</v>
      </c>
      <c r="B902" s="11" t="s">
        <v>193</v>
      </c>
      <c r="C902" s="12" t="s">
        <v>563</v>
      </c>
      <c r="D902" s="11" t="s">
        <v>274</v>
      </c>
      <c r="E902" s="12" t="s">
        <v>147</v>
      </c>
      <c r="F902" s="12" t="s">
        <v>33</v>
      </c>
      <c r="G902" s="12">
        <v>18</v>
      </c>
      <c r="H902" s="13">
        <v>0.26670138888888889</v>
      </c>
      <c r="I902" s="13">
        <v>5.5879629629629626E-2</v>
      </c>
      <c r="J902" s="13">
        <v>3.104423868312757E-3</v>
      </c>
      <c r="K902" s="13">
        <v>3.5127314814814813E-2</v>
      </c>
      <c r="L902" s="14">
        <v>0.13171028077941238</v>
      </c>
      <c r="M902" s="12" t="s">
        <v>334</v>
      </c>
      <c r="N902" s="13">
        <v>1.1863425925925927E-2</v>
      </c>
      <c r="O902" s="13">
        <v>9.2939814814814812E-3</v>
      </c>
      <c r="P902" s="13"/>
      <c r="Q902" s="13"/>
      <c r="R902" s="13"/>
      <c r="S902" s="13">
        <v>1.3912037037037037E-2</v>
      </c>
      <c r="T902" s="13">
        <v>5.7870370370370373E-5</v>
      </c>
      <c r="U902" s="13"/>
      <c r="V902" s="13"/>
      <c r="W902" s="13"/>
    </row>
    <row r="903" spans="1:23" ht="15" customHeight="1" x14ac:dyDescent="0.25">
      <c r="A903" s="19">
        <v>46246</v>
      </c>
      <c r="B903" s="11" t="s">
        <v>231</v>
      </c>
      <c r="C903" s="12" t="s">
        <v>525</v>
      </c>
      <c r="D903" s="11" t="s">
        <v>233</v>
      </c>
      <c r="E903" s="12" t="s">
        <v>32</v>
      </c>
      <c r="F903" s="12" t="s">
        <v>106</v>
      </c>
      <c r="G903" s="12">
        <v>44</v>
      </c>
      <c r="H903" s="13">
        <v>0.26076388888888891</v>
      </c>
      <c r="I903" s="13">
        <v>0.13120370370370371</v>
      </c>
      <c r="J903" s="13">
        <v>2.9819023569023569E-3</v>
      </c>
      <c r="K903" s="13">
        <v>4.1979166666666665E-2</v>
      </c>
      <c r="L903" s="14">
        <v>0.16098535286284951</v>
      </c>
      <c r="M903" s="12" t="s">
        <v>334</v>
      </c>
      <c r="N903" s="13">
        <v>2.5000000000000001E-3</v>
      </c>
      <c r="O903" s="13">
        <v>1.4421296296296297E-2</v>
      </c>
      <c r="P903" s="13"/>
      <c r="Q903" s="13"/>
      <c r="R903" s="13"/>
      <c r="S903" s="13">
        <v>1.3877314814814815E-2</v>
      </c>
      <c r="T903" s="13">
        <v>1.1157407407407408E-2</v>
      </c>
      <c r="U903" s="13">
        <v>2.3148148148148147E-5</v>
      </c>
      <c r="V903" s="13"/>
      <c r="W903" s="13"/>
    </row>
    <row r="904" spans="1:23" ht="15" customHeight="1" x14ac:dyDescent="0.25">
      <c r="A904" s="19">
        <v>46246</v>
      </c>
      <c r="B904" s="11" t="s">
        <v>148</v>
      </c>
      <c r="C904" s="12" t="s">
        <v>513</v>
      </c>
      <c r="D904" s="11" t="s">
        <v>104</v>
      </c>
      <c r="E904" s="12" t="s">
        <v>105</v>
      </c>
      <c r="F904" s="12" t="s">
        <v>106</v>
      </c>
      <c r="G904" s="12">
        <v>7</v>
      </c>
      <c r="H904" s="13">
        <v>0.25708333333333333</v>
      </c>
      <c r="I904" s="13">
        <v>0.15217592592592594</v>
      </c>
      <c r="J904" s="13">
        <v>2.1739417989417992E-2</v>
      </c>
      <c r="K904" s="13">
        <v>0.18552083333333333</v>
      </c>
      <c r="L904" s="14">
        <v>0.72163695299837927</v>
      </c>
      <c r="M904" s="12" t="s">
        <v>334</v>
      </c>
      <c r="N904" s="13">
        <v>1.4560185185185185E-2</v>
      </c>
      <c r="O904" s="13">
        <v>1.412037037037037E-2</v>
      </c>
      <c r="P904" s="13"/>
      <c r="Q904" s="13"/>
      <c r="R904" s="13"/>
      <c r="S904" s="13">
        <v>1.4039351851851851E-2</v>
      </c>
      <c r="T904" s="13">
        <v>2.2303240740740742E-2</v>
      </c>
      <c r="U904" s="13">
        <v>3.7037037037037035E-4</v>
      </c>
      <c r="V904" s="13"/>
      <c r="W904" s="13">
        <v>0.12012731481481481</v>
      </c>
    </row>
    <row r="905" spans="1:23" ht="15" customHeight="1" x14ac:dyDescent="0.25">
      <c r="A905" s="19">
        <v>46246</v>
      </c>
      <c r="B905" s="11" t="s">
        <v>82</v>
      </c>
      <c r="C905" s="12" t="s">
        <v>83</v>
      </c>
      <c r="D905" s="11" t="s">
        <v>78</v>
      </c>
      <c r="E905" s="12" t="s">
        <v>80</v>
      </c>
      <c r="F905" s="12" t="s">
        <v>81</v>
      </c>
      <c r="G905" s="12">
        <v>0</v>
      </c>
      <c r="H905" s="13">
        <v>0.24512731481481481</v>
      </c>
      <c r="I905" s="13">
        <v>0</v>
      </c>
      <c r="J905" s="13">
        <v>0</v>
      </c>
      <c r="K905" s="13">
        <v>0.24512731481481481</v>
      </c>
      <c r="L905" s="14">
        <v>1</v>
      </c>
      <c r="M905" s="12" t="s">
        <v>334</v>
      </c>
      <c r="N905" s="13"/>
      <c r="O905" s="13"/>
      <c r="P905" s="13"/>
      <c r="Q905" s="13"/>
      <c r="R905" s="13"/>
      <c r="S905" s="13"/>
      <c r="T905" s="13">
        <v>0.24512731481481481</v>
      </c>
      <c r="U905" s="13"/>
      <c r="V905" s="13"/>
      <c r="W905" s="13"/>
    </row>
    <row r="906" spans="1:23" ht="15" customHeight="1" x14ac:dyDescent="0.25">
      <c r="A906" s="19">
        <v>46246</v>
      </c>
      <c r="B906" s="11" t="s">
        <v>234</v>
      </c>
      <c r="C906" s="12" t="s">
        <v>550</v>
      </c>
      <c r="D906" s="11" t="s">
        <v>233</v>
      </c>
      <c r="E906" s="12" t="s">
        <v>32</v>
      </c>
      <c r="F906" s="12" t="s">
        <v>106</v>
      </c>
      <c r="G906" s="12">
        <v>27</v>
      </c>
      <c r="H906" s="13">
        <v>0.26196759259259261</v>
      </c>
      <c r="I906" s="13">
        <v>0.12657407407407406</v>
      </c>
      <c r="J906" s="13">
        <v>4.6879286694101506E-3</v>
      </c>
      <c r="K906" s="13">
        <v>4.7395833333333331E-2</v>
      </c>
      <c r="L906" s="14">
        <v>0.1809225059644782</v>
      </c>
      <c r="M906" s="12" t="s">
        <v>334</v>
      </c>
      <c r="N906" s="13">
        <v>1.7025462962962964E-2</v>
      </c>
      <c r="O906" s="13">
        <v>1.480324074074074E-2</v>
      </c>
      <c r="P906" s="13"/>
      <c r="Q906" s="13"/>
      <c r="R906" s="13"/>
      <c r="S906" s="13">
        <v>1.5162037037037036E-2</v>
      </c>
      <c r="T906" s="13">
        <v>1.273148148148148E-4</v>
      </c>
      <c r="U906" s="13">
        <v>2.5462962962962961E-4</v>
      </c>
      <c r="V906" s="13"/>
      <c r="W906" s="13"/>
    </row>
    <row r="907" spans="1:23" ht="15" customHeight="1" x14ac:dyDescent="0.25">
      <c r="A907" s="19">
        <v>46246</v>
      </c>
      <c r="B907" s="11" t="s">
        <v>34</v>
      </c>
      <c r="C907" s="12" t="s">
        <v>505</v>
      </c>
      <c r="D907" s="11" t="s">
        <v>233</v>
      </c>
      <c r="E907" s="12" t="s">
        <v>32</v>
      </c>
      <c r="F907" s="12" t="s">
        <v>106</v>
      </c>
      <c r="G907" s="12">
        <v>42</v>
      </c>
      <c r="H907" s="13">
        <v>0.26165509259259262</v>
      </c>
      <c r="I907" s="13">
        <v>0.12958333333333333</v>
      </c>
      <c r="J907" s="13">
        <v>3.0853174603174601E-3</v>
      </c>
      <c r="K907" s="13">
        <v>3.2094907407407405E-2</v>
      </c>
      <c r="L907" s="14">
        <v>0.12266112266112264</v>
      </c>
      <c r="M907" s="12" t="s">
        <v>334</v>
      </c>
      <c r="N907" s="13">
        <v>2.4421296296296296E-3</v>
      </c>
      <c r="O907" s="13">
        <v>1.3483796296296296E-2</v>
      </c>
      <c r="P907" s="13"/>
      <c r="Q907" s="13"/>
      <c r="R907" s="13"/>
      <c r="S907" s="13">
        <v>1.3275462962962963E-2</v>
      </c>
      <c r="T907" s="13">
        <v>8.1018518518518516E-5</v>
      </c>
      <c r="U907" s="13">
        <v>2.0949074074074073E-3</v>
      </c>
      <c r="V907" s="13"/>
      <c r="W907" s="13"/>
    </row>
    <row r="908" spans="1:23" ht="15" customHeight="1" x14ac:dyDescent="0.25">
      <c r="A908" s="19">
        <v>46246</v>
      </c>
      <c r="B908" s="11" t="s">
        <v>493</v>
      </c>
      <c r="C908" s="12" t="s">
        <v>569</v>
      </c>
      <c r="D908" s="11" t="s">
        <v>104</v>
      </c>
      <c r="E908" s="12" t="s">
        <v>105</v>
      </c>
      <c r="F908" s="12" t="s">
        <v>106</v>
      </c>
      <c r="G908" s="12">
        <v>14</v>
      </c>
      <c r="H908" s="13">
        <v>0.25994212962962965</v>
      </c>
      <c r="I908" s="13">
        <v>0.18349537037037036</v>
      </c>
      <c r="J908" s="13">
        <v>1.3106812169312169E-2</v>
      </c>
      <c r="K908" s="13">
        <v>0.15122685185185186</v>
      </c>
      <c r="L908" s="14">
        <v>0.58177122757023914</v>
      </c>
      <c r="M908" s="12" t="s">
        <v>334</v>
      </c>
      <c r="N908" s="13">
        <v>4.0393518518518521E-3</v>
      </c>
      <c r="O908" s="13">
        <v>1.5023148148148148E-2</v>
      </c>
      <c r="P908" s="13">
        <v>3.4722222222222224E-4</v>
      </c>
      <c r="Q908" s="13">
        <v>1.4016203703703704E-2</v>
      </c>
      <c r="R908" s="13">
        <v>2.7893518518518519E-3</v>
      </c>
      <c r="S908" s="13">
        <v>1.4872685185185185E-2</v>
      </c>
      <c r="T908" s="13">
        <v>2.3148148148148149E-4</v>
      </c>
      <c r="U908" s="13">
        <v>6.5972222222222224E-4</v>
      </c>
      <c r="V908" s="13"/>
      <c r="W908" s="13">
        <v>9.9247685185185189E-2</v>
      </c>
    </row>
    <row r="909" spans="1:23" ht="15" customHeight="1" x14ac:dyDescent="0.25">
      <c r="A909" s="19">
        <v>46246</v>
      </c>
      <c r="B909" s="11" t="s">
        <v>238</v>
      </c>
      <c r="C909" s="12" t="s">
        <v>526</v>
      </c>
      <c r="D909" s="11" t="s">
        <v>233</v>
      </c>
      <c r="E909" s="12" t="s">
        <v>32</v>
      </c>
      <c r="F909" s="12" t="s">
        <v>106</v>
      </c>
      <c r="G909" s="12">
        <v>0</v>
      </c>
      <c r="H909" s="13">
        <v>0.23943287037037037</v>
      </c>
      <c r="I909" s="13">
        <v>0</v>
      </c>
      <c r="J909" s="13">
        <v>0</v>
      </c>
      <c r="K909" s="13">
        <v>0.2394212962962963</v>
      </c>
      <c r="L909" s="14">
        <v>0.99995166046309281</v>
      </c>
      <c r="M909" s="12" t="s">
        <v>334</v>
      </c>
      <c r="N909" s="13"/>
      <c r="O909" s="13">
        <v>7.5694444444444446E-3</v>
      </c>
      <c r="P909" s="13"/>
      <c r="Q909" s="13"/>
      <c r="R909" s="13"/>
      <c r="S909" s="13">
        <v>2.673611111111111E-3</v>
      </c>
      <c r="T909" s="13">
        <v>5.0925925925925921E-4</v>
      </c>
      <c r="U909" s="13"/>
      <c r="V909" s="13"/>
      <c r="W909" s="13">
        <v>0.22866898148148149</v>
      </c>
    </row>
    <row r="910" spans="1:23" ht="15" customHeight="1" x14ac:dyDescent="0.25">
      <c r="A910" s="19">
        <v>46246</v>
      </c>
      <c r="B910" s="11" t="s">
        <v>608</v>
      </c>
      <c r="C910" s="12" t="s">
        <v>631</v>
      </c>
      <c r="D910" s="11" t="s">
        <v>601</v>
      </c>
      <c r="E910" s="12" t="s">
        <v>105</v>
      </c>
      <c r="F910" s="12" t="s">
        <v>33</v>
      </c>
      <c r="G910" s="12">
        <v>6</v>
      </c>
      <c r="H910" s="13">
        <v>0.23871527777777779</v>
      </c>
      <c r="I910" s="13">
        <v>0.12827546296296297</v>
      </c>
      <c r="J910" s="13">
        <v>2.1379243827160496E-2</v>
      </c>
      <c r="K910" s="13">
        <v>0.19714120370370369</v>
      </c>
      <c r="L910" s="14">
        <v>0.82584242424242416</v>
      </c>
      <c r="M910" s="12" t="s">
        <v>334</v>
      </c>
      <c r="N910" s="13"/>
      <c r="O910" s="13">
        <v>1.3622685185185186E-2</v>
      </c>
      <c r="P910" s="13"/>
      <c r="Q910" s="13"/>
      <c r="R910" s="13"/>
      <c r="S910" s="13">
        <v>5.5324074074074078E-3</v>
      </c>
      <c r="T910" s="13">
        <v>6.2615740740740739E-3</v>
      </c>
      <c r="U910" s="13">
        <v>0.17172453703703705</v>
      </c>
      <c r="V910" s="13"/>
      <c r="W910" s="13"/>
    </row>
    <row r="911" spans="1:23" ht="15" customHeight="1" x14ac:dyDescent="0.25">
      <c r="A911" s="19">
        <v>46246</v>
      </c>
      <c r="B911" s="11" t="s">
        <v>307</v>
      </c>
      <c r="C911" s="12" t="s">
        <v>308</v>
      </c>
      <c r="D911" s="11" t="s">
        <v>78</v>
      </c>
      <c r="E911" s="12" t="s">
        <v>80</v>
      </c>
      <c r="F911" s="12" t="s">
        <v>81</v>
      </c>
      <c r="G911" s="12">
        <v>0</v>
      </c>
      <c r="H911" s="13">
        <v>0.36335648148148147</v>
      </c>
      <c r="I911" s="13">
        <v>0</v>
      </c>
      <c r="J911" s="13">
        <v>0</v>
      </c>
      <c r="K911" s="13">
        <v>0.15222222222222223</v>
      </c>
      <c r="L911" s="14">
        <v>0.41893355418232786</v>
      </c>
      <c r="M911" s="12" t="s">
        <v>334</v>
      </c>
      <c r="N911" s="13"/>
      <c r="O911" s="13"/>
      <c r="P911" s="13"/>
      <c r="Q911" s="13"/>
      <c r="R911" s="13">
        <v>1.1574074074074075E-4</v>
      </c>
      <c r="S911" s="13">
        <v>9.9236111111111108E-2</v>
      </c>
      <c r="T911" s="13">
        <v>3.3564814814814812E-4</v>
      </c>
      <c r="U911" s="13">
        <v>5.2395833333333336E-2</v>
      </c>
      <c r="V911" s="13"/>
      <c r="W911" s="13"/>
    </row>
    <row r="912" spans="1:23" ht="15" customHeight="1" x14ac:dyDescent="0.25">
      <c r="A912" s="19">
        <v>46246</v>
      </c>
      <c r="B912" s="11" t="s">
        <v>197</v>
      </c>
      <c r="C912" s="12" t="s">
        <v>564</v>
      </c>
      <c r="D912" s="11" t="s">
        <v>601</v>
      </c>
      <c r="E912" s="12" t="s">
        <v>105</v>
      </c>
      <c r="F912" s="12" t="s">
        <v>33</v>
      </c>
      <c r="G912" s="12">
        <v>3</v>
      </c>
      <c r="H912" s="13">
        <v>0.18787037037037038</v>
      </c>
      <c r="I912" s="13">
        <v>9.0972222222222218E-2</v>
      </c>
      <c r="J912" s="13">
        <v>3.0324074074074073E-2</v>
      </c>
      <c r="K912" s="13">
        <v>0.14877314814814815</v>
      </c>
      <c r="L912" s="14">
        <v>0.79189255791030067</v>
      </c>
      <c r="M912" s="12" t="s">
        <v>334</v>
      </c>
      <c r="N912" s="13"/>
      <c r="O912" s="13">
        <v>9.0972222222222218E-3</v>
      </c>
      <c r="P912" s="13"/>
      <c r="Q912" s="13"/>
      <c r="R912" s="13"/>
      <c r="S912" s="13">
        <v>1.832175925925926E-2</v>
      </c>
      <c r="T912" s="13">
        <v>9.4907407407407408E-4</v>
      </c>
      <c r="U912" s="13">
        <v>0.12040509259259259</v>
      </c>
      <c r="V912" s="13"/>
      <c r="W912" s="13"/>
    </row>
    <row r="913" spans="1:23" ht="15" customHeight="1" x14ac:dyDescent="0.25">
      <c r="A913" s="19">
        <v>46246</v>
      </c>
      <c r="B913" s="11" t="s">
        <v>150</v>
      </c>
      <c r="C913" s="12" t="s">
        <v>514</v>
      </c>
      <c r="D913" s="11" t="s">
        <v>146</v>
      </c>
      <c r="E913" s="12" t="s">
        <v>147</v>
      </c>
      <c r="F913" s="12" t="s">
        <v>106</v>
      </c>
      <c r="G913" s="12">
        <v>21</v>
      </c>
      <c r="H913" s="13">
        <v>0.26245370370370369</v>
      </c>
      <c r="I913" s="13">
        <v>4.9976851851851849E-2</v>
      </c>
      <c r="J913" s="13">
        <v>2.3798500881834213E-3</v>
      </c>
      <c r="K913" s="13">
        <v>3.667824074074074E-2</v>
      </c>
      <c r="L913" s="14">
        <v>0.13975127888516495</v>
      </c>
      <c r="M913" s="12" t="s">
        <v>334</v>
      </c>
      <c r="N913" s="13"/>
      <c r="O913" s="13">
        <v>1.3090277777777777E-2</v>
      </c>
      <c r="P913" s="13"/>
      <c r="Q913" s="13">
        <v>9.3634259259259261E-3</v>
      </c>
      <c r="R913" s="13"/>
      <c r="S913" s="13">
        <v>1.3877314814814815E-2</v>
      </c>
      <c r="T913" s="13">
        <v>5.7870370370370373E-5</v>
      </c>
      <c r="U913" s="13">
        <v>2.6620370370370372E-4</v>
      </c>
      <c r="V913" s="13"/>
      <c r="W913" s="13"/>
    </row>
    <row r="914" spans="1:23" ht="15" customHeight="1" x14ac:dyDescent="0.25">
      <c r="A914" s="19">
        <v>46246</v>
      </c>
      <c r="B914" s="11" t="s">
        <v>681</v>
      </c>
      <c r="C914" s="12" t="s">
        <v>682</v>
      </c>
      <c r="D914" s="11" t="s">
        <v>601</v>
      </c>
      <c r="E914" s="12" t="s">
        <v>105</v>
      </c>
      <c r="F914" s="12" t="s">
        <v>33</v>
      </c>
      <c r="G914" s="12">
        <v>4</v>
      </c>
      <c r="H914" s="13">
        <v>0.20315972222222223</v>
      </c>
      <c r="I914" s="13">
        <v>0.12784722222222222</v>
      </c>
      <c r="J914" s="13">
        <v>3.1961805555555556E-2</v>
      </c>
      <c r="K914" s="13">
        <v>0.15215277777777778</v>
      </c>
      <c r="L914" s="14">
        <v>0.74893180652879843</v>
      </c>
      <c r="M914" s="12" t="s">
        <v>334</v>
      </c>
      <c r="N914" s="13">
        <v>5.0115740740740737E-3</v>
      </c>
      <c r="O914" s="13">
        <v>1.5636574074074074E-2</v>
      </c>
      <c r="P914" s="13"/>
      <c r="Q914" s="13"/>
      <c r="R914" s="13"/>
      <c r="S914" s="13">
        <v>1.3912037037037037E-2</v>
      </c>
      <c r="T914" s="13">
        <v>7.407407407407407E-4</v>
      </c>
      <c r="U914" s="13">
        <v>0.11685185185185185</v>
      </c>
      <c r="V914" s="13"/>
      <c r="W914" s="13"/>
    </row>
    <row r="915" spans="1:23" ht="15" customHeight="1" x14ac:dyDescent="0.25">
      <c r="A915" s="19">
        <v>46246</v>
      </c>
      <c r="B915" s="11" t="s">
        <v>154</v>
      </c>
      <c r="C915" s="12" t="s">
        <v>515</v>
      </c>
      <c r="D915" s="11" t="s">
        <v>146</v>
      </c>
      <c r="E915" s="12" t="s">
        <v>147</v>
      </c>
      <c r="F915" s="12" t="s">
        <v>106</v>
      </c>
      <c r="G915" s="12">
        <v>14</v>
      </c>
      <c r="H915" s="13">
        <v>0.26287037037037037</v>
      </c>
      <c r="I915" s="13">
        <v>3.650462962962963E-2</v>
      </c>
      <c r="J915" s="13">
        <v>2.6074735449735449E-3</v>
      </c>
      <c r="K915" s="13">
        <v>5.185185185185185E-2</v>
      </c>
      <c r="L915" s="14">
        <v>0.19725255371609721</v>
      </c>
      <c r="M915" s="12" t="s">
        <v>334</v>
      </c>
      <c r="N915" s="13">
        <v>4.8611111111111112E-3</v>
      </c>
      <c r="O915" s="13">
        <v>1.037037037037037E-2</v>
      </c>
      <c r="P915" s="13">
        <v>1.25E-3</v>
      </c>
      <c r="Q915" s="13">
        <v>2.0648148148148148E-2</v>
      </c>
      <c r="R915" s="13"/>
      <c r="S915" s="13">
        <v>1.4016203703703704E-2</v>
      </c>
      <c r="T915" s="13">
        <v>5.7870370370370373E-5</v>
      </c>
      <c r="U915" s="13">
        <v>5.7870370370370367E-4</v>
      </c>
      <c r="V915" s="13"/>
      <c r="W915" s="13"/>
    </row>
    <row r="916" spans="1:23" ht="15" customHeight="1" x14ac:dyDescent="0.25">
      <c r="A916" s="19">
        <v>46246</v>
      </c>
      <c r="B916" s="11" t="s">
        <v>112</v>
      </c>
      <c r="C916" s="12" t="s">
        <v>570</v>
      </c>
      <c r="D916" s="11" t="s">
        <v>104</v>
      </c>
      <c r="E916" s="12" t="s">
        <v>105</v>
      </c>
      <c r="F916" s="12" t="s">
        <v>106</v>
      </c>
      <c r="G916" s="12">
        <v>10</v>
      </c>
      <c r="H916" s="13">
        <v>0.24069444444444443</v>
      </c>
      <c r="I916" s="13">
        <v>0.19526620370370371</v>
      </c>
      <c r="J916" s="13">
        <v>1.9526620370370371E-2</v>
      </c>
      <c r="K916" s="13">
        <v>0.13947916666666665</v>
      </c>
      <c r="L916" s="14">
        <v>0.57948643969994229</v>
      </c>
      <c r="M916" s="12" t="s">
        <v>334</v>
      </c>
      <c r="N916" s="13">
        <v>2.5451388888888888E-2</v>
      </c>
      <c r="O916" s="13">
        <v>2.1469907407407406E-2</v>
      </c>
      <c r="P916" s="13"/>
      <c r="Q916" s="13"/>
      <c r="R916" s="13"/>
      <c r="S916" s="13">
        <v>1.4270833333333333E-2</v>
      </c>
      <c r="T916" s="13">
        <v>2.5347222222222221E-3</v>
      </c>
      <c r="U916" s="13">
        <v>9.3749999999999997E-4</v>
      </c>
      <c r="V916" s="13"/>
      <c r="W916" s="13">
        <v>7.481481481481482E-2</v>
      </c>
    </row>
    <row r="917" spans="1:23" ht="15" customHeight="1" x14ac:dyDescent="0.25">
      <c r="A917" s="19">
        <v>46246</v>
      </c>
      <c r="B917" s="11" t="s">
        <v>42</v>
      </c>
      <c r="C917" s="12" t="s">
        <v>537</v>
      </c>
      <c r="D917" s="11" t="s">
        <v>104</v>
      </c>
      <c r="E917" s="12" t="s">
        <v>105</v>
      </c>
      <c r="F917" s="12" t="s">
        <v>106</v>
      </c>
      <c r="G917" s="12">
        <v>17</v>
      </c>
      <c r="H917" s="13">
        <v>0.25700231481481484</v>
      </c>
      <c r="I917" s="13">
        <v>0.19648148148148148</v>
      </c>
      <c r="J917" s="13">
        <v>1.1557734204793028E-2</v>
      </c>
      <c r="K917" s="13">
        <v>0.16074074074074074</v>
      </c>
      <c r="L917" s="14">
        <v>0.62544471965773474</v>
      </c>
      <c r="M917" s="12" t="s">
        <v>334</v>
      </c>
      <c r="N917" s="13">
        <v>6.2037037037037035E-3</v>
      </c>
      <c r="O917" s="13">
        <v>1.4699074074074074E-2</v>
      </c>
      <c r="P917" s="13"/>
      <c r="Q917" s="13"/>
      <c r="R917" s="13"/>
      <c r="S917" s="13">
        <v>1.3912037037037037E-2</v>
      </c>
      <c r="T917" s="13">
        <v>5.2083333333333333E-4</v>
      </c>
      <c r="U917" s="13">
        <v>2.2222222222222222E-3</v>
      </c>
      <c r="V917" s="13"/>
      <c r="W917" s="13">
        <v>0.12315972222222223</v>
      </c>
    </row>
    <row r="918" spans="1:23" ht="15" customHeight="1" x14ac:dyDescent="0.25">
      <c r="A918" s="19">
        <v>46246</v>
      </c>
      <c r="B918" s="11" t="s">
        <v>156</v>
      </c>
      <c r="C918" s="12" t="s">
        <v>516</v>
      </c>
      <c r="D918" s="11" t="s">
        <v>146</v>
      </c>
      <c r="E918" s="12" t="s">
        <v>147</v>
      </c>
      <c r="F918" s="12" t="s">
        <v>106</v>
      </c>
      <c r="G918" s="12">
        <v>22</v>
      </c>
      <c r="H918" s="13">
        <v>0.28038194444444442</v>
      </c>
      <c r="I918" s="13">
        <v>4.1782407407407407E-2</v>
      </c>
      <c r="J918" s="13">
        <v>1.8992003367003366E-3</v>
      </c>
      <c r="K918" s="13">
        <v>4.9305555555555554E-2</v>
      </c>
      <c r="L918" s="14">
        <v>0.17585139318885451</v>
      </c>
      <c r="M918" s="12" t="s">
        <v>334</v>
      </c>
      <c r="N918" s="13"/>
      <c r="O918" s="13">
        <v>6.7592592592592591E-3</v>
      </c>
      <c r="P918" s="13"/>
      <c r="Q918" s="13">
        <v>2.361111111111111E-2</v>
      </c>
      <c r="R918" s="13"/>
      <c r="S918" s="13">
        <v>1.3229166666666667E-2</v>
      </c>
      <c r="T918" s="13">
        <v>3.460648148148148E-3</v>
      </c>
      <c r="U918" s="13">
        <v>2.1180555555555558E-3</v>
      </c>
      <c r="V918" s="13"/>
      <c r="W918" s="13"/>
    </row>
    <row r="919" spans="1:23" ht="15" customHeight="1" x14ac:dyDescent="0.25">
      <c r="A919" s="19">
        <v>46246</v>
      </c>
      <c r="B919" s="11" t="s">
        <v>114</v>
      </c>
      <c r="C919" s="12" t="s">
        <v>541</v>
      </c>
      <c r="D919" s="11" t="s">
        <v>104</v>
      </c>
      <c r="E919" s="12" t="s">
        <v>105</v>
      </c>
      <c r="F919" s="12" t="s">
        <v>106</v>
      </c>
      <c r="G919" s="12">
        <v>9</v>
      </c>
      <c r="H919" s="13">
        <v>0.2467013888888889</v>
      </c>
      <c r="I919" s="13">
        <v>0.11587962962962962</v>
      </c>
      <c r="J919" s="13">
        <v>1.287551440329218E-2</v>
      </c>
      <c r="K919" s="13">
        <v>0.16289351851851852</v>
      </c>
      <c r="L919" s="14">
        <v>0.66028618343889278</v>
      </c>
      <c r="M919" s="12" t="s">
        <v>334</v>
      </c>
      <c r="N919" s="13">
        <v>3.2986111111111111E-3</v>
      </c>
      <c r="O919" s="13">
        <v>1.6516203703703703E-2</v>
      </c>
      <c r="P919" s="13"/>
      <c r="Q919" s="13">
        <v>5.092592592592593E-3</v>
      </c>
      <c r="R919" s="13"/>
      <c r="S919" s="13">
        <v>1.4074074074074074E-2</v>
      </c>
      <c r="T919" s="13">
        <v>3.5138888888888886E-2</v>
      </c>
      <c r="U919" s="13">
        <v>6.2500000000000001E-4</v>
      </c>
      <c r="V919" s="13"/>
      <c r="W919" s="13">
        <v>8.8148148148148142E-2</v>
      </c>
    </row>
    <row r="920" spans="1:23" ht="15" customHeight="1" x14ac:dyDescent="0.25">
      <c r="A920" s="19">
        <v>46246</v>
      </c>
      <c r="B920" s="11" t="s">
        <v>44</v>
      </c>
      <c r="C920" s="12" t="s">
        <v>506</v>
      </c>
      <c r="D920" s="11" t="s">
        <v>100</v>
      </c>
      <c r="E920" s="12" t="s">
        <v>32</v>
      </c>
      <c r="F920" s="12" t="s">
        <v>33</v>
      </c>
      <c r="G920" s="12">
        <v>35</v>
      </c>
      <c r="H920" s="13">
        <v>0.26331018518518517</v>
      </c>
      <c r="I920" s="13">
        <v>0.18875</v>
      </c>
      <c r="J920" s="13">
        <v>5.3928571428571428E-3</v>
      </c>
      <c r="K920" s="13">
        <v>3.3171296296296296E-2</v>
      </c>
      <c r="L920" s="14">
        <v>0.12597802197802199</v>
      </c>
      <c r="M920" s="12" t="s">
        <v>334</v>
      </c>
      <c r="N920" s="13"/>
      <c r="O920" s="13">
        <v>1.3912037037037037E-2</v>
      </c>
      <c r="P920" s="13"/>
      <c r="Q920" s="13"/>
      <c r="R920" s="13"/>
      <c r="S920" s="13">
        <v>1.3923611111111111E-2</v>
      </c>
      <c r="T920" s="13">
        <v>1.3657407407407407E-3</v>
      </c>
      <c r="U920" s="13">
        <v>3.8773148148148148E-3</v>
      </c>
      <c r="V920" s="13"/>
      <c r="W920" s="13"/>
    </row>
    <row r="921" spans="1:23" ht="15" customHeight="1" x14ac:dyDescent="0.25">
      <c r="A921" s="19">
        <v>46246</v>
      </c>
      <c r="B921" s="11" t="s">
        <v>609</v>
      </c>
      <c r="C921" s="12" t="s">
        <v>632</v>
      </c>
      <c r="D921" s="11" t="s">
        <v>601</v>
      </c>
      <c r="E921" s="12" t="s">
        <v>105</v>
      </c>
      <c r="F921" s="12" t="s">
        <v>33</v>
      </c>
      <c r="G921" s="12">
        <v>5</v>
      </c>
      <c r="H921" s="13">
        <v>0.24876157407407407</v>
      </c>
      <c r="I921" s="13">
        <v>7.3842592592592599E-2</v>
      </c>
      <c r="J921" s="13">
        <v>1.4768518518518519E-2</v>
      </c>
      <c r="K921" s="13">
        <v>0.21832175925925926</v>
      </c>
      <c r="L921" s="14">
        <v>0.87763457870004191</v>
      </c>
      <c r="M921" s="12" t="s">
        <v>334</v>
      </c>
      <c r="N921" s="13">
        <v>3.1608796296296295E-2</v>
      </c>
      <c r="O921" s="13">
        <v>1.6030092592592592E-2</v>
      </c>
      <c r="P921" s="13"/>
      <c r="Q921" s="13"/>
      <c r="R921" s="13"/>
      <c r="S921" s="13">
        <v>1.474537037037037E-2</v>
      </c>
      <c r="T921" s="13">
        <v>8.564814814814815E-4</v>
      </c>
      <c r="U921" s="13">
        <v>0.15502314814814816</v>
      </c>
      <c r="V921" s="13"/>
      <c r="W921" s="13">
        <v>5.7870370370370373E-5</v>
      </c>
    </row>
    <row r="922" spans="1:23" ht="15" customHeight="1" x14ac:dyDescent="0.25">
      <c r="A922" s="19">
        <v>46246</v>
      </c>
      <c r="B922" s="11" t="s">
        <v>240</v>
      </c>
      <c r="C922" s="12" t="s">
        <v>527</v>
      </c>
      <c r="D922" s="11" t="s">
        <v>233</v>
      </c>
      <c r="E922" s="12" t="s">
        <v>32</v>
      </c>
      <c r="F922" s="12" t="s">
        <v>106</v>
      </c>
      <c r="G922" s="12">
        <v>0</v>
      </c>
      <c r="H922" s="13">
        <v>0.16175925925925927</v>
      </c>
      <c r="I922" s="13">
        <v>0</v>
      </c>
      <c r="J922" s="13">
        <v>0</v>
      </c>
      <c r="K922" s="13">
        <v>0.16175925925925927</v>
      </c>
      <c r="L922" s="14">
        <v>1</v>
      </c>
      <c r="M922" s="12" t="s">
        <v>334</v>
      </c>
      <c r="N922" s="13">
        <v>1.0844907407407407E-2</v>
      </c>
      <c r="O922" s="13">
        <v>1.3287037037037036E-2</v>
      </c>
      <c r="P922" s="13"/>
      <c r="Q922" s="13"/>
      <c r="R922" s="13"/>
      <c r="S922" s="13">
        <v>1.3969907407407407E-2</v>
      </c>
      <c r="T922" s="13">
        <v>3.4722222222222224E-4</v>
      </c>
      <c r="U922" s="13"/>
      <c r="V922" s="13"/>
      <c r="W922" s="13">
        <v>0.12331018518518519</v>
      </c>
    </row>
    <row r="923" spans="1:23" ht="15" customHeight="1" x14ac:dyDescent="0.25">
      <c r="A923" s="19">
        <v>46246</v>
      </c>
      <c r="B923" s="11" t="s">
        <v>497</v>
      </c>
      <c r="C923" s="12" t="s">
        <v>498</v>
      </c>
      <c r="D923" s="11" t="s">
        <v>78</v>
      </c>
      <c r="E923" s="12" t="s">
        <v>80</v>
      </c>
      <c r="F923" s="12" t="s">
        <v>81</v>
      </c>
      <c r="G923" s="12">
        <v>1</v>
      </c>
      <c r="H923" s="13">
        <v>0.34677083333333331</v>
      </c>
      <c r="I923" s="13">
        <v>2.3287037037037037E-2</v>
      </c>
      <c r="J923" s="13">
        <v>2.3287037037037037E-2</v>
      </c>
      <c r="K923" s="13">
        <v>5.7233796296296297E-2</v>
      </c>
      <c r="L923" s="14">
        <v>0.16504789559761024</v>
      </c>
      <c r="M923" s="12" t="s">
        <v>334</v>
      </c>
      <c r="N923" s="13"/>
      <c r="O923" s="13">
        <v>1.4236111111111111E-2</v>
      </c>
      <c r="P923" s="13"/>
      <c r="Q923" s="13"/>
      <c r="R923" s="13"/>
      <c r="S923" s="13">
        <v>4.1840277777777775E-2</v>
      </c>
      <c r="T923" s="13">
        <v>1.1111111111111111E-3</v>
      </c>
      <c r="U923" s="13"/>
      <c r="V923" s="13"/>
      <c r="W923" s="13"/>
    </row>
    <row r="924" spans="1:23" ht="15" customHeight="1" x14ac:dyDescent="0.25">
      <c r="A924" s="19">
        <v>46246</v>
      </c>
      <c r="B924" s="11" t="s">
        <v>309</v>
      </c>
      <c r="C924" s="12" t="s">
        <v>310</v>
      </c>
      <c r="D924" s="11" t="s">
        <v>78</v>
      </c>
      <c r="E924" s="12" t="s">
        <v>80</v>
      </c>
      <c r="F924" s="12" t="s">
        <v>81</v>
      </c>
      <c r="G924" s="12">
        <v>1</v>
      </c>
      <c r="H924" s="13">
        <v>0.34480324074074076</v>
      </c>
      <c r="I924" s="13">
        <v>1.0173611111111111E-2</v>
      </c>
      <c r="J924" s="13">
        <v>1.0173611111111111E-2</v>
      </c>
      <c r="K924" s="13">
        <v>8.3275462962962968E-2</v>
      </c>
      <c r="L924" s="14">
        <v>0.24151589406196503</v>
      </c>
      <c r="M924" s="12" t="s">
        <v>334</v>
      </c>
      <c r="N924" s="13">
        <v>1.03125E-2</v>
      </c>
      <c r="O924" s="13">
        <v>4.1643518518518517E-2</v>
      </c>
      <c r="P924" s="13"/>
      <c r="Q924" s="13"/>
      <c r="R924" s="13"/>
      <c r="S924" s="13">
        <v>7.8009259259259256E-3</v>
      </c>
      <c r="T924" s="13">
        <v>6.9444444444444444E-5</v>
      </c>
      <c r="U924" s="13">
        <v>1.5046296296296297E-4</v>
      </c>
      <c r="V924" s="13"/>
      <c r="W924" s="13">
        <v>2.329861111111111E-2</v>
      </c>
    </row>
    <row r="925" spans="1:23" ht="15" customHeight="1" x14ac:dyDescent="0.25">
      <c r="A925" s="19">
        <v>46246</v>
      </c>
      <c r="B925" s="11" t="s">
        <v>160</v>
      </c>
      <c r="C925" s="12" t="s">
        <v>544</v>
      </c>
      <c r="D925" s="11" t="s">
        <v>146</v>
      </c>
      <c r="E925" s="12" t="s">
        <v>147</v>
      </c>
      <c r="F925" s="12" t="s">
        <v>106</v>
      </c>
      <c r="G925" s="12">
        <v>18</v>
      </c>
      <c r="H925" s="13">
        <v>0.26124999999999998</v>
      </c>
      <c r="I925" s="13">
        <v>4.8101851851851854E-2</v>
      </c>
      <c r="J925" s="13">
        <v>2.6723251028806586E-3</v>
      </c>
      <c r="K925" s="13">
        <v>6.7708333333333329E-2</v>
      </c>
      <c r="L925" s="14">
        <v>0.259170653907496</v>
      </c>
      <c r="M925" s="12" t="s">
        <v>334</v>
      </c>
      <c r="N925" s="13">
        <v>9.0277777777777769E-3</v>
      </c>
      <c r="O925" s="13">
        <v>1.5648148148148147E-2</v>
      </c>
      <c r="P925" s="13"/>
      <c r="Q925" s="13">
        <v>2.8460648148148148E-2</v>
      </c>
      <c r="R925" s="13"/>
      <c r="S925" s="13">
        <v>1.4513888888888889E-2</v>
      </c>
      <c r="T925" s="13">
        <v>5.7870370370370373E-5</v>
      </c>
      <c r="U925" s="13"/>
      <c r="V925" s="13"/>
      <c r="W925" s="13"/>
    </row>
    <row r="926" spans="1:23" ht="15" customHeight="1" x14ac:dyDescent="0.25">
      <c r="A926" s="19">
        <v>46246</v>
      </c>
      <c r="B926" s="11" t="s">
        <v>645</v>
      </c>
      <c r="C926" s="12" t="s">
        <v>646</v>
      </c>
      <c r="D926" s="11" t="s">
        <v>100</v>
      </c>
      <c r="E926" s="12" t="s">
        <v>32</v>
      </c>
      <c r="F926" s="12" t="s">
        <v>33</v>
      </c>
      <c r="G926" s="12">
        <v>35</v>
      </c>
      <c r="H926" s="13">
        <v>0.26430555555555557</v>
      </c>
      <c r="I926" s="13">
        <v>0.17482638888888888</v>
      </c>
      <c r="J926" s="13">
        <v>4.9950396825396825E-3</v>
      </c>
      <c r="K926" s="13">
        <v>3.8819444444444441E-2</v>
      </c>
      <c r="L926" s="14">
        <v>0.1468733578560168</v>
      </c>
      <c r="M926" s="12" t="s">
        <v>334</v>
      </c>
      <c r="N926" s="13">
        <v>6.6898148148148151E-3</v>
      </c>
      <c r="O926" s="13">
        <v>1.3391203703703704E-2</v>
      </c>
      <c r="P926" s="13"/>
      <c r="Q926" s="13">
        <v>1.8287037037037037E-3</v>
      </c>
      <c r="R926" s="13"/>
      <c r="S926" s="13">
        <v>1.4594907407407407E-2</v>
      </c>
      <c r="T926" s="13">
        <v>1.0069444444444444E-3</v>
      </c>
      <c r="U926" s="13">
        <v>1.2152777777777778E-3</v>
      </c>
      <c r="V926" s="13"/>
      <c r="W926" s="13"/>
    </row>
    <row r="927" spans="1:23" ht="15" customHeight="1" x14ac:dyDescent="0.25">
      <c r="A927" s="19">
        <v>46246</v>
      </c>
      <c r="B927" s="11" t="s">
        <v>120</v>
      </c>
      <c r="C927" s="12" t="s">
        <v>558</v>
      </c>
      <c r="D927" s="11" t="s">
        <v>233</v>
      </c>
      <c r="E927" s="12" t="s">
        <v>32</v>
      </c>
      <c r="F927" s="12" t="s">
        <v>106</v>
      </c>
      <c r="G927" s="12">
        <v>37</v>
      </c>
      <c r="H927" s="13">
        <v>0.2630439814814815</v>
      </c>
      <c r="I927" s="13">
        <v>0.11076388888888888</v>
      </c>
      <c r="J927" s="13">
        <v>2.9936186186186185E-3</v>
      </c>
      <c r="K927" s="13">
        <v>5.6273148148148149E-2</v>
      </c>
      <c r="L927" s="14">
        <v>0.21393056716680597</v>
      </c>
      <c r="M927" s="12" t="s">
        <v>334</v>
      </c>
      <c r="N927" s="13">
        <v>8.5995370370370375E-3</v>
      </c>
      <c r="O927" s="13">
        <v>6.5162037037037037E-3</v>
      </c>
      <c r="P927" s="13"/>
      <c r="Q927" s="13"/>
      <c r="R927" s="13"/>
      <c r="S927" s="13">
        <v>2.0347222222222221E-2</v>
      </c>
      <c r="T927" s="13">
        <v>5.138888888888889E-3</v>
      </c>
      <c r="U927" s="13">
        <v>3.8310185185185183E-3</v>
      </c>
      <c r="V927" s="13"/>
      <c r="W927" s="13">
        <v>1.1828703703703704E-2</v>
      </c>
    </row>
    <row r="928" spans="1:23" ht="15" customHeight="1" x14ac:dyDescent="0.25">
      <c r="A928" s="19">
        <v>46246</v>
      </c>
      <c r="B928" s="11" t="s">
        <v>46</v>
      </c>
      <c r="C928" s="12" t="s">
        <v>507</v>
      </c>
      <c r="D928" s="11" t="s">
        <v>100</v>
      </c>
      <c r="E928" s="12" t="s">
        <v>32</v>
      </c>
      <c r="F928" s="12" t="s">
        <v>33</v>
      </c>
      <c r="G928" s="12">
        <v>39</v>
      </c>
      <c r="H928" s="13">
        <v>0.26435185185185184</v>
      </c>
      <c r="I928" s="13">
        <v>0.15418981481481481</v>
      </c>
      <c r="J928" s="13">
        <v>3.9535849952516619E-3</v>
      </c>
      <c r="K928" s="13">
        <v>3.408564814814815E-2</v>
      </c>
      <c r="L928" s="14">
        <v>0.12894045534150614</v>
      </c>
      <c r="M928" s="12" t="s">
        <v>334</v>
      </c>
      <c r="N928" s="13">
        <v>2.685185185185185E-3</v>
      </c>
      <c r="O928" s="13">
        <v>1.4861111111111111E-2</v>
      </c>
      <c r="P928" s="13"/>
      <c r="Q928" s="13"/>
      <c r="R928" s="13"/>
      <c r="S928" s="13">
        <v>1.4467592592592593E-2</v>
      </c>
      <c r="T928" s="13">
        <v>9.2592592592592588E-5</v>
      </c>
      <c r="U928" s="13">
        <v>1.8865740740740742E-3</v>
      </c>
      <c r="V928" s="13"/>
      <c r="W928" s="13"/>
    </row>
    <row r="929" spans="1:23" ht="15" customHeight="1" x14ac:dyDescent="0.25">
      <c r="A929" s="19">
        <v>46246</v>
      </c>
      <c r="B929" s="11" t="s">
        <v>287</v>
      </c>
      <c r="C929" s="12" t="s">
        <v>542</v>
      </c>
      <c r="D929" s="11" t="s">
        <v>104</v>
      </c>
      <c r="E929" s="12" t="s">
        <v>105</v>
      </c>
      <c r="F929" s="12" t="s">
        <v>106</v>
      </c>
      <c r="G929" s="12">
        <v>7</v>
      </c>
      <c r="H929" s="13">
        <v>0.23041666666666666</v>
      </c>
      <c r="I929" s="13">
        <v>0.11972222222222222</v>
      </c>
      <c r="J929" s="13">
        <v>1.7103174603174603E-2</v>
      </c>
      <c r="K929" s="13">
        <v>0.15739583333333335</v>
      </c>
      <c r="L929" s="14">
        <v>0.68309222423146476</v>
      </c>
      <c r="M929" s="12" t="s">
        <v>334</v>
      </c>
      <c r="N929" s="13">
        <v>1.9722222222222221E-2</v>
      </c>
      <c r="O929" s="13">
        <v>1.8715277777777779E-2</v>
      </c>
      <c r="P929" s="13"/>
      <c r="Q929" s="13"/>
      <c r="R929" s="13"/>
      <c r="S929" s="13">
        <v>9.1435185185185178E-3</v>
      </c>
      <c r="T929" s="13">
        <v>1.273148148148148E-4</v>
      </c>
      <c r="U929" s="13">
        <v>2.0949074074074073E-3</v>
      </c>
      <c r="V929" s="13"/>
      <c r="W929" s="13">
        <v>0.10758101851851852</v>
      </c>
    </row>
    <row r="930" spans="1:23" ht="15" customHeight="1" x14ac:dyDescent="0.25">
      <c r="A930" s="19">
        <v>46246</v>
      </c>
      <c r="B930" s="11" t="s">
        <v>499</v>
      </c>
      <c r="C930" s="12" t="s">
        <v>517</v>
      </c>
      <c r="D930" s="11" t="s">
        <v>146</v>
      </c>
      <c r="E930" s="12" t="s">
        <v>147</v>
      </c>
      <c r="F930" s="12" t="s">
        <v>106</v>
      </c>
      <c r="G930" s="12">
        <v>11</v>
      </c>
      <c r="H930" s="13">
        <v>0.24458333333333335</v>
      </c>
      <c r="I930" s="13">
        <v>3.5300925925925923E-2</v>
      </c>
      <c r="J930" s="13">
        <v>3.2091750841750839E-3</v>
      </c>
      <c r="K930" s="13">
        <v>6.5798611111111113E-2</v>
      </c>
      <c r="L930" s="14">
        <v>0.26902328222600796</v>
      </c>
      <c r="M930" s="12" t="s">
        <v>334</v>
      </c>
      <c r="N930" s="13">
        <v>1.5613425925925926E-2</v>
      </c>
      <c r="O930" s="13">
        <v>1.4837962962962963E-2</v>
      </c>
      <c r="P930" s="13">
        <v>2.0138888888888888E-3</v>
      </c>
      <c r="Q930" s="13">
        <v>8.4953703703703701E-3</v>
      </c>
      <c r="R930" s="13"/>
      <c r="S930" s="13">
        <v>1.6250000000000001E-2</v>
      </c>
      <c r="T930" s="13">
        <v>1.1574074074074075E-4</v>
      </c>
      <c r="U930" s="13">
        <v>5.0925925925925921E-4</v>
      </c>
      <c r="V930" s="13"/>
      <c r="W930" s="13">
        <v>7.9398148148148145E-3</v>
      </c>
    </row>
    <row r="931" spans="1:23" ht="15" customHeight="1" x14ac:dyDescent="0.25">
      <c r="A931" s="19">
        <v>46246</v>
      </c>
      <c r="B931" s="11" t="s">
        <v>647</v>
      </c>
      <c r="C931" s="12" t="s">
        <v>648</v>
      </c>
      <c r="D931" s="11" t="s">
        <v>233</v>
      </c>
      <c r="E931" s="12" t="s">
        <v>32</v>
      </c>
      <c r="F931" s="12" t="s">
        <v>106</v>
      </c>
      <c r="G931" s="12">
        <v>33</v>
      </c>
      <c r="H931" s="13">
        <v>0.26306712962962964</v>
      </c>
      <c r="I931" s="13">
        <v>0.11674768518518519</v>
      </c>
      <c r="J931" s="13">
        <v>3.5378086419753088E-3</v>
      </c>
      <c r="K931" s="13">
        <v>4.8020833333333332E-2</v>
      </c>
      <c r="L931" s="14">
        <v>0.18254212679836332</v>
      </c>
      <c r="M931" s="12" t="s">
        <v>334</v>
      </c>
      <c r="N931" s="13">
        <v>9.1203703703703707E-3</v>
      </c>
      <c r="O931" s="13">
        <v>1.4907407407407407E-2</v>
      </c>
      <c r="P931" s="13"/>
      <c r="Q931" s="13">
        <v>7.743055555555556E-3</v>
      </c>
      <c r="R931" s="13"/>
      <c r="S931" s="13">
        <v>1.4768518518518519E-2</v>
      </c>
      <c r="T931" s="13">
        <v>1.2268518518518518E-3</v>
      </c>
      <c r="U931" s="13">
        <v>2.3148148148148149E-4</v>
      </c>
      <c r="V931" s="13"/>
      <c r="W931" s="13"/>
    </row>
    <row r="932" spans="1:23" ht="15" customHeight="1" x14ac:dyDescent="0.25">
      <c r="A932" s="19">
        <v>46246</v>
      </c>
      <c r="B932" s="11" t="s">
        <v>649</v>
      </c>
      <c r="C932" s="12" t="s">
        <v>650</v>
      </c>
      <c r="D932" s="11" t="s">
        <v>104</v>
      </c>
      <c r="E932" s="12" t="s">
        <v>105</v>
      </c>
      <c r="F932" s="12" t="s">
        <v>106</v>
      </c>
      <c r="G932" s="12">
        <v>13</v>
      </c>
      <c r="H932" s="13">
        <v>0.28767361111111112</v>
      </c>
      <c r="I932" s="13">
        <v>0.14069444444444446</v>
      </c>
      <c r="J932" s="13">
        <v>1.0822649572649574E-2</v>
      </c>
      <c r="K932" s="13">
        <v>0.1638425925925926</v>
      </c>
      <c r="L932" s="14">
        <v>0.56954335143834234</v>
      </c>
      <c r="M932" s="12" t="s">
        <v>334</v>
      </c>
      <c r="N932" s="13">
        <v>2.488425925925926E-3</v>
      </c>
      <c r="O932" s="13">
        <v>1.7083333333333332E-2</v>
      </c>
      <c r="P932" s="13"/>
      <c r="Q932" s="13"/>
      <c r="R932" s="13"/>
      <c r="S932" s="13">
        <v>1.6134259259259258E-2</v>
      </c>
      <c r="T932" s="13">
        <v>5.2083333333333333E-4</v>
      </c>
      <c r="U932" s="13">
        <v>1.2060185185185186E-2</v>
      </c>
      <c r="V932" s="13"/>
      <c r="W932" s="13">
        <v>0.11555555555555555</v>
      </c>
    </row>
    <row r="933" spans="1:23" ht="15" customHeight="1" x14ac:dyDescent="0.25">
      <c r="A933" s="19">
        <v>46246</v>
      </c>
      <c r="B933" s="11" t="s">
        <v>651</v>
      </c>
      <c r="C933" s="12" t="s">
        <v>652</v>
      </c>
      <c r="D933" s="11" t="s">
        <v>100</v>
      </c>
      <c r="E933" s="12" t="s">
        <v>32</v>
      </c>
      <c r="F933" s="12" t="s">
        <v>33</v>
      </c>
      <c r="G933" s="12">
        <v>27</v>
      </c>
      <c r="H933" s="13">
        <v>0.26829861111111108</v>
      </c>
      <c r="I933" s="13">
        <v>0.19872685185185185</v>
      </c>
      <c r="J933" s="13">
        <v>7.3602537722908092E-3</v>
      </c>
      <c r="K933" s="13">
        <v>3.5034722222222224E-2</v>
      </c>
      <c r="L933" s="14">
        <v>0.13058107933221175</v>
      </c>
      <c r="M933" s="12" t="s">
        <v>334</v>
      </c>
      <c r="N933" s="13">
        <v>5.185185185185185E-3</v>
      </c>
      <c r="O933" s="13">
        <v>1.4328703703703703E-2</v>
      </c>
      <c r="P933" s="13"/>
      <c r="Q933" s="13"/>
      <c r="R933" s="13"/>
      <c r="S933" s="13">
        <v>1.5081018518518518E-2</v>
      </c>
      <c r="T933" s="13">
        <v>4.3981481481481481E-4</v>
      </c>
      <c r="U933" s="13"/>
      <c r="V933" s="13"/>
      <c r="W933" s="13"/>
    </row>
    <row r="934" spans="1:23" ht="15" customHeight="1" x14ac:dyDescent="0.25">
      <c r="A934" s="19">
        <v>46246</v>
      </c>
      <c r="B934" s="11" t="s">
        <v>246</v>
      </c>
      <c r="C934" s="12" t="s">
        <v>568</v>
      </c>
      <c r="D934" s="11" t="s">
        <v>233</v>
      </c>
      <c r="E934" s="12" t="s">
        <v>32</v>
      </c>
      <c r="F934" s="12" t="s">
        <v>106</v>
      </c>
      <c r="G934" s="12">
        <v>49</v>
      </c>
      <c r="H934" s="13">
        <v>0.35163194444444446</v>
      </c>
      <c r="I934" s="13">
        <v>0.1763888888888889</v>
      </c>
      <c r="J934" s="13">
        <v>3.5997732426303855E-3</v>
      </c>
      <c r="K934" s="13">
        <v>5.8263888888888886E-2</v>
      </c>
      <c r="L934" s="14">
        <v>0.16569566505381653</v>
      </c>
      <c r="M934" s="12" t="s">
        <v>334</v>
      </c>
      <c r="N934" s="13">
        <v>8.773148148148148E-3</v>
      </c>
      <c r="O934" s="13">
        <v>1.4687499999999999E-2</v>
      </c>
      <c r="P934" s="13"/>
      <c r="Q934" s="13">
        <v>6.8287037037037036E-4</v>
      </c>
      <c r="R934" s="13"/>
      <c r="S934" s="13">
        <v>1.4236111111111111E-2</v>
      </c>
      <c r="T934" s="13">
        <v>1.8298611111111113E-2</v>
      </c>
      <c r="U934" s="13"/>
      <c r="V934" s="13"/>
      <c r="W934" s="13">
        <v>1.5856481481481481E-3</v>
      </c>
    </row>
    <row r="935" spans="1:23" ht="15" customHeight="1" x14ac:dyDescent="0.25">
      <c r="A935" s="19">
        <v>46246</v>
      </c>
      <c r="B935" s="11" t="s">
        <v>48</v>
      </c>
      <c r="C935" s="12" t="s">
        <v>508</v>
      </c>
      <c r="D935" s="11" t="s">
        <v>100</v>
      </c>
      <c r="E935" s="12" t="s">
        <v>32</v>
      </c>
      <c r="F935" s="12" t="s">
        <v>33</v>
      </c>
      <c r="G935" s="12">
        <v>37</v>
      </c>
      <c r="H935" s="13">
        <v>0.26416666666666666</v>
      </c>
      <c r="I935" s="13">
        <v>0.14921296296296296</v>
      </c>
      <c r="J935" s="13">
        <v>4.0327827827827826E-3</v>
      </c>
      <c r="K935" s="13">
        <v>6.9097222222222227E-2</v>
      </c>
      <c r="L935" s="14">
        <v>0.26156677181913779</v>
      </c>
      <c r="M935" s="12" t="s">
        <v>334</v>
      </c>
      <c r="N935" s="13">
        <v>7.4884259259259262E-3</v>
      </c>
      <c r="O935" s="13">
        <v>1.5231481481481481E-2</v>
      </c>
      <c r="P935" s="13"/>
      <c r="Q935" s="13"/>
      <c r="R935" s="13"/>
      <c r="S935" s="13">
        <v>1.3935185185185186E-2</v>
      </c>
      <c r="T935" s="13">
        <v>6.9444444444444444E-5</v>
      </c>
      <c r="U935" s="13">
        <v>2.5115740740740741E-3</v>
      </c>
      <c r="V935" s="13"/>
      <c r="W935" s="13">
        <v>2.9756944444444444E-2</v>
      </c>
    </row>
    <row r="936" spans="1:23" ht="15" customHeight="1" x14ac:dyDescent="0.25">
      <c r="A936" s="19">
        <v>46246</v>
      </c>
      <c r="B936" s="11" t="s">
        <v>50</v>
      </c>
      <c r="C936" s="12" t="s">
        <v>538</v>
      </c>
      <c r="D936" s="11" t="s">
        <v>100</v>
      </c>
      <c r="E936" s="12" t="s">
        <v>32</v>
      </c>
      <c r="F936" s="12" t="s">
        <v>33</v>
      </c>
      <c r="G936" s="12">
        <v>0</v>
      </c>
      <c r="H936" s="13">
        <v>0.22050925925925927</v>
      </c>
      <c r="I936" s="13">
        <v>0</v>
      </c>
      <c r="J936" s="13">
        <v>0</v>
      </c>
      <c r="K936" s="13">
        <v>0.22050925925925927</v>
      </c>
      <c r="L936" s="14">
        <v>1</v>
      </c>
      <c r="M936" s="12" t="s">
        <v>334</v>
      </c>
      <c r="N936" s="13">
        <v>1.4039351851851851E-2</v>
      </c>
      <c r="O936" s="13">
        <v>7.2337962962962963E-3</v>
      </c>
      <c r="P936" s="13"/>
      <c r="Q936" s="13"/>
      <c r="R936" s="13"/>
      <c r="S936" s="13">
        <v>1.3668981481481482E-2</v>
      </c>
      <c r="T936" s="13">
        <v>1.3425925925925925E-3</v>
      </c>
      <c r="U936" s="13"/>
      <c r="V936" s="13"/>
      <c r="W936" s="13">
        <v>0.18422453703703703</v>
      </c>
    </row>
    <row r="937" spans="1:23" ht="15" customHeight="1" x14ac:dyDescent="0.25">
      <c r="A937" s="19">
        <v>46246</v>
      </c>
      <c r="B937" s="11" t="s">
        <v>242</v>
      </c>
      <c r="C937" s="12" t="s">
        <v>603</v>
      </c>
      <c r="D937" s="11" t="s">
        <v>233</v>
      </c>
      <c r="E937" s="12" t="s">
        <v>32</v>
      </c>
      <c r="F937" s="12" t="s">
        <v>106</v>
      </c>
      <c r="G937" s="12">
        <v>37</v>
      </c>
      <c r="H937" s="13">
        <v>0.26708333333333334</v>
      </c>
      <c r="I937" s="13">
        <v>0.18174768518518519</v>
      </c>
      <c r="J937" s="13">
        <v>4.9120995995995996E-3</v>
      </c>
      <c r="K937" s="13">
        <v>1.6747685185185185E-2</v>
      </c>
      <c r="L937" s="14">
        <v>6.2705841566996004E-2</v>
      </c>
      <c r="M937" s="12" t="s">
        <v>334</v>
      </c>
      <c r="N937" s="13"/>
      <c r="O937" s="13"/>
      <c r="P937" s="13"/>
      <c r="Q937" s="13">
        <v>9.7222222222222219E-4</v>
      </c>
      <c r="R937" s="13"/>
      <c r="S937" s="13">
        <v>1.1643518518518518E-2</v>
      </c>
      <c r="T937" s="13">
        <v>4.1666666666666669E-4</v>
      </c>
      <c r="U937" s="13">
        <v>3.5879629629629629E-3</v>
      </c>
      <c r="V937" s="13"/>
      <c r="W937" s="13"/>
    </row>
    <row r="938" spans="1:23" ht="15" customHeight="1" x14ac:dyDescent="0.25">
      <c r="A938" s="19">
        <v>46246</v>
      </c>
      <c r="B938" s="11" t="s">
        <v>248</v>
      </c>
      <c r="C938" s="12" t="s">
        <v>249</v>
      </c>
      <c r="D938" s="11" t="s">
        <v>78</v>
      </c>
      <c r="E938" s="12" t="s">
        <v>80</v>
      </c>
      <c r="F938" s="12" t="s">
        <v>81</v>
      </c>
      <c r="G938" s="12">
        <v>0</v>
      </c>
      <c r="H938" s="13">
        <v>7.5636574074074078E-2</v>
      </c>
      <c r="I938" s="13">
        <v>0</v>
      </c>
      <c r="J938" s="13">
        <v>0</v>
      </c>
      <c r="K938" s="13">
        <v>2.5462962962962961E-4</v>
      </c>
      <c r="L938" s="14">
        <v>3.3664881407804129E-3</v>
      </c>
      <c r="M938" s="12" t="s">
        <v>334</v>
      </c>
      <c r="N938" s="13"/>
      <c r="O938" s="13"/>
      <c r="P938" s="13"/>
      <c r="Q938" s="13"/>
      <c r="R938" s="13"/>
      <c r="S938" s="13"/>
      <c r="T938" s="13">
        <v>1.1574074074074075E-4</v>
      </c>
      <c r="U938" s="13">
        <v>1.1574074074074075E-4</v>
      </c>
      <c r="V938" s="13"/>
      <c r="W938" s="13"/>
    </row>
    <row r="939" spans="1:23" ht="15" customHeight="1" x14ac:dyDescent="0.25">
      <c r="A939" s="19">
        <v>46246</v>
      </c>
      <c r="B939" s="11" t="s">
        <v>289</v>
      </c>
      <c r="C939" s="12" t="s">
        <v>559</v>
      </c>
      <c r="D939" s="11" t="s">
        <v>104</v>
      </c>
      <c r="E939" s="12" t="s">
        <v>105</v>
      </c>
      <c r="F939" s="12" t="s">
        <v>106</v>
      </c>
      <c r="G939" s="12">
        <v>7</v>
      </c>
      <c r="H939" s="13">
        <v>0.23201388888888888</v>
      </c>
      <c r="I939" s="13">
        <v>0.13934027777777777</v>
      </c>
      <c r="J939" s="13">
        <v>1.9905753968253968E-2</v>
      </c>
      <c r="K939" s="13">
        <v>0.11184027777777777</v>
      </c>
      <c r="L939" s="14">
        <v>0.48204130499850345</v>
      </c>
      <c r="M939" s="12" t="s">
        <v>334</v>
      </c>
      <c r="N939" s="13"/>
      <c r="O939" s="13">
        <v>5.8680555555555552E-3</v>
      </c>
      <c r="P939" s="13"/>
      <c r="Q939" s="13">
        <v>1.9027777777777779E-2</v>
      </c>
      <c r="R939" s="13"/>
      <c r="S939" s="13">
        <v>9.1087962962962971E-3</v>
      </c>
      <c r="T939" s="13">
        <v>6.5972222222222222E-3</v>
      </c>
      <c r="U939" s="13">
        <v>4.4340277777777777E-2</v>
      </c>
      <c r="V939" s="13"/>
      <c r="W939" s="13">
        <v>2.6875E-2</v>
      </c>
    </row>
    <row r="940" spans="1:23" ht="15" customHeight="1" x14ac:dyDescent="0.25">
      <c r="A940" s="19">
        <v>46246</v>
      </c>
      <c r="B940" s="11" t="s">
        <v>252</v>
      </c>
      <c r="C940" s="12" t="s">
        <v>553</v>
      </c>
      <c r="D940" s="11" t="s">
        <v>78</v>
      </c>
      <c r="E940" s="12" t="s">
        <v>80</v>
      </c>
      <c r="F940" s="12" t="s">
        <v>81</v>
      </c>
      <c r="G940" s="12">
        <v>1</v>
      </c>
      <c r="H940" s="13">
        <v>0.5758564814814815</v>
      </c>
      <c r="I940" s="13">
        <v>5.7986111111111112E-3</v>
      </c>
      <c r="J940" s="13">
        <v>5.7986111111111112E-3</v>
      </c>
      <c r="K940" s="13">
        <v>1.736111111111111E-3</v>
      </c>
      <c r="L940" s="14">
        <v>3.0148329782530045E-3</v>
      </c>
      <c r="M940" s="12" t="s">
        <v>334</v>
      </c>
      <c r="N940" s="13"/>
      <c r="O940" s="13"/>
      <c r="P940" s="13"/>
      <c r="Q940" s="13"/>
      <c r="R940" s="13">
        <v>8.1018518518518516E-5</v>
      </c>
      <c r="S940" s="13"/>
      <c r="T940" s="13">
        <v>1.1574074074074075E-4</v>
      </c>
      <c r="U940" s="13">
        <v>1.5162037037037036E-3</v>
      </c>
      <c r="V940" s="13"/>
      <c r="W940" s="13"/>
    </row>
    <row r="941" spans="1:23" ht="15" customHeight="1" x14ac:dyDescent="0.25">
      <c r="A941" s="19">
        <v>46246</v>
      </c>
      <c r="B941" s="11" t="s">
        <v>500</v>
      </c>
      <c r="C941" s="12" t="s">
        <v>518</v>
      </c>
      <c r="D941" s="11" t="s">
        <v>274</v>
      </c>
      <c r="E941" s="12" t="s">
        <v>147</v>
      </c>
      <c r="F941" s="12" t="s">
        <v>33</v>
      </c>
      <c r="G941" s="12">
        <v>15</v>
      </c>
      <c r="H941" s="13">
        <v>0.26603009259259258</v>
      </c>
      <c r="I941" s="13">
        <v>5.7453703703703701E-2</v>
      </c>
      <c r="J941" s="13">
        <v>3.8302469135802469E-3</v>
      </c>
      <c r="K941" s="13">
        <v>3.4004629629629628E-2</v>
      </c>
      <c r="L941" s="14">
        <v>0.12782249293017184</v>
      </c>
      <c r="M941" s="12" t="s">
        <v>334</v>
      </c>
      <c r="N941" s="13"/>
      <c r="O941" s="13">
        <v>1.3981481481481482E-2</v>
      </c>
      <c r="P941" s="13"/>
      <c r="Q941" s="13">
        <v>6.099537037037037E-3</v>
      </c>
      <c r="R941" s="13"/>
      <c r="S941" s="13">
        <v>1.2951388888888889E-2</v>
      </c>
      <c r="T941" s="13">
        <v>7.407407407407407E-4</v>
      </c>
      <c r="U941" s="13">
        <v>2.0833333333333335E-4</v>
      </c>
      <c r="V941" s="13"/>
      <c r="W941" s="13"/>
    </row>
    <row r="942" spans="1:23" ht="15" customHeight="1" x14ac:dyDescent="0.25">
      <c r="A942" s="19">
        <v>46246</v>
      </c>
      <c r="B942" s="11" t="s">
        <v>683</v>
      </c>
      <c r="C942" s="12" t="s">
        <v>684</v>
      </c>
      <c r="D942" s="11" t="s">
        <v>233</v>
      </c>
      <c r="E942" s="12" t="s">
        <v>32</v>
      </c>
      <c r="F942" s="12" t="s">
        <v>106</v>
      </c>
      <c r="G942" s="12">
        <v>29</v>
      </c>
      <c r="H942" s="13">
        <v>0.26846064814814813</v>
      </c>
      <c r="I942" s="13">
        <v>0.16516203703703702</v>
      </c>
      <c r="J942" s="13">
        <v>5.6952426564495524E-3</v>
      </c>
      <c r="K942" s="13">
        <v>6.3055555555555559E-2</v>
      </c>
      <c r="L942" s="14">
        <v>0.23487820651002375</v>
      </c>
      <c r="M942" s="12" t="s">
        <v>334</v>
      </c>
      <c r="N942" s="13">
        <v>7.1412037037037034E-3</v>
      </c>
      <c r="O942" s="13">
        <v>1.9131944444444444E-2</v>
      </c>
      <c r="P942" s="13"/>
      <c r="Q942" s="13"/>
      <c r="R942" s="13">
        <v>7.1180555555555554E-3</v>
      </c>
      <c r="S942" s="13">
        <v>1.5729166666666666E-2</v>
      </c>
      <c r="T942" s="13">
        <v>2.4305555555555556E-3</v>
      </c>
      <c r="U942" s="13">
        <v>1.1458333333333333E-2</v>
      </c>
      <c r="V942" s="13"/>
      <c r="W942" s="13"/>
    </row>
    <row r="943" spans="1:23" ht="15" customHeight="1" x14ac:dyDescent="0.25">
      <c r="A943" s="19">
        <v>46246</v>
      </c>
      <c r="B943" s="11" t="s">
        <v>653</v>
      </c>
      <c r="C943" s="12" t="s">
        <v>654</v>
      </c>
      <c r="D943" s="11" t="s">
        <v>100</v>
      </c>
      <c r="E943" s="12" t="s">
        <v>32</v>
      </c>
      <c r="F943" s="12" t="s">
        <v>33</v>
      </c>
      <c r="G943" s="12">
        <v>34</v>
      </c>
      <c r="H943" s="13">
        <v>0.26046296296296295</v>
      </c>
      <c r="I943" s="13">
        <v>0.16826388888888888</v>
      </c>
      <c r="J943" s="13">
        <v>4.9489379084967314E-3</v>
      </c>
      <c r="K943" s="13">
        <v>3.9930555555555552E-2</v>
      </c>
      <c r="L943" s="14">
        <v>0.15330607891930323</v>
      </c>
      <c r="M943" s="12" t="s">
        <v>334</v>
      </c>
      <c r="N943" s="13">
        <v>6.9675925925925929E-3</v>
      </c>
      <c r="O943" s="13">
        <v>1.480324074074074E-2</v>
      </c>
      <c r="P943" s="13"/>
      <c r="Q943" s="13"/>
      <c r="R943" s="13"/>
      <c r="S943" s="13">
        <v>1.4097222222222223E-2</v>
      </c>
      <c r="T943" s="13">
        <v>2.199074074074074E-4</v>
      </c>
      <c r="U943" s="13">
        <v>3.7847222222222223E-3</v>
      </c>
      <c r="V943" s="13"/>
      <c r="W943" s="13"/>
    </row>
    <row r="944" spans="1:23" ht="15" customHeight="1" x14ac:dyDescent="0.25">
      <c r="A944" s="19">
        <v>46246</v>
      </c>
      <c r="B944" s="11" t="s">
        <v>52</v>
      </c>
      <c r="C944" s="12" t="s">
        <v>509</v>
      </c>
      <c r="D944" s="11" t="s">
        <v>100</v>
      </c>
      <c r="E944" s="12" t="s">
        <v>32</v>
      </c>
      <c r="F944" s="12" t="s">
        <v>33</v>
      </c>
      <c r="G944" s="12">
        <v>0</v>
      </c>
      <c r="H944" s="13">
        <v>0.21179398148148149</v>
      </c>
      <c r="I944" s="13">
        <v>0</v>
      </c>
      <c r="J944" s="13">
        <v>0</v>
      </c>
      <c r="K944" s="13">
        <v>0.21179398148148149</v>
      </c>
      <c r="L944" s="14">
        <v>1</v>
      </c>
      <c r="M944" s="12" t="s">
        <v>334</v>
      </c>
      <c r="N944" s="13">
        <v>2.3611111111111111E-3</v>
      </c>
      <c r="O944" s="13">
        <v>1.4826388888888889E-2</v>
      </c>
      <c r="P944" s="13"/>
      <c r="Q944" s="13"/>
      <c r="R944" s="13"/>
      <c r="S944" s="13">
        <v>1.4409722222222223E-2</v>
      </c>
      <c r="T944" s="13">
        <v>5.2083333333333333E-4</v>
      </c>
      <c r="U944" s="13"/>
      <c r="V944" s="13"/>
      <c r="W944" s="13">
        <v>0.17967592592592593</v>
      </c>
    </row>
    <row r="945" spans="1:23" ht="15" customHeight="1" x14ac:dyDescent="0.25">
      <c r="A945" s="19">
        <v>46246</v>
      </c>
      <c r="B945" s="11" t="s">
        <v>164</v>
      </c>
      <c r="C945" s="12" t="s">
        <v>519</v>
      </c>
      <c r="D945" s="11" t="s">
        <v>146</v>
      </c>
      <c r="E945" s="12" t="s">
        <v>147</v>
      </c>
      <c r="F945" s="12" t="s">
        <v>106</v>
      </c>
      <c r="G945" s="12">
        <v>27</v>
      </c>
      <c r="H945" s="13">
        <v>0.27790509259259261</v>
      </c>
      <c r="I945" s="13">
        <v>4.8287037037037038E-2</v>
      </c>
      <c r="J945" s="13">
        <v>1.7884087791495199E-3</v>
      </c>
      <c r="K945" s="13">
        <v>3.4606481481481481E-2</v>
      </c>
      <c r="L945" s="14">
        <v>0.12452625879805089</v>
      </c>
      <c r="M945" s="12" t="s">
        <v>334</v>
      </c>
      <c r="N945" s="13"/>
      <c r="O945" s="13">
        <v>7.3958333333333333E-3</v>
      </c>
      <c r="P945" s="13"/>
      <c r="Q945" s="13">
        <v>1.0439814814814815E-2</v>
      </c>
      <c r="R945" s="13"/>
      <c r="S945" s="13">
        <v>1.3784722222222223E-2</v>
      </c>
      <c r="T945" s="13">
        <v>1.8634259259259259E-3</v>
      </c>
      <c r="U945" s="13">
        <v>4.6296296296296294E-5</v>
      </c>
      <c r="V945" s="13"/>
      <c r="W945" s="13">
        <v>1.0648148148148149E-3</v>
      </c>
    </row>
    <row r="946" spans="1:23" ht="15" customHeight="1" x14ac:dyDescent="0.25">
      <c r="A946" s="19">
        <v>46246</v>
      </c>
      <c r="B946" s="11" t="s">
        <v>655</v>
      </c>
      <c r="C946" s="12" t="s">
        <v>656</v>
      </c>
      <c r="D946" s="11" t="s">
        <v>100</v>
      </c>
      <c r="E946" s="12" t="s">
        <v>32</v>
      </c>
      <c r="F946" s="12" t="s">
        <v>33</v>
      </c>
      <c r="G946" s="12">
        <v>25</v>
      </c>
      <c r="H946" s="13">
        <v>0.25967592592592592</v>
      </c>
      <c r="I946" s="13">
        <v>0.15291666666666667</v>
      </c>
      <c r="J946" s="13">
        <v>6.116666666666667E-3</v>
      </c>
      <c r="K946" s="13">
        <v>3.4305555555555554E-2</v>
      </c>
      <c r="L946" s="14">
        <v>0.13210911035835265</v>
      </c>
      <c r="M946" s="12" t="s">
        <v>334</v>
      </c>
      <c r="N946" s="13">
        <v>4.0625000000000001E-3</v>
      </c>
      <c r="O946" s="13">
        <v>1.3194444444444444E-2</v>
      </c>
      <c r="P946" s="13"/>
      <c r="Q946" s="13"/>
      <c r="R946" s="13"/>
      <c r="S946" s="13">
        <v>1.4710648148148148E-2</v>
      </c>
      <c r="T946" s="13">
        <v>4.6296296296296298E-4</v>
      </c>
      <c r="U946" s="13">
        <v>1.8287037037037037E-3</v>
      </c>
      <c r="V946" s="13"/>
      <c r="W946" s="13"/>
    </row>
    <row r="947" spans="1:23" ht="15" customHeight="1" x14ac:dyDescent="0.25">
      <c r="A947" s="19">
        <v>46246</v>
      </c>
      <c r="B947" s="11" t="s">
        <v>657</v>
      </c>
      <c r="C947" s="12" t="s">
        <v>658</v>
      </c>
      <c r="D947" s="11" t="s">
        <v>274</v>
      </c>
      <c r="E947" s="12" t="s">
        <v>147</v>
      </c>
      <c r="F947" s="12" t="s">
        <v>33</v>
      </c>
      <c r="G947" s="12">
        <v>17</v>
      </c>
      <c r="H947" s="13">
        <v>0.25790509259259259</v>
      </c>
      <c r="I947" s="13">
        <v>4.5925925925925926E-2</v>
      </c>
      <c r="J947" s="13">
        <v>2.7015250544662308E-3</v>
      </c>
      <c r="K947" s="13">
        <v>3.5474537037037034E-2</v>
      </c>
      <c r="L947" s="14">
        <v>0.13754880402100256</v>
      </c>
      <c r="M947" s="12" t="s">
        <v>334</v>
      </c>
      <c r="N947" s="13">
        <v>7.0254629629629634E-3</v>
      </c>
      <c r="O947" s="13">
        <v>1.3993055555555555E-2</v>
      </c>
      <c r="P947" s="13"/>
      <c r="Q947" s="13"/>
      <c r="R947" s="13"/>
      <c r="S947" s="13">
        <v>1.3854166666666667E-2</v>
      </c>
      <c r="T947" s="13">
        <v>6.9444444444444444E-5</v>
      </c>
      <c r="U947" s="13">
        <v>4.861111111111111E-4</v>
      </c>
      <c r="V947" s="13"/>
      <c r="W947" s="13"/>
    </row>
    <row r="948" spans="1:23" ht="15" customHeight="1" x14ac:dyDescent="0.25">
      <c r="A948" s="19">
        <v>46246</v>
      </c>
      <c r="B948" s="11" t="s">
        <v>166</v>
      </c>
      <c r="C948" s="12" t="s">
        <v>167</v>
      </c>
      <c r="D948" s="11" t="s">
        <v>146</v>
      </c>
      <c r="E948" s="12" t="s">
        <v>147</v>
      </c>
      <c r="F948" s="12" t="s">
        <v>106</v>
      </c>
      <c r="G948" s="12">
        <v>23</v>
      </c>
      <c r="H948" s="13">
        <v>0.26442129629629629</v>
      </c>
      <c r="I948" s="13">
        <v>6.7905092592592586E-2</v>
      </c>
      <c r="J948" s="13">
        <v>2.952395330112721E-3</v>
      </c>
      <c r="K948" s="13">
        <v>4.3020833333333335E-2</v>
      </c>
      <c r="L948" s="14">
        <v>0.16269806530683709</v>
      </c>
      <c r="M948" s="12" t="s">
        <v>334</v>
      </c>
      <c r="N948" s="13">
        <v>4.2476851851851851E-3</v>
      </c>
      <c r="O948" s="13">
        <v>1.2372685185185184E-2</v>
      </c>
      <c r="P948" s="13"/>
      <c r="Q948" s="13">
        <v>9.6412037037037039E-3</v>
      </c>
      <c r="R948" s="13"/>
      <c r="S948" s="13">
        <v>1.6562500000000001E-2</v>
      </c>
      <c r="T948" s="13">
        <v>5.7870370370370373E-5</v>
      </c>
      <c r="U948" s="13">
        <v>1.3888888888888889E-4</v>
      </c>
      <c r="V948" s="13"/>
      <c r="W948" s="13"/>
    </row>
    <row r="949" spans="1:23" ht="15" customHeight="1" x14ac:dyDescent="0.25">
      <c r="A949" s="19">
        <v>46246</v>
      </c>
      <c r="B949" s="11" t="s">
        <v>659</v>
      </c>
      <c r="C949" s="12" t="s">
        <v>660</v>
      </c>
      <c r="D949" s="11" t="s">
        <v>100</v>
      </c>
      <c r="E949" s="12" t="s">
        <v>32</v>
      </c>
      <c r="F949" s="12" t="s">
        <v>33</v>
      </c>
      <c r="G949" s="12">
        <v>6</v>
      </c>
      <c r="H949" s="13">
        <v>0.21829861111111112</v>
      </c>
      <c r="I949" s="13">
        <v>3.1643518518518515E-2</v>
      </c>
      <c r="J949" s="13">
        <v>5.2739197530864189E-3</v>
      </c>
      <c r="K949" s="13">
        <v>0.18974537037037037</v>
      </c>
      <c r="L949" s="14">
        <v>0.86920099676581297</v>
      </c>
      <c r="M949" s="12" t="s">
        <v>334</v>
      </c>
      <c r="N949" s="13">
        <v>2.9861111111111113E-3</v>
      </c>
      <c r="O949" s="13">
        <v>9.6759259259259264E-3</v>
      </c>
      <c r="P949" s="13"/>
      <c r="Q949" s="13"/>
      <c r="R949" s="13"/>
      <c r="S949" s="13">
        <v>2.0185185185185184E-2</v>
      </c>
      <c r="T949" s="13">
        <v>3.170138888888889E-2</v>
      </c>
      <c r="U949" s="13">
        <v>7.5231481481481482E-4</v>
      </c>
      <c r="V949" s="13"/>
      <c r="W949" s="13">
        <v>0.12440972222222223</v>
      </c>
    </row>
    <row r="950" spans="1:23" ht="15" customHeight="1" x14ac:dyDescent="0.25">
      <c r="A950" s="19">
        <v>46246</v>
      </c>
      <c r="B950" s="11" t="s">
        <v>254</v>
      </c>
      <c r="C950" s="12" t="s">
        <v>528</v>
      </c>
      <c r="D950" s="11" t="s">
        <v>233</v>
      </c>
      <c r="E950" s="12" t="s">
        <v>32</v>
      </c>
      <c r="F950" s="12" t="s">
        <v>106</v>
      </c>
      <c r="G950" s="12">
        <v>24</v>
      </c>
      <c r="H950" s="13">
        <v>0.26166666666666666</v>
      </c>
      <c r="I950" s="13">
        <v>0.11256944444444444</v>
      </c>
      <c r="J950" s="13">
        <v>4.6903935185185182E-3</v>
      </c>
      <c r="K950" s="13">
        <v>4.4930555555555557E-2</v>
      </c>
      <c r="L950" s="14">
        <v>0.1717091295116773</v>
      </c>
      <c r="M950" s="12" t="s">
        <v>334</v>
      </c>
      <c r="N950" s="13">
        <v>1.2534722222222221E-2</v>
      </c>
      <c r="O950" s="13">
        <v>1.0405092592592593E-2</v>
      </c>
      <c r="P950" s="13"/>
      <c r="Q950" s="13">
        <v>2.2800925925925927E-3</v>
      </c>
      <c r="R950" s="13"/>
      <c r="S950" s="13">
        <v>1.2523148148148148E-2</v>
      </c>
      <c r="T950" s="13">
        <v>5.6597222222222222E-3</v>
      </c>
      <c r="U950" s="13">
        <v>1.5046296296296296E-3</v>
      </c>
      <c r="V950" s="13"/>
      <c r="W950" s="13"/>
    </row>
    <row r="951" spans="1:23" ht="15" customHeight="1" x14ac:dyDescent="0.25">
      <c r="A951" s="19">
        <v>46246</v>
      </c>
      <c r="B951" s="11" t="s">
        <v>201</v>
      </c>
      <c r="C951" s="12" t="s">
        <v>545</v>
      </c>
      <c r="D951" s="11" t="s">
        <v>601</v>
      </c>
      <c r="E951" s="12" t="s">
        <v>600</v>
      </c>
      <c r="F951" s="12" t="s">
        <v>33</v>
      </c>
      <c r="G951" s="12">
        <v>21</v>
      </c>
      <c r="H951" s="13">
        <v>0.24694444444444444</v>
      </c>
      <c r="I951" s="13">
        <v>9.6631944444444451E-2</v>
      </c>
      <c r="J951" s="13">
        <v>4.6015211640211646E-3</v>
      </c>
      <c r="K951" s="13">
        <v>6.8877314814814808E-2</v>
      </c>
      <c r="L951" s="14">
        <v>0.27891826021747279</v>
      </c>
      <c r="M951" s="12" t="s">
        <v>334</v>
      </c>
      <c r="N951" s="13">
        <v>1.5856481481481481E-3</v>
      </c>
      <c r="O951" s="13">
        <v>2.5104166666666667E-2</v>
      </c>
      <c r="P951" s="13">
        <v>6.6087962962962966E-3</v>
      </c>
      <c r="Q951" s="13"/>
      <c r="R951" s="13"/>
      <c r="S951" s="13">
        <v>2.0833333333333332E-2</v>
      </c>
      <c r="T951" s="13">
        <v>2.2453703703703702E-3</v>
      </c>
      <c r="U951" s="13">
        <v>1.2500000000000001E-2</v>
      </c>
      <c r="V951" s="13"/>
      <c r="W951" s="13"/>
    </row>
    <row r="952" spans="1:23" ht="15" customHeight="1" x14ac:dyDescent="0.25">
      <c r="A952" s="19">
        <v>46246</v>
      </c>
      <c r="B952" s="11" t="s">
        <v>168</v>
      </c>
      <c r="C952" s="12" t="s">
        <v>520</v>
      </c>
      <c r="D952" s="11" t="s">
        <v>274</v>
      </c>
      <c r="E952" s="12" t="s">
        <v>147</v>
      </c>
      <c r="F952" s="12" t="s">
        <v>33</v>
      </c>
      <c r="G952" s="12">
        <v>14</v>
      </c>
      <c r="H952" s="13">
        <v>0.25780092592592591</v>
      </c>
      <c r="I952" s="13">
        <v>2.2870370370370371E-2</v>
      </c>
      <c r="J952" s="13">
        <v>1.6335978835978835E-3</v>
      </c>
      <c r="K952" s="13">
        <v>7.4594907407407401E-2</v>
      </c>
      <c r="L952" s="14">
        <v>0.28935081260662654</v>
      </c>
      <c r="M952" s="12" t="s">
        <v>334</v>
      </c>
      <c r="N952" s="13">
        <v>7.2800925925925923E-3</v>
      </c>
      <c r="O952" s="13">
        <v>9.9189814814814817E-3</v>
      </c>
      <c r="P952" s="13">
        <v>5.7523148148148151E-3</v>
      </c>
      <c r="Q952" s="13">
        <v>3.5590277777777776E-2</v>
      </c>
      <c r="R952" s="13"/>
      <c r="S952" s="13">
        <v>1.5659722222222221E-2</v>
      </c>
      <c r="T952" s="13">
        <v>2.5462962962962961E-4</v>
      </c>
      <c r="U952" s="13">
        <v>1.273148148148148E-4</v>
      </c>
      <c r="V952" s="13"/>
      <c r="W952" s="13"/>
    </row>
    <row r="953" spans="1:23" ht="15" customHeight="1" x14ac:dyDescent="0.25">
      <c r="A953" s="19">
        <v>46246</v>
      </c>
      <c r="B953" s="11" t="s">
        <v>170</v>
      </c>
      <c r="C953" s="12" t="s">
        <v>521</v>
      </c>
      <c r="D953" s="11" t="s">
        <v>146</v>
      </c>
      <c r="E953" s="12" t="s">
        <v>147</v>
      </c>
      <c r="F953" s="12" t="s">
        <v>106</v>
      </c>
      <c r="G953" s="12">
        <v>17</v>
      </c>
      <c r="H953" s="13">
        <v>0.25866898148148149</v>
      </c>
      <c r="I953" s="13">
        <v>9.418981481481481E-2</v>
      </c>
      <c r="J953" s="13">
        <v>5.5405773420479296E-3</v>
      </c>
      <c r="K953" s="13">
        <v>3.4629629629629628E-2</v>
      </c>
      <c r="L953" s="14">
        <v>0.13387623607320237</v>
      </c>
      <c r="M953" s="12" t="s">
        <v>334</v>
      </c>
      <c r="N953" s="13">
        <v>5.4976851851851853E-3</v>
      </c>
      <c r="O953" s="13">
        <v>1.3680555555555555E-2</v>
      </c>
      <c r="P953" s="13"/>
      <c r="Q953" s="13"/>
      <c r="R953" s="13"/>
      <c r="S953" s="13">
        <v>1.4618055555555556E-2</v>
      </c>
      <c r="T953" s="13">
        <v>5.7870370370370373E-5</v>
      </c>
      <c r="U953" s="13">
        <v>7.407407407407407E-4</v>
      </c>
      <c r="V953" s="13"/>
      <c r="W953" s="13"/>
    </row>
    <row r="954" spans="1:23" ht="15" customHeight="1" x14ac:dyDescent="0.25">
      <c r="A954" s="19">
        <v>46246</v>
      </c>
      <c r="B954" s="11" t="s">
        <v>92</v>
      </c>
      <c r="C954" s="12" t="s">
        <v>93</v>
      </c>
      <c r="D954" s="11" t="s">
        <v>78</v>
      </c>
      <c r="E954" s="12" t="s">
        <v>80</v>
      </c>
      <c r="F954" s="12" t="s">
        <v>81</v>
      </c>
      <c r="G954" s="12">
        <v>0</v>
      </c>
      <c r="H954" s="13">
        <v>0.37119212962962961</v>
      </c>
      <c r="I954" s="13">
        <v>0</v>
      </c>
      <c r="J954" s="13">
        <v>0</v>
      </c>
      <c r="K954" s="13">
        <v>0.26017361111111109</v>
      </c>
      <c r="L954" s="14">
        <v>0.70091359795453834</v>
      </c>
      <c r="M954" s="12" t="s">
        <v>334</v>
      </c>
      <c r="N954" s="13"/>
      <c r="O954" s="13">
        <v>6.1226851851851852E-2</v>
      </c>
      <c r="P954" s="13"/>
      <c r="Q954" s="13"/>
      <c r="R954" s="13"/>
      <c r="S954" s="13"/>
      <c r="T954" s="13">
        <v>7.5659722222222225E-2</v>
      </c>
      <c r="U954" s="13">
        <v>0.12327546296296296</v>
      </c>
      <c r="V954" s="13"/>
      <c r="W954" s="13"/>
    </row>
    <row r="955" spans="1:23" ht="15" customHeight="1" x14ac:dyDescent="0.25">
      <c r="A955" s="19">
        <v>46246</v>
      </c>
      <c r="B955" s="11" t="s">
        <v>94</v>
      </c>
      <c r="C955" s="12" t="s">
        <v>95</v>
      </c>
      <c r="D955" s="11" t="s">
        <v>78</v>
      </c>
      <c r="E955" s="12" t="s">
        <v>80</v>
      </c>
      <c r="F955" s="12" t="s">
        <v>81</v>
      </c>
      <c r="G955" s="12">
        <v>0</v>
      </c>
      <c r="H955" s="13">
        <v>0.39124999999999999</v>
      </c>
      <c r="I955" s="13">
        <v>0</v>
      </c>
      <c r="J955" s="13">
        <v>0</v>
      </c>
      <c r="K955" s="13">
        <v>0.17074074074074075</v>
      </c>
      <c r="L955" s="14">
        <v>0.43639805940125431</v>
      </c>
      <c r="M955" s="12" t="s">
        <v>334</v>
      </c>
      <c r="N955" s="13"/>
      <c r="O955" s="13">
        <v>9.510416666666667E-2</v>
      </c>
      <c r="P955" s="13"/>
      <c r="Q955" s="13"/>
      <c r="R955" s="13">
        <v>1.8599537037037036E-2</v>
      </c>
      <c r="S955" s="13">
        <v>5.6666666666666664E-2</v>
      </c>
      <c r="T955" s="13"/>
      <c r="U955" s="13">
        <v>3.5879629629629629E-4</v>
      </c>
      <c r="V955" s="13"/>
      <c r="W955" s="13"/>
    </row>
    <row r="956" spans="1:23" ht="15" customHeight="1" x14ac:dyDescent="0.25">
      <c r="A956" s="19">
        <v>46246</v>
      </c>
      <c r="B956" s="11" t="s">
        <v>293</v>
      </c>
      <c r="C956" s="12" t="s">
        <v>543</v>
      </c>
      <c r="D956" s="11" t="s">
        <v>104</v>
      </c>
      <c r="E956" s="12" t="s">
        <v>600</v>
      </c>
      <c r="F956" s="12" t="s">
        <v>106</v>
      </c>
      <c r="G956" s="12">
        <v>42</v>
      </c>
      <c r="H956" s="13">
        <v>0.26371527777777776</v>
      </c>
      <c r="I956" s="13">
        <v>0.11157407407407408</v>
      </c>
      <c r="J956" s="13">
        <v>2.6565255731922401E-3</v>
      </c>
      <c r="K956" s="13">
        <v>0.12710648148148149</v>
      </c>
      <c r="L956" s="14">
        <v>0.48198376124643411</v>
      </c>
      <c r="M956" s="12" t="s">
        <v>334</v>
      </c>
      <c r="N956" s="13">
        <v>9.2245370370370363E-3</v>
      </c>
      <c r="O956" s="13">
        <v>1.8171296296296297E-2</v>
      </c>
      <c r="P956" s="13"/>
      <c r="Q956" s="13"/>
      <c r="R956" s="13"/>
      <c r="S956" s="13">
        <v>1.7777777777777778E-2</v>
      </c>
      <c r="T956" s="13">
        <v>2.2916666666666667E-3</v>
      </c>
      <c r="U956" s="13"/>
      <c r="V956" s="13"/>
      <c r="W956" s="13">
        <v>7.96412037037037E-2</v>
      </c>
    </row>
    <row r="957" spans="1:23" ht="15" customHeight="1" x14ac:dyDescent="0.25">
      <c r="A957" s="19">
        <v>46246</v>
      </c>
      <c r="B957" s="11" t="s">
        <v>606</v>
      </c>
      <c r="C957" s="12" t="s">
        <v>633</v>
      </c>
      <c r="D957" s="11" t="s">
        <v>146</v>
      </c>
      <c r="E957" s="12" t="s">
        <v>147</v>
      </c>
      <c r="F957" s="12" t="s">
        <v>106</v>
      </c>
      <c r="G957" s="12">
        <v>8</v>
      </c>
      <c r="H957" s="13">
        <v>0.30571759259259257</v>
      </c>
      <c r="I957" s="13">
        <v>5.4456018518518522E-2</v>
      </c>
      <c r="J957" s="13">
        <v>6.8070023148148152E-3</v>
      </c>
      <c r="K957" s="13">
        <v>0.11201388888888889</v>
      </c>
      <c r="L957" s="14">
        <v>0.36639660785946848</v>
      </c>
      <c r="M957" s="12" t="s">
        <v>334</v>
      </c>
      <c r="N957" s="13">
        <v>4.1469907407407407E-2</v>
      </c>
      <c r="O957" s="13">
        <v>1.5162037037037036E-2</v>
      </c>
      <c r="P957" s="13"/>
      <c r="Q957" s="13">
        <v>1.1956018518518519E-2</v>
      </c>
      <c r="R957" s="13"/>
      <c r="S957" s="13">
        <v>1.4363425925925925E-2</v>
      </c>
      <c r="T957" s="13">
        <v>7.7546296296296293E-4</v>
      </c>
      <c r="U957" s="13">
        <v>2.8287037037037038E-2</v>
      </c>
      <c r="V957" s="13"/>
      <c r="W957" s="13"/>
    </row>
    <row r="958" spans="1:23" ht="15" customHeight="1" x14ac:dyDescent="0.25">
      <c r="A958" s="19">
        <v>46246</v>
      </c>
      <c r="B958" s="11" t="s">
        <v>256</v>
      </c>
      <c r="C958" s="12" t="s">
        <v>529</v>
      </c>
      <c r="D958" s="11" t="s">
        <v>233</v>
      </c>
      <c r="E958" s="12" t="s">
        <v>32</v>
      </c>
      <c r="F958" s="12" t="s">
        <v>106</v>
      </c>
      <c r="G958" s="12">
        <v>22</v>
      </c>
      <c r="H958" s="13">
        <v>0.28478009259259257</v>
      </c>
      <c r="I958" s="13">
        <v>0.12519675925925927</v>
      </c>
      <c r="J958" s="13">
        <v>5.6907617845117853E-3</v>
      </c>
      <c r="K958" s="13">
        <v>6.9236111111111109E-2</v>
      </c>
      <c r="L958" s="14">
        <v>0.24312131680552734</v>
      </c>
      <c r="M958" s="12" t="s">
        <v>334</v>
      </c>
      <c r="N958" s="13">
        <v>1.8668981481481481E-2</v>
      </c>
      <c r="O958" s="13">
        <v>1.7384259259259259E-2</v>
      </c>
      <c r="P958" s="13"/>
      <c r="Q958" s="13"/>
      <c r="R958" s="13"/>
      <c r="S958" s="13">
        <v>1.800925925925926E-2</v>
      </c>
      <c r="T958" s="13">
        <v>1.6203703703703703E-4</v>
      </c>
      <c r="U958" s="13">
        <v>1.0925925925925926E-2</v>
      </c>
      <c r="V958" s="13"/>
      <c r="W958" s="13">
        <v>4.0740740740740737E-3</v>
      </c>
    </row>
    <row r="959" spans="1:23" ht="15" customHeight="1" x14ac:dyDescent="0.25">
      <c r="A959" s="19">
        <v>46246</v>
      </c>
      <c r="B959" s="11" t="s">
        <v>612</v>
      </c>
      <c r="C959" s="12" t="s">
        <v>634</v>
      </c>
      <c r="D959" s="11" t="s">
        <v>601</v>
      </c>
      <c r="E959" s="12" t="s">
        <v>105</v>
      </c>
      <c r="F959" s="12" t="s">
        <v>33</v>
      </c>
      <c r="G959" s="12">
        <v>3</v>
      </c>
      <c r="H959" s="13">
        <v>0.22266203703703705</v>
      </c>
      <c r="I959" s="13">
        <v>5.665509259259259E-2</v>
      </c>
      <c r="J959" s="13">
        <v>1.888503086419753E-2</v>
      </c>
      <c r="K959" s="13">
        <v>0.20605324074074075</v>
      </c>
      <c r="L959" s="14">
        <v>0.92540804657448794</v>
      </c>
      <c r="M959" s="12" t="s">
        <v>334</v>
      </c>
      <c r="N959" s="13">
        <v>1.8935185185185187E-2</v>
      </c>
      <c r="O959" s="13">
        <v>2.6875E-2</v>
      </c>
      <c r="P959" s="13"/>
      <c r="Q959" s="13"/>
      <c r="R959" s="13"/>
      <c r="S959" s="13">
        <v>1.4479166666666666E-2</v>
      </c>
      <c r="T959" s="13">
        <v>3.9606481481481479E-2</v>
      </c>
      <c r="U959" s="13">
        <v>0.10604166666666667</v>
      </c>
      <c r="V959" s="13"/>
      <c r="W959" s="13">
        <v>1.1574074074074075E-4</v>
      </c>
    </row>
    <row r="960" spans="1:23" ht="15" customHeight="1" x14ac:dyDescent="0.25">
      <c r="A960" s="19">
        <v>46246</v>
      </c>
      <c r="B960" s="11" t="s">
        <v>258</v>
      </c>
      <c r="C960" s="12" t="s">
        <v>554</v>
      </c>
      <c r="D960" s="11" t="s">
        <v>233</v>
      </c>
      <c r="E960" s="12" t="s">
        <v>32</v>
      </c>
      <c r="F960" s="12" t="s">
        <v>106</v>
      </c>
      <c r="G960" s="12">
        <v>0</v>
      </c>
      <c r="H960" s="13">
        <v>0.2323263888888889</v>
      </c>
      <c r="I960" s="13">
        <v>0</v>
      </c>
      <c r="J960" s="13">
        <v>0</v>
      </c>
      <c r="K960" s="13">
        <v>0.23121527777777778</v>
      </c>
      <c r="L960" s="14">
        <v>0.99521745628456137</v>
      </c>
      <c r="M960" s="12" t="s">
        <v>334</v>
      </c>
      <c r="N960" s="13"/>
      <c r="O960" s="13"/>
      <c r="P960" s="13"/>
      <c r="Q960" s="13"/>
      <c r="R960" s="13"/>
      <c r="S960" s="13">
        <v>1.4085648148148147E-2</v>
      </c>
      <c r="T960" s="13">
        <v>6.3657407407407413E-4</v>
      </c>
      <c r="U960" s="13"/>
      <c r="V960" s="13"/>
      <c r="W960" s="13">
        <v>0.21649305555555556</v>
      </c>
    </row>
    <row r="961" spans="1:23" ht="15" customHeight="1" x14ac:dyDescent="0.25">
      <c r="A961" s="19">
        <v>46246</v>
      </c>
      <c r="B961" s="11" t="s">
        <v>661</v>
      </c>
      <c r="C961" s="12" t="s">
        <v>662</v>
      </c>
      <c r="D961" s="11" t="s">
        <v>100</v>
      </c>
      <c r="E961" s="12" t="s">
        <v>32</v>
      </c>
      <c r="F961" s="12" t="s">
        <v>33</v>
      </c>
      <c r="G961" s="12">
        <v>34</v>
      </c>
      <c r="H961" s="13">
        <v>0.25376157407407407</v>
      </c>
      <c r="I961" s="13">
        <v>0.16336805555555556</v>
      </c>
      <c r="J961" s="13">
        <v>4.8049428104575166E-3</v>
      </c>
      <c r="K961" s="13">
        <v>4.3541666666666666E-2</v>
      </c>
      <c r="L961" s="14">
        <v>0.17158494868871152</v>
      </c>
      <c r="M961" s="12" t="s">
        <v>334</v>
      </c>
      <c r="N961" s="13">
        <v>7.8935185185185185E-3</v>
      </c>
      <c r="O961" s="13">
        <v>1.7326388888888888E-2</v>
      </c>
      <c r="P961" s="13"/>
      <c r="Q961" s="13"/>
      <c r="R961" s="13"/>
      <c r="S961" s="13">
        <v>1.3923611111111111E-2</v>
      </c>
      <c r="T961" s="13">
        <v>8.1018518518518516E-4</v>
      </c>
      <c r="U961" s="13">
        <v>3.460648148148148E-3</v>
      </c>
      <c r="V961" s="13"/>
      <c r="W961" s="13"/>
    </row>
    <row r="962" spans="1:23" ht="15" customHeight="1" x14ac:dyDescent="0.25">
      <c r="A962" s="19">
        <v>46246</v>
      </c>
      <c r="B962" s="11" t="s">
        <v>663</v>
      </c>
      <c r="C962" s="12" t="s">
        <v>664</v>
      </c>
      <c r="D962" s="11" t="s">
        <v>233</v>
      </c>
      <c r="E962" s="12" t="s">
        <v>32</v>
      </c>
      <c r="F962" s="12" t="s">
        <v>106</v>
      </c>
      <c r="G962" s="12">
        <v>25</v>
      </c>
      <c r="H962" s="13">
        <v>0.26155092592592594</v>
      </c>
      <c r="I962" s="13">
        <v>0.14407407407407408</v>
      </c>
      <c r="J962" s="13">
        <v>5.7629629629629628E-3</v>
      </c>
      <c r="K962" s="13">
        <v>3.5057870370370371E-2</v>
      </c>
      <c r="L962" s="14">
        <v>0.13403841047880344</v>
      </c>
      <c r="M962" s="12" t="s">
        <v>334</v>
      </c>
      <c r="N962" s="13">
        <v>5.347222222222222E-3</v>
      </c>
      <c r="O962" s="13">
        <v>7.1180555555555554E-3</v>
      </c>
      <c r="P962" s="13"/>
      <c r="Q962" s="13"/>
      <c r="R962" s="13"/>
      <c r="S962" s="13">
        <v>1.4884259259259259E-2</v>
      </c>
      <c r="T962" s="13">
        <v>6.9444444444444444E-5</v>
      </c>
      <c r="U962" s="13">
        <v>7.291666666666667E-4</v>
      </c>
      <c r="V962" s="13"/>
      <c r="W962" s="13">
        <v>6.8865740740740745E-3</v>
      </c>
    </row>
    <row r="963" spans="1:23" ht="15" customHeight="1" x14ac:dyDescent="0.25">
      <c r="A963" s="19">
        <v>46246</v>
      </c>
      <c r="B963" s="11" t="s">
        <v>203</v>
      </c>
      <c r="C963" s="12" t="s">
        <v>565</v>
      </c>
      <c r="D963" s="11" t="s">
        <v>601</v>
      </c>
      <c r="E963" s="12" t="s">
        <v>105</v>
      </c>
      <c r="F963" s="12" t="s">
        <v>33</v>
      </c>
      <c r="G963" s="12">
        <v>6</v>
      </c>
      <c r="H963" s="13">
        <v>0.24533564814814815</v>
      </c>
      <c r="I963" s="13">
        <v>0.13179398148148147</v>
      </c>
      <c r="J963" s="13">
        <v>2.1965663580246913E-2</v>
      </c>
      <c r="K963" s="13">
        <v>0.20453703703703704</v>
      </c>
      <c r="L963" s="14">
        <v>0.83370288248337032</v>
      </c>
      <c r="M963" s="12" t="s">
        <v>334</v>
      </c>
      <c r="N963" s="13">
        <v>3.9467592592592592E-3</v>
      </c>
      <c r="O963" s="13">
        <v>1.5266203703703704E-2</v>
      </c>
      <c r="P963" s="13">
        <v>5.6597222222222222E-3</v>
      </c>
      <c r="Q963" s="13"/>
      <c r="R963" s="13"/>
      <c r="S963" s="13">
        <v>1.3819444444444445E-2</v>
      </c>
      <c r="T963" s="13">
        <v>6.4814814814814813E-4</v>
      </c>
      <c r="U963" s="13">
        <v>0.16519675925925925</v>
      </c>
      <c r="V963" s="13"/>
      <c r="W963" s="13"/>
    </row>
    <row r="964" spans="1:23" ht="15" customHeight="1" x14ac:dyDescent="0.25">
      <c r="A964" s="19">
        <v>46246</v>
      </c>
      <c r="B964" s="11" t="s">
        <v>665</v>
      </c>
      <c r="C964" s="12" t="s">
        <v>666</v>
      </c>
      <c r="D964" s="11" t="s">
        <v>100</v>
      </c>
      <c r="E964" s="12" t="s">
        <v>32</v>
      </c>
      <c r="F964" s="12" t="s">
        <v>33</v>
      </c>
      <c r="G964" s="12">
        <v>39</v>
      </c>
      <c r="H964" s="13">
        <v>0.2588078703703704</v>
      </c>
      <c r="I964" s="13">
        <v>0.17184027777777777</v>
      </c>
      <c r="J964" s="13">
        <v>4.4061609686609684E-3</v>
      </c>
      <c r="K964" s="13">
        <v>2.2650462962962963E-2</v>
      </c>
      <c r="L964" s="14">
        <v>8.7518447296632523E-2</v>
      </c>
      <c r="M964" s="12" t="s">
        <v>334</v>
      </c>
      <c r="N964" s="13"/>
      <c r="O964" s="13">
        <v>7.060185185185185E-3</v>
      </c>
      <c r="P964" s="13"/>
      <c r="Q964" s="13"/>
      <c r="R964" s="13"/>
      <c r="S964" s="13">
        <v>1.3761574074074074E-2</v>
      </c>
      <c r="T964" s="13">
        <v>1.3888888888888889E-4</v>
      </c>
      <c r="U964" s="13">
        <v>1.6087962962962963E-3</v>
      </c>
      <c r="V964" s="13"/>
      <c r="W964" s="13"/>
    </row>
    <row r="965" spans="1:23" ht="15" customHeight="1" x14ac:dyDescent="0.25">
      <c r="A965" s="19">
        <v>46246</v>
      </c>
      <c r="B965" s="11" t="s">
        <v>264</v>
      </c>
      <c r="C965" s="12" t="s">
        <v>530</v>
      </c>
      <c r="D965" s="11" t="s">
        <v>78</v>
      </c>
      <c r="E965" s="12" t="s">
        <v>80</v>
      </c>
      <c r="F965" s="12" t="s">
        <v>106</v>
      </c>
      <c r="G965" s="12">
        <v>0</v>
      </c>
      <c r="H965" s="13">
        <v>0.3321412037037037</v>
      </c>
      <c r="I965" s="13">
        <v>0</v>
      </c>
      <c r="J965" s="13">
        <v>0</v>
      </c>
      <c r="K965" s="13">
        <v>1.6203703703703703E-4</v>
      </c>
      <c r="L965" s="14">
        <v>4.8785587343624768E-4</v>
      </c>
      <c r="M965" s="12" t="s">
        <v>334</v>
      </c>
      <c r="N965" s="13"/>
      <c r="O965" s="13"/>
      <c r="P965" s="13"/>
      <c r="Q965" s="13"/>
      <c r="R965" s="13"/>
      <c r="S965" s="13"/>
      <c r="T965" s="13">
        <v>9.2592592592592588E-5</v>
      </c>
      <c r="U965" s="13">
        <v>6.9444444444444444E-5</v>
      </c>
      <c r="V965" s="13"/>
      <c r="W965" s="13"/>
    </row>
    <row r="966" spans="1:23" ht="15" customHeight="1" x14ac:dyDescent="0.25">
      <c r="A966" s="19">
        <v>46246</v>
      </c>
      <c r="B966" s="11" t="s">
        <v>128</v>
      </c>
      <c r="C966" s="12" t="s">
        <v>555</v>
      </c>
      <c r="D966" s="11" t="s">
        <v>233</v>
      </c>
      <c r="E966" s="12" t="s">
        <v>32</v>
      </c>
      <c r="F966" s="12" t="s">
        <v>106</v>
      </c>
      <c r="G966" s="12">
        <v>43</v>
      </c>
      <c r="H966" s="13">
        <v>0.23872685185185186</v>
      </c>
      <c r="I966" s="13">
        <v>0.11071759259259259</v>
      </c>
      <c r="J966" s="13">
        <v>2.5748277347114558E-3</v>
      </c>
      <c r="K966" s="13">
        <v>4.8449074074074075E-2</v>
      </c>
      <c r="L966" s="14">
        <v>0.20294773586735187</v>
      </c>
      <c r="M966" s="12" t="s">
        <v>334</v>
      </c>
      <c r="N966" s="13">
        <v>1.2500000000000001E-2</v>
      </c>
      <c r="O966" s="13">
        <v>1.6863425925925928E-2</v>
      </c>
      <c r="P966" s="13"/>
      <c r="Q966" s="13"/>
      <c r="R966" s="13"/>
      <c r="S966" s="13">
        <v>1.4606481481481481E-2</v>
      </c>
      <c r="T966" s="13">
        <v>1.3310185185185185E-3</v>
      </c>
      <c r="U966" s="13">
        <v>3.0092592592592593E-3</v>
      </c>
      <c r="V966" s="13"/>
      <c r="W966" s="13"/>
    </row>
    <row r="967" spans="1:23" ht="15" customHeight="1" x14ac:dyDescent="0.25">
      <c r="A967" s="19">
        <v>46246</v>
      </c>
      <c r="B967" s="11" t="s">
        <v>178</v>
      </c>
      <c r="C967" s="12" t="s">
        <v>522</v>
      </c>
      <c r="D967" s="11" t="s">
        <v>146</v>
      </c>
      <c r="E967" s="12" t="s">
        <v>147</v>
      </c>
      <c r="F967" s="12" t="s">
        <v>106</v>
      </c>
      <c r="G967" s="12">
        <v>16</v>
      </c>
      <c r="H967" s="13">
        <v>0.26817129629629627</v>
      </c>
      <c r="I967" s="13">
        <v>9.3391203703703699E-2</v>
      </c>
      <c r="J967" s="13">
        <v>5.8369502314814812E-3</v>
      </c>
      <c r="K967" s="13">
        <v>4.3310185185185188E-2</v>
      </c>
      <c r="L967" s="14">
        <v>0.16150194216659475</v>
      </c>
      <c r="M967" s="12" t="s">
        <v>334</v>
      </c>
      <c r="N967" s="13">
        <v>3.1250000000000002E-3</v>
      </c>
      <c r="O967" s="13">
        <v>1.4884259259259259E-2</v>
      </c>
      <c r="P967" s="13"/>
      <c r="Q967" s="13">
        <v>1.0150462962962964E-2</v>
      </c>
      <c r="R967" s="13"/>
      <c r="S967" s="13">
        <v>1.2442129629629629E-2</v>
      </c>
      <c r="T967" s="13">
        <v>2.0601851851851853E-3</v>
      </c>
      <c r="U967" s="13">
        <v>6.2500000000000001E-4</v>
      </c>
      <c r="V967" s="13"/>
      <c r="W967" s="13"/>
    </row>
    <row r="968" spans="1:23" ht="15" customHeight="1" x14ac:dyDescent="0.25">
      <c r="A968" s="19">
        <v>46246</v>
      </c>
      <c r="B968" s="11" t="s">
        <v>266</v>
      </c>
      <c r="C968" s="12" t="s">
        <v>531</v>
      </c>
      <c r="D968" s="11" t="s">
        <v>233</v>
      </c>
      <c r="E968" s="12" t="s">
        <v>32</v>
      </c>
      <c r="F968" s="12" t="s">
        <v>106</v>
      </c>
      <c r="G968" s="12">
        <v>0</v>
      </c>
      <c r="H968" s="13">
        <v>0.20125000000000001</v>
      </c>
      <c r="I968" s="13">
        <v>0</v>
      </c>
      <c r="J968" s="13">
        <v>0</v>
      </c>
      <c r="K968" s="13">
        <v>0.20125000000000001</v>
      </c>
      <c r="L968" s="14">
        <v>1</v>
      </c>
      <c r="M968" s="12" t="s">
        <v>334</v>
      </c>
      <c r="N968" s="13"/>
      <c r="O968" s="13">
        <v>1.2685185185185185E-2</v>
      </c>
      <c r="P968" s="13"/>
      <c r="Q968" s="13"/>
      <c r="R968" s="13"/>
      <c r="S968" s="13">
        <v>1.1539351851851851E-2</v>
      </c>
      <c r="T968" s="13">
        <v>4.6296296296296298E-4</v>
      </c>
      <c r="U968" s="13"/>
      <c r="V968" s="13"/>
      <c r="W968" s="13">
        <v>0.17656250000000001</v>
      </c>
    </row>
    <row r="969" spans="1:23" ht="15" customHeight="1" x14ac:dyDescent="0.25">
      <c r="A969" s="19">
        <v>46246</v>
      </c>
      <c r="B969" s="11" t="s">
        <v>297</v>
      </c>
      <c r="C969" s="12" t="s">
        <v>667</v>
      </c>
      <c r="D969" s="11" t="s">
        <v>104</v>
      </c>
      <c r="E969" s="12" t="s">
        <v>105</v>
      </c>
      <c r="F969" s="12" t="s">
        <v>106</v>
      </c>
      <c r="G969" s="12">
        <v>9</v>
      </c>
      <c r="H969" s="13">
        <v>0.22608796296296296</v>
      </c>
      <c r="I969" s="13">
        <v>0.12314814814814815</v>
      </c>
      <c r="J969" s="13">
        <v>1.368312757201646E-2</v>
      </c>
      <c r="K969" s="13">
        <v>0.14133101851851851</v>
      </c>
      <c r="L969" s="14">
        <v>0.62511518378212338</v>
      </c>
      <c r="M969" s="12" t="s">
        <v>334</v>
      </c>
      <c r="N969" s="13">
        <v>1.1759259259259259E-2</v>
      </c>
      <c r="O969" s="13">
        <v>1.5578703703703704E-2</v>
      </c>
      <c r="P969" s="13"/>
      <c r="Q969" s="13"/>
      <c r="R969" s="13"/>
      <c r="S969" s="13">
        <v>3.4722222222222222E-5</v>
      </c>
      <c r="T969" s="13">
        <v>2.9861111111111113E-3</v>
      </c>
      <c r="U969" s="13">
        <v>4.6296296296296294E-5</v>
      </c>
      <c r="V969" s="13"/>
      <c r="W969" s="13">
        <v>0.11091435185185185</v>
      </c>
    </row>
    <row r="970" spans="1:23" ht="15" customHeight="1" x14ac:dyDescent="0.25">
      <c r="A970" s="19">
        <v>46246</v>
      </c>
      <c r="B970" s="11" t="s">
        <v>207</v>
      </c>
      <c r="C970" s="12" t="s">
        <v>566</v>
      </c>
      <c r="D970" s="11" t="s">
        <v>274</v>
      </c>
      <c r="E970" s="12" t="s">
        <v>147</v>
      </c>
      <c r="F970" s="12" t="s">
        <v>33</v>
      </c>
      <c r="G970" s="12">
        <v>16</v>
      </c>
      <c r="H970" s="13">
        <v>0.26263888888888887</v>
      </c>
      <c r="I970" s="13">
        <v>6.9791666666666669E-2</v>
      </c>
      <c r="J970" s="13">
        <v>4.3619791666666668E-3</v>
      </c>
      <c r="K970" s="13">
        <v>3.3784722222222223E-2</v>
      </c>
      <c r="L970" s="14">
        <v>0.12863564251718668</v>
      </c>
      <c r="M970" s="12" t="s">
        <v>334</v>
      </c>
      <c r="N970" s="13">
        <v>4.0277777777777777E-3</v>
      </c>
      <c r="O970" s="13">
        <v>1.3993055555555555E-2</v>
      </c>
      <c r="P970" s="13"/>
      <c r="Q970" s="13"/>
      <c r="R970" s="13"/>
      <c r="S970" s="13">
        <v>1.4398148148148148E-2</v>
      </c>
      <c r="T970" s="13">
        <v>3.4722222222222222E-5</v>
      </c>
      <c r="U970" s="13">
        <v>1.2847222222222223E-3</v>
      </c>
      <c r="V970" s="13"/>
      <c r="W970" s="13"/>
    </row>
    <row r="971" spans="1:23" ht="15" customHeight="1" x14ac:dyDescent="0.25">
      <c r="A971" s="19">
        <v>46246</v>
      </c>
      <c r="B971" s="11" t="s">
        <v>614</v>
      </c>
      <c r="C971" s="12" t="s">
        <v>635</v>
      </c>
      <c r="D971" s="11" t="s">
        <v>601</v>
      </c>
      <c r="E971" s="12" t="s">
        <v>105</v>
      </c>
      <c r="F971" s="12" t="s">
        <v>33</v>
      </c>
      <c r="G971" s="12">
        <v>4</v>
      </c>
      <c r="H971" s="13">
        <v>0.2270486111111111</v>
      </c>
      <c r="I971" s="13">
        <v>9.1018518518518512E-2</v>
      </c>
      <c r="J971" s="13">
        <v>2.2754629629629628E-2</v>
      </c>
      <c r="K971" s="13">
        <v>0.1958449074074074</v>
      </c>
      <c r="L971" s="14">
        <v>0.86256818065963192</v>
      </c>
      <c r="M971" s="12" t="s">
        <v>334</v>
      </c>
      <c r="N971" s="13"/>
      <c r="O971" s="13">
        <v>1.0416666666666666E-2</v>
      </c>
      <c r="P971" s="13"/>
      <c r="Q971" s="13">
        <v>1.6967592592592593E-2</v>
      </c>
      <c r="R971" s="13"/>
      <c r="S971" s="13">
        <v>2.7870370370370372E-2</v>
      </c>
      <c r="T971" s="13">
        <v>2.0497685185185185E-2</v>
      </c>
      <c r="U971" s="13">
        <v>0.1200925925925926</v>
      </c>
      <c r="V971" s="13"/>
      <c r="W971" s="13"/>
    </row>
    <row r="972" spans="1:23" ht="15" customHeight="1" x14ac:dyDescent="0.25">
      <c r="A972" s="19">
        <v>46246</v>
      </c>
      <c r="B972" s="11" t="s">
        <v>96</v>
      </c>
      <c r="C972" s="12" t="s">
        <v>97</v>
      </c>
      <c r="D972" s="11" t="s">
        <v>78</v>
      </c>
      <c r="E972" s="12" t="s">
        <v>80</v>
      </c>
      <c r="F972" s="12" t="s">
        <v>81</v>
      </c>
      <c r="G972" s="12">
        <v>0</v>
      </c>
      <c r="H972" s="13">
        <v>0.3351851851851852</v>
      </c>
      <c r="I972" s="13">
        <v>0</v>
      </c>
      <c r="J972" s="13">
        <v>0</v>
      </c>
      <c r="K972" s="13">
        <v>0.18824074074074074</v>
      </c>
      <c r="L972" s="14">
        <v>0.5616022099447513</v>
      </c>
      <c r="M972" s="12" t="s">
        <v>334</v>
      </c>
      <c r="N972" s="13">
        <v>2.2800925925925927E-3</v>
      </c>
      <c r="O972" s="13">
        <v>8.3182870370370365E-2</v>
      </c>
      <c r="P972" s="13"/>
      <c r="Q972" s="13"/>
      <c r="R972" s="13"/>
      <c r="S972" s="13">
        <v>1.1770833333333333E-2</v>
      </c>
      <c r="T972" s="13">
        <v>6.9444444444444444E-5</v>
      </c>
      <c r="U972" s="13"/>
      <c r="V972" s="13"/>
      <c r="W972" s="13">
        <v>9.0937500000000004E-2</v>
      </c>
    </row>
    <row r="973" spans="1:23" ht="15" customHeight="1" x14ac:dyDescent="0.25">
      <c r="A973" s="19">
        <v>46246</v>
      </c>
      <c r="B973" s="11" t="s">
        <v>180</v>
      </c>
      <c r="C973" s="12" t="s">
        <v>523</v>
      </c>
      <c r="D973" s="11" t="s">
        <v>146</v>
      </c>
      <c r="E973" s="12" t="s">
        <v>147</v>
      </c>
      <c r="F973" s="12" t="s">
        <v>106</v>
      </c>
      <c r="G973" s="12">
        <v>17</v>
      </c>
      <c r="H973" s="13">
        <v>0.26270833333333332</v>
      </c>
      <c r="I973" s="13">
        <v>6.2719907407407405E-2</v>
      </c>
      <c r="J973" s="13">
        <v>3.6894063180827885E-3</v>
      </c>
      <c r="K973" s="13">
        <v>4.0659722222222222E-2</v>
      </c>
      <c r="L973" s="14">
        <v>0.15477134549299498</v>
      </c>
      <c r="M973" s="12" t="s">
        <v>334</v>
      </c>
      <c r="N973" s="13">
        <v>2.685185185185185E-3</v>
      </c>
      <c r="O973" s="13">
        <v>1.3819444444444445E-2</v>
      </c>
      <c r="P973" s="13"/>
      <c r="Q973" s="13">
        <v>9.9074074074074082E-3</v>
      </c>
      <c r="R973" s="13"/>
      <c r="S973" s="13">
        <v>1.3333333333333334E-2</v>
      </c>
      <c r="T973" s="13">
        <v>6.9444444444444444E-5</v>
      </c>
      <c r="U973" s="13">
        <v>2.5462962962962961E-4</v>
      </c>
      <c r="V973" s="13"/>
      <c r="W973" s="13">
        <v>5.5555555555555556E-4</v>
      </c>
    </row>
    <row r="974" spans="1:23" ht="15" customHeight="1" x14ac:dyDescent="0.25">
      <c r="A974" s="19">
        <v>46246</v>
      </c>
      <c r="B974" s="11" t="s">
        <v>616</v>
      </c>
      <c r="C974" s="12" t="s">
        <v>637</v>
      </c>
      <c r="D974" s="11" t="s">
        <v>601</v>
      </c>
      <c r="E974" s="12" t="s">
        <v>105</v>
      </c>
      <c r="F974" s="12" t="s">
        <v>33</v>
      </c>
      <c r="G974" s="12">
        <v>5</v>
      </c>
      <c r="H974" s="13">
        <v>0.23299768518518518</v>
      </c>
      <c r="I974" s="13">
        <v>0.10799768518518518</v>
      </c>
      <c r="J974" s="13">
        <v>2.1599537037037035E-2</v>
      </c>
      <c r="K974" s="13">
        <v>0.17973379629629629</v>
      </c>
      <c r="L974" s="14">
        <v>0.77139734737469579</v>
      </c>
      <c r="M974" s="12" t="s">
        <v>334</v>
      </c>
      <c r="N974" s="13">
        <v>3.2523148148148147E-3</v>
      </c>
      <c r="O974" s="13">
        <v>1.462962962962963E-2</v>
      </c>
      <c r="P974" s="13"/>
      <c r="Q974" s="13"/>
      <c r="R974" s="13"/>
      <c r="S974" s="13">
        <v>1.4756944444444444E-2</v>
      </c>
      <c r="T974" s="13">
        <v>1.8518518518518519E-3</v>
      </c>
      <c r="U974" s="13">
        <v>0.14524305555555556</v>
      </c>
      <c r="V974" s="13"/>
      <c r="W974" s="13"/>
    </row>
    <row r="975" spans="1:23" ht="15" customHeight="1" x14ac:dyDescent="0.25">
      <c r="A975" s="19">
        <v>46246</v>
      </c>
      <c r="B975" s="11" t="s">
        <v>209</v>
      </c>
      <c r="C975" s="12" t="s">
        <v>567</v>
      </c>
      <c r="D975" s="11" t="s">
        <v>601</v>
      </c>
      <c r="E975" s="12" t="s">
        <v>105</v>
      </c>
      <c r="F975" s="12" t="s">
        <v>33</v>
      </c>
      <c r="G975" s="12">
        <v>4</v>
      </c>
      <c r="H975" s="13">
        <v>0.24101851851851852</v>
      </c>
      <c r="I975" s="13">
        <v>6.8101851851851858E-2</v>
      </c>
      <c r="J975" s="13">
        <v>1.7025462962962964E-2</v>
      </c>
      <c r="K975" s="13">
        <v>0.19493055555555555</v>
      </c>
      <c r="L975" s="14">
        <v>0.80877833269304644</v>
      </c>
      <c r="M975" s="12" t="s">
        <v>334</v>
      </c>
      <c r="N975" s="13">
        <v>3.9467592592592592E-3</v>
      </c>
      <c r="O975" s="13">
        <v>1.4189814814814815E-2</v>
      </c>
      <c r="P975" s="13"/>
      <c r="Q975" s="13"/>
      <c r="R975" s="13"/>
      <c r="S975" s="13">
        <v>1.2743055555555556E-2</v>
      </c>
      <c r="T975" s="13">
        <v>4.4675925925925924E-3</v>
      </c>
      <c r="U975" s="13">
        <v>0.15958333333333333</v>
      </c>
      <c r="V975" s="13"/>
      <c r="W975" s="13"/>
    </row>
    <row r="976" spans="1:23" ht="15" customHeight="1" x14ac:dyDescent="0.25">
      <c r="A976" s="19">
        <v>46246</v>
      </c>
      <c r="B976" s="11" t="s">
        <v>60</v>
      </c>
      <c r="C976" s="12" t="s">
        <v>510</v>
      </c>
      <c r="D976" s="11" t="s">
        <v>100</v>
      </c>
      <c r="E976" s="12" t="s">
        <v>32</v>
      </c>
      <c r="F976" s="12" t="s">
        <v>33</v>
      </c>
      <c r="G976" s="12">
        <v>33</v>
      </c>
      <c r="H976" s="13">
        <v>0.26497685185185182</v>
      </c>
      <c r="I976" s="13">
        <v>0.16708333333333333</v>
      </c>
      <c r="J976" s="13">
        <v>5.0631313131313128E-3</v>
      </c>
      <c r="K976" s="13">
        <v>3.9363425925925927E-2</v>
      </c>
      <c r="L976" s="14">
        <v>0.14855420634227309</v>
      </c>
      <c r="M976" s="12" t="s">
        <v>334</v>
      </c>
      <c r="N976" s="13">
        <v>1.0416666666666667E-4</v>
      </c>
      <c r="O976" s="13">
        <v>1.3506944444444445E-2</v>
      </c>
      <c r="P976" s="13"/>
      <c r="Q976" s="13"/>
      <c r="R976" s="13">
        <v>1.0613425925925925E-2</v>
      </c>
      <c r="S976" s="13">
        <v>1.3819444444444445E-2</v>
      </c>
      <c r="T976" s="13">
        <v>9.2592592592592588E-5</v>
      </c>
      <c r="U976" s="13">
        <v>1.1574074074074073E-3</v>
      </c>
      <c r="V976" s="13"/>
      <c r="W976" s="13"/>
    </row>
    <row r="977" spans="1:23" ht="15" customHeight="1" x14ac:dyDescent="0.25">
      <c r="A977" s="19">
        <v>46246</v>
      </c>
      <c r="B977" s="11" t="s">
        <v>132</v>
      </c>
      <c r="C977" s="12" t="s">
        <v>512</v>
      </c>
      <c r="D977" s="11" t="s">
        <v>104</v>
      </c>
      <c r="E977" s="12" t="s">
        <v>105</v>
      </c>
      <c r="F977" s="12" t="s">
        <v>106</v>
      </c>
      <c r="G977" s="12">
        <v>14</v>
      </c>
      <c r="H977" s="13">
        <v>0.2605439814814815</v>
      </c>
      <c r="I977" s="13">
        <v>0.21376157407407406</v>
      </c>
      <c r="J977" s="13">
        <v>1.5268683862433862E-2</v>
      </c>
      <c r="K977" s="13">
        <v>0.13122685185185184</v>
      </c>
      <c r="L977" s="14">
        <v>0.50366487495002432</v>
      </c>
      <c r="M977" s="12" t="s">
        <v>334</v>
      </c>
      <c r="N977" s="13">
        <v>1.8518518518518519E-3</v>
      </c>
      <c r="O977" s="13">
        <v>1.4872685185185185E-2</v>
      </c>
      <c r="P977" s="13"/>
      <c r="Q977" s="13"/>
      <c r="R977" s="13"/>
      <c r="S977" s="13">
        <v>1.4108796296296296E-2</v>
      </c>
      <c r="T977" s="13">
        <v>1.7361111111111112E-4</v>
      </c>
      <c r="U977" s="13">
        <v>7.2337962962962963E-3</v>
      </c>
      <c r="V977" s="13"/>
      <c r="W977" s="13">
        <v>9.2962962962962969E-2</v>
      </c>
    </row>
    <row r="978" spans="1:23" ht="15" customHeight="1" x14ac:dyDescent="0.25">
      <c r="A978" s="19">
        <v>46246</v>
      </c>
      <c r="B978" s="11" t="s">
        <v>134</v>
      </c>
      <c r="C978" s="12" t="s">
        <v>560</v>
      </c>
      <c r="D978" s="11" t="s">
        <v>104</v>
      </c>
      <c r="E978" s="12" t="s">
        <v>105</v>
      </c>
      <c r="F978" s="12" t="s">
        <v>106</v>
      </c>
      <c r="G978" s="12">
        <v>8</v>
      </c>
      <c r="H978" s="13">
        <v>0.2615972222222222</v>
      </c>
      <c r="I978" s="13">
        <v>0.1220949074074074</v>
      </c>
      <c r="J978" s="13">
        <v>1.5261863425925925E-2</v>
      </c>
      <c r="K978" s="13">
        <v>0.18072916666666666</v>
      </c>
      <c r="L978" s="14">
        <v>0.69086806477302898</v>
      </c>
      <c r="M978" s="12" t="s">
        <v>334</v>
      </c>
      <c r="N978" s="13">
        <v>7.2222222222222219E-3</v>
      </c>
      <c r="O978" s="13">
        <v>1.2662037037037038E-2</v>
      </c>
      <c r="P978" s="13"/>
      <c r="Q978" s="13"/>
      <c r="R978" s="13"/>
      <c r="S978" s="13">
        <v>1.3680555555555555E-2</v>
      </c>
      <c r="T978" s="13">
        <v>2.5462962962962961E-4</v>
      </c>
      <c r="U978" s="13">
        <v>5.4398148148148144E-4</v>
      </c>
      <c r="V978" s="13"/>
      <c r="W978" s="13">
        <v>0.14633101851851851</v>
      </c>
    </row>
    <row r="979" spans="1:23" ht="15" customHeight="1" x14ac:dyDescent="0.25">
      <c r="A979" s="19">
        <v>46246</v>
      </c>
      <c r="B979" s="11" t="s">
        <v>211</v>
      </c>
      <c r="C979" s="12" t="s">
        <v>546</v>
      </c>
      <c r="D979" s="11" t="s">
        <v>104</v>
      </c>
      <c r="E979" s="12" t="s">
        <v>105</v>
      </c>
      <c r="F979" s="12" t="s">
        <v>106</v>
      </c>
      <c r="G979" s="12">
        <v>7</v>
      </c>
      <c r="H979" s="13">
        <v>0.25408564814814816</v>
      </c>
      <c r="I979" s="13">
        <v>0.17929398148148148</v>
      </c>
      <c r="J979" s="13">
        <v>2.5613425925925925E-2</v>
      </c>
      <c r="K979" s="13">
        <v>0.11269675925925926</v>
      </c>
      <c r="L979" s="14">
        <v>0.44353846854644013</v>
      </c>
      <c r="M979" s="12" t="s">
        <v>334</v>
      </c>
      <c r="N979" s="13"/>
      <c r="O979" s="13">
        <v>1.6793981481481483E-2</v>
      </c>
      <c r="P979" s="13"/>
      <c r="Q979" s="13"/>
      <c r="R979" s="13"/>
      <c r="S979" s="13">
        <v>1.4074074074074074E-2</v>
      </c>
      <c r="T979" s="13">
        <v>2.2881944444444444E-2</v>
      </c>
      <c r="U979" s="13">
        <v>2.8935185185185184E-4</v>
      </c>
      <c r="V979" s="13"/>
      <c r="W979" s="13">
        <v>5.8645833333333335E-2</v>
      </c>
    </row>
    <row r="980" spans="1:23" ht="15" customHeight="1" x14ac:dyDescent="0.25">
      <c r="A980" s="19">
        <v>46246</v>
      </c>
      <c r="B980" s="11" t="s">
        <v>617</v>
      </c>
      <c r="C980" s="12" t="s">
        <v>638</v>
      </c>
      <c r="D980" s="11" t="s">
        <v>601</v>
      </c>
      <c r="E980" s="12" t="s">
        <v>105</v>
      </c>
      <c r="F980" s="12" t="s">
        <v>33</v>
      </c>
      <c r="G980" s="12">
        <v>4</v>
      </c>
      <c r="H980" s="13">
        <v>0.2414351851851852</v>
      </c>
      <c r="I980" s="13">
        <v>0.11833333333333333</v>
      </c>
      <c r="J980" s="13">
        <v>2.9583333333333333E-2</v>
      </c>
      <c r="K980" s="13">
        <v>0.17469907407407406</v>
      </c>
      <c r="L980" s="14">
        <v>0.72358581016299128</v>
      </c>
      <c r="M980" s="12" t="s">
        <v>334</v>
      </c>
      <c r="N980" s="13">
        <v>1.0601851851851852E-2</v>
      </c>
      <c r="O980" s="13">
        <v>9.8032407407407408E-3</v>
      </c>
      <c r="P980" s="13"/>
      <c r="Q980" s="13"/>
      <c r="R980" s="13"/>
      <c r="S980" s="13">
        <v>1.5243055555555555E-2</v>
      </c>
      <c r="T980" s="13">
        <v>5.8564814814814816E-3</v>
      </c>
      <c r="U980" s="13">
        <v>0.13319444444444445</v>
      </c>
      <c r="V980" s="13"/>
      <c r="W980" s="13"/>
    </row>
    <row r="981" spans="1:23" ht="15" customHeight="1" x14ac:dyDescent="0.25">
      <c r="A981" s="19">
        <v>46246</v>
      </c>
      <c r="B981" s="11" t="s">
        <v>618</v>
      </c>
      <c r="C981" s="12" t="s">
        <v>639</v>
      </c>
      <c r="D981" s="11" t="s">
        <v>601</v>
      </c>
      <c r="E981" s="12" t="s">
        <v>105</v>
      </c>
      <c r="F981" s="12" t="s">
        <v>33</v>
      </c>
      <c r="G981" s="12">
        <v>10</v>
      </c>
      <c r="H981" s="13">
        <v>0.24223379629629629</v>
      </c>
      <c r="I981" s="13">
        <v>0.20496527777777779</v>
      </c>
      <c r="J981" s="13">
        <v>2.049652777777778E-2</v>
      </c>
      <c r="K981" s="13">
        <v>0.19324074074074074</v>
      </c>
      <c r="L981" s="14">
        <v>0.79774475608008033</v>
      </c>
      <c r="M981" s="12" t="s">
        <v>334</v>
      </c>
      <c r="N981" s="13">
        <v>3.9004629629629628E-3</v>
      </c>
      <c r="O981" s="13">
        <v>2.0486111111111111E-2</v>
      </c>
      <c r="P981" s="13"/>
      <c r="Q981" s="13"/>
      <c r="R981" s="13"/>
      <c r="S981" s="13">
        <v>1.3912037037037037E-2</v>
      </c>
      <c r="T981" s="13">
        <v>5.9837962962962961E-3</v>
      </c>
      <c r="U981" s="13">
        <v>0.14895833333333333</v>
      </c>
      <c r="V981" s="13"/>
      <c r="W981" s="13"/>
    </row>
    <row r="982" spans="1:23" ht="15" customHeight="1" x14ac:dyDescent="0.25">
      <c r="A982" s="19">
        <v>46246</v>
      </c>
      <c r="B982" s="11" t="s">
        <v>501</v>
      </c>
      <c r="C982" s="12" t="s">
        <v>524</v>
      </c>
      <c r="D982" s="11" t="s">
        <v>274</v>
      </c>
      <c r="E982" s="12" t="s">
        <v>147</v>
      </c>
      <c r="F982" s="12" t="s">
        <v>33</v>
      </c>
      <c r="G982" s="12">
        <v>16</v>
      </c>
      <c r="H982" s="13">
        <v>0.2675925925925926</v>
      </c>
      <c r="I982" s="13">
        <v>6.8263888888888888E-2</v>
      </c>
      <c r="J982" s="13">
        <v>4.2664930555555555E-3</v>
      </c>
      <c r="K982" s="13">
        <v>3.0324074074074073E-2</v>
      </c>
      <c r="L982" s="14">
        <v>0.11332179930795847</v>
      </c>
      <c r="M982" s="12" t="s">
        <v>334</v>
      </c>
      <c r="N982" s="13">
        <v>5.2083333333333333E-4</v>
      </c>
      <c r="O982" s="13">
        <v>1.5543981481481482E-2</v>
      </c>
      <c r="P982" s="13"/>
      <c r="Q982" s="13"/>
      <c r="R982" s="13"/>
      <c r="S982" s="13">
        <v>1.3842592592592592E-2</v>
      </c>
      <c r="T982" s="13">
        <v>4.6296296296296294E-5</v>
      </c>
      <c r="U982" s="13">
        <v>3.7037037037037035E-4</v>
      </c>
      <c r="V982" s="13"/>
      <c r="W982" s="13"/>
    </row>
    <row r="983" spans="1:23" ht="15" customHeight="1" x14ac:dyDescent="0.25">
      <c r="A983" s="19">
        <v>46246</v>
      </c>
      <c r="B983" s="11" t="s">
        <v>213</v>
      </c>
      <c r="C983" s="12" t="s">
        <v>572</v>
      </c>
      <c r="D983" s="11" t="s">
        <v>601</v>
      </c>
      <c r="E983" s="12" t="s">
        <v>105</v>
      </c>
      <c r="F983" s="12" t="s">
        <v>33</v>
      </c>
      <c r="G983" s="12">
        <v>5</v>
      </c>
      <c r="H983" s="13">
        <v>0.24438657407407408</v>
      </c>
      <c r="I983" s="13">
        <v>5.8657407407407408E-2</v>
      </c>
      <c r="J983" s="13">
        <v>1.1731481481481482E-2</v>
      </c>
      <c r="K983" s="13">
        <v>0.21358796296296295</v>
      </c>
      <c r="L983" s="14">
        <v>0.87397584655458205</v>
      </c>
      <c r="M983" s="12" t="s">
        <v>334</v>
      </c>
      <c r="N983" s="13">
        <v>1.1145833333333334E-2</v>
      </c>
      <c r="O983" s="13">
        <v>1.1157407407407408E-2</v>
      </c>
      <c r="P983" s="13"/>
      <c r="Q983" s="13"/>
      <c r="R983" s="13"/>
      <c r="S983" s="13">
        <v>1.5231481481481481E-2</v>
      </c>
      <c r="T983" s="13">
        <v>9.3749999999999997E-4</v>
      </c>
      <c r="U983" s="13">
        <v>0.17510416666666667</v>
      </c>
      <c r="V983" s="13"/>
      <c r="W983" s="13"/>
    </row>
    <row r="984" spans="1:23" ht="15" customHeight="1" x14ac:dyDescent="0.25">
      <c r="A984" s="19">
        <v>46246</v>
      </c>
      <c r="B984" s="11" t="s">
        <v>619</v>
      </c>
      <c r="C984" s="12" t="s">
        <v>640</v>
      </c>
      <c r="D984" s="11" t="s">
        <v>601</v>
      </c>
      <c r="E984" s="12" t="s">
        <v>105</v>
      </c>
      <c r="F984" s="12" t="s">
        <v>33</v>
      </c>
      <c r="G984" s="12">
        <v>8</v>
      </c>
      <c r="H984" s="13">
        <v>0.23495370370370369</v>
      </c>
      <c r="I984" s="13">
        <v>7.5659722222222225E-2</v>
      </c>
      <c r="J984" s="13">
        <v>9.4574652777777782E-3</v>
      </c>
      <c r="K984" s="13">
        <v>0.18373842592592593</v>
      </c>
      <c r="L984" s="14">
        <v>0.78201970443349755</v>
      </c>
      <c r="M984" s="12" t="s">
        <v>334</v>
      </c>
      <c r="N984" s="13"/>
      <c r="O984" s="13">
        <v>1.375E-2</v>
      </c>
      <c r="P984" s="13"/>
      <c r="Q984" s="13"/>
      <c r="R984" s="13"/>
      <c r="S984" s="13">
        <v>1.5277777777777777E-2</v>
      </c>
      <c r="T984" s="13">
        <v>9.6064814814814819E-4</v>
      </c>
      <c r="U984" s="13">
        <v>0.15373842592592593</v>
      </c>
      <c r="V984" s="13"/>
      <c r="W984" s="13"/>
    </row>
    <row r="985" spans="1:23" ht="15" customHeight="1" x14ac:dyDescent="0.25">
      <c r="A985" s="19">
        <v>46246</v>
      </c>
      <c r="B985" s="11" t="s">
        <v>744</v>
      </c>
      <c r="C985" s="12" t="s">
        <v>670</v>
      </c>
      <c r="D985" s="11" t="s">
        <v>100</v>
      </c>
      <c r="E985" s="12" t="s">
        <v>32</v>
      </c>
      <c r="F985" s="12" t="s">
        <v>33</v>
      </c>
      <c r="G985" s="12">
        <v>35</v>
      </c>
      <c r="H985" s="13">
        <v>0.25979166666666664</v>
      </c>
      <c r="I985" s="13">
        <v>0.16347222222222221</v>
      </c>
      <c r="J985" s="13">
        <v>4.6706349206349206E-3</v>
      </c>
      <c r="K985" s="13">
        <v>6.7581018518518512E-2</v>
      </c>
      <c r="L985" s="14">
        <v>0.26013543615789003</v>
      </c>
      <c r="M985" s="12" t="s">
        <v>334</v>
      </c>
      <c r="N985" s="13">
        <v>3.5416666666666666E-2</v>
      </c>
      <c r="O985" s="13">
        <v>1.4143518518518519E-2</v>
      </c>
      <c r="P985" s="13"/>
      <c r="Q985" s="13"/>
      <c r="R985" s="13"/>
      <c r="S985" s="13">
        <v>1.4918981481481481E-2</v>
      </c>
      <c r="T985" s="13">
        <v>4.861111111111111E-4</v>
      </c>
      <c r="U985" s="13">
        <v>1.9212962962962964E-3</v>
      </c>
      <c r="V985" s="13"/>
      <c r="W985" s="13">
        <v>6.9444444444444447E-4</v>
      </c>
    </row>
    <row r="986" spans="1:23" ht="15" customHeight="1" x14ac:dyDescent="0.25">
      <c r="A986" s="19">
        <v>46246</v>
      </c>
      <c r="B986" s="11" t="s">
        <v>219</v>
      </c>
      <c r="C986" s="12" t="s">
        <v>548</v>
      </c>
      <c r="D986" s="11" t="s">
        <v>104</v>
      </c>
      <c r="E986" s="12" t="s">
        <v>105</v>
      </c>
      <c r="F986" s="12" t="s">
        <v>106</v>
      </c>
      <c r="G986" s="12">
        <v>6</v>
      </c>
      <c r="H986" s="13">
        <v>0.23460648148148147</v>
      </c>
      <c r="I986" s="13">
        <v>8.2708333333333328E-2</v>
      </c>
      <c r="J986" s="13">
        <v>1.3784722222222221E-2</v>
      </c>
      <c r="K986" s="13">
        <v>0.17775462962962962</v>
      </c>
      <c r="L986" s="14">
        <v>0.75767143561914163</v>
      </c>
      <c r="M986" s="12" t="s">
        <v>334</v>
      </c>
      <c r="N986" s="13">
        <v>3.3680555555555556E-3</v>
      </c>
      <c r="O986" s="13">
        <v>1.5173611111111112E-2</v>
      </c>
      <c r="P986" s="13">
        <v>4.2129629629629628E-2</v>
      </c>
      <c r="Q986" s="13">
        <v>1.5983796296296298E-2</v>
      </c>
      <c r="R986" s="13"/>
      <c r="S986" s="13">
        <v>1.4537037037037038E-2</v>
      </c>
      <c r="T986" s="13">
        <v>6.1805555555555555E-3</v>
      </c>
      <c r="U986" s="13">
        <v>1.1574074074074075E-4</v>
      </c>
      <c r="V986" s="13"/>
      <c r="W986" s="13">
        <v>8.0266203703703701E-2</v>
      </c>
    </row>
    <row r="987" spans="1:23" ht="15" customHeight="1" x14ac:dyDescent="0.25">
      <c r="A987" s="19">
        <v>46246</v>
      </c>
      <c r="B987" s="11" t="s">
        <v>305</v>
      </c>
      <c r="C987" s="12" t="s">
        <v>306</v>
      </c>
      <c r="D987" s="11" t="s">
        <v>100</v>
      </c>
      <c r="E987" s="12" t="s">
        <v>32</v>
      </c>
      <c r="F987" s="12" t="s">
        <v>33</v>
      </c>
      <c r="G987" s="12">
        <v>35</v>
      </c>
      <c r="H987" s="13">
        <v>0.26221064814814815</v>
      </c>
      <c r="I987" s="13">
        <v>0.16575231481481481</v>
      </c>
      <c r="J987" s="13">
        <v>4.7357804232804231E-3</v>
      </c>
      <c r="K987" s="13">
        <v>4.7708333333333332E-2</v>
      </c>
      <c r="L987" s="14">
        <v>0.18194659015669828</v>
      </c>
      <c r="M987" s="12" t="s">
        <v>334</v>
      </c>
      <c r="N987" s="13">
        <v>1.7164351851851851E-2</v>
      </c>
      <c r="O987" s="13">
        <v>1.5590277777777778E-2</v>
      </c>
      <c r="P987" s="13"/>
      <c r="Q987" s="13"/>
      <c r="R987" s="13"/>
      <c r="S987" s="13">
        <v>1.4224537037037037E-2</v>
      </c>
      <c r="T987" s="13">
        <v>4.2824074074074075E-4</v>
      </c>
      <c r="U987" s="13"/>
      <c r="V987" s="13"/>
      <c r="W987" s="13">
        <v>3.0092592592592595E-4</v>
      </c>
    </row>
    <row r="988" spans="1:23" ht="15" customHeight="1" x14ac:dyDescent="0.25">
      <c r="A988" s="19">
        <v>46246</v>
      </c>
      <c r="B988" s="11" t="s">
        <v>620</v>
      </c>
      <c r="C988" s="12" t="s">
        <v>641</v>
      </c>
      <c r="D988" s="11" t="s">
        <v>601</v>
      </c>
      <c r="E988" s="12" t="s">
        <v>105</v>
      </c>
      <c r="F988" s="12" t="s">
        <v>33</v>
      </c>
      <c r="G988" s="12">
        <v>6</v>
      </c>
      <c r="H988" s="13">
        <v>0.23584490740740741</v>
      </c>
      <c r="I988" s="13">
        <v>9.8067129629629629E-2</v>
      </c>
      <c r="J988" s="13">
        <v>1.634452160493827E-2</v>
      </c>
      <c r="K988" s="13">
        <v>0.19106481481481483</v>
      </c>
      <c r="L988" s="14">
        <v>0.81012906708543952</v>
      </c>
      <c r="M988" s="12" t="s">
        <v>334</v>
      </c>
      <c r="N988" s="13">
        <v>2.0486111111111113E-3</v>
      </c>
      <c r="O988" s="13">
        <v>1.5532407407407408E-2</v>
      </c>
      <c r="P988" s="13"/>
      <c r="Q988" s="13"/>
      <c r="R988" s="13"/>
      <c r="S988" s="13">
        <v>1.4826388888888889E-2</v>
      </c>
      <c r="T988" s="13">
        <v>5.347222222222222E-3</v>
      </c>
      <c r="U988" s="13">
        <v>0.15331018518518519</v>
      </c>
      <c r="V988" s="13"/>
      <c r="W988" s="13"/>
    </row>
    <row r="989" spans="1:23" ht="15" customHeight="1" x14ac:dyDescent="0.25">
      <c r="A989" s="19">
        <v>46246</v>
      </c>
      <c r="B989" s="11" t="s">
        <v>138</v>
      </c>
      <c r="C989" s="12" t="s">
        <v>556</v>
      </c>
      <c r="D989" s="11" t="s">
        <v>104</v>
      </c>
      <c r="E989" s="12" t="s">
        <v>105</v>
      </c>
      <c r="F989" s="12" t="s">
        <v>106</v>
      </c>
      <c r="G989" s="12">
        <v>12</v>
      </c>
      <c r="H989" s="13">
        <v>0.27618055555555554</v>
      </c>
      <c r="I989" s="13">
        <v>0.16383101851851853</v>
      </c>
      <c r="J989" s="13">
        <v>1.365258487654321E-2</v>
      </c>
      <c r="K989" s="13">
        <v>0.14498842592592592</v>
      </c>
      <c r="L989" s="14">
        <v>0.52497695080043583</v>
      </c>
      <c r="M989" s="12" t="s">
        <v>334</v>
      </c>
      <c r="N989" s="13">
        <v>9.5138888888888894E-3</v>
      </c>
      <c r="O989" s="13">
        <v>1.8310185185185186E-2</v>
      </c>
      <c r="P989" s="13"/>
      <c r="Q989" s="13"/>
      <c r="R989" s="13"/>
      <c r="S989" s="13">
        <v>1.6087962962962964E-2</v>
      </c>
      <c r="T989" s="13">
        <v>2.5694444444444445E-3</v>
      </c>
      <c r="U989" s="13">
        <v>3.2407407407407406E-3</v>
      </c>
      <c r="V989" s="13"/>
      <c r="W989" s="13">
        <v>9.52662037037037E-2</v>
      </c>
    </row>
    <row r="990" spans="1:23" ht="15" customHeight="1" x14ac:dyDescent="0.25">
      <c r="A990" s="19">
        <v>46246</v>
      </c>
      <c r="B990" s="11" t="s">
        <v>276</v>
      </c>
      <c r="C990" s="12" t="s">
        <v>532</v>
      </c>
      <c r="D990" s="11" t="s">
        <v>233</v>
      </c>
      <c r="E990" s="12" t="s">
        <v>32</v>
      </c>
      <c r="F990" s="12" t="s">
        <v>106</v>
      </c>
      <c r="G990" s="12">
        <v>35</v>
      </c>
      <c r="H990" s="13">
        <v>0.26111111111111113</v>
      </c>
      <c r="I990" s="13">
        <v>0.10616898148148148</v>
      </c>
      <c r="J990" s="13">
        <v>3.0333994708994709E-3</v>
      </c>
      <c r="K990" s="13">
        <v>5.1342592592592592E-2</v>
      </c>
      <c r="L990" s="14">
        <v>0.19663120567375886</v>
      </c>
      <c r="M990" s="12" t="s">
        <v>334</v>
      </c>
      <c r="N990" s="13">
        <v>2.3854166666666666E-2</v>
      </c>
      <c r="O990" s="13">
        <v>1.324074074074074E-2</v>
      </c>
      <c r="P990" s="13"/>
      <c r="Q990" s="13"/>
      <c r="R990" s="13"/>
      <c r="S990" s="13">
        <v>1.3344907407407408E-2</v>
      </c>
      <c r="T990" s="13">
        <v>9.0277777777777774E-4</v>
      </c>
      <c r="U990" s="13"/>
      <c r="V990" s="13"/>
      <c r="W990" s="13"/>
    </row>
    <row r="991" spans="1:23" ht="15" customHeight="1" x14ac:dyDescent="0.25">
      <c r="A991" s="19">
        <v>46246</v>
      </c>
      <c r="B991" s="11" t="s">
        <v>278</v>
      </c>
      <c r="C991" s="12" t="s">
        <v>533</v>
      </c>
      <c r="D991" s="11" t="s">
        <v>233</v>
      </c>
      <c r="E991" s="12" t="s">
        <v>32</v>
      </c>
      <c r="F991" s="12" t="s">
        <v>106</v>
      </c>
      <c r="G991" s="12">
        <v>18</v>
      </c>
      <c r="H991" s="13">
        <v>0.26612268518518517</v>
      </c>
      <c r="I991" s="13">
        <v>0.13817129629629629</v>
      </c>
      <c r="J991" s="13">
        <v>7.6761831275720159E-3</v>
      </c>
      <c r="K991" s="13">
        <v>3.4907407407407408E-2</v>
      </c>
      <c r="L991" s="14">
        <v>0.13117035619536382</v>
      </c>
      <c r="M991" s="12" t="s">
        <v>334</v>
      </c>
      <c r="N991" s="13"/>
      <c r="O991" s="13">
        <v>1.556712962962963E-2</v>
      </c>
      <c r="P991" s="13"/>
      <c r="Q991" s="13">
        <v>1.0416666666666667E-4</v>
      </c>
      <c r="R991" s="13"/>
      <c r="S991" s="13">
        <v>1.3842592592592592E-2</v>
      </c>
      <c r="T991" s="13">
        <v>5.0000000000000001E-3</v>
      </c>
      <c r="U991" s="13">
        <v>3.8194444444444446E-4</v>
      </c>
      <c r="V991" s="13"/>
      <c r="W991" s="13"/>
    </row>
    <row r="992" spans="1:23" ht="15" customHeight="1" x14ac:dyDescent="0.25">
      <c r="A992" s="19">
        <v>46246</v>
      </c>
      <c r="B992" s="11" t="s">
        <v>313</v>
      </c>
      <c r="C992" s="12" t="s">
        <v>511</v>
      </c>
      <c r="D992" s="11" t="s">
        <v>78</v>
      </c>
      <c r="E992" s="12" t="s">
        <v>80</v>
      </c>
      <c r="F992" s="12" t="s">
        <v>81</v>
      </c>
      <c r="G992" s="12">
        <v>0</v>
      </c>
      <c r="H992" s="13">
        <v>0.24930555555555556</v>
      </c>
      <c r="I992" s="13">
        <v>0</v>
      </c>
      <c r="J992" s="13">
        <v>0</v>
      </c>
      <c r="K992" s="13">
        <v>4.8194444444444443E-2</v>
      </c>
      <c r="L992" s="14">
        <v>0.19331476323119776</v>
      </c>
      <c r="M992" s="12" t="s">
        <v>334</v>
      </c>
      <c r="N992" s="13"/>
      <c r="O992" s="13">
        <v>3.3784722222222223E-2</v>
      </c>
      <c r="P992" s="13"/>
      <c r="Q992" s="13"/>
      <c r="R992" s="13"/>
      <c r="S992" s="13">
        <v>1.2430555555555556E-2</v>
      </c>
      <c r="T992" s="13">
        <v>1.9791666666666668E-3</v>
      </c>
      <c r="U992" s="13"/>
      <c r="V992" s="13"/>
      <c r="W992" s="13"/>
    </row>
    <row r="993" spans="1:23" ht="15" customHeight="1" x14ac:dyDescent="0.25">
      <c r="A993" s="19">
        <v>46246</v>
      </c>
      <c r="B993" s="11" t="s">
        <v>673</v>
      </c>
      <c r="C993" s="12" t="s">
        <v>674</v>
      </c>
      <c r="D993" s="11" t="s">
        <v>104</v>
      </c>
      <c r="E993" s="12" t="s">
        <v>105</v>
      </c>
      <c r="F993" s="12" t="s">
        <v>106</v>
      </c>
      <c r="G993" s="12">
        <v>9</v>
      </c>
      <c r="H993" s="13">
        <v>0.25724537037037037</v>
      </c>
      <c r="I993" s="13">
        <v>0.15268518518518517</v>
      </c>
      <c r="J993" s="13">
        <v>1.6965020576131685E-2</v>
      </c>
      <c r="K993" s="13">
        <v>0.17940972222222223</v>
      </c>
      <c r="L993" s="14">
        <v>0.69742643750562405</v>
      </c>
      <c r="M993" s="12" t="s">
        <v>334</v>
      </c>
      <c r="N993" s="13">
        <v>3.7847222222222223E-3</v>
      </c>
      <c r="O993" s="13">
        <v>2.1840277777777778E-2</v>
      </c>
      <c r="P993" s="13"/>
      <c r="Q993" s="13"/>
      <c r="R993" s="13"/>
      <c r="S993" s="13">
        <v>1.3564814814814814E-2</v>
      </c>
      <c r="T993" s="13">
        <v>1.5046296296296297E-4</v>
      </c>
      <c r="U993" s="13">
        <v>4.9884259259259257E-3</v>
      </c>
      <c r="V993" s="13"/>
      <c r="W993" s="13">
        <v>0.13508101851851853</v>
      </c>
    </row>
    <row r="994" spans="1:23" ht="15" customHeight="1" x14ac:dyDescent="0.25">
      <c r="A994" s="19">
        <v>46246</v>
      </c>
      <c r="B994" s="11" t="s">
        <v>225</v>
      </c>
      <c r="C994" s="12" t="s">
        <v>549</v>
      </c>
      <c r="D994" s="11" t="s">
        <v>601</v>
      </c>
      <c r="E994" s="12" t="s">
        <v>105</v>
      </c>
      <c r="F994" s="12" t="s">
        <v>33</v>
      </c>
      <c r="G994" s="12">
        <v>5</v>
      </c>
      <c r="H994" s="13">
        <v>0.23707175925925925</v>
      </c>
      <c r="I994" s="13">
        <v>7.6307870370370373E-2</v>
      </c>
      <c r="J994" s="13">
        <v>1.5261574074074075E-2</v>
      </c>
      <c r="K994" s="13">
        <v>0.1894675925925926</v>
      </c>
      <c r="L994" s="14">
        <v>0.79919933603476068</v>
      </c>
      <c r="M994" s="12" t="s">
        <v>334</v>
      </c>
      <c r="N994" s="13">
        <v>7.8125E-3</v>
      </c>
      <c r="O994" s="13">
        <v>1.2476851851851852E-2</v>
      </c>
      <c r="P994" s="13"/>
      <c r="Q994" s="13"/>
      <c r="R994" s="13"/>
      <c r="S994" s="13"/>
      <c r="T994" s="13">
        <v>4.9768518518518521E-4</v>
      </c>
      <c r="U994" s="13">
        <v>0.16868055555555556</v>
      </c>
      <c r="V994" s="13"/>
      <c r="W994" s="13"/>
    </row>
    <row r="995" spans="1:23" ht="15" customHeight="1" x14ac:dyDescent="0.25">
      <c r="A995" s="19">
        <v>46246</v>
      </c>
      <c r="B995" s="11" t="s">
        <v>70</v>
      </c>
      <c r="C995" s="12" t="s">
        <v>71</v>
      </c>
      <c r="D995" s="11" t="s">
        <v>78</v>
      </c>
      <c r="E995" s="12" t="s">
        <v>80</v>
      </c>
      <c r="F995" s="12" t="s">
        <v>33</v>
      </c>
      <c r="G995" s="12">
        <v>0</v>
      </c>
      <c r="H995" s="13">
        <v>0.34151620370370372</v>
      </c>
      <c r="I995" s="13">
        <v>0</v>
      </c>
      <c r="J995" s="13">
        <v>0</v>
      </c>
      <c r="K995" s="13">
        <v>5.9618055555555556E-2</v>
      </c>
      <c r="L995" s="14">
        <v>0.17456874639915951</v>
      </c>
      <c r="M995" s="12" t="s">
        <v>334</v>
      </c>
      <c r="N995" s="13"/>
      <c r="O995" s="13">
        <v>4.3530092592592592E-2</v>
      </c>
      <c r="P995" s="13"/>
      <c r="Q995" s="13"/>
      <c r="R995" s="13"/>
      <c r="S995" s="13">
        <v>1.5972222222222221E-2</v>
      </c>
      <c r="T995" s="13">
        <v>1.1574074074074075E-4</v>
      </c>
      <c r="U995" s="13"/>
      <c r="V995" s="13"/>
      <c r="W995" s="13"/>
    </row>
    <row r="996" spans="1:23" ht="15" customHeight="1" x14ac:dyDescent="0.25">
      <c r="A996" s="19">
        <v>46246</v>
      </c>
      <c r="B996" s="11" t="s">
        <v>280</v>
      </c>
      <c r="C996" s="12" t="s">
        <v>534</v>
      </c>
      <c r="D996" s="11" t="s">
        <v>233</v>
      </c>
      <c r="E996" s="12" t="s">
        <v>32</v>
      </c>
      <c r="F996" s="12" t="s">
        <v>106</v>
      </c>
      <c r="G996" s="12">
        <v>29</v>
      </c>
      <c r="H996" s="13">
        <v>0.26053240740740741</v>
      </c>
      <c r="I996" s="13">
        <v>0.11996527777777778</v>
      </c>
      <c r="J996" s="13">
        <v>4.1367337164750963E-3</v>
      </c>
      <c r="K996" s="13">
        <v>4.5011574074074072E-2</v>
      </c>
      <c r="L996" s="14">
        <v>0.17276765881830297</v>
      </c>
      <c r="M996" s="12" t="s">
        <v>334</v>
      </c>
      <c r="N996" s="13">
        <v>6.145833333333333E-3</v>
      </c>
      <c r="O996" s="13">
        <v>3.0162037037037036E-2</v>
      </c>
      <c r="P996" s="13"/>
      <c r="Q996" s="13"/>
      <c r="R996" s="13"/>
      <c r="S996" s="13"/>
      <c r="T996" s="13">
        <v>1.9675925925925926E-4</v>
      </c>
      <c r="U996" s="13">
        <v>1.9675925925925926E-4</v>
      </c>
      <c r="V996" s="13"/>
      <c r="W996" s="13">
        <v>8.2870370370370372E-3</v>
      </c>
    </row>
    <row r="997" spans="1:23" ht="15" customHeight="1" x14ac:dyDescent="0.25">
      <c r="A997" s="19">
        <v>46246</v>
      </c>
      <c r="B997" s="11" t="s">
        <v>299</v>
      </c>
      <c r="C997" s="12" t="s">
        <v>571</v>
      </c>
      <c r="D997" s="11" t="s">
        <v>104</v>
      </c>
      <c r="E997" s="12" t="s">
        <v>105</v>
      </c>
      <c r="F997" s="12" t="s">
        <v>106</v>
      </c>
      <c r="G997" s="12">
        <v>9</v>
      </c>
      <c r="H997" s="13">
        <v>0.26192129629629629</v>
      </c>
      <c r="I997" s="13">
        <v>0.19439814814814815</v>
      </c>
      <c r="J997" s="13">
        <v>2.1599794238683127E-2</v>
      </c>
      <c r="K997" s="13">
        <v>0.11935185185185185</v>
      </c>
      <c r="L997" s="14">
        <v>0.45567830313742819</v>
      </c>
      <c r="M997" s="12" t="s">
        <v>334</v>
      </c>
      <c r="N997" s="13"/>
      <c r="O997" s="13">
        <v>1.4236111111111111E-2</v>
      </c>
      <c r="P997" s="13"/>
      <c r="Q997" s="13"/>
      <c r="R997" s="13"/>
      <c r="S997" s="13">
        <v>1.2476851851851852E-2</v>
      </c>
      <c r="T997" s="13">
        <v>6.5972222222222224E-4</v>
      </c>
      <c r="U997" s="13">
        <v>4.6412037037037038E-3</v>
      </c>
      <c r="V997" s="13"/>
      <c r="W997" s="13">
        <v>8.7326388888888884E-2</v>
      </c>
    </row>
    <row r="998" spans="1:23" ht="15" customHeight="1" x14ac:dyDescent="0.25">
      <c r="A998" s="19">
        <v>46246</v>
      </c>
      <c r="B998" s="11" t="s">
        <v>227</v>
      </c>
      <c r="C998" s="12" t="s">
        <v>557</v>
      </c>
      <c r="D998" s="11" t="s">
        <v>146</v>
      </c>
      <c r="E998" s="12" t="s">
        <v>147</v>
      </c>
      <c r="F998" s="12" t="s">
        <v>106</v>
      </c>
      <c r="G998" s="12">
        <v>11</v>
      </c>
      <c r="H998" s="13">
        <v>0.28814814814814815</v>
      </c>
      <c r="I998" s="13">
        <v>7.1296296296296302E-2</v>
      </c>
      <c r="J998" s="13">
        <v>6.4814814814814822E-3</v>
      </c>
      <c r="K998" s="13">
        <v>5.1122685185185188E-2</v>
      </c>
      <c r="L998" s="14">
        <v>0.17741805912596401</v>
      </c>
      <c r="M998" s="12" t="s">
        <v>334</v>
      </c>
      <c r="N998" s="13">
        <v>2.1875000000000002E-3</v>
      </c>
      <c r="O998" s="13">
        <v>6.9675925925925929E-3</v>
      </c>
      <c r="P998" s="13">
        <v>5.5208333333333333E-3</v>
      </c>
      <c r="Q998" s="13">
        <v>1.5289351851851853E-2</v>
      </c>
      <c r="R998" s="13">
        <v>7.037037037037037E-3</v>
      </c>
      <c r="S998" s="13">
        <v>1.3969907407407407E-2</v>
      </c>
      <c r="T998" s="13">
        <v>1.5046296296296297E-4</v>
      </c>
      <c r="U998" s="13"/>
      <c r="V998" s="13"/>
      <c r="W998" s="13"/>
    </row>
    <row r="999" spans="1:23" ht="15" customHeight="1" x14ac:dyDescent="0.25">
      <c r="A999" s="19">
        <v>46246</v>
      </c>
      <c r="B999" s="11" t="s">
        <v>282</v>
      </c>
      <c r="C999" s="12" t="s">
        <v>535</v>
      </c>
      <c r="D999" s="11" t="s">
        <v>233</v>
      </c>
      <c r="E999" s="12" t="s">
        <v>32</v>
      </c>
      <c r="F999" s="12" t="s">
        <v>106</v>
      </c>
      <c r="G999" s="12">
        <v>54</v>
      </c>
      <c r="H999" s="13">
        <v>0.25802083333333331</v>
      </c>
      <c r="I999" s="13">
        <v>0.11582175925925926</v>
      </c>
      <c r="J999" s="13">
        <v>2.1448473936899865E-3</v>
      </c>
      <c r="K999" s="13">
        <v>4.1550925925925929E-2</v>
      </c>
      <c r="L999" s="14">
        <v>0.16103709684654377</v>
      </c>
      <c r="M999" s="12" t="s">
        <v>334</v>
      </c>
      <c r="N999" s="13">
        <v>1.7824074074074075E-3</v>
      </c>
      <c r="O999" s="13">
        <v>1.4826388888888889E-2</v>
      </c>
      <c r="P999" s="13">
        <v>9.8958333333333329E-3</v>
      </c>
      <c r="Q999" s="13">
        <v>1.3819444444444445E-2</v>
      </c>
      <c r="R999" s="13"/>
      <c r="S999" s="13"/>
      <c r="T999" s="13">
        <v>1.0300925925925926E-3</v>
      </c>
      <c r="U999" s="13">
        <v>1.9675925925925926E-4</v>
      </c>
      <c r="V999" s="13"/>
      <c r="W999" s="13"/>
    </row>
    <row r="1000" spans="1:23" ht="15" customHeight="1" x14ac:dyDescent="0.25">
      <c r="A1000" s="19">
        <v>46246</v>
      </c>
      <c r="B1000" s="11" t="s">
        <v>675</v>
      </c>
      <c r="C1000" s="12" t="s">
        <v>676</v>
      </c>
      <c r="D1000" s="11" t="s">
        <v>104</v>
      </c>
      <c r="E1000" s="12" t="s">
        <v>105</v>
      </c>
      <c r="F1000" s="12" t="s">
        <v>106</v>
      </c>
      <c r="G1000" s="12">
        <v>8</v>
      </c>
      <c r="H1000" s="13">
        <v>0.25912037037037039</v>
      </c>
      <c r="I1000" s="13">
        <v>0.15809027777777779</v>
      </c>
      <c r="J1000" s="13">
        <v>1.9761284722222223E-2</v>
      </c>
      <c r="K1000" s="13">
        <v>0.17277777777777778</v>
      </c>
      <c r="L1000" s="14">
        <v>0.66678577809540818</v>
      </c>
      <c r="M1000" s="12" t="s">
        <v>334</v>
      </c>
      <c r="N1000" s="13">
        <v>3.4953703703703705E-3</v>
      </c>
      <c r="O1000" s="13">
        <v>1.494212962962963E-2</v>
      </c>
      <c r="P1000" s="13"/>
      <c r="Q1000" s="13"/>
      <c r="R1000" s="13"/>
      <c r="S1000" s="13">
        <v>1.3668981481481482E-2</v>
      </c>
      <c r="T1000" s="13">
        <v>2.0833333333333335E-4</v>
      </c>
      <c r="U1000" s="13">
        <v>1.9791666666666668E-3</v>
      </c>
      <c r="V1000" s="13"/>
      <c r="W1000" s="13">
        <v>0.13846064814814815</v>
      </c>
    </row>
    <row r="1001" spans="1:23" ht="15" customHeight="1" x14ac:dyDescent="0.25">
      <c r="A1001" s="19">
        <v>46246</v>
      </c>
      <c r="B1001" s="11" t="s">
        <v>677</v>
      </c>
      <c r="C1001" s="12" t="s">
        <v>678</v>
      </c>
      <c r="D1001" s="11" t="s">
        <v>274</v>
      </c>
      <c r="E1001" s="12" t="s">
        <v>147</v>
      </c>
      <c r="F1001" s="12" t="s">
        <v>33</v>
      </c>
      <c r="G1001" s="12">
        <v>17</v>
      </c>
      <c r="H1001" s="13">
        <v>0.25949074074074074</v>
      </c>
      <c r="I1001" s="13">
        <v>5.3506944444444447E-2</v>
      </c>
      <c r="J1001" s="13">
        <v>3.1474673202614382E-3</v>
      </c>
      <c r="K1001" s="13">
        <v>3.0254629629629631E-2</v>
      </c>
      <c r="L1001" s="14">
        <v>0.11659232827832293</v>
      </c>
      <c r="M1001" s="12" t="s">
        <v>334</v>
      </c>
      <c r="N1001" s="13"/>
      <c r="O1001" s="13">
        <v>1.5405092592592592E-2</v>
      </c>
      <c r="P1001" s="13"/>
      <c r="Q1001" s="13"/>
      <c r="R1001" s="13"/>
      <c r="S1001" s="13">
        <v>1.3819444444444445E-2</v>
      </c>
      <c r="T1001" s="13">
        <v>7.7546296296296293E-4</v>
      </c>
      <c r="U1001" s="13">
        <v>2.3148148148148149E-4</v>
      </c>
      <c r="V1001" s="13"/>
      <c r="W1001" s="13"/>
    </row>
    <row r="1002" spans="1:23" ht="15" customHeight="1" x14ac:dyDescent="0.25">
      <c r="A1002" s="19">
        <v>46247</v>
      </c>
      <c r="B1002" s="11" t="s">
        <v>186</v>
      </c>
      <c r="C1002" s="12" t="s">
        <v>562</v>
      </c>
      <c r="D1002" s="11" t="s">
        <v>78</v>
      </c>
      <c r="E1002" s="12" t="s">
        <v>80</v>
      </c>
      <c r="F1002" s="12" t="s">
        <v>33</v>
      </c>
      <c r="G1002" s="12">
        <v>3</v>
      </c>
      <c r="H1002" s="13">
        <v>0</v>
      </c>
      <c r="I1002" s="13">
        <v>7.8703703703703696E-3</v>
      </c>
      <c r="J1002" s="13">
        <v>2.6234567901234564E-3</v>
      </c>
      <c r="K1002" s="13">
        <v>0</v>
      </c>
      <c r="L1002" s="14">
        <v>0</v>
      </c>
      <c r="M1002" s="12" t="s">
        <v>333</v>
      </c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spans="1:23" ht="15" customHeight="1" x14ac:dyDescent="0.25">
      <c r="A1003" s="19">
        <v>46247</v>
      </c>
      <c r="B1003" s="11" t="s">
        <v>643</v>
      </c>
      <c r="C1003" s="12" t="s">
        <v>644</v>
      </c>
      <c r="D1003" s="11" t="s">
        <v>233</v>
      </c>
      <c r="E1003" s="12" t="s">
        <v>32</v>
      </c>
      <c r="F1003" s="12" t="s">
        <v>106</v>
      </c>
      <c r="G1003" s="12">
        <v>11</v>
      </c>
      <c r="H1003" s="13">
        <v>0</v>
      </c>
      <c r="I1003" s="13">
        <v>0.11306712962962963</v>
      </c>
      <c r="J1003" s="13">
        <v>1.0278829966329965E-2</v>
      </c>
      <c r="K1003" s="13">
        <v>0</v>
      </c>
      <c r="L1003" s="14">
        <v>0</v>
      </c>
      <c r="M1003" s="12" t="s">
        <v>333</v>
      </c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spans="1:23" ht="15" customHeight="1" x14ac:dyDescent="0.25">
      <c r="A1004" s="19">
        <v>46247</v>
      </c>
      <c r="B1004" s="11" t="s">
        <v>193</v>
      </c>
      <c r="C1004" s="12" t="s">
        <v>563</v>
      </c>
      <c r="D1004" s="11" t="s">
        <v>274</v>
      </c>
      <c r="E1004" s="12" t="s">
        <v>147</v>
      </c>
      <c r="F1004" s="12" t="s">
        <v>33</v>
      </c>
      <c r="G1004" s="12">
        <v>15</v>
      </c>
      <c r="H1004" s="13">
        <v>0</v>
      </c>
      <c r="I1004" s="13">
        <v>4.6840277777777779E-2</v>
      </c>
      <c r="J1004" s="13">
        <v>3.1226851851851854E-3</v>
      </c>
      <c r="K1004" s="13">
        <v>0</v>
      </c>
      <c r="L1004" s="14">
        <v>0</v>
      </c>
      <c r="M1004" s="12" t="s">
        <v>333</v>
      </c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spans="1:23" ht="15" customHeight="1" x14ac:dyDescent="0.25">
      <c r="A1005" s="19">
        <v>46247</v>
      </c>
      <c r="B1005" s="11" t="s">
        <v>231</v>
      </c>
      <c r="C1005" s="12" t="s">
        <v>525</v>
      </c>
      <c r="D1005" s="11" t="s">
        <v>233</v>
      </c>
      <c r="E1005" s="12" t="s">
        <v>32</v>
      </c>
      <c r="F1005" s="12" t="s">
        <v>106</v>
      </c>
      <c r="G1005" s="12">
        <v>29</v>
      </c>
      <c r="H1005" s="13">
        <v>0</v>
      </c>
      <c r="I1005" s="13">
        <v>0.1005324074074074</v>
      </c>
      <c r="J1005" s="13">
        <v>3.4666347381864622E-3</v>
      </c>
      <c r="K1005" s="13">
        <v>0</v>
      </c>
      <c r="L1005" s="14">
        <v>0</v>
      </c>
      <c r="M1005" s="12" t="s">
        <v>333</v>
      </c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spans="1:23" ht="15" customHeight="1" x14ac:dyDescent="0.25">
      <c r="A1006" s="19">
        <v>46247</v>
      </c>
      <c r="B1006" s="11" t="s">
        <v>148</v>
      </c>
      <c r="C1006" s="12" t="s">
        <v>513</v>
      </c>
      <c r="D1006" s="11" t="s">
        <v>104</v>
      </c>
      <c r="E1006" s="12" t="s">
        <v>105</v>
      </c>
      <c r="F1006" s="12" t="s">
        <v>106</v>
      </c>
      <c r="G1006" s="12">
        <v>4</v>
      </c>
      <c r="H1006" s="13">
        <v>0</v>
      </c>
      <c r="I1006" s="13">
        <v>9.8576388888888894E-2</v>
      </c>
      <c r="J1006" s="13">
        <v>2.4644097222222223E-2</v>
      </c>
      <c r="K1006" s="13">
        <v>0</v>
      </c>
      <c r="L1006" s="14">
        <v>0</v>
      </c>
      <c r="M1006" s="12" t="s">
        <v>333</v>
      </c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spans="1:23" ht="15" customHeight="1" x14ac:dyDescent="0.25">
      <c r="A1007" s="19">
        <v>46247</v>
      </c>
      <c r="B1007" s="11" t="s">
        <v>82</v>
      </c>
      <c r="C1007" s="12" t="s">
        <v>83</v>
      </c>
      <c r="D1007" s="11" t="s">
        <v>78</v>
      </c>
      <c r="E1007" s="12" t="s">
        <v>80</v>
      </c>
      <c r="F1007" s="12" t="s">
        <v>81</v>
      </c>
      <c r="G1007" s="12">
        <v>0</v>
      </c>
      <c r="H1007" s="13">
        <v>0</v>
      </c>
      <c r="I1007" s="13">
        <v>0</v>
      </c>
      <c r="J1007" s="13">
        <v>0</v>
      </c>
      <c r="K1007" s="13">
        <v>0</v>
      </c>
      <c r="L1007" s="14">
        <v>0</v>
      </c>
      <c r="M1007" s="12" t="s">
        <v>333</v>
      </c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 spans="1:23" ht="15" customHeight="1" x14ac:dyDescent="0.25">
      <c r="A1008" s="19">
        <v>46247</v>
      </c>
      <c r="B1008" s="11" t="s">
        <v>234</v>
      </c>
      <c r="C1008" s="12" t="s">
        <v>550</v>
      </c>
      <c r="D1008" s="11" t="s">
        <v>233</v>
      </c>
      <c r="E1008" s="12" t="s">
        <v>32</v>
      </c>
      <c r="F1008" s="12" t="s">
        <v>106</v>
      </c>
      <c r="G1008" s="12">
        <v>22</v>
      </c>
      <c r="H1008" s="13">
        <v>0</v>
      </c>
      <c r="I1008" s="13">
        <v>9.9027777777777784E-2</v>
      </c>
      <c r="J1008" s="13">
        <v>4.5012626262626266E-3</v>
      </c>
      <c r="K1008" s="13">
        <v>0</v>
      </c>
      <c r="L1008" s="14">
        <v>0</v>
      </c>
      <c r="M1008" s="12" t="s">
        <v>333</v>
      </c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 spans="1:23" ht="15" customHeight="1" x14ac:dyDescent="0.25">
      <c r="A1009" s="19">
        <v>46247</v>
      </c>
      <c r="B1009" s="11" t="s">
        <v>34</v>
      </c>
      <c r="C1009" s="12" t="s">
        <v>505</v>
      </c>
      <c r="D1009" s="11" t="s">
        <v>233</v>
      </c>
      <c r="E1009" s="12" t="s">
        <v>32</v>
      </c>
      <c r="F1009" s="12" t="s">
        <v>106</v>
      </c>
      <c r="G1009" s="12">
        <v>30</v>
      </c>
      <c r="H1009" s="13">
        <v>0</v>
      </c>
      <c r="I1009" s="13">
        <v>9.8171296296296298E-2</v>
      </c>
      <c r="J1009" s="13">
        <v>3.2723765432098764E-3</v>
      </c>
      <c r="K1009" s="13">
        <v>0</v>
      </c>
      <c r="L1009" s="14">
        <v>0</v>
      </c>
      <c r="M1009" s="12" t="s">
        <v>333</v>
      </c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 spans="1:23" ht="15" customHeight="1" x14ac:dyDescent="0.25">
      <c r="A1010" s="19">
        <v>46247</v>
      </c>
      <c r="B1010" s="11" t="s">
        <v>238</v>
      </c>
      <c r="C1010" s="12" t="s">
        <v>526</v>
      </c>
      <c r="D1010" s="11" t="s">
        <v>233</v>
      </c>
      <c r="E1010" s="12" t="s">
        <v>32</v>
      </c>
      <c r="F1010" s="12" t="s">
        <v>106</v>
      </c>
      <c r="G1010" s="12">
        <v>0</v>
      </c>
      <c r="H1010" s="13">
        <v>0</v>
      </c>
      <c r="I1010" s="13">
        <v>0</v>
      </c>
      <c r="J1010" s="13">
        <v>0</v>
      </c>
      <c r="K1010" s="13">
        <v>0</v>
      </c>
      <c r="L1010" s="14">
        <v>0</v>
      </c>
      <c r="M1010" s="12" t="s">
        <v>333</v>
      </c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 spans="1:23" ht="15" customHeight="1" x14ac:dyDescent="0.25">
      <c r="A1011" s="19">
        <v>46247</v>
      </c>
      <c r="B1011" s="11" t="s">
        <v>608</v>
      </c>
      <c r="C1011" s="12" t="s">
        <v>631</v>
      </c>
      <c r="D1011" s="11" t="s">
        <v>601</v>
      </c>
      <c r="E1011" s="12" t="s">
        <v>105</v>
      </c>
      <c r="F1011" s="12" t="s">
        <v>33</v>
      </c>
      <c r="G1011" s="12">
        <v>3</v>
      </c>
      <c r="H1011" s="13">
        <v>0</v>
      </c>
      <c r="I1011" s="13">
        <v>5.6215277777777781E-2</v>
      </c>
      <c r="J1011" s="13">
        <v>1.8738425925925926E-2</v>
      </c>
      <c r="K1011" s="13">
        <v>0</v>
      </c>
      <c r="L1011" s="14">
        <v>0</v>
      </c>
      <c r="M1011" s="12" t="s">
        <v>333</v>
      </c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 spans="1:23" ht="15" customHeight="1" x14ac:dyDescent="0.25">
      <c r="A1012" s="19">
        <v>46247</v>
      </c>
      <c r="B1012" s="11" t="s">
        <v>307</v>
      </c>
      <c r="C1012" s="12" t="s">
        <v>308</v>
      </c>
      <c r="D1012" s="11" t="s">
        <v>78</v>
      </c>
      <c r="E1012" s="12" t="s">
        <v>80</v>
      </c>
      <c r="F1012" s="12" t="s">
        <v>81</v>
      </c>
      <c r="G1012" s="12">
        <v>0</v>
      </c>
      <c r="H1012" s="13">
        <v>0</v>
      </c>
      <c r="I1012" s="13">
        <v>0</v>
      </c>
      <c r="J1012" s="13">
        <v>0</v>
      </c>
      <c r="K1012" s="13">
        <v>0</v>
      </c>
      <c r="L1012" s="14">
        <v>0</v>
      </c>
      <c r="M1012" s="12" t="s">
        <v>333</v>
      </c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 spans="1:23" ht="15" customHeight="1" x14ac:dyDescent="0.25">
      <c r="A1013" s="19">
        <v>46247</v>
      </c>
      <c r="B1013" s="11" t="s">
        <v>197</v>
      </c>
      <c r="C1013" s="12" t="s">
        <v>564</v>
      </c>
      <c r="D1013" s="11" t="s">
        <v>601</v>
      </c>
      <c r="E1013" s="12" t="s">
        <v>105</v>
      </c>
      <c r="F1013" s="12" t="s">
        <v>33</v>
      </c>
      <c r="G1013" s="12">
        <v>3</v>
      </c>
      <c r="H1013" s="13">
        <v>0</v>
      </c>
      <c r="I1013" s="13">
        <v>5.0069444444444444E-2</v>
      </c>
      <c r="J1013" s="13">
        <v>1.6689814814814814E-2</v>
      </c>
      <c r="K1013" s="13">
        <v>0</v>
      </c>
      <c r="L1013" s="14">
        <v>0</v>
      </c>
      <c r="M1013" s="12" t="s">
        <v>333</v>
      </c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  <row r="1014" spans="1:23" ht="15" customHeight="1" x14ac:dyDescent="0.25">
      <c r="A1014" s="19">
        <v>46247</v>
      </c>
      <c r="B1014" s="11" t="s">
        <v>150</v>
      </c>
      <c r="C1014" s="12" t="s">
        <v>514</v>
      </c>
      <c r="D1014" s="11" t="s">
        <v>146</v>
      </c>
      <c r="E1014" s="12" t="s">
        <v>147</v>
      </c>
      <c r="F1014" s="12" t="s">
        <v>106</v>
      </c>
      <c r="G1014" s="12">
        <v>18</v>
      </c>
      <c r="H1014" s="13">
        <v>0</v>
      </c>
      <c r="I1014" s="13">
        <v>3.6238425925925924E-2</v>
      </c>
      <c r="J1014" s="13">
        <v>2.0132458847736626E-3</v>
      </c>
      <c r="K1014" s="13">
        <v>0</v>
      </c>
      <c r="L1014" s="14">
        <v>0</v>
      </c>
      <c r="M1014" s="12" t="s">
        <v>333</v>
      </c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</row>
    <row r="1015" spans="1:23" ht="15" customHeight="1" x14ac:dyDescent="0.25">
      <c r="A1015" s="19">
        <v>46247</v>
      </c>
      <c r="B1015" s="11" t="s">
        <v>38</v>
      </c>
      <c r="C1015" s="12" t="s">
        <v>536</v>
      </c>
      <c r="D1015" s="11" t="s">
        <v>100</v>
      </c>
      <c r="E1015" s="12" t="s">
        <v>32</v>
      </c>
      <c r="F1015" s="12" t="s">
        <v>33</v>
      </c>
      <c r="G1015" s="12">
        <v>0</v>
      </c>
      <c r="H1015" s="13">
        <v>0</v>
      </c>
      <c r="I1015" s="13">
        <v>0</v>
      </c>
      <c r="J1015" s="13">
        <v>0</v>
      </c>
      <c r="K1015" s="13">
        <v>0</v>
      </c>
      <c r="L1015" s="14">
        <v>0</v>
      </c>
      <c r="M1015" s="12" t="s">
        <v>333</v>
      </c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</row>
    <row r="1016" spans="1:23" ht="15" customHeight="1" x14ac:dyDescent="0.25">
      <c r="A1016" s="19">
        <v>46247</v>
      </c>
      <c r="B1016" s="11" t="s">
        <v>681</v>
      </c>
      <c r="C1016" s="12" t="s">
        <v>682</v>
      </c>
      <c r="D1016" s="11" t="s">
        <v>601</v>
      </c>
      <c r="E1016" s="12" t="s">
        <v>105</v>
      </c>
      <c r="F1016" s="12" t="s">
        <v>33</v>
      </c>
      <c r="G1016" s="12">
        <v>2</v>
      </c>
      <c r="H1016" s="13">
        <v>0</v>
      </c>
      <c r="I1016" s="13">
        <v>6.3807870370370376E-2</v>
      </c>
      <c r="J1016" s="13">
        <v>3.1903935185185188E-2</v>
      </c>
      <c r="K1016" s="13">
        <v>0</v>
      </c>
      <c r="L1016" s="14">
        <v>0</v>
      </c>
      <c r="M1016" s="12" t="s">
        <v>333</v>
      </c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</row>
    <row r="1017" spans="1:23" ht="15" customHeight="1" x14ac:dyDescent="0.25">
      <c r="A1017" s="19">
        <v>46247</v>
      </c>
      <c r="B1017" s="11" t="s">
        <v>154</v>
      </c>
      <c r="C1017" s="12" t="s">
        <v>515</v>
      </c>
      <c r="D1017" s="11" t="s">
        <v>146</v>
      </c>
      <c r="E1017" s="12" t="s">
        <v>147</v>
      </c>
      <c r="F1017" s="12" t="s">
        <v>106</v>
      </c>
      <c r="G1017" s="12">
        <v>13</v>
      </c>
      <c r="H1017" s="13">
        <v>0</v>
      </c>
      <c r="I1017" s="13">
        <v>4.099537037037037E-2</v>
      </c>
      <c r="J1017" s="13">
        <v>3.1534900284900286E-3</v>
      </c>
      <c r="K1017" s="13">
        <v>0</v>
      </c>
      <c r="L1017" s="14">
        <v>0</v>
      </c>
      <c r="M1017" s="12" t="s">
        <v>333</v>
      </c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</row>
    <row r="1018" spans="1:23" ht="15" customHeight="1" x14ac:dyDescent="0.25">
      <c r="A1018" s="19">
        <v>46247</v>
      </c>
      <c r="B1018" s="11" t="s">
        <v>112</v>
      </c>
      <c r="C1018" s="12" t="s">
        <v>570</v>
      </c>
      <c r="D1018" s="11" t="s">
        <v>104</v>
      </c>
      <c r="E1018" s="12" t="s">
        <v>105</v>
      </c>
      <c r="F1018" s="12" t="s">
        <v>106</v>
      </c>
      <c r="G1018" s="12">
        <v>4</v>
      </c>
      <c r="H1018" s="13">
        <v>0</v>
      </c>
      <c r="I1018" s="13">
        <v>0.13302083333333334</v>
      </c>
      <c r="J1018" s="13">
        <v>3.3255208333333335E-2</v>
      </c>
      <c r="K1018" s="13">
        <v>0</v>
      </c>
      <c r="L1018" s="14">
        <v>0</v>
      </c>
      <c r="M1018" s="12" t="s">
        <v>333</v>
      </c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</row>
    <row r="1019" spans="1:23" ht="15" customHeight="1" x14ac:dyDescent="0.25">
      <c r="A1019" s="19">
        <v>46247</v>
      </c>
      <c r="B1019" s="11" t="s">
        <v>42</v>
      </c>
      <c r="C1019" s="12" t="s">
        <v>537</v>
      </c>
      <c r="D1019" s="11" t="s">
        <v>104</v>
      </c>
      <c r="E1019" s="12" t="s">
        <v>105</v>
      </c>
      <c r="F1019" s="12" t="s">
        <v>106</v>
      </c>
      <c r="G1019" s="12">
        <v>8</v>
      </c>
      <c r="H1019" s="13">
        <v>0</v>
      </c>
      <c r="I1019" s="13">
        <v>0.10164351851851852</v>
      </c>
      <c r="J1019" s="13">
        <v>1.2705439814814815E-2</v>
      </c>
      <c r="K1019" s="13">
        <v>0</v>
      </c>
      <c r="L1019" s="14">
        <v>0</v>
      </c>
      <c r="M1019" s="12" t="s">
        <v>333</v>
      </c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</row>
    <row r="1020" spans="1:23" ht="15" customHeight="1" x14ac:dyDescent="0.25">
      <c r="A1020" s="19">
        <v>46247</v>
      </c>
      <c r="B1020" s="11" t="s">
        <v>156</v>
      </c>
      <c r="C1020" s="12" t="s">
        <v>516</v>
      </c>
      <c r="D1020" s="11" t="s">
        <v>146</v>
      </c>
      <c r="E1020" s="12" t="s">
        <v>147</v>
      </c>
      <c r="F1020" s="12" t="s">
        <v>106</v>
      </c>
      <c r="G1020" s="12">
        <v>11</v>
      </c>
      <c r="H1020" s="13">
        <v>0</v>
      </c>
      <c r="I1020" s="13">
        <v>5.65162037037037E-2</v>
      </c>
      <c r="J1020" s="13">
        <v>5.1378367003366999E-3</v>
      </c>
      <c r="K1020" s="13">
        <v>0</v>
      </c>
      <c r="L1020" s="14">
        <v>0</v>
      </c>
      <c r="M1020" s="12" t="s">
        <v>333</v>
      </c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</row>
    <row r="1021" spans="1:23" ht="15" customHeight="1" x14ac:dyDescent="0.25">
      <c r="A1021" s="19">
        <v>46247</v>
      </c>
      <c r="B1021" s="11" t="s">
        <v>114</v>
      </c>
      <c r="C1021" s="12" t="s">
        <v>541</v>
      </c>
      <c r="D1021" s="11" t="s">
        <v>104</v>
      </c>
      <c r="E1021" s="12" t="s">
        <v>105</v>
      </c>
      <c r="F1021" s="12" t="s">
        <v>106</v>
      </c>
      <c r="G1021" s="12">
        <v>8</v>
      </c>
      <c r="H1021" s="13">
        <v>0</v>
      </c>
      <c r="I1021" s="13">
        <v>9.7418981481481481E-2</v>
      </c>
      <c r="J1021" s="13">
        <v>1.2177372685185185E-2</v>
      </c>
      <c r="K1021" s="13">
        <v>0</v>
      </c>
      <c r="L1021" s="14">
        <v>0</v>
      </c>
      <c r="M1021" s="12" t="s">
        <v>333</v>
      </c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</row>
    <row r="1022" spans="1:23" ht="15" customHeight="1" x14ac:dyDescent="0.25">
      <c r="A1022" s="19">
        <v>46247</v>
      </c>
      <c r="B1022" s="11" t="s">
        <v>44</v>
      </c>
      <c r="C1022" s="12" t="s">
        <v>506</v>
      </c>
      <c r="D1022" s="11" t="s">
        <v>100</v>
      </c>
      <c r="E1022" s="12" t="s">
        <v>32</v>
      </c>
      <c r="F1022" s="12" t="s">
        <v>33</v>
      </c>
      <c r="G1022" s="12">
        <v>30</v>
      </c>
      <c r="H1022" s="13">
        <v>0</v>
      </c>
      <c r="I1022" s="13">
        <v>0.17027777777777778</v>
      </c>
      <c r="J1022" s="13">
        <v>5.6759259259259263E-3</v>
      </c>
      <c r="K1022" s="13">
        <v>0</v>
      </c>
      <c r="L1022" s="14">
        <v>0</v>
      </c>
      <c r="M1022" s="12" t="s">
        <v>333</v>
      </c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</row>
    <row r="1023" spans="1:23" ht="15" customHeight="1" x14ac:dyDescent="0.25">
      <c r="A1023" s="19">
        <v>46247</v>
      </c>
      <c r="B1023" s="11" t="s">
        <v>609</v>
      </c>
      <c r="C1023" s="12" t="s">
        <v>632</v>
      </c>
      <c r="D1023" s="11" t="s">
        <v>601</v>
      </c>
      <c r="E1023" s="12" t="s">
        <v>105</v>
      </c>
      <c r="F1023" s="12" t="s">
        <v>33</v>
      </c>
      <c r="G1023" s="12">
        <v>4</v>
      </c>
      <c r="H1023" s="13">
        <v>0</v>
      </c>
      <c r="I1023" s="13">
        <v>5.738425925925926E-2</v>
      </c>
      <c r="J1023" s="13">
        <v>1.4346064814814815E-2</v>
      </c>
      <c r="K1023" s="13">
        <v>0</v>
      </c>
      <c r="L1023" s="14">
        <v>0</v>
      </c>
      <c r="M1023" s="12" t="s">
        <v>333</v>
      </c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</row>
    <row r="1024" spans="1:23" ht="15" customHeight="1" x14ac:dyDescent="0.25">
      <c r="A1024" s="19">
        <v>46247</v>
      </c>
      <c r="B1024" s="11" t="s">
        <v>240</v>
      </c>
      <c r="C1024" s="12" t="s">
        <v>527</v>
      </c>
      <c r="D1024" s="11" t="s">
        <v>233</v>
      </c>
      <c r="E1024" s="12" t="s">
        <v>32</v>
      </c>
      <c r="F1024" s="12" t="s">
        <v>106</v>
      </c>
      <c r="G1024" s="12">
        <v>0</v>
      </c>
      <c r="H1024" s="13">
        <v>0</v>
      </c>
      <c r="I1024" s="13">
        <v>0</v>
      </c>
      <c r="J1024" s="13">
        <v>0</v>
      </c>
      <c r="K1024" s="13">
        <v>0</v>
      </c>
      <c r="L1024" s="14">
        <v>0</v>
      </c>
      <c r="M1024" s="12" t="s">
        <v>333</v>
      </c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</row>
    <row r="1025" spans="1:23" ht="15" customHeight="1" x14ac:dyDescent="0.25">
      <c r="A1025" s="19">
        <v>46247</v>
      </c>
      <c r="B1025" s="11" t="s">
        <v>497</v>
      </c>
      <c r="C1025" s="12" t="s">
        <v>498</v>
      </c>
      <c r="D1025" s="11" t="s">
        <v>78</v>
      </c>
      <c r="E1025" s="12" t="s">
        <v>80</v>
      </c>
      <c r="F1025" s="12" t="s">
        <v>81</v>
      </c>
      <c r="G1025" s="12">
        <v>0</v>
      </c>
      <c r="H1025" s="13">
        <v>0</v>
      </c>
      <c r="I1025" s="13">
        <v>0</v>
      </c>
      <c r="J1025" s="13">
        <v>0</v>
      </c>
      <c r="K1025" s="13">
        <v>0</v>
      </c>
      <c r="L1025" s="14">
        <v>0</v>
      </c>
      <c r="M1025" s="12" t="s">
        <v>333</v>
      </c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</row>
    <row r="1026" spans="1:23" ht="15" customHeight="1" x14ac:dyDescent="0.25">
      <c r="A1026" s="19">
        <v>46247</v>
      </c>
      <c r="B1026" s="11" t="s">
        <v>309</v>
      </c>
      <c r="C1026" s="12" t="s">
        <v>310</v>
      </c>
      <c r="D1026" s="11" t="s">
        <v>78</v>
      </c>
      <c r="E1026" s="12" t="s">
        <v>80</v>
      </c>
      <c r="F1026" s="12" t="s">
        <v>81</v>
      </c>
      <c r="G1026" s="12">
        <v>1</v>
      </c>
      <c r="H1026" s="13">
        <v>0</v>
      </c>
      <c r="I1026" s="13">
        <v>8.2986111111111108E-3</v>
      </c>
      <c r="J1026" s="13">
        <v>8.2986111111111108E-3</v>
      </c>
      <c r="K1026" s="13">
        <v>0</v>
      </c>
      <c r="L1026" s="14">
        <v>0</v>
      </c>
      <c r="M1026" s="12" t="s">
        <v>333</v>
      </c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</row>
    <row r="1027" spans="1:23" ht="15" customHeight="1" x14ac:dyDescent="0.25">
      <c r="A1027" s="19">
        <v>46247</v>
      </c>
      <c r="B1027" s="11" t="s">
        <v>160</v>
      </c>
      <c r="C1027" s="12" t="s">
        <v>544</v>
      </c>
      <c r="D1027" s="11" t="s">
        <v>146</v>
      </c>
      <c r="E1027" s="12" t="s">
        <v>147</v>
      </c>
      <c r="F1027" s="12" t="s">
        <v>106</v>
      </c>
      <c r="G1027" s="12">
        <v>12</v>
      </c>
      <c r="H1027" s="13">
        <v>0</v>
      </c>
      <c r="I1027" s="13">
        <v>3.591435185185185E-2</v>
      </c>
      <c r="J1027" s="13">
        <v>2.9928626543209874E-3</v>
      </c>
      <c r="K1027" s="13">
        <v>0</v>
      </c>
      <c r="L1027" s="14">
        <v>0</v>
      </c>
      <c r="M1027" s="12" t="s">
        <v>333</v>
      </c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</row>
    <row r="1028" spans="1:23" ht="15" customHeight="1" x14ac:dyDescent="0.25">
      <c r="A1028" s="19">
        <v>46247</v>
      </c>
      <c r="B1028" s="11" t="s">
        <v>645</v>
      </c>
      <c r="C1028" s="12" t="s">
        <v>646</v>
      </c>
      <c r="D1028" s="11" t="s">
        <v>100</v>
      </c>
      <c r="E1028" s="12" t="s">
        <v>32</v>
      </c>
      <c r="F1028" s="12" t="s">
        <v>33</v>
      </c>
      <c r="G1028" s="12">
        <v>28</v>
      </c>
      <c r="H1028" s="13">
        <v>0</v>
      </c>
      <c r="I1028" s="13">
        <v>0.16717592592592592</v>
      </c>
      <c r="J1028" s="13">
        <v>5.9705687830687833E-3</v>
      </c>
      <c r="K1028" s="13">
        <v>0</v>
      </c>
      <c r="L1028" s="14">
        <v>0</v>
      </c>
      <c r="M1028" s="12" t="s">
        <v>333</v>
      </c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</row>
    <row r="1029" spans="1:23" ht="15" customHeight="1" x14ac:dyDescent="0.25">
      <c r="A1029" s="19">
        <v>46247</v>
      </c>
      <c r="B1029" s="11" t="s">
        <v>120</v>
      </c>
      <c r="C1029" s="12" t="s">
        <v>558</v>
      </c>
      <c r="D1029" s="11" t="s">
        <v>233</v>
      </c>
      <c r="E1029" s="12" t="s">
        <v>32</v>
      </c>
      <c r="F1029" s="12" t="s">
        <v>106</v>
      </c>
      <c r="G1029" s="12">
        <v>33</v>
      </c>
      <c r="H1029" s="13">
        <v>0</v>
      </c>
      <c r="I1029" s="13">
        <v>9.8298611111111114E-2</v>
      </c>
      <c r="J1029" s="13">
        <v>2.9787457912457912E-3</v>
      </c>
      <c r="K1029" s="13">
        <v>0</v>
      </c>
      <c r="L1029" s="14">
        <v>0</v>
      </c>
      <c r="M1029" s="12" t="s">
        <v>333</v>
      </c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</row>
    <row r="1030" spans="1:23" ht="15" customHeight="1" x14ac:dyDescent="0.25">
      <c r="A1030" s="19">
        <v>46247</v>
      </c>
      <c r="B1030" s="11" t="s">
        <v>46</v>
      </c>
      <c r="C1030" s="12" t="s">
        <v>507</v>
      </c>
      <c r="D1030" s="11" t="s">
        <v>100</v>
      </c>
      <c r="E1030" s="12" t="s">
        <v>32</v>
      </c>
      <c r="F1030" s="12" t="s">
        <v>33</v>
      </c>
      <c r="G1030" s="12">
        <v>34</v>
      </c>
      <c r="H1030" s="13">
        <v>0</v>
      </c>
      <c r="I1030" s="13">
        <v>0.14476851851851852</v>
      </c>
      <c r="J1030" s="13">
        <v>4.2578976034858386E-3</v>
      </c>
      <c r="K1030" s="13">
        <v>0</v>
      </c>
      <c r="L1030" s="14">
        <v>0</v>
      </c>
      <c r="M1030" s="12" t="s">
        <v>333</v>
      </c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</row>
    <row r="1031" spans="1:23" ht="15" customHeight="1" x14ac:dyDescent="0.25">
      <c r="A1031" s="19">
        <v>46247</v>
      </c>
      <c r="B1031" s="11" t="s">
        <v>287</v>
      </c>
      <c r="C1031" s="12" t="s">
        <v>542</v>
      </c>
      <c r="D1031" s="11" t="s">
        <v>104</v>
      </c>
      <c r="E1031" s="12" t="s">
        <v>105</v>
      </c>
      <c r="F1031" s="12" t="s">
        <v>106</v>
      </c>
      <c r="G1031" s="12">
        <v>3</v>
      </c>
      <c r="H1031" s="13">
        <v>0</v>
      </c>
      <c r="I1031" s="13">
        <v>7.8275462962962963E-2</v>
      </c>
      <c r="J1031" s="13">
        <v>2.6091820987654321E-2</v>
      </c>
      <c r="K1031" s="13">
        <v>0</v>
      </c>
      <c r="L1031" s="14">
        <v>0</v>
      </c>
      <c r="M1031" s="12" t="s">
        <v>333</v>
      </c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</row>
    <row r="1032" spans="1:23" ht="15" customHeight="1" x14ac:dyDescent="0.25">
      <c r="A1032" s="19">
        <v>46247</v>
      </c>
      <c r="B1032" s="11" t="s">
        <v>499</v>
      </c>
      <c r="C1032" s="12" t="s">
        <v>517</v>
      </c>
      <c r="D1032" s="11" t="s">
        <v>146</v>
      </c>
      <c r="E1032" s="12" t="s">
        <v>147</v>
      </c>
      <c r="F1032" s="12" t="s">
        <v>106</v>
      </c>
      <c r="G1032" s="12">
        <v>9</v>
      </c>
      <c r="H1032" s="13">
        <v>0</v>
      </c>
      <c r="I1032" s="13">
        <v>5.0752314814814813E-2</v>
      </c>
      <c r="J1032" s="13">
        <v>5.6391460905349791E-3</v>
      </c>
      <c r="K1032" s="13">
        <v>0</v>
      </c>
      <c r="L1032" s="14">
        <v>0</v>
      </c>
      <c r="M1032" s="12" t="s">
        <v>333</v>
      </c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</row>
    <row r="1033" spans="1:23" ht="15" customHeight="1" x14ac:dyDescent="0.25">
      <c r="A1033" s="19">
        <v>46247</v>
      </c>
      <c r="B1033" s="11" t="s">
        <v>647</v>
      </c>
      <c r="C1033" s="12" t="s">
        <v>648</v>
      </c>
      <c r="D1033" s="11" t="s">
        <v>233</v>
      </c>
      <c r="E1033" s="12" t="s">
        <v>32</v>
      </c>
      <c r="F1033" s="12" t="s">
        <v>106</v>
      </c>
      <c r="G1033" s="12">
        <v>24</v>
      </c>
      <c r="H1033" s="13">
        <v>0</v>
      </c>
      <c r="I1033" s="13">
        <v>0.10888888888888888</v>
      </c>
      <c r="J1033" s="13">
        <v>4.5370370370370365E-3</v>
      </c>
      <c r="K1033" s="13">
        <v>0</v>
      </c>
      <c r="L1033" s="14">
        <v>0</v>
      </c>
      <c r="M1033" s="12" t="s">
        <v>333</v>
      </c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</row>
    <row r="1034" spans="1:23" ht="15" customHeight="1" x14ac:dyDescent="0.25">
      <c r="A1034" s="19">
        <v>46247</v>
      </c>
      <c r="B1034" s="11" t="s">
        <v>649</v>
      </c>
      <c r="C1034" s="12" t="s">
        <v>650</v>
      </c>
      <c r="D1034" s="11" t="s">
        <v>104</v>
      </c>
      <c r="E1034" s="12" t="s">
        <v>105</v>
      </c>
      <c r="F1034" s="12" t="s">
        <v>106</v>
      </c>
      <c r="G1034" s="12">
        <v>10</v>
      </c>
      <c r="H1034" s="13">
        <v>0</v>
      </c>
      <c r="I1034" s="13">
        <v>0.16153935185185186</v>
      </c>
      <c r="J1034" s="13">
        <v>1.6153935185185188E-2</v>
      </c>
      <c r="K1034" s="13">
        <v>0</v>
      </c>
      <c r="L1034" s="14">
        <v>0</v>
      </c>
      <c r="M1034" s="12" t="s">
        <v>333</v>
      </c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</row>
    <row r="1035" spans="1:23" ht="15" customHeight="1" x14ac:dyDescent="0.25">
      <c r="A1035" s="19">
        <v>46247</v>
      </c>
      <c r="B1035" s="11" t="s">
        <v>651</v>
      </c>
      <c r="C1035" s="12" t="s">
        <v>652</v>
      </c>
      <c r="D1035" s="11" t="s">
        <v>100</v>
      </c>
      <c r="E1035" s="12" t="s">
        <v>32</v>
      </c>
      <c r="F1035" s="12" t="s">
        <v>33</v>
      </c>
      <c r="G1035" s="12">
        <v>28</v>
      </c>
      <c r="H1035" s="13">
        <v>0</v>
      </c>
      <c r="I1035" s="13">
        <v>0.16274305555555554</v>
      </c>
      <c r="J1035" s="13">
        <v>5.8122519841269839E-3</v>
      </c>
      <c r="K1035" s="13">
        <v>0</v>
      </c>
      <c r="L1035" s="14">
        <v>0</v>
      </c>
      <c r="M1035" s="12" t="s">
        <v>333</v>
      </c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</row>
    <row r="1036" spans="1:23" ht="15" customHeight="1" x14ac:dyDescent="0.25">
      <c r="A1036" s="19">
        <v>46247</v>
      </c>
      <c r="B1036" s="11" t="s">
        <v>246</v>
      </c>
      <c r="C1036" s="12" t="s">
        <v>568</v>
      </c>
      <c r="D1036" s="11" t="s">
        <v>233</v>
      </c>
      <c r="E1036" s="12" t="s">
        <v>32</v>
      </c>
      <c r="F1036" s="12" t="s">
        <v>106</v>
      </c>
      <c r="G1036" s="12">
        <v>44</v>
      </c>
      <c r="H1036" s="13">
        <v>0</v>
      </c>
      <c r="I1036" s="13">
        <v>0.15034722222222222</v>
      </c>
      <c r="J1036" s="13">
        <v>3.4169823232323231E-3</v>
      </c>
      <c r="K1036" s="13">
        <v>0</v>
      </c>
      <c r="L1036" s="14">
        <v>0</v>
      </c>
      <c r="M1036" s="12" t="s">
        <v>333</v>
      </c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</row>
    <row r="1037" spans="1:23" ht="15" customHeight="1" x14ac:dyDescent="0.25">
      <c r="A1037" s="19">
        <v>46247</v>
      </c>
      <c r="B1037" s="11" t="s">
        <v>48</v>
      </c>
      <c r="C1037" s="12" t="s">
        <v>508</v>
      </c>
      <c r="D1037" s="11" t="s">
        <v>100</v>
      </c>
      <c r="E1037" s="12" t="s">
        <v>32</v>
      </c>
      <c r="F1037" s="12" t="s">
        <v>33</v>
      </c>
      <c r="G1037" s="12">
        <v>37</v>
      </c>
      <c r="H1037" s="13">
        <v>0</v>
      </c>
      <c r="I1037" s="13">
        <v>0.15008101851851852</v>
      </c>
      <c r="J1037" s="13">
        <v>4.0562437437437439E-3</v>
      </c>
      <c r="K1037" s="13">
        <v>0</v>
      </c>
      <c r="L1037" s="14">
        <v>0</v>
      </c>
      <c r="M1037" s="12" t="s">
        <v>333</v>
      </c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</row>
    <row r="1038" spans="1:23" ht="15" customHeight="1" x14ac:dyDescent="0.25">
      <c r="A1038" s="19">
        <v>46247</v>
      </c>
      <c r="B1038" s="11" t="s">
        <v>50</v>
      </c>
      <c r="C1038" s="12" t="s">
        <v>538</v>
      </c>
      <c r="D1038" s="11" t="s">
        <v>100</v>
      </c>
      <c r="E1038" s="12" t="s">
        <v>32</v>
      </c>
      <c r="F1038" s="12" t="s">
        <v>33</v>
      </c>
      <c r="G1038" s="12">
        <v>0</v>
      </c>
      <c r="H1038" s="13">
        <v>0</v>
      </c>
      <c r="I1038" s="13">
        <v>0</v>
      </c>
      <c r="J1038" s="13">
        <v>0</v>
      </c>
      <c r="K1038" s="13">
        <v>0</v>
      </c>
      <c r="L1038" s="14">
        <v>0</v>
      </c>
      <c r="M1038" s="12" t="s">
        <v>333</v>
      </c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</row>
    <row r="1039" spans="1:23" ht="15" customHeight="1" x14ac:dyDescent="0.25">
      <c r="A1039" s="19">
        <v>46247</v>
      </c>
      <c r="B1039" s="11" t="s">
        <v>248</v>
      </c>
      <c r="C1039" s="12" t="s">
        <v>249</v>
      </c>
      <c r="D1039" s="11" t="s">
        <v>78</v>
      </c>
      <c r="E1039" s="12" t="s">
        <v>80</v>
      </c>
      <c r="F1039" s="12" t="s">
        <v>81</v>
      </c>
      <c r="G1039" s="12">
        <v>0</v>
      </c>
      <c r="H1039" s="13">
        <v>0</v>
      </c>
      <c r="I1039" s="13">
        <v>0</v>
      </c>
      <c r="J1039" s="13">
        <v>0</v>
      </c>
      <c r="K1039" s="13">
        <v>0</v>
      </c>
      <c r="L1039" s="14">
        <v>0</v>
      </c>
      <c r="M1039" s="12" t="s">
        <v>333</v>
      </c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</row>
    <row r="1040" spans="1:23" ht="15" customHeight="1" x14ac:dyDescent="0.25">
      <c r="A1040" s="19">
        <v>46247</v>
      </c>
      <c r="B1040" s="11" t="s">
        <v>289</v>
      </c>
      <c r="C1040" s="12" t="s">
        <v>559</v>
      </c>
      <c r="D1040" s="11" t="s">
        <v>104</v>
      </c>
      <c r="E1040" s="12" t="s">
        <v>105</v>
      </c>
      <c r="F1040" s="12" t="s">
        <v>106</v>
      </c>
      <c r="G1040" s="12">
        <v>5</v>
      </c>
      <c r="H1040" s="13">
        <v>0</v>
      </c>
      <c r="I1040" s="13">
        <v>7.9687499999999994E-2</v>
      </c>
      <c r="J1040" s="13">
        <v>1.59375E-2</v>
      </c>
      <c r="K1040" s="13">
        <v>0</v>
      </c>
      <c r="L1040" s="14">
        <v>0</v>
      </c>
      <c r="M1040" s="12" t="s">
        <v>333</v>
      </c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</row>
    <row r="1041" spans="1:23" ht="15" customHeight="1" x14ac:dyDescent="0.25">
      <c r="A1041" s="19">
        <v>46247</v>
      </c>
      <c r="B1041" s="11" t="s">
        <v>252</v>
      </c>
      <c r="C1041" s="12" t="s">
        <v>553</v>
      </c>
      <c r="D1041" s="11" t="s">
        <v>78</v>
      </c>
      <c r="E1041" s="12" t="s">
        <v>80</v>
      </c>
      <c r="F1041" s="12" t="s">
        <v>81</v>
      </c>
      <c r="G1041" s="12">
        <v>1</v>
      </c>
      <c r="H1041" s="13">
        <v>0</v>
      </c>
      <c r="I1041" s="13">
        <v>0.1897337962962963</v>
      </c>
      <c r="J1041" s="13">
        <v>0.1897337962962963</v>
      </c>
      <c r="K1041" s="13">
        <v>0</v>
      </c>
      <c r="L1041" s="14">
        <v>0</v>
      </c>
      <c r="M1041" s="12" t="s">
        <v>333</v>
      </c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</row>
    <row r="1042" spans="1:23" ht="15" customHeight="1" x14ac:dyDescent="0.25">
      <c r="A1042" s="19">
        <v>46247</v>
      </c>
      <c r="B1042" s="11" t="s">
        <v>500</v>
      </c>
      <c r="C1042" s="12" t="s">
        <v>518</v>
      </c>
      <c r="D1042" s="11" t="s">
        <v>274</v>
      </c>
      <c r="E1042" s="12" t="s">
        <v>147</v>
      </c>
      <c r="F1042" s="12" t="s">
        <v>33</v>
      </c>
      <c r="G1042" s="12">
        <v>16</v>
      </c>
      <c r="H1042" s="13">
        <v>0</v>
      </c>
      <c r="I1042" s="13">
        <v>6.2627314814814816E-2</v>
      </c>
      <c r="J1042" s="13">
        <v>3.914207175925926E-3</v>
      </c>
      <c r="K1042" s="13">
        <v>0</v>
      </c>
      <c r="L1042" s="14">
        <v>0</v>
      </c>
      <c r="M1042" s="12" t="s">
        <v>333</v>
      </c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</row>
    <row r="1043" spans="1:23" ht="15" customHeight="1" x14ac:dyDescent="0.25">
      <c r="A1043" s="19">
        <v>46247</v>
      </c>
      <c r="B1043" s="11" t="s">
        <v>683</v>
      </c>
      <c r="C1043" s="12" t="s">
        <v>684</v>
      </c>
      <c r="D1043" s="11" t="s">
        <v>233</v>
      </c>
      <c r="E1043" s="12" t="s">
        <v>32</v>
      </c>
      <c r="F1043" s="12" t="s">
        <v>106</v>
      </c>
      <c r="G1043" s="12">
        <v>12</v>
      </c>
      <c r="H1043" s="13">
        <v>0</v>
      </c>
      <c r="I1043" s="13">
        <v>7.3298611111111106E-2</v>
      </c>
      <c r="J1043" s="13">
        <v>6.1082175925925922E-3</v>
      </c>
      <c r="K1043" s="13">
        <v>0</v>
      </c>
      <c r="L1043" s="14">
        <v>0</v>
      </c>
      <c r="M1043" s="12" t="s">
        <v>333</v>
      </c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</row>
    <row r="1044" spans="1:23" ht="15" customHeight="1" x14ac:dyDescent="0.25">
      <c r="A1044" s="19">
        <v>46247</v>
      </c>
      <c r="B1044" s="11" t="s">
        <v>653</v>
      </c>
      <c r="C1044" s="12" t="s">
        <v>654</v>
      </c>
      <c r="D1044" s="11" t="s">
        <v>100</v>
      </c>
      <c r="E1044" s="12" t="s">
        <v>32</v>
      </c>
      <c r="F1044" s="12" t="s">
        <v>33</v>
      </c>
      <c r="G1044" s="12">
        <v>28</v>
      </c>
      <c r="H1044" s="13">
        <v>0</v>
      </c>
      <c r="I1044" s="13">
        <v>0.16</v>
      </c>
      <c r="J1044" s="13">
        <v>5.7142857142857143E-3</v>
      </c>
      <c r="K1044" s="13">
        <v>0</v>
      </c>
      <c r="L1044" s="14">
        <v>0</v>
      </c>
      <c r="M1044" s="12" t="s">
        <v>333</v>
      </c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</row>
    <row r="1045" spans="1:23" ht="15" customHeight="1" x14ac:dyDescent="0.25">
      <c r="A1045" s="19">
        <v>46247</v>
      </c>
      <c r="B1045" s="11" t="s">
        <v>52</v>
      </c>
      <c r="C1045" s="12" t="s">
        <v>509</v>
      </c>
      <c r="D1045" s="11" t="s">
        <v>100</v>
      </c>
      <c r="E1045" s="12" t="s">
        <v>32</v>
      </c>
      <c r="F1045" s="12" t="s">
        <v>33</v>
      </c>
      <c r="G1045" s="12">
        <v>0</v>
      </c>
      <c r="H1045" s="13">
        <v>0</v>
      </c>
      <c r="I1045" s="13">
        <v>0</v>
      </c>
      <c r="J1045" s="13">
        <v>0</v>
      </c>
      <c r="K1045" s="13">
        <v>0</v>
      </c>
      <c r="L1045" s="14">
        <v>0</v>
      </c>
      <c r="M1045" s="12" t="s">
        <v>333</v>
      </c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</row>
    <row r="1046" spans="1:23" ht="15" customHeight="1" x14ac:dyDescent="0.25">
      <c r="A1046" s="19">
        <v>46247</v>
      </c>
      <c r="B1046" s="11" t="s">
        <v>164</v>
      </c>
      <c r="C1046" s="12" t="s">
        <v>519</v>
      </c>
      <c r="D1046" s="11" t="s">
        <v>146</v>
      </c>
      <c r="E1046" s="12" t="s">
        <v>147</v>
      </c>
      <c r="F1046" s="12" t="s">
        <v>106</v>
      </c>
      <c r="G1046" s="12">
        <v>17</v>
      </c>
      <c r="H1046" s="13">
        <v>0</v>
      </c>
      <c r="I1046" s="13">
        <v>3.8993055555555559E-2</v>
      </c>
      <c r="J1046" s="13">
        <v>2.2937091503267976E-3</v>
      </c>
      <c r="K1046" s="13">
        <v>0</v>
      </c>
      <c r="L1046" s="14">
        <v>0</v>
      </c>
      <c r="M1046" s="12" t="s">
        <v>333</v>
      </c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</row>
    <row r="1047" spans="1:23" ht="15" customHeight="1" x14ac:dyDescent="0.25">
      <c r="A1047" s="19">
        <v>46247</v>
      </c>
      <c r="B1047" s="11" t="s">
        <v>655</v>
      </c>
      <c r="C1047" s="12" t="s">
        <v>656</v>
      </c>
      <c r="D1047" s="11" t="s">
        <v>100</v>
      </c>
      <c r="E1047" s="12" t="s">
        <v>32</v>
      </c>
      <c r="F1047" s="12" t="s">
        <v>33</v>
      </c>
      <c r="G1047" s="12">
        <v>32</v>
      </c>
      <c r="H1047" s="13">
        <v>0</v>
      </c>
      <c r="I1047" s="13">
        <v>0.1370949074074074</v>
      </c>
      <c r="J1047" s="13">
        <v>4.2842158564814813E-3</v>
      </c>
      <c r="K1047" s="13">
        <v>0</v>
      </c>
      <c r="L1047" s="14">
        <v>0</v>
      </c>
      <c r="M1047" s="12" t="s">
        <v>333</v>
      </c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</row>
    <row r="1048" spans="1:23" ht="15" customHeight="1" x14ac:dyDescent="0.25">
      <c r="A1048" s="19">
        <v>46247</v>
      </c>
      <c r="B1048" s="11" t="s">
        <v>657</v>
      </c>
      <c r="C1048" s="12" t="s">
        <v>658</v>
      </c>
      <c r="D1048" s="11" t="s">
        <v>274</v>
      </c>
      <c r="E1048" s="12" t="s">
        <v>147</v>
      </c>
      <c r="F1048" s="12" t="s">
        <v>33</v>
      </c>
      <c r="G1048" s="12">
        <v>13</v>
      </c>
      <c r="H1048" s="13">
        <v>0</v>
      </c>
      <c r="I1048" s="13">
        <v>4.085648148148148E-2</v>
      </c>
      <c r="J1048" s="13">
        <v>3.1428062678062678E-3</v>
      </c>
      <c r="K1048" s="13">
        <v>0</v>
      </c>
      <c r="L1048" s="14">
        <v>0</v>
      </c>
      <c r="M1048" s="12" t="s">
        <v>333</v>
      </c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</row>
    <row r="1049" spans="1:23" ht="15" customHeight="1" x14ac:dyDescent="0.25">
      <c r="A1049" s="19">
        <v>46247</v>
      </c>
      <c r="B1049" s="11" t="s">
        <v>166</v>
      </c>
      <c r="C1049" s="12" t="s">
        <v>167</v>
      </c>
      <c r="D1049" s="11" t="s">
        <v>146</v>
      </c>
      <c r="E1049" s="12" t="s">
        <v>147</v>
      </c>
      <c r="F1049" s="12" t="s">
        <v>106</v>
      </c>
      <c r="G1049" s="12">
        <v>17</v>
      </c>
      <c r="H1049" s="13">
        <v>0</v>
      </c>
      <c r="I1049" s="13">
        <v>4.2233796296296297E-2</v>
      </c>
      <c r="J1049" s="13">
        <v>2.4843409586056647E-3</v>
      </c>
      <c r="K1049" s="13">
        <v>0</v>
      </c>
      <c r="L1049" s="14">
        <v>0</v>
      </c>
      <c r="M1049" s="12" t="s">
        <v>333</v>
      </c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</row>
    <row r="1050" spans="1:23" ht="15" customHeight="1" x14ac:dyDescent="0.25">
      <c r="A1050" s="19">
        <v>46247</v>
      </c>
      <c r="B1050" s="11" t="s">
        <v>659</v>
      </c>
      <c r="C1050" s="12" t="s">
        <v>660</v>
      </c>
      <c r="D1050" s="11" t="s">
        <v>100</v>
      </c>
      <c r="E1050" s="12" t="s">
        <v>32</v>
      </c>
      <c r="F1050" s="12" t="s">
        <v>33</v>
      </c>
      <c r="G1050" s="12">
        <v>1</v>
      </c>
      <c r="H1050" s="13">
        <v>0</v>
      </c>
      <c r="I1050" s="13">
        <v>4.31712962962963E-3</v>
      </c>
      <c r="J1050" s="13">
        <v>4.31712962962963E-3</v>
      </c>
      <c r="K1050" s="13">
        <v>0</v>
      </c>
      <c r="L1050" s="14">
        <v>0</v>
      </c>
      <c r="M1050" s="12" t="s">
        <v>333</v>
      </c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</row>
    <row r="1051" spans="1:23" ht="15" customHeight="1" x14ac:dyDescent="0.25">
      <c r="A1051" s="19">
        <v>46247</v>
      </c>
      <c r="B1051" s="11" t="s">
        <v>254</v>
      </c>
      <c r="C1051" s="12" t="s">
        <v>528</v>
      </c>
      <c r="D1051" s="11" t="s">
        <v>233</v>
      </c>
      <c r="E1051" s="12" t="s">
        <v>32</v>
      </c>
      <c r="F1051" s="12" t="s">
        <v>106</v>
      </c>
      <c r="G1051" s="12">
        <v>16</v>
      </c>
      <c r="H1051" s="13">
        <v>0</v>
      </c>
      <c r="I1051" s="13">
        <v>7.8310185185185191E-2</v>
      </c>
      <c r="J1051" s="13">
        <v>4.8943865740740744E-3</v>
      </c>
      <c r="K1051" s="13">
        <v>0</v>
      </c>
      <c r="L1051" s="14">
        <v>0</v>
      </c>
      <c r="M1051" s="12" t="s">
        <v>333</v>
      </c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</row>
    <row r="1052" spans="1:23" ht="15" customHeight="1" x14ac:dyDescent="0.25">
      <c r="A1052" s="19">
        <v>46247</v>
      </c>
      <c r="B1052" s="11" t="s">
        <v>201</v>
      </c>
      <c r="C1052" s="12" t="s">
        <v>545</v>
      </c>
      <c r="D1052" s="11" t="s">
        <v>601</v>
      </c>
      <c r="E1052" s="12" t="s">
        <v>600</v>
      </c>
      <c r="F1052" s="12" t="s">
        <v>33</v>
      </c>
      <c r="G1052" s="12">
        <v>24</v>
      </c>
      <c r="H1052" s="13">
        <v>0</v>
      </c>
      <c r="I1052" s="13">
        <v>7.408564814814815E-2</v>
      </c>
      <c r="J1052" s="13">
        <v>3.0869020061728395E-3</v>
      </c>
      <c r="K1052" s="13">
        <v>0</v>
      </c>
      <c r="L1052" s="14">
        <v>0</v>
      </c>
      <c r="M1052" s="12" t="s">
        <v>333</v>
      </c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</row>
    <row r="1053" spans="1:23" ht="15" customHeight="1" x14ac:dyDescent="0.25">
      <c r="A1053" s="19">
        <v>46247</v>
      </c>
      <c r="B1053" s="11" t="s">
        <v>168</v>
      </c>
      <c r="C1053" s="12" t="s">
        <v>520</v>
      </c>
      <c r="D1053" s="11" t="s">
        <v>274</v>
      </c>
      <c r="E1053" s="12" t="s">
        <v>147</v>
      </c>
      <c r="F1053" s="12" t="s">
        <v>33</v>
      </c>
      <c r="G1053" s="12">
        <v>12</v>
      </c>
      <c r="H1053" s="13">
        <v>0</v>
      </c>
      <c r="I1053" s="13">
        <v>4.1053240740740737E-2</v>
      </c>
      <c r="J1053" s="13">
        <v>3.4211033950617281E-3</v>
      </c>
      <c r="K1053" s="13">
        <v>0</v>
      </c>
      <c r="L1053" s="14">
        <v>0</v>
      </c>
      <c r="M1053" s="12" t="s">
        <v>333</v>
      </c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</row>
    <row r="1054" spans="1:23" ht="15" customHeight="1" x14ac:dyDescent="0.25">
      <c r="A1054" s="19">
        <v>46247</v>
      </c>
      <c r="B1054" s="11" t="s">
        <v>170</v>
      </c>
      <c r="C1054" s="12" t="s">
        <v>521</v>
      </c>
      <c r="D1054" s="11" t="s">
        <v>146</v>
      </c>
      <c r="E1054" s="12" t="s">
        <v>147</v>
      </c>
      <c r="F1054" s="12" t="s">
        <v>106</v>
      </c>
      <c r="G1054" s="12">
        <v>11</v>
      </c>
      <c r="H1054" s="13">
        <v>0</v>
      </c>
      <c r="I1054" s="13">
        <v>5.451388888888889E-2</v>
      </c>
      <c r="J1054" s="13">
        <v>4.9558080808080806E-3</v>
      </c>
      <c r="K1054" s="13">
        <v>0</v>
      </c>
      <c r="L1054" s="14">
        <v>0</v>
      </c>
      <c r="M1054" s="12" t="s">
        <v>333</v>
      </c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</row>
    <row r="1055" spans="1:23" ht="15" customHeight="1" x14ac:dyDescent="0.25">
      <c r="A1055" s="19">
        <v>46247</v>
      </c>
      <c r="B1055" s="11" t="s">
        <v>92</v>
      </c>
      <c r="C1055" s="12" t="s">
        <v>93</v>
      </c>
      <c r="D1055" s="11" t="s">
        <v>78</v>
      </c>
      <c r="E1055" s="12" t="s">
        <v>80</v>
      </c>
      <c r="F1055" s="12" t="s">
        <v>81</v>
      </c>
      <c r="G1055" s="12">
        <v>0</v>
      </c>
      <c r="H1055" s="13">
        <v>0</v>
      </c>
      <c r="I1055" s="13">
        <v>0</v>
      </c>
      <c r="J1055" s="13">
        <v>0</v>
      </c>
      <c r="K1055" s="13">
        <v>0</v>
      </c>
      <c r="L1055" s="14">
        <v>0</v>
      </c>
      <c r="M1055" s="12" t="s">
        <v>333</v>
      </c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</row>
    <row r="1056" spans="1:23" ht="15" customHeight="1" x14ac:dyDescent="0.25">
      <c r="A1056" s="19">
        <v>46247</v>
      </c>
      <c r="B1056" s="11" t="s">
        <v>94</v>
      </c>
      <c r="C1056" s="12" t="s">
        <v>95</v>
      </c>
      <c r="D1056" s="11" t="s">
        <v>78</v>
      </c>
      <c r="E1056" s="12" t="s">
        <v>80</v>
      </c>
      <c r="F1056" s="12" t="s">
        <v>81</v>
      </c>
      <c r="G1056" s="12">
        <v>0</v>
      </c>
      <c r="H1056" s="13">
        <v>0</v>
      </c>
      <c r="I1056" s="13">
        <v>0</v>
      </c>
      <c r="J1056" s="13">
        <v>0</v>
      </c>
      <c r="K1056" s="13">
        <v>0</v>
      </c>
      <c r="L1056" s="14">
        <v>0</v>
      </c>
      <c r="M1056" s="12" t="s">
        <v>333</v>
      </c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</row>
    <row r="1057" spans="1:23" ht="15" customHeight="1" x14ac:dyDescent="0.25">
      <c r="A1057" s="19">
        <v>46247</v>
      </c>
      <c r="B1057" s="11" t="s">
        <v>293</v>
      </c>
      <c r="C1057" s="12" t="s">
        <v>543</v>
      </c>
      <c r="D1057" s="11" t="s">
        <v>104</v>
      </c>
      <c r="E1057" s="12" t="s">
        <v>600</v>
      </c>
      <c r="F1057" s="12" t="s">
        <v>106</v>
      </c>
      <c r="G1057" s="12">
        <v>39</v>
      </c>
      <c r="H1057" s="13">
        <v>0</v>
      </c>
      <c r="I1057" s="13">
        <v>7.4097222222222217E-2</v>
      </c>
      <c r="J1057" s="13">
        <v>1.8999287749287747E-3</v>
      </c>
      <c r="K1057" s="13">
        <v>0</v>
      </c>
      <c r="L1057" s="14">
        <v>0</v>
      </c>
      <c r="M1057" s="12" t="s">
        <v>333</v>
      </c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</row>
    <row r="1058" spans="1:23" ht="15" customHeight="1" x14ac:dyDescent="0.25">
      <c r="A1058" s="19">
        <v>46247</v>
      </c>
      <c r="B1058" s="11" t="s">
        <v>606</v>
      </c>
      <c r="C1058" s="12" t="s">
        <v>633</v>
      </c>
      <c r="D1058" s="11" t="s">
        <v>146</v>
      </c>
      <c r="E1058" s="12" t="s">
        <v>147</v>
      </c>
      <c r="F1058" s="12" t="s">
        <v>106</v>
      </c>
      <c r="G1058" s="12">
        <v>10</v>
      </c>
      <c r="H1058" s="13">
        <v>0</v>
      </c>
      <c r="I1058" s="13">
        <v>6.7083333333333328E-2</v>
      </c>
      <c r="J1058" s="13">
        <v>6.7083333333333326E-3</v>
      </c>
      <c r="K1058" s="13">
        <v>0</v>
      </c>
      <c r="L1058" s="14">
        <v>0</v>
      </c>
      <c r="M1058" s="12" t="s">
        <v>333</v>
      </c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</row>
    <row r="1059" spans="1:23" ht="15" customHeight="1" x14ac:dyDescent="0.25">
      <c r="A1059" s="19">
        <v>46247</v>
      </c>
      <c r="B1059" s="11" t="s">
        <v>256</v>
      </c>
      <c r="C1059" s="12" t="s">
        <v>529</v>
      </c>
      <c r="D1059" s="11" t="s">
        <v>233</v>
      </c>
      <c r="E1059" s="12" t="s">
        <v>32</v>
      </c>
      <c r="F1059" s="12" t="s">
        <v>106</v>
      </c>
      <c r="G1059" s="12">
        <v>14</v>
      </c>
      <c r="H1059" s="13">
        <v>0</v>
      </c>
      <c r="I1059" s="13">
        <v>9.616898148148148E-2</v>
      </c>
      <c r="J1059" s="13">
        <v>6.8692129629629632E-3</v>
      </c>
      <c r="K1059" s="13">
        <v>0</v>
      </c>
      <c r="L1059" s="14">
        <v>0</v>
      </c>
      <c r="M1059" s="12" t="s">
        <v>333</v>
      </c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</row>
    <row r="1060" spans="1:23" ht="15" customHeight="1" x14ac:dyDescent="0.25">
      <c r="A1060" s="19">
        <v>46247</v>
      </c>
      <c r="B1060" s="11" t="s">
        <v>612</v>
      </c>
      <c r="C1060" s="12" t="s">
        <v>634</v>
      </c>
      <c r="D1060" s="11" t="s">
        <v>601</v>
      </c>
      <c r="E1060" s="12" t="s">
        <v>105</v>
      </c>
      <c r="F1060" s="12" t="s">
        <v>33</v>
      </c>
      <c r="G1060" s="12">
        <v>2</v>
      </c>
      <c r="H1060" s="13">
        <v>0</v>
      </c>
      <c r="I1060" s="13">
        <v>3.8379629629629632E-2</v>
      </c>
      <c r="J1060" s="13">
        <v>1.9189814814814816E-2</v>
      </c>
      <c r="K1060" s="13">
        <v>0</v>
      </c>
      <c r="L1060" s="14">
        <v>0</v>
      </c>
      <c r="M1060" s="12" t="s">
        <v>333</v>
      </c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</row>
    <row r="1061" spans="1:23" ht="15" customHeight="1" x14ac:dyDescent="0.25">
      <c r="A1061" s="19">
        <v>46247</v>
      </c>
      <c r="B1061" s="11" t="s">
        <v>258</v>
      </c>
      <c r="C1061" s="12" t="s">
        <v>554</v>
      </c>
      <c r="D1061" s="11" t="s">
        <v>233</v>
      </c>
      <c r="E1061" s="12" t="s">
        <v>32</v>
      </c>
      <c r="F1061" s="12" t="s">
        <v>106</v>
      </c>
      <c r="G1061" s="12">
        <v>0</v>
      </c>
      <c r="H1061" s="13">
        <v>0</v>
      </c>
      <c r="I1061" s="13">
        <v>0</v>
      </c>
      <c r="J1061" s="13">
        <v>0</v>
      </c>
      <c r="K1061" s="13">
        <v>0</v>
      </c>
      <c r="L1061" s="14">
        <v>0</v>
      </c>
      <c r="M1061" s="12" t="s">
        <v>333</v>
      </c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</row>
    <row r="1062" spans="1:23" ht="15" customHeight="1" x14ac:dyDescent="0.25">
      <c r="A1062" s="19">
        <v>46247</v>
      </c>
      <c r="B1062" s="11" t="s">
        <v>661</v>
      </c>
      <c r="C1062" s="12" t="s">
        <v>662</v>
      </c>
      <c r="D1062" s="11" t="s">
        <v>100</v>
      </c>
      <c r="E1062" s="12" t="s">
        <v>32</v>
      </c>
      <c r="F1062" s="12" t="s">
        <v>33</v>
      </c>
      <c r="G1062" s="12">
        <v>28</v>
      </c>
      <c r="H1062" s="13">
        <v>0</v>
      </c>
      <c r="I1062" s="13">
        <v>0.12038194444444444</v>
      </c>
      <c r="J1062" s="13">
        <v>4.2993551587301587E-3</v>
      </c>
      <c r="K1062" s="13">
        <v>0</v>
      </c>
      <c r="L1062" s="14">
        <v>0</v>
      </c>
      <c r="M1062" s="12" t="s">
        <v>333</v>
      </c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</row>
    <row r="1063" spans="1:23" ht="15" customHeight="1" x14ac:dyDescent="0.25">
      <c r="A1063" s="19">
        <v>46247</v>
      </c>
      <c r="B1063" s="11" t="s">
        <v>663</v>
      </c>
      <c r="C1063" s="12" t="s">
        <v>664</v>
      </c>
      <c r="D1063" s="11" t="s">
        <v>233</v>
      </c>
      <c r="E1063" s="12" t="s">
        <v>32</v>
      </c>
      <c r="F1063" s="12" t="s">
        <v>106</v>
      </c>
      <c r="G1063" s="12">
        <v>12</v>
      </c>
      <c r="H1063" s="13">
        <v>0</v>
      </c>
      <c r="I1063" s="13">
        <v>0.12512731481481482</v>
      </c>
      <c r="J1063" s="13">
        <v>1.0427276234567901E-2</v>
      </c>
      <c r="K1063" s="13">
        <v>0</v>
      </c>
      <c r="L1063" s="14">
        <v>0</v>
      </c>
      <c r="M1063" s="12" t="s">
        <v>333</v>
      </c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</row>
    <row r="1064" spans="1:23" ht="15" customHeight="1" x14ac:dyDescent="0.25">
      <c r="A1064" s="19">
        <v>46247</v>
      </c>
      <c r="B1064" s="11" t="s">
        <v>665</v>
      </c>
      <c r="C1064" s="12" t="s">
        <v>666</v>
      </c>
      <c r="D1064" s="11" t="s">
        <v>100</v>
      </c>
      <c r="E1064" s="12" t="s">
        <v>32</v>
      </c>
      <c r="F1064" s="12" t="s">
        <v>33</v>
      </c>
      <c r="G1064" s="12">
        <v>53</v>
      </c>
      <c r="H1064" s="13">
        <v>0</v>
      </c>
      <c r="I1064" s="13">
        <v>0.19023148148148147</v>
      </c>
      <c r="J1064" s="13">
        <v>3.5892732354996506E-3</v>
      </c>
      <c r="K1064" s="13">
        <v>0</v>
      </c>
      <c r="L1064" s="14">
        <v>0</v>
      </c>
      <c r="M1064" s="12" t="s">
        <v>333</v>
      </c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</row>
    <row r="1065" spans="1:23" ht="15" customHeight="1" x14ac:dyDescent="0.25">
      <c r="A1065" s="19">
        <v>46247</v>
      </c>
      <c r="B1065" s="11" t="s">
        <v>264</v>
      </c>
      <c r="C1065" s="12" t="s">
        <v>530</v>
      </c>
      <c r="D1065" s="11" t="s">
        <v>78</v>
      </c>
      <c r="E1065" s="12" t="s">
        <v>80</v>
      </c>
      <c r="F1065" s="12" t="s">
        <v>106</v>
      </c>
      <c r="G1065" s="12">
        <v>1</v>
      </c>
      <c r="H1065" s="13">
        <v>0</v>
      </c>
      <c r="I1065" s="13">
        <v>2.9976851851851853E-3</v>
      </c>
      <c r="J1065" s="13">
        <v>2.9976851851851853E-3</v>
      </c>
      <c r="K1065" s="13">
        <v>0</v>
      </c>
      <c r="L1065" s="14">
        <v>0</v>
      </c>
      <c r="M1065" s="12" t="s">
        <v>333</v>
      </c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</row>
    <row r="1066" spans="1:23" ht="15" customHeight="1" x14ac:dyDescent="0.25">
      <c r="A1066" s="19">
        <v>46247</v>
      </c>
      <c r="B1066" s="11" t="s">
        <v>128</v>
      </c>
      <c r="C1066" s="12" t="s">
        <v>555</v>
      </c>
      <c r="D1066" s="11" t="s">
        <v>233</v>
      </c>
      <c r="E1066" s="12" t="s">
        <v>32</v>
      </c>
      <c r="F1066" s="12" t="s">
        <v>106</v>
      </c>
      <c r="G1066" s="12">
        <v>34</v>
      </c>
      <c r="H1066" s="13">
        <v>0</v>
      </c>
      <c r="I1066" s="13">
        <v>0.11008101851851852</v>
      </c>
      <c r="J1066" s="13">
        <v>3.2376770152505448E-3</v>
      </c>
      <c r="K1066" s="13">
        <v>0</v>
      </c>
      <c r="L1066" s="14">
        <v>0</v>
      </c>
      <c r="M1066" s="12" t="s">
        <v>333</v>
      </c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</row>
    <row r="1067" spans="1:23" ht="15" customHeight="1" x14ac:dyDescent="0.25">
      <c r="A1067" s="19">
        <v>46247</v>
      </c>
      <c r="B1067" s="11" t="s">
        <v>178</v>
      </c>
      <c r="C1067" s="12" t="s">
        <v>522</v>
      </c>
      <c r="D1067" s="11" t="s">
        <v>146</v>
      </c>
      <c r="E1067" s="12" t="s">
        <v>147</v>
      </c>
      <c r="F1067" s="12" t="s">
        <v>106</v>
      </c>
      <c r="G1067" s="12">
        <v>12</v>
      </c>
      <c r="H1067" s="13">
        <v>0</v>
      </c>
      <c r="I1067" s="13">
        <v>4.7268518518518515E-2</v>
      </c>
      <c r="J1067" s="13">
        <v>3.9390432098765429E-3</v>
      </c>
      <c r="K1067" s="13">
        <v>0</v>
      </c>
      <c r="L1067" s="14">
        <v>0</v>
      </c>
      <c r="M1067" s="12" t="s">
        <v>333</v>
      </c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</row>
    <row r="1068" spans="1:23" ht="15" customHeight="1" x14ac:dyDescent="0.25">
      <c r="A1068" s="19">
        <v>46247</v>
      </c>
      <c r="B1068" s="11" t="s">
        <v>266</v>
      </c>
      <c r="C1068" s="12" t="s">
        <v>531</v>
      </c>
      <c r="D1068" s="11" t="s">
        <v>233</v>
      </c>
      <c r="E1068" s="12" t="s">
        <v>32</v>
      </c>
      <c r="F1068" s="12" t="s">
        <v>106</v>
      </c>
      <c r="G1068" s="12">
        <v>0</v>
      </c>
      <c r="H1068" s="13">
        <v>0</v>
      </c>
      <c r="I1068" s="13">
        <v>0</v>
      </c>
      <c r="J1068" s="13">
        <v>0</v>
      </c>
      <c r="K1068" s="13">
        <v>0</v>
      </c>
      <c r="L1068" s="14">
        <v>0</v>
      </c>
      <c r="M1068" s="12" t="s">
        <v>333</v>
      </c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</row>
    <row r="1069" spans="1:23" ht="15" customHeight="1" x14ac:dyDescent="0.25">
      <c r="A1069" s="19">
        <v>46247</v>
      </c>
      <c r="B1069" s="11" t="s">
        <v>297</v>
      </c>
      <c r="C1069" s="12" t="s">
        <v>667</v>
      </c>
      <c r="D1069" s="11" t="s">
        <v>104</v>
      </c>
      <c r="E1069" s="12" t="s">
        <v>105</v>
      </c>
      <c r="F1069" s="12" t="s">
        <v>106</v>
      </c>
      <c r="G1069" s="12">
        <v>7</v>
      </c>
      <c r="H1069" s="13">
        <v>0</v>
      </c>
      <c r="I1069" s="13">
        <v>0.1155787037037037</v>
      </c>
      <c r="J1069" s="13">
        <v>1.6511243386243386E-2</v>
      </c>
      <c r="K1069" s="13">
        <v>0</v>
      </c>
      <c r="L1069" s="14">
        <v>0</v>
      </c>
      <c r="M1069" s="12" t="s">
        <v>333</v>
      </c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</row>
    <row r="1070" spans="1:23" ht="15" customHeight="1" x14ac:dyDescent="0.25">
      <c r="A1070" s="19">
        <v>46247</v>
      </c>
      <c r="B1070" s="11" t="s">
        <v>207</v>
      </c>
      <c r="C1070" s="12" t="s">
        <v>566</v>
      </c>
      <c r="D1070" s="11" t="s">
        <v>274</v>
      </c>
      <c r="E1070" s="12" t="s">
        <v>147</v>
      </c>
      <c r="F1070" s="12" t="s">
        <v>33</v>
      </c>
      <c r="G1070" s="12">
        <v>15</v>
      </c>
      <c r="H1070" s="13">
        <v>0</v>
      </c>
      <c r="I1070" s="13">
        <v>3.9282407407407405E-2</v>
      </c>
      <c r="J1070" s="13">
        <v>2.6188271604938268E-3</v>
      </c>
      <c r="K1070" s="13">
        <v>0</v>
      </c>
      <c r="L1070" s="14">
        <v>0</v>
      </c>
      <c r="M1070" s="12" t="s">
        <v>333</v>
      </c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</row>
    <row r="1071" spans="1:23" ht="15" customHeight="1" x14ac:dyDescent="0.25">
      <c r="A1071" s="19">
        <v>46247</v>
      </c>
      <c r="B1071" s="11" t="s">
        <v>614</v>
      </c>
      <c r="C1071" s="12" t="s">
        <v>635</v>
      </c>
      <c r="D1071" s="11" t="s">
        <v>601</v>
      </c>
      <c r="E1071" s="12" t="s">
        <v>105</v>
      </c>
      <c r="F1071" s="12" t="s">
        <v>33</v>
      </c>
      <c r="G1071" s="12">
        <v>5</v>
      </c>
      <c r="H1071" s="13">
        <v>0</v>
      </c>
      <c r="I1071" s="13">
        <v>8.7372685185185192E-2</v>
      </c>
      <c r="J1071" s="13">
        <v>1.7474537037037038E-2</v>
      </c>
      <c r="K1071" s="13">
        <v>0</v>
      </c>
      <c r="L1071" s="14">
        <v>0</v>
      </c>
      <c r="M1071" s="12" t="s">
        <v>333</v>
      </c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</row>
    <row r="1072" spans="1:23" ht="15" customHeight="1" x14ac:dyDescent="0.25">
      <c r="A1072" s="19">
        <v>46247</v>
      </c>
      <c r="B1072" s="11" t="s">
        <v>96</v>
      </c>
      <c r="C1072" s="12" t="s">
        <v>97</v>
      </c>
      <c r="D1072" s="11" t="s">
        <v>78</v>
      </c>
      <c r="E1072" s="12" t="s">
        <v>80</v>
      </c>
      <c r="F1072" s="12" t="s">
        <v>81</v>
      </c>
      <c r="G1072" s="12">
        <v>0</v>
      </c>
      <c r="H1072" s="13">
        <v>0</v>
      </c>
      <c r="I1072" s="13">
        <v>0</v>
      </c>
      <c r="J1072" s="13">
        <v>0</v>
      </c>
      <c r="K1072" s="13">
        <v>0</v>
      </c>
      <c r="L1072" s="14">
        <v>0</v>
      </c>
      <c r="M1072" s="12" t="s">
        <v>333</v>
      </c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</row>
    <row r="1073" spans="1:23" ht="15" customHeight="1" x14ac:dyDescent="0.25">
      <c r="A1073" s="19">
        <v>46247</v>
      </c>
      <c r="B1073" s="11" t="s">
        <v>180</v>
      </c>
      <c r="C1073" s="12" t="s">
        <v>523</v>
      </c>
      <c r="D1073" s="11" t="s">
        <v>146</v>
      </c>
      <c r="E1073" s="12" t="s">
        <v>147</v>
      </c>
      <c r="F1073" s="12" t="s">
        <v>106</v>
      </c>
      <c r="G1073" s="12">
        <v>9</v>
      </c>
      <c r="H1073" s="13">
        <v>0</v>
      </c>
      <c r="I1073" s="13">
        <v>7.4108796296296298E-2</v>
      </c>
      <c r="J1073" s="13">
        <v>8.2343106995884773E-3</v>
      </c>
      <c r="K1073" s="13">
        <v>0</v>
      </c>
      <c r="L1073" s="14">
        <v>0</v>
      </c>
      <c r="M1073" s="12" t="s">
        <v>333</v>
      </c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</row>
    <row r="1074" spans="1:23" ht="15" customHeight="1" x14ac:dyDescent="0.25">
      <c r="A1074" s="19">
        <v>46247</v>
      </c>
      <c r="B1074" s="11" t="s">
        <v>616</v>
      </c>
      <c r="C1074" s="12" t="s">
        <v>637</v>
      </c>
      <c r="D1074" s="11" t="s">
        <v>601</v>
      </c>
      <c r="E1074" s="12" t="s">
        <v>105</v>
      </c>
      <c r="F1074" s="12" t="s">
        <v>33</v>
      </c>
      <c r="G1074" s="12">
        <v>2</v>
      </c>
      <c r="H1074" s="13">
        <v>0</v>
      </c>
      <c r="I1074" s="13">
        <v>3.622685185185185E-2</v>
      </c>
      <c r="J1074" s="13">
        <v>1.8113425925925925E-2</v>
      </c>
      <c r="K1074" s="13">
        <v>0</v>
      </c>
      <c r="L1074" s="14">
        <v>0</v>
      </c>
      <c r="M1074" s="12" t="s">
        <v>333</v>
      </c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</row>
    <row r="1075" spans="1:23" ht="15" customHeight="1" x14ac:dyDescent="0.25">
      <c r="A1075" s="19">
        <v>46247</v>
      </c>
      <c r="B1075" s="11" t="s">
        <v>209</v>
      </c>
      <c r="C1075" s="12" t="s">
        <v>567</v>
      </c>
      <c r="D1075" s="11" t="s">
        <v>601</v>
      </c>
      <c r="E1075" s="12" t="s">
        <v>105</v>
      </c>
      <c r="F1075" s="12" t="s">
        <v>33</v>
      </c>
      <c r="G1075" s="12">
        <v>2</v>
      </c>
      <c r="H1075" s="13">
        <v>0</v>
      </c>
      <c r="I1075" s="13">
        <v>6.9236111111111109E-2</v>
      </c>
      <c r="J1075" s="13">
        <v>3.4618055555555555E-2</v>
      </c>
      <c r="K1075" s="13">
        <v>0</v>
      </c>
      <c r="L1075" s="14">
        <v>0</v>
      </c>
      <c r="M1075" s="12" t="s">
        <v>333</v>
      </c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</row>
    <row r="1076" spans="1:23" ht="15" customHeight="1" x14ac:dyDescent="0.25">
      <c r="A1076" s="19">
        <v>46247</v>
      </c>
      <c r="B1076" s="11" t="s">
        <v>60</v>
      </c>
      <c r="C1076" s="12" t="s">
        <v>510</v>
      </c>
      <c r="D1076" s="11" t="s">
        <v>100</v>
      </c>
      <c r="E1076" s="12" t="s">
        <v>32</v>
      </c>
      <c r="F1076" s="12" t="s">
        <v>33</v>
      </c>
      <c r="G1076" s="12">
        <v>32</v>
      </c>
      <c r="H1076" s="13">
        <v>0</v>
      </c>
      <c r="I1076" s="13">
        <v>0.16442129629629629</v>
      </c>
      <c r="J1076" s="13">
        <v>5.138165509259259E-3</v>
      </c>
      <c r="K1076" s="13">
        <v>0</v>
      </c>
      <c r="L1076" s="14">
        <v>0</v>
      </c>
      <c r="M1076" s="12" t="s">
        <v>333</v>
      </c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</row>
    <row r="1077" spans="1:23" ht="15" customHeight="1" x14ac:dyDescent="0.25">
      <c r="A1077" s="19">
        <v>46247</v>
      </c>
      <c r="B1077" s="11" t="s">
        <v>132</v>
      </c>
      <c r="C1077" s="12" t="s">
        <v>512</v>
      </c>
      <c r="D1077" s="11" t="s">
        <v>104</v>
      </c>
      <c r="E1077" s="12" t="s">
        <v>105</v>
      </c>
      <c r="F1077" s="12" t="s">
        <v>106</v>
      </c>
      <c r="G1077" s="12">
        <v>9</v>
      </c>
      <c r="H1077" s="13">
        <v>0</v>
      </c>
      <c r="I1077" s="13">
        <v>0.1190625</v>
      </c>
      <c r="J1077" s="13">
        <v>1.3229166666666667E-2</v>
      </c>
      <c r="K1077" s="13">
        <v>0</v>
      </c>
      <c r="L1077" s="14">
        <v>0</v>
      </c>
      <c r="M1077" s="12" t="s">
        <v>333</v>
      </c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</row>
    <row r="1078" spans="1:23" ht="15" customHeight="1" x14ac:dyDescent="0.25">
      <c r="A1078" s="19">
        <v>46247</v>
      </c>
      <c r="B1078" s="11" t="s">
        <v>134</v>
      </c>
      <c r="C1078" s="12" t="s">
        <v>560</v>
      </c>
      <c r="D1078" s="11" t="s">
        <v>104</v>
      </c>
      <c r="E1078" s="12" t="s">
        <v>105</v>
      </c>
      <c r="F1078" s="12" t="s">
        <v>106</v>
      </c>
      <c r="G1078" s="12">
        <v>6</v>
      </c>
      <c r="H1078" s="13">
        <v>0</v>
      </c>
      <c r="I1078" s="13">
        <v>9.9456018518518513E-2</v>
      </c>
      <c r="J1078" s="13">
        <v>1.6576003086419752E-2</v>
      </c>
      <c r="K1078" s="13">
        <v>0</v>
      </c>
      <c r="L1078" s="14">
        <v>0</v>
      </c>
      <c r="M1078" s="12" t="s">
        <v>333</v>
      </c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</row>
    <row r="1079" spans="1:23" ht="15" customHeight="1" x14ac:dyDescent="0.25">
      <c r="A1079" s="19">
        <v>46247</v>
      </c>
      <c r="B1079" s="11" t="s">
        <v>211</v>
      </c>
      <c r="C1079" s="12" t="s">
        <v>546</v>
      </c>
      <c r="D1079" s="11" t="s">
        <v>104</v>
      </c>
      <c r="E1079" s="12" t="s">
        <v>105</v>
      </c>
      <c r="F1079" s="12" t="s">
        <v>106</v>
      </c>
      <c r="G1079" s="12">
        <v>3</v>
      </c>
      <c r="H1079" s="13">
        <v>0</v>
      </c>
      <c r="I1079" s="13">
        <v>9.7175925925925929E-2</v>
      </c>
      <c r="J1079" s="13">
        <v>3.2391975308641976E-2</v>
      </c>
      <c r="K1079" s="13">
        <v>0</v>
      </c>
      <c r="L1079" s="14">
        <v>0</v>
      </c>
      <c r="M1079" s="12" t="s">
        <v>333</v>
      </c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</row>
    <row r="1080" spans="1:23" ht="15" customHeight="1" x14ac:dyDescent="0.25">
      <c r="A1080" s="19">
        <v>46247</v>
      </c>
      <c r="B1080" s="11" t="s">
        <v>617</v>
      </c>
      <c r="C1080" s="12" t="s">
        <v>638</v>
      </c>
      <c r="D1080" s="11" t="s">
        <v>601</v>
      </c>
      <c r="E1080" s="12" t="s">
        <v>105</v>
      </c>
      <c r="F1080" s="12" t="s">
        <v>33</v>
      </c>
      <c r="G1080" s="12">
        <v>3</v>
      </c>
      <c r="H1080" s="13">
        <v>0</v>
      </c>
      <c r="I1080" s="13">
        <v>7.5324074074074071E-2</v>
      </c>
      <c r="J1080" s="13">
        <v>2.5108024691358023E-2</v>
      </c>
      <c r="K1080" s="13">
        <v>0</v>
      </c>
      <c r="L1080" s="14">
        <v>0</v>
      </c>
      <c r="M1080" s="12" t="s">
        <v>333</v>
      </c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</row>
    <row r="1081" spans="1:23" ht="15" customHeight="1" x14ac:dyDescent="0.25">
      <c r="A1081" s="19">
        <v>46247</v>
      </c>
      <c r="B1081" s="11" t="s">
        <v>618</v>
      </c>
      <c r="C1081" s="12" t="s">
        <v>639</v>
      </c>
      <c r="D1081" s="11" t="s">
        <v>601</v>
      </c>
      <c r="E1081" s="12" t="s">
        <v>105</v>
      </c>
      <c r="F1081" s="12" t="s">
        <v>33</v>
      </c>
      <c r="G1081" s="12">
        <v>4</v>
      </c>
      <c r="H1081" s="13">
        <v>0</v>
      </c>
      <c r="I1081" s="13">
        <v>8.0324074074074076E-2</v>
      </c>
      <c r="J1081" s="13">
        <v>2.0081018518518519E-2</v>
      </c>
      <c r="K1081" s="13">
        <v>0</v>
      </c>
      <c r="L1081" s="14">
        <v>0</v>
      </c>
      <c r="M1081" s="12" t="s">
        <v>333</v>
      </c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</row>
    <row r="1082" spans="1:23" ht="15" customHeight="1" x14ac:dyDescent="0.25">
      <c r="A1082" s="19">
        <v>46247</v>
      </c>
      <c r="B1082" s="11" t="s">
        <v>501</v>
      </c>
      <c r="C1082" s="12" t="s">
        <v>524</v>
      </c>
      <c r="D1082" s="11" t="s">
        <v>274</v>
      </c>
      <c r="E1082" s="12" t="s">
        <v>147</v>
      </c>
      <c r="F1082" s="12" t="s">
        <v>33</v>
      </c>
      <c r="G1082" s="12">
        <v>14</v>
      </c>
      <c r="H1082" s="13">
        <v>0</v>
      </c>
      <c r="I1082" s="13">
        <v>4.7974537037037038E-2</v>
      </c>
      <c r="J1082" s="13">
        <v>3.4267526455026456E-3</v>
      </c>
      <c r="K1082" s="13">
        <v>0</v>
      </c>
      <c r="L1082" s="14">
        <v>0</v>
      </c>
      <c r="M1082" s="12" t="s">
        <v>333</v>
      </c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</row>
    <row r="1083" spans="1:23" ht="15" customHeight="1" x14ac:dyDescent="0.25">
      <c r="A1083" s="19">
        <v>46247</v>
      </c>
      <c r="B1083" s="11" t="s">
        <v>213</v>
      </c>
      <c r="C1083" s="12" t="s">
        <v>572</v>
      </c>
      <c r="D1083" s="11" t="s">
        <v>601</v>
      </c>
      <c r="E1083" s="12" t="s">
        <v>105</v>
      </c>
      <c r="F1083" s="12" t="s">
        <v>33</v>
      </c>
      <c r="G1083" s="12">
        <v>1</v>
      </c>
      <c r="H1083" s="13">
        <v>0</v>
      </c>
      <c r="I1083" s="13">
        <v>2.2731481481481481E-2</v>
      </c>
      <c r="J1083" s="13">
        <v>2.2731481481481481E-2</v>
      </c>
      <c r="K1083" s="13">
        <v>0</v>
      </c>
      <c r="L1083" s="14">
        <v>0</v>
      </c>
      <c r="M1083" s="12" t="s">
        <v>333</v>
      </c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</row>
    <row r="1084" spans="1:23" ht="15" customHeight="1" x14ac:dyDescent="0.25">
      <c r="A1084" s="19">
        <v>46247</v>
      </c>
      <c r="B1084" s="11" t="s">
        <v>619</v>
      </c>
      <c r="C1084" s="12" t="s">
        <v>640</v>
      </c>
      <c r="D1084" s="11" t="s">
        <v>601</v>
      </c>
      <c r="E1084" s="12" t="s">
        <v>105</v>
      </c>
      <c r="F1084" s="12" t="s">
        <v>33</v>
      </c>
      <c r="G1084" s="12">
        <v>2</v>
      </c>
      <c r="H1084" s="13">
        <v>0</v>
      </c>
      <c r="I1084" s="13">
        <v>4.3518518518518519E-2</v>
      </c>
      <c r="J1084" s="13">
        <v>2.1759259259259259E-2</v>
      </c>
      <c r="K1084" s="13">
        <v>0</v>
      </c>
      <c r="L1084" s="14">
        <v>0</v>
      </c>
      <c r="M1084" s="12" t="s">
        <v>333</v>
      </c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</row>
    <row r="1085" spans="1:23" ht="15" customHeight="1" x14ac:dyDescent="0.25">
      <c r="A1085" s="19">
        <v>46247</v>
      </c>
      <c r="B1085" s="11" t="s">
        <v>668</v>
      </c>
      <c r="C1085" s="12" t="s">
        <v>669</v>
      </c>
      <c r="D1085" s="11" t="s">
        <v>233</v>
      </c>
      <c r="E1085" s="12" t="s">
        <v>32</v>
      </c>
      <c r="F1085" s="12" t="s">
        <v>106</v>
      </c>
      <c r="G1085" s="12">
        <v>27</v>
      </c>
      <c r="H1085" s="13">
        <v>0</v>
      </c>
      <c r="I1085" s="13">
        <v>0.11280092592592593</v>
      </c>
      <c r="J1085" s="13">
        <v>4.1778120713305902E-3</v>
      </c>
      <c r="K1085" s="13">
        <v>0</v>
      </c>
      <c r="L1085" s="14">
        <v>0</v>
      </c>
      <c r="M1085" s="12" t="s">
        <v>333</v>
      </c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</row>
    <row r="1086" spans="1:23" ht="15" customHeight="1" x14ac:dyDescent="0.25">
      <c r="A1086" s="19">
        <v>46247</v>
      </c>
      <c r="B1086" s="11" t="s">
        <v>233</v>
      </c>
      <c r="C1086" s="12" t="s">
        <v>745</v>
      </c>
      <c r="D1086" s="11" t="s">
        <v>233</v>
      </c>
      <c r="E1086" s="12" t="s">
        <v>32</v>
      </c>
      <c r="F1086" s="12" t="s">
        <v>106</v>
      </c>
      <c r="G1086" s="12">
        <v>0</v>
      </c>
      <c r="H1086" s="13">
        <v>0</v>
      </c>
      <c r="I1086" s="13">
        <v>0</v>
      </c>
      <c r="J1086" s="13">
        <v>0</v>
      </c>
      <c r="K1086" s="13">
        <v>0</v>
      </c>
      <c r="L1086" s="14">
        <v>0</v>
      </c>
      <c r="M1086" s="12" t="s">
        <v>333</v>
      </c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</row>
    <row r="1087" spans="1:23" ht="15" customHeight="1" x14ac:dyDescent="0.25">
      <c r="A1087" s="19">
        <v>46247</v>
      </c>
      <c r="B1087" s="11" t="s">
        <v>219</v>
      </c>
      <c r="C1087" s="12" t="s">
        <v>548</v>
      </c>
      <c r="D1087" s="11" t="s">
        <v>104</v>
      </c>
      <c r="E1087" s="12" t="s">
        <v>105</v>
      </c>
      <c r="F1087" s="12" t="s">
        <v>106</v>
      </c>
      <c r="G1087" s="12">
        <v>4</v>
      </c>
      <c r="H1087" s="13">
        <v>0</v>
      </c>
      <c r="I1087" s="13">
        <v>6.1655092592592595E-2</v>
      </c>
      <c r="J1087" s="13">
        <v>1.5413773148148149E-2</v>
      </c>
      <c r="K1087" s="13">
        <v>0</v>
      </c>
      <c r="L1087" s="14">
        <v>0</v>
      </c>
      <c r="M1087" s="12" t="s">
        <v>333</v>
      </c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</row>
    <row r="1088" spans="1:23" ht="15" customHeight="1" x14ac:dyDescent="0.25">
      <c r="A1088" s="19">
        <v>46247</v>
      </c>
      <c r="B1088" s="11" t="s">
        <v>305</v>
      </c>
      <c r="C1088" s="12" t="s">
        <v>306</v>
      </c>
      <c r="D1088" s="11" t="s">
        <v>100</v>
      </c>
      <c r="E1088" s="12" t="s">
        <v>32</v>
      </c>
      <c r="F1088" s="12" t="s">
        <v>33</v>
      </c>
      <c r="G1088" s="12">
        <v>35</v>
      </c>
      <c r="H1088" s="13">
        <v>0</v>
      </c>
      <c r="I1088" s="13">
        <v>0.14516203703703703</v>
      </c>
      <c r="J1088" s="13">
        <v>4.1474867724867722E-3</v>
      </c>
      <c r="K1088" s="13">
        <v>0</v>
      </c>
      <c r="L1088" s="14">
        <v>0</v>
      </c>
      <c r="M1088" s="12" t="s">
        <v>333</v>
      </c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</row>
    <row r="1089" spans="1:23" ht="15" customHeight="1" x14ac:dyDescent="0.25">
      <c r="A1089" s="19">
        <v>46247</v>
      </c>
      <c r="B1089" s="11" t="s">
        <v>620</v>
      </c>
      <c r="C1089" s="12" t="s">
        <v>641</v>
      </c>
      <c r="D1089" s="11" t="s">
        <v>601</v>
      </c>
      <c r="E1089" s="12" t="s">
        <v>105</v>
      </c>
      <c r="F1089" s="12" t="s">
        <v>33</v>
      </c>
      <c r="G1089" s="12">
        <v>2</v>
      </c>
      <c r="H1089" s="13">
        <v>0</v>
      </c>
      <c r="I1089" s="13">
        <v>5.966435185185185E-2</v>
      </c>
      <c r="J1089" s="13">
        <v>2.9832175925925925E-2</v>
      </c>
      <c r="K1089" s="13">
        <v>0</v>
      </c>
      <c r="L1089" s="14">
        <v>0</v>
      </c>
      <c r="M1089" s="12" t="s">
        <v>333</v>
      </c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</row>
    <row r="1090" spans="1:23" ht="15" customHeight="1" x14ac:dyDescent="0.25">
      <c r="A1090" s="19">
        <v>46247</v>
      </c>
      <c r="B1090" s="11" t="s">
        <v>138</v>
      </c>
      <c r="C1090" s="12" t="s">
        <v>556</v>
      </c>
      <c r="D1090" s="11" t="s">
        <v>104</v>
      </c>
      <c r="E1090" s="12" t="s">
        <v>105</v>
      </c>
      <c r="F1090" s="12" t="s">
        <v>106</v>
      </c>
      <c r="G1090" s="12">
        <v>10</v>
      </c>
      <c r="H1090" s="13">
        <v>0</v>
      </c>
      <c r="I1090" s="13">
        <v>0.1180787037037037</v>
      </c>
      <c r="J1090" s="13">
        <v>1.180787037037037E-2</v>
      </c>
      <c r="K1090" s="13">
        <v>0</v>
      </c>
      <c r="L1090" s="14">
        <v>0</v>
      </c>
      <c r="M1090" s="12" t="s">
        <v>333</v>
      </c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</row>
    <row r="1091" spans="1:23" ht="15" customHeight="1" x14ac:dyDescent="0.25">
      <c r="A1091" s="19">
        <v>46247</v>
      </c>
      <c r="B1091" s="11" t="s">
        <v>276</v>
      </c>
      <c r="C1091" s="12" t="s">
        <v>532</v>
      </c>
      <c r="D1091" s="11" t="s">
        <v>233</v>
      </c>
      <c r="E1091" s="12" t="s">
        <v>32</v>
      </c>
      <c r="F1091" s="12" t="s">
        <v>106</v>
      </c>
      <c r="G1091" s="12">
        <v>39</v>
      </c>
      <c r="H1091" s="13">
        <v>0</v>
      </c>
      <c r="I1091" s="13">
        <v>0.12811342592592592</v>
      </c>
      <c r="J1091" s="13">
        <v>3.2849596391263058E-3</v>
      </c>
      <c r="K1091" s="13">
        <v>0</v>
      </c>
      <c r="L1091" s="14">
        <v>0</v>
      </c>
      <c r="M1091" s="12" t="s">
        <v>333</v>
      </c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</row>
    <row r="1092" spans="1:23" ht="15" customHeight="1" x14ac:dyDescent="0.25">
      <c r="A1092" s="19">
        <v>46247</v>
      </c>
      <c r="B1092" s="11" t="s">
        <v>278</v>
      </c>
      <c r="C1092" s="12" t="s">
        <v>533</v>
      </c>
      <c r="D1092" s="11" t="s">
        <v>233</v>
      </c>
      <c r="E1092" s="12" t="s">
        <v>32</v>
      </c>
      <c r="F1092" s="12" t="s">
        <v>106</v>
      </c>
      <c r="G1092" s="12">
        <v>19</v>
      </c>
      <c r="H1092" s="13">
        <v>0</v>
      </c>
      <c r="I1092" s="13">
        <v>0.10445601851851852</v>
      </c>
      <c r="J1092" s="13">
        <v>5.4976851851851853E-3</v>
      </c>
      <c r="K1092" s="13">
        <v>0</v>
      </c>
      <c r="L1092" s="14">
        <v>0</v>
      </c>
      <c r="M1092" s="12" t="s">
        <v>333</v>
      </c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</row>
    <row r="1093" spans="1:23" ht="15" customHeight="1" x14ac:dyDescent="0.25">
      <c r="A1093" s="19">
        <v>46247</v>
      </c>
      <c r="B1093" s="11" t="s">
        <v>313</v>
      </c>
      <c r="C1093" s="12" t="s">
        <v>511</v>
      </c>
      <c r="D1093" s="11" t="s">
        <v>78</v>
      </c>
      <c r="E1093" s="12" t="s">
        <v>80</v>
      </c>
      <c r="F1093" s="12" t="s">
        <v>81</v>
      </c>
      <c r="G1093" s="12">
        <v>0</v>
      </c>
      <c r="H1093" s="13">
        <v>0</v>
      </c>
      <c r="I1093" s="13">
        <v>0</v>
      </c>
      <c r="J1093" s="13">
        <v>0</v>
      </c>
      <c r="K1093" s="13">
        <v>0</v>
      </c>
      <c r="L1093" s="14">
        <v>0</v>
      </c>
      <c r="M1093" s="12" t="s">
        <v>333</v>
      </c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</row>
    <row r="1094" spans="1:23" ht="15" customHeight="1" x14ac:dyDescent="0.25">
      <c r="A1094" s="19">
        <v>46247</v>
      </c>
      <c r="B1094" s="11" t="s">
        <v>673</v>
      </c>
      <c r="C1094" s="12" t="s">
        <v>674</v>
      </c>
      <c r="D1094" s="11" t="s">
        <v>104</v>
      </c>
      <c r="E1094" s="12" t="s">
        <v>105</v>
      </c>
      <c r="F1094" s="12" t="s">
        <v>106</v>
      </c>
      <c r="G1094" s="12">
        <v>11</v>
      </c>
      <c r="H1094" s="13">
        <v>0</v>
      </c>
      <c r="I1094" s="13">
        <v>0.12340277777777778</v>
      </c>
      <c r="J1094" s="13">
        <v>1.1218434343434343E-2</v>
      </c>
      <c r="K1094" s="13">
        <v>0</v>
      </c>
      <c r="L1094" s="14">
        <v>0</v>
      </c>
      <c r="M1094" s="12" t="s">
        <v>333</v>
      </c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</row>
    <row r="1095" spans="1:23" ht="15" customHeight="1" x14ac:dyDescent="0.25">
      <c r="A1095" s="19">
        <v>46247</v>
      </c>
      <c r="B1095" s="11" t="s">
        <v>225</v>
      </c>
      <c r="C1095" s="12" t="s">
        <v>549</v>
      </c>
      <c r="D1095" s="11" t="s">
        <v>601</v>
      </c>
      <c r="E1095" s="12" t="s">
        <v>105</v>
      </c>
      <c r="F1095" s="12" t="s">
        <v>33</v>
      </c>
      <c r="G1095" s="12">
        <v>2</v>
      </c>
      <c r="H1095" s="13">
        <v>0</v>
      </c>
      <c r="I1095" s="13">
        <v>5.4953703703703706E-2</v>
      </c>
      <c r="J1095" s="13">
        <v>2.7476851851851853E-2</v>
      </c>
      <c r="K1095" s="13">
        <v>0</v>
      </c>
      <c r="L1095" s="14">
        <v>0</v>
      </c>
      <c r="M1095" s="12" t="s">
        <v>333</v>
      </c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</row>
    <row r="1096" spans="1:23" ht="15" customHeight="1" x14ac:dyDescent="0.25">
      <c r="A1096" s="19">
        <v>46247</v>
      </c>
      <c r="B1096" s="11" t="s">
        <v>70</v>
      </c>
      <c r="C1096" s="12" t="s">
        <v>71</v>
      </c>
      <c r="D1096" s="11" t="s">
        <v>78</v>
      </c>
      <c r="E1096" s="12" t="s">
        <v>80</v>
      </c>
      <c r="F1096" s="12" t="s">
        <v>33</v>
      </c>
      <c r="G1096" s="12">
        <v>0</v>
      </c>
      <c r="H1096" s="13">
        <v>0</v>
      </c>
      <c r="I1096" s="13">
        <v>0</v>
      </c>
      <c r="J1096" s="13">
        <v>0</v>
      </c>
      <c r="K1096" s="13">
        <v>0</v>
      </c>
      <c r="L1096" s="14">
        <v>0</v>
      </c>
      <c r="M1096" s="12" t="s">
        <v>333</v>
      </c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</row>
    <row r="1097" spans="1:23" ht="15" customHeight="1" x14ac:dyDescent="0.25">
      <c r="A1097" s="19">
        <v>46247</v>
      </c>
      <c r="B1097" s="11" t="s">
        <v>280</v>
      </c>
      <c r="C1097" s="12" t="s">
        <v>534</v>
      </c>
      <c r="D1097" s="11" t="s">
        <v>233</v>
      </c>
      <c r="E1097" s="12" t="s">
        <v>32</v>
      </c>
      <c r="F1097" s="12" t="s">
        <v>106</v>
      </c>
      <c r="G1097" s="12">
        <v>23</v>
      </c>
      <c r="H1097" s="13">
        <v>0</v>
      </c>
      <c r="I1097" s="13">
        <v>9.7951388888888893E-2</v>
      </c>
      <c r="J1097" s="13">
        <v>4.258756038647343E-3</v>
      </c>
      <c r="K1097" s="13">
        <v>0</v>
      </c>
      <c r="L1097" s="14">
        <v>0</v>
      </c>
      <c r="M1097" s="12" t="s">
        <v>333</v>
      </c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</row>
    <row r="1098" spans="1:23" ht="15" customHeight="1" x14ac:dyDescent="0.25">
      <c r="A1098" s="19">
        <v>46247</v>
      </c>
      <c r="B1098" s="11" t="s">
        <v>299</v>
      </c>
      <c r="C1098" s="12" t="s">
        <v>571</v>
      </c>
      <c r="D1098" s="11" t="s">
        <v>104</v>
      </c>
      <c r="E1098" s="12" t="s">
        <v>105</v>
      </c>
      <c r="F1098" s="12" t="s">
        <v>106</v>
      </c>
      <c r="G1098" s="12">
        <v>6</v>
      </c>
      <c r="H1098" s="13">
        <v>0</v>
      </c>
      <c r="I1098" s="13">
        <v>0.11944444444444445</v>
      </c>
      <c r="J1098" s="13">
        <v>1.9907407407407408E-2</v>
      </c>
      <c r="K1098" s="13">
        <v>0</v>
      </c>
      <c r="L1098" s="14">
        <v>0</v>
      </c>
      <c r="M1098" s="12" t="s">
        <v>333</v>
      </c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</row>
    <row r="1099" spans="1:23" ht="15" customHeight="1" x14ac:dyDescent="0.25">
      <c r="A1099" s="19">
        <v>46247</v>
      </c>
      <c r="B1099" s="11" t="s">
        <v>227</v>
      </c>
      <c r="C1099" s="12" t="s">
        <v>557</v>
      </c>
      <c r="D1099" s="11" t="s">
        <v>146</v>
      </c>
      <c r="E1099" s="12" t="s">
        <v>147</v>
      </c>
      <c r="F1099" s="12" t="s">
        <v>106</v>
      </c>
      <c r="G1099" s="12">
        <v>9</v>
      </c>
      <c r="H1099" s="13">
        <v>0</v>
      </c>
      <c r="I1099" s="13">
        <v>5.1296296296296298E-2</v>
      </c>
      <c r="J1099" s="13">
        <v>5.6995884773662553E-3</v>
      </c>
      <c r="K1099" s="13">
        <v>0</v>
      </c>
      <c r="L1099" s="14">
        <v>0</v>
      </c>
      <c r="M1099" s="12" t="s">
        <v>333</v>
      </c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</row>
    <row r="1100" spans="1:23" ht="15" customHeight="1" x14ac:dyDescent="0.25">
      <c r="A1100" s="19">
        <v>46247</v>
      </c>
      <c r="B1100" s="11" t="s">
        <v>282</v>
      </c>
      <c r="C1100" s="12" t="s">
        <v>535</v>
      </c>
      <c r="D1100" s="11" t="s">
        <v>233</v>
      </c>
      <c r="E1100" s="12" t="s">
        <v>32</v>
      </c>
      <c r="F1100" s="12" t="s">
        <v>106</v>
      </c>
      <c r="G1100" s="12">
        <v>41</v>
      </c>
      <c r="H1100" s="13">
        <v>0</v>
      </c>
      <c r="I1100" s="13">
        <v>5.9768518518518519E-2</v>
      </c>
      <c r="J1100" s="13">
        <v>1.4577687443541102E-3</v>
      </c>
      <c r="K1100" s="13">
        <v>0</v>
      </c>
      <c r="L1100" s="14">
        <v>0</v>
      </c>
      <c r="M1100" s="12" t="s">
        <v>333</v>
      </c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</row>
    <row r="1101" spans="1:23" ht="15" customHeight="1" x14ac:dyDescent="0.25">
      <c r="A1101" s="19">
        <v>46247</v>
      </c>
      <c r="B1101" s="11" t="s">
        <v>675</v>
      </c>
      <c r="C1101" s="12" t="s">
        <v>676</v>
      </c>
      <c r="D1101" s="11" t="s">
        <v>104</v>
      </c>
      <c r="E1101" s="12" t="s">
        <v>105</v>
      </c>
      <c r="F1101" s="12" t="s">
        <v>106</v>
      </c>
      <c r="G1101" s="12">
        <v>3</v>
      </c>
      <c r="H1101" s="13">
        <v>0</v>
      </c>
      <c r="I1101" s="13">
        <v>9.8402777777777783E-2</v>
      </c>
      <c r="J1101" s="13">
        <v>3.2800925925925928E-2</v>
      </c>
      <c r="K1101" s="13">
        <v>0</v>
      </c>
      <c r="L1101" s="14">
        <v>0</v>
      </c>
      <c r="M1101" s="12" t="s">
        <v>333</v>
      </c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</row>
    <row r="1102" spans="1:23" ht="15" customHeight="1" x14ac:dyDescent="0.25">
      <c r="A1102" s="19">
        <v>46247</v>
      </c>
      <c r="B1102" s="11" t="s">
        <v>677</v>
      </c>
      <c r="C1102" s="12" t="s">
        <v>678</v>
      </c>
      <c r="D1102" s="11" t="s">
        <v>274</v>
      </c>
      <c r="E1102" s="12" t="s">
        <v>147</v>
      </c>
      <c r="F1102" s="12" t="s">
        <v>33</v>
      </c>
      <c r="G1102" s="12">
        <v>15</v>
      </c>
      <c r="H1102" s="13">
        <v>0</v>
      </c>
      <c r="I1102" s="13">
        <v>4.7141203703703706E-2</v>
      </c>
      <c r="J1102" s="13">
        <v>3.1427469135802471E-3</v>
      </c>
      <c r="K1102" s="13">
        <v>0</v>
      </c>
      <c r="L1102" s="14">
        <v>0</v>
      </c>
      <c r="M1102" s="12" t="s">
        <v>333</v>
      </c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</row>
    <row r="1103" spans="1:23" ht="15" customHeight="1" x14ac:dyDescent="0.25">
      <c r="A1103" s="19">
        <v>46248</v>
      </c>
      <c r="B1103" s="11" t="s">
        <v>186</v>
      </c>
      <c r="C1103" s="12" t="s">
        <v>562</v>
      </c>
      <c r="D1103" s="11" t="s">
        <v>78</v>
      </c>
      <c r="E1103" s="12" t="s">
        <v>80</v>
      </c>
      <c r="F1103" s="12" t="s">
        <v>33</v>
      </c>
      <c r="G1103" s="12">
        <v>4</v>
      </c>
      <c r="H1103" s="13">
        <v>0.27208333333333334</v>
      </c>
      <c r="I1103" s="13">
        <v>1.9537037037037037E-2</v>
      </c>
      <c r="J1103" s="13">
        <v>4.8842592592592592E-3</v>
      </c>
      <c r="K1103" s="13">
        <v>2.6724537037037036E-2</v>
      </c>
      <c r="L1103" s="14">
        <v>9.8221881912540401E-2</v>
      </c>
      <c r="M1103" s="12" t="s">
        <v>334</v>
      </c>
      <c r="N1103" s="13">
        <v>6.9444444444444444E-5</v>
      </c>
      <c r="O1103" s="13">
        <v>1.3425925925925926E-2</v>
      </c>
      <c r="P1103" s="13"/>
      <c r="Q1103" s="13"/>
      <c r="R1103" s="13"/>
      <c r="S1103" s="13">
        <v>1.2939814814814815E-2</v>
      </c>
      <c r="T1103" s="13">
        <v>6.9444444444444444E-5</v>
      </c>
      <c r="U1103" s="13">
        <v>2.199074074074074E-4</v>
      </c>
      <c r="V1103" s="13"/>
      <c r="W1103" s="13"/>
    </row>
    <row r="1104" spans="1:23" ht="15" customHeight="1" x14ac:dyDescent="0.25">
      <c r="A1104" s="19">
        <v>46248</v>
      </c>
      <c r="B1104" s="11" t="s">
        <v>643</v>
      </c>
      <c r="C1104" s="12" t="s">
        <v>644</v>
      </c>
      <c r="D1104" s="11" t="s">
        <v>233</v>
      </c>
      <c r="E1104" s="12" t="s">
        <v>32</v>
      </c>
      <c r="F1104" s="12" t="s">
        <v>106</v>
      </c>
      <c r="G1104" s="12">
        <v>17</v>
      </c>
      <c r="H1104" s="13">
        <v>0.26324074074074072</v>
      </c>
      <c r="I1104" s="13">
        <v>0.12645833333333334</v>
      </c>
      <c r="J1104" s="13">
        <v>7.4387254901960784E-3</v>
      </c>
      <c r="K1104" s="13">
        <v>3.7650462962962962E-2</v>
      </c>
      <c r="L1104" s="14">
        <v>0.14302673232500879</v>
      </c>
      <c r="M1104" s="12" t="s">
        <v>334</v>
      </c>
      <c r="N1104" s="13">
        <v>6.5740740740740742E-3</v>
      </c>
      <c r="O1104" s="13">
        <v>1.4641203703703703E-2</v>
      </c>
      <c r="P1104" s="13"/>
      <c r="Q1104" s="13"/>
      <c r="R1104" s="13"/>
      <c r="S1104" s="13">
        <v>1.3912037037037037E-2</v>
      </c>
      <c r="T1104" s="13">
        <v>2.5462962962962961E-4</v>
      </c>
      <c r="U1104" s="13">
        <v>2.2453703703703702E-3</v>
      </c>
      <c r="V1104" s="13"/>
      <c r="W1104" s="13"/>
    </row>
    <row r="1105" spans="1:23" ht="15" customHeight="1" x14ac:dyDescent="0.25">
      <c r="A1105" s="19">
        <v>46248</v>
      </c>
      <c r="B1105" s="11" t="s">
        <v>193</v>
      </c>
      <c r="C1105" s="12" t="s">
        <v>563</v>
      </c>
      <c r="D1105" s="11" t="s">
        <v>274</v>
      </c>
      <c r="E1105" s="12" t="s">
        <v>147</v>
      </c>
      <c r="F1105" s="12" t="s">
        <v>33</v>
      </c>
      <c r="G1105" s="12">
        <v>13</v>
      </c>
      <c r="H1105" s="13">
        <v>0.25394675925925925</v>
      </c>
      <c r="I1105" s="13">
        <v>4.1331018518518517E-2</v>
      </c>
      <c r="J1105" s="13">
        <v>3.1793091168091166E-3</v>
      </c>
      <c r="K1105" s="13">
        <v>3.2430555555555553E-2</v>
      </c>
      <c r="L1105" s="14">
        <v>0.1277061209607584</v>
      </c>
      <c r="M1105" s="12" t="s">
        <v>334</v>
      </c>
      <c r="N1105" s="13">
        <v>1.0439814814814815E-2</v>
      </c>
      <c r="O1105" s="13">
        <v>7.1412037037037034E-3</v>
      </c>
      <c r="P1105" s="13"/>
      <c r="Q1105" s="13"/>
      <c r="R1105" s="13"/>
      <c r="S1105" s="13">
        <v>1.4456018518518519E-2</v>
      </c>
      <c r="T1105" s="13">
        <v>5.7870370370370373E-5</v>
      </c>
      <c r="U1105" s="13">
        <v>3.3564814814814812E-4</v>
      </c>
      <c r="V1105" s="13"/>
      <c r="W1105" s="13"/>
    </row>
    <row r="1106" spans="1:23" ht="15" customHeight="1" x14ac:dyDescent="0.25">
      <c r="A1106" s="19">
        <v>46248</v>
      </c>
      <c r="B1106" s="11" t="s">
        <v>231</v>
      </c>
      <c r="C1106" s="12" t="s">
        <v>525</v>
      </c>
      <c r="D1106" s="11" t="s">
        <v>233</v>
      </c>
      <c r="E1106" s="12" t="s">
        <v>32</v>
      </c>
      <c r="F1106" s="12" t="s">
        <v>106</v>
      </c>
      <c r="G1106" s="12">
        <v>37</v>
      </c>
      <c r="H1106" s="13">
        <v>0.26408564814814817</v>
      </c>
      <c r="I1106" s="13">
        <v>9.1458333333333336E-2</v>
      </c>
      <c r="J1106" s="13">
        <v>2.4718468468468468E-3</v>
      </c>
      <c r="K1106" s="13">
        <v>4.5381944444444447E-2</v>
      </c>
      <c r="L1106" s="14">
        <v>0.17184555375378008</v>
      </c>
      <c r="M1106" s="12" t="s">
        <v>334</v>
      </c>
      <c r="N1106" s="13">
        <v>2.9629629629629628E-3</v>
      </c>
      <c r="O1106" s="13">
        <v>1.4675925925925926E-2</v>
      </c>
      <c r="P1106" s="13"/>
      <c r="Q1106" s="13"/>
      <c r="R1106" s="13"/>
      <c r="S1106" s="13">
        <v>1.4548611111111111E-2</v>
      </c>
      <c r="T1106" s="13">
        <v>1.3194444444444444E-2</v>
      </c>
      <c r="U1106" s="13"/>
      <c r="V1106" s="13"/>
      <c r="W1106" s="13"/>
    </row>
    <row r="1107" spans="1:23" ht="15" customHeight="1" x14ac:dyDescent="0.25">
      <c r="A1107" s="19">
        <v>46248</v>
      </c>
      <c r="B1107" s="11" t="s">
        <v>148</v>
      </c>
      <c r="C1107" s="12" t="s">
        <v>513</v>
      </c>
      <c r="D1107" s="11" t="s">
        <v>104</v>
      </c>
      <c r="E1107" s="12" t="s">
        <v>105</v>
      </c>
      <c r="F1107" s="12" t="s">
        <v>106</v>
      </c>
      <c r="G1107" s="12">
        <v>4</v>
      </c>
      <c r="H1107" s="13">
        <v>0.22511574074074073</v>
      </c>
      <c r="I1107" s="13">
        <v>7.4618055555555562E-2</v>
      </c>
      <c r="J1107" s="13">
        <v>1.8654513888888891E-2</v>
      </c>
      <c r="K1107" s="13">
        <v>0.18817129629629631</v>
      </c>
      <c r="L1107" s="14">
        <v>0.83588688946015433</v>
      </c>
      <c r="M1107" s="12" t="s">
        <v>334</v>
      </c>
      <c r="N1107" s="13">
        <v>2.7777777777777779E-3</v>
      </c>
      <c r="O1107" s="13">
        <v>1.59375E-2</v>
      </c>
      <c r="P1107" s="13"/>
      <c r="Q1107" s="13"/>
      <c r="R1107" s="13"/>
      <c r="S1107" s="13"/>
      <c r="T1107" s="13">
        <v>6.4467592592592588E-3</v>
      </c>
      <c r="U1107" s="13"/>
      <c r="V1107" s="13"/>
      <c r="W1107" s="13">
        <v>0.16300925925925927</v>
      </c>
    </row>
    <row r="1108" spans="1:23" ht="15" customHeight="1" x14ac:dyDescent="0.25">
      <c r="A1108" s="19">
        <v>46248</v>
      </c>
      <c r="B1108" s="11" t="s">
        <v>82</v>
      </c>
      <c r="C1108" s="12" t="s">
        <v>83</v>
      </c>
      <c r="D1108" s="11" t="s">
        <v>78</v>
      </c>
      <c r="E1108" s="12" t="s">
        <v>80</v>
      </c>
      <c r="F1108" s="12" t="s">
        <v>81</v>
      </c>
      <c r="G1108" s="12">
        <v>0</v>
      </c>
      <c r="H1108" s="13">
        <v>0.11424768518518519</v>
      </c>
      <c r="I1108" s="13">
        <v>0</v>
      </c>
      <c r="J1108" s="13">
        <v>0</v>
      </c>
      <c r="K1108" s="13">
        <v>0.108125</v>
      </c>
      <c r="L1108" s="14">
        <v>0.94640867186708533</v>
      </c>
      <c r="M1108" s="12" t="s">
        <v>334</v>
      </c>
      <c r="N1108" s="13"/>
      <c r="O1108" s="13"/>
      <c r="P1108" s="13"/>
      <c r="Q1108" s="13"/>
      <c r="R1108" s="13"/>
      <c r="S1108" s="13">
        <v>3.1597222222222222E-3</v>
      </c>
      <c r="T1108" s="13">
        <v>0.10494212962962964</v>
      </c>
      <c r="U1108" s="13"/>
      <c r="V1108" s="13"/>
      <c r="W1108" s="13"/>
    </row>
    <row r="1109" spans="1:23" ht="15" customHeight="1" x14ac:dyDescent="0.25">
      <c r="A1109" s="19">
        <v>46248</v>
      </c>
      <c r="B1109" s="11" t="s">
        <v>34</v>
      </c>
      <c r="C1109" s="12" t="s">
        <v>505</v>
      </c>
      <c r="D1109" s="11" t="s">
        <v>233</v>
      </c>
      <c r="E1109" s="12" t="s">
        <v>32</v>
      </c>
      <c r="F1109" s="12" t="s">
        <v>106</v>
      </c>
      <c r="G1109" s="12">
        <v>26</v>
      </c>
      <c r="H1109" s="13">
        <v>0.25512731481481482</v>
      </c>
      <c r="I1109" s="13">
        <v>9.6284722222222216E-2</v>
      </c>
      <c r="J1109" s="13">
        <v>3.7032585470085466E-3</v>
      </c>
      <c r="K1109" s="13">
        <v>3.5277777777777776E-2</v>
      </c>
      <c r="L1109" s="14">
        <v>0.13827518940253142</v>
      </c>
      <c r="M1109" s="12" t="s">
        <v>334</v>
      </c>
      <c r="N1109" s="13">
        <v>2.3726851851851851E-3</v>
      </c>
      <c r="O1109" s="13">
        <v>1.361111111111111E-2</v>
      </c>
      <c r="P1109" s="13"/>
      <c r="Q1109" s="13"/>
      <c r="R1109" s="13"/>
      <c r="S1109" s="13">
        <v>1.3796296296296296E-2</v>
      </c>
      <c r="T1109" s="13">
        <v>9.2592592592592588E-5</v>
      </c>
      <c r="U1109" s="13">
        <v>5.3935185185185188E-3</v>
      </c>
      <c r="V1109" s="13"/>
      <c r="W1109" s="13"/>
    </row>
    <row r="1110" spans="1:23" ht="15" customHeight="1" x14ac:dyDescent="0.25">
      <c r="A1110" s="19">
        <v>46248</v>
      </c>
      <c r="B1110" s="11" t="s">
        <v>236</v>
      </c>
      <c r="C1110" s="12" t="s">
        <v>551</v>
      </c>
      <c r="D1110" s="11" t="s">
        <v>233</v>
      </c>
      <c r="E1110" s="12" t="s">
        <v>32</v>
      </c>
      <c r="F1110" s="12" t="s">
        <v>106</v>
      </c>
      <c r="G1110" s="12">
        <v>0</v>
      </c>
      <c r="H1110" s="13">
        <v>0.18814814814814815</v>
      </c>
      <c r="I1110" s="13">
        <v>0</v>
      </c>
      <c r="J1110" s="13">
        <v>0</v>
      </c>
      <c r="K1110" s="13">
        <v>0.18814814814814815</v>
      </c>
      <c r="L1110" s="14">
        <v>1</v>
      </c>
      <c r="M1110" s="12" t="s">
        <v>334</v>
      </c>
      <c r="N1110" s="13"/>
      <c r="O1110" s="13">
        <v>9.6990740740740735E-3</v>
      </c>
      <c r="P1110" s="13"/>
      <c r="Q1110" s="13"/>
      <c r="R1110" s="13"/>
      <c r="S1110" s="13"/>
      <c r="T1110" s="13">
        <v>4.6412037037037036E-2</v>
      </c>
      <c r="U1110" s="13"/>
      <c r="V1110" s="13"/>
      <c r="W1110" s="13">
        <v>0.13203703703703704</v>
      </c>
    </row>
    <row r="1111" spans="1:23" ht="15" customHeight="1" x14ac:dyDescent="0.25">
      <c r="A1111" s="19">
        <v>46248</v>
      </c>
      <c r="B1111" s="11" t="s">
        <v>238</v>
      </c>
      <c r="C1111" s="12" t="s">
        <v>526</v>
      </c>
      <c r="D1111" s="11" t="s">
        <v>233</v>
      </c>
      <c r="E1111" s="12" t="s">
        <v>32</v>
      </c>
      <c r="F1111" s="12" t="s">
        <v>106</v>
      </c>
      <c r="G1111" s="12">
        <v>0</v>
      </c>
      <c r="H1111" s="13">
        <v>0.24666666666666667</v>
      </c>
      <c r="I1111" s="13">
        <v>0</v>
      </c>
      <c r="J1111" s="13">
        <v>0</v>
      </c>
      <c r="K1111" s="13">
        <v>0.24665509259259261</v>
      </c>
      <c r="L1111" s="14">
        <v>0.99995307807807809</v>
      </c>
      <c r="M1111" s="12" t="s">
        <v>334</v>
      </c>
      <c r="N1111" s="13"/>
      <c r="O1111" s="13">
        <v>6.8634259259259256E-3</v>
      </c>
      <c r="P1111" s="13"/>
      <c r="Q1111" s="13"/>
      <c r="R1111" s="13"/>
      <c r="S1111" s="13">
        <v>1.2083333333333333E-2</v>
      </c>
      <c r="T1111" s="13">
        <v>4.3981481481481481E-4</v>
      </c>
      <c r="U1111" s="13"/>
      <c r="V1111" s="13"/>
      <c r="W1111" s="13">
        <v>0.22726851851851851</v>
      </c>
    </row>
    <row r="1112" spans="1:23" ht="15" customHeight="1" x14ac:dyDescent="0.25">
      <c r="A1112" s="19">
        <v>46248</v>
      </c>
      <c r="B1112" s="11" t="s">
        <v>608</v>
      </c>
      <c r="C1112" s="12" t="s">
        <v>631</v>
      </c>
      <c r="D1112" s="11" t="s">
        <v>601</v>
      </c>
      <c r="E1112" s="12" t="s">
        <v>105</v>
      </c>
      <c r="F1112" s="12" t="s">
        <v>33</v>
      </c>
      <c r="G1112" s="12">
        <v>5</v>
      </c>
      <c r="H1112" s="13">
        <v>0.23563657407407407</v>
      </c>
      <c r="I1112" s="13">
        <v>6.5347222222222223E-2</v>
      </c>
      <c r="J1112" s="13">
        <v>1.3069444444444444E-2</v>
      </c>
      <c r="K1112" s="13">
        <v>0.21226851851851852</v>
      </c>
      <c r="L1112" s="14">
        <v>0.90083009971020189</v>
      </c>
      <c r="M1112" s="12" t="s">
        <v>334</v>
      </c>
      <c r="N1112" s="13"/>
      <c r="O1112" s="13">
        <v>8.2060185185185187E-3</v>
      </c>
      <c r="P1112" s="13"/>
      <c r="Q1112" s="13"/>
      <c r="R1112" s="13"/>
      <c r="S1112" s="13">
        <v>1.4004629629629629E-2</v>
      </c>
      <c r="T1112" s="13">
        <v>1.1238425925925926E-2</v>
      </c>
      <c r="U1112" s="13">
        <v>0.17881944444444445</v>
      </c>
      <c r="V1112" s="13"/>
      <c r="W1112" s="13"/>
    </row>
    <row r="1113" spans="1:23" ht="15" customHeight="1" x14ac:dyDescent="0.25">
      <c r="A1113" s="19">
        <v>46248</v>
      </c>
      <c r="B1113" s="11" t="s">
        <v>307</v>
      </c>
      <c r="C1113" s="12" t="s">
        <v>308</v>
      </c>
      <c r="D1113" s="11" t="s">
        <v>78</v>
      </c>
      <c r="E1113" s="12" t="s">
        <v>80</v>
      </c>
      <c r="F1113" s="12" t="s">
        <v>81</v>
      </c>
      <c r="G1113" s="12">
        <v>0</v>
      </c>
      <c r="H1113" s="13">
        <v>0.30875000000000002</v>
      </c>
      <c r="I1113" s="13">
        <v>0</v>
      </c>
      <c r="J1113" s="13">
        <v>0</v>
      </c>
      <c r="K1113" s="13">
        <v>1.4282407407407407E-2</v>
      </c>
      <c r="L1113" s="14">
        <v>4.6258809416704148E-2</v>
      </c>
      <c r="M1113" s="12" t="s">
        <v>334</v>
      </c>
      <c r="N1113" s="13"/>
      <c r="O1113" s="13"/>
      <c r="P1113" s="13"/>
      <c r="Q1113" s="13"/>
      <c r="R1113" s="13">
        <v>4.6296296296296294E-5</v>
      </c>
      <c r="S1113" s="13">
        <v>1.3171296296296296E-2</v>
      </c>
      <c r="T1113" s="13">
        <v>4.0509259259259258E-4</v>
      </c>
      <c r="U1113" s="13">
        <v>6.018518518518519E-4</v>
      </c>
      <c r="V1113" s="13"/>
      <c r="W1113" s="13"/>
    </row>
    <row r="1114" spans="1:23" ht="15" customHeight="1" x14ac:dyDescent="0.25">
      <c r="A1114" s="19">
        <v>46248</v>
      </c>
      <c r="B1114" s="11" t="s">
        <v>197</v>
      </c>
      <c r="C1114" s="12" t="s">
        <v>564</v>
      </c>
      <c r="D1114" s="11" t="s">
        <v>601</v>
      </c>
      <c r="E1114" s="12" t="s">
        <v>105</v>
      </c>
      <c r="F1114" s="12" t="s">
        <v>33</v>
      </c>
      <c r="G1114" s="12">
        <v>5</v>
      </c>
      <c r="H1114" s="13">
        <v>0.22100694444444444</v>
      </c>
      <c r="I1114" s="13">
        <v>5.9409722222222225E-2</v>
      </c>
      <c r="J1114" s="13">
        <v>1.1881944444444445E-2</v>
      </c>
      <c r="K1114" s="13">
        <v>0.18445601851851851</v>
      </c>
      <c r="L1114" s="14">
        <v>0.83461639172558255</v>
      </c>
      <c r="M1114" s="12" t="s">
        <v>334</v>
      </c>
      <c r="N1114" s="13">
        <v>9.6064814814814819E-4</v>
      </c>
      <c r="O1114" s="13">
        <v>6.6087962962962966E-3</v>
      </c>
      <c r="P1114" s="13"/>
      <c r="Q1114" s="13">
        <v>2.5925925925925925E-3</v>
      </c>
      <c r="R1114" s="13"/>
      <c r="S1114" s="13">
        <v>1.607638888888889E-2</v>
      </c>
      <c r="T1114" s="13">
        <v>6.7129629629629625E-4</v>
      </c>
      <c r="U1114" s="13">
        <v>0.1575462962962963</v>
      </c>
      <c r="V1114" s="13"/>
      <c r="W1114" s="13"/>
    </row>
    <row r="1115" spans="1:23" ht="15" customHeight="1" x14ac:dyDescent="0.25">
      <c r="A1115" s="19">
        <v>46248</v>
      </c>
      <c r="B1115" s="11" t="s">
        <v>150</v>
      </c>
      <c r="C1115" s="12" t="s">
        <v>514</v>
      </c>
      <c r="D1115" s="11" t="s">
        <v>146</v>
      </c>
      <c r="E1115" s="12" t="s">
        <v>147</v>
      </c>
      <c r="F1115" s="12" t="s">
        <v>106</v>
      </c>
      <c r="G1115" s="12">
        <v>16</v>
      </c>
      <c r="H1115" s="13">
        <v>0.25425925925925924</v>
      </c>
      <c r="I1115" s="13">
        <v>3.2256944444444442E-2</v>
      </c>
      <c r="J1115" s="13">
        <v>2.0160590277777776E-3</v>
      </c>
      <c r="K1115" s="13">
        <v>2.7708333333333335E-2</v>
      </c>
      <c r="L1115" s="14">
        <v>0.10897669337217773</v>
      </c>
      <c r="M1115" s="12" t="s">
        <v>334</v>
      </c>
      <c r="N1115" s="13">
        <v>2.3495370370370371E-3</v>
      </c>
      <c r="O1115" s="13">
        <v>1.1030092592592593E-2</v>
      </c>
      <c r="P1115" s="13"/>
      <c r="Q1115" s="13"/>
      <c r="R1115" s="13">
        <v>1.1574074074074075E-4</v>
      </c>
      <c r="S1115" s="13">
        <v>1.3726851851851851E-2</v>
      </c>
      <c r="T1115" s="13">
        <v>3.5879629629629629E-4</v>
      </c>
      <c r="U1115" s="13">
        <v>5.7870370370370373E-5</v>
      </c>
      <c r="V1115" s="13"/>
      <c r="W1115" s="13"/>
    </row>
    <row r="1116" spans="1:23" ht="15" customHeight="1" x14ac:dyDescent="0.25">
      <c r="A1116" s="19">
        <v>46248</v>
      </c>
      <c r="B1116" s="11" t="s">
        <v>681</v>
      </c>
      <c r="C1116" s="12" t="s">
        <v>682</v>
      </c>
      <c r="D1116" s="11" t="s">
        <v>601</v>
      </c>
      <c r="E1116" s="12" t="s">
        <v>105</v>
      </c>
      <c r="F1116" s="12" t="s">
        <v>33</v>
      </c>
      <c r="G1116" s="12">
        <v>2</v>
      </c>
      <c r="H1116" s="13">
        <v>0.23270833333333332</v>
      </c>
      <c r="I1116" s="13">
        <v>4.9513888888888892E-2</v>
      </c>
      <c r="J1116" s="13">
        <v>2.4756944444444446E-2</v>
      </c>
      <c r="K1116" s="13">
        <v>0.19872685185185185</v>
      </c>
      <c r="L1116" s="14">
        <v>0.85397393812792199</v>
      </c>
      <c r="M1116" s="12" t="s">
        <v>334</v>
      </c>
      <c r="N1116" s="13">
        <v>4.2708333333333331E-3</v>
      </c>
      <c r="O1116" s="13">
        <v>1.5162037037037036E-2</v>
      </c>
      <c r="P1116" s="13"/>
      <c r="Q1116" s="13"/>
      <c r="R1116" s="13"/>
      <c r="S1116" s="13">
        <v>1.7025462962962964E-2</v>
      </c>
      <c r="T1116" s="13">
        <v>1.25E-3</v>
      </c>
      <c r="U1116" s="13">
        <v>0.16101851851851851</v>
      </c>
      <c r="V1116" s="13"/>
      <c r="W1116" s="13"/>
    </row>
    <row r="1117" spans="1:23" ht="15" customHeight="1" x14ac:dyDescent="0.25">
      <c r="A1117" s="19">
        <v>46248</v>
      </c>
      <c r="B1117" s="11" t="s">
        <v>154</v>
      </c>
      <c r="C1117" s="12" t="s">
        <v>515</v>
      </c>
      <c r="D1117" s="11" t="s">
        <v>146</v>
      </c>
      <c r="E1117" s="12" t="s">
        <v>147</v>
      </c>
      <c r="F1117" s="12" t="s">
        <v>106</v>
      </c>
      <c r="G1117" s="12">
        <v>11</v>
      </c>
      <c r="H1117" s="13">
        <v>0.25439814814814815</v>
      </c>
      <c r="I1117" s="13">
        <v>3.6736111111111108E-2</v>
      </c>
      <c r="J1117" s="13">
        <v>3.3396464646464645E-3</v>
      </c>
      <c r="K1117" s="13">
        <v>2.929398148148148E-2</v>
      </c>
      <c r="L1117" s="14">
        <v>0.1151501364877161</v>
      </c>
      <c r="M1117" s="12" t="s">
        <v>334</v>
      </c>
      <c r="N1117" s="13">
        <v>4.2939814814814811E-3</v>
      </c>
      <c r="O1117" s="13">
        <v>1.0150462962962964E-2</v>
      </c>
      <c r="P1117" s="13"/>
      <c r="Q1117" s="13"/>
      <c r="R1117" s="13"/>
      <c r="S1117" s="13">
        <v>1.3171296296296296E-2</v>
      </c>
      <c r="T1117" s="13">
        <v>5.4398148148148144E-4</v>
      </c>
      <c r="U1117" s="13">
        <v>9.9537037037037042E-4</v>
      </c>
      <c r="V1117" s="13"/>
      <c r="W1117" s="13">
        <v>4.6296296296296294E-5</v>
      </c>
    </row>
    <row r="1118" spans="1:23" ht="15" customHeight="1" x14ac:dyDescent="0.25">
      <c r="A1118" s="19">
        <v>46248</v>
      </c>
      <c r="B1118" s="11" t="s">
        <v>112</v>
      </c>
      <c r="C1118" s="12" t="s">
        <v>570</v>
      </c>
      <c r="D1118" s="11" t="s">
        <v>104</v>
      </c>
      <c r="E1118" s="12" t="s">
        <v>105</v>
      </c>
      <c r="F1118" s="12" t="s">
        <v>106</v>
      </c>
      <c r="G1118" s="12">
        <v>3</v>
      </c>
      <c r="H1118" s="13">
        <v>0.19931712962962964</v>
      </c>
      <c r="I1118" s="13">
        <v>3.8680555555555558E-2</v>
      </c>
      <c r="J1118" s="13">
        <v>1.2893518518518519E-2</v>
      </c>
      <c r="K1118" s="13">
        <v>0.17502314814814815</v>
      </c>
      <c r="L1118" s="14">
        <v>0.87811393066604726</v>
      </c>
      <c r="M1118" s="12" t="s">
        <v>334</v>
      </c>
      <c r="N1118" s="13">
        <v>3.2986111111111111E-3</v>
      </c>
      <c r="O1118" s="13">
        <v>8.1944444444444452E-3</v>
      </c>
      <c r="P1118" s="13"/>
      <c r="Q1118" s="13"/>
      <c r="R1118" s="13"/>
      <c r="S1118" s="13">
        <v>4.1666666666666666E-3</v>
      </c>
      <c r="T1118" s="13">
        <v>7.4884259259259262E-3</v>
      </c>
      <c r="U1118" s="13">
        <v>3.5879629629629629E-4</v>
      </c>
      <c r="V1118" s="13"/>
      <c r="W1118" s="13">
        <v>0.15151620370370369</v>
      </c>
    </row>
    <row r="1119" spans="1:23" ht="15" customHeight="1" x14ac:dyDescent="0.25">
      <c r="A1119" s="19">
        <v>46248</v>
      </c>
      <c r="B1119" s="11" t="s">
        <v>42</v>
      </c>
      <c r="C1119" s="12" t="s">
        <v>537</v>
      </c>
      <c r="D1119" s="11" t="s">
        <v>104</v>
      </c>
      <c r="E1119" s="12" t="s">
        <v>105</v>
      </c>
      <c r="F1119" s="12" t="s">
        <v>106</v>
      </c>
      <c r="G1119" s="12">
        <v>3</v>
      </c>
      <c r="H1119" s="13">
        <v>0.25343749999999998</v>
      </c>
      <c r="I1119" s="13">
        <v>3.7337962962962962E-2</v>
      </c>
      <c r="J1119" s="13">
        <v>1.2445987654320987E-2</v>
      </c>
      <c r="K1119" s="13">
        <v>0.23508101851851851</v>
      </c>
      <c r="L1119" s="14">
        <v>0.92756998675617663</v>
      </c>
      <c r="M1119" s="12" t="s">
        <v>334</v>
      </c>
      <c r="N1119" s="13">
        <v>4.0509259259259257E-3</v>
      </c>
      <c r="O1119" s="13">
        <v>1.3726851851851851E-2</v>
      </c>
      <c r="P1119" s="13"/>
      <c r="Q1119" s="13"/>
      <c r="R1119" s="13"/>
      <c r="S1119" s="13">
        <v>9.9189814814814817E-3</v>
      </c>
      <c r="T1119" s="13">
        <v>5.0115740740740737E-3</v>
      </c>
      <c r="U1119" s="13">
        <v>2.0833333333333335E-4</v>
      </c>
      <c r="V1119" s="13"/>
      <c r="W1119" s="13">
        <v>0.20215277777777776</v>
      </c>
    </row>
    <row r="1120" spans="1:23" ht="15" customHeight="1" x14ac:dyDescent="0.25">
      <c r="A1120" s="19">
        <v>46248</v>
      </c>
      <c r="B1120" s="11" t="s">
        <v>156</v>
      </c>
      <c r="C1120" s="12" t="s">
        <v>516</v>
      </c>
      <c r="D1120" s="11" t="s">
        <v>146</v>
      </c>
      <c r="E1120" s="12" t="s">
        <v>147</v>
      </c>
      <c r="F1120" s="12" t="s">
        <v>106</v>
      </c>
      <c r="G1120" s="12">
        <v>18</v>
      </c>
      <c r="H1120" s="13">
        <v>0.27120370370370372</v>
      </c>
      <c r="I1120" s="13">
        <v>3.4525462962962966E-2</v>
      </c>
      <c r="J1120" s="13">
        <v>1.9180812757201649E-3</v>
      </c>
      <c r="K1120" s="13">
        <v>3.1932870370370368E-2</v>
      </c>
      <c r="L1120" s="14">
        <v>0.11774496415158756</v>
      </c>
      <c r="M1120" s="12" t="s">
        <v>334</v>
      </c>
      <c r="N1120" s="13">
        <v>3.2407407407407406E-3</v>
      </c>
      <c r="O1120" s="13">
        <v>1.306712962962963E-2</v>
      </c>
      <c r="P1120" s="13"/>
      <c r="Q1120" s="13"/>
      <c r="R1120" s="13">
        <v>1.1574074074074075E-4</v>
      </c>
      <c r="S1120" s="13">
        <v>1.40625E-2</v>
      </c>
      <c r="T1120" s="13">
        <v>1.4467592592592592E-3</v>
      </c>
      <c r="U1120" s="13"/>
      <c r="V1120" s="13"/>
      <c r="W1120" s="13"/>
    </row>
    <row r="1121" spans="1:23" ht="15" customHeight="1" x14ac:dyDescent="0.25">
      <c r="A1121" s="19">
        <v>46248</v>
      </c>
      <c r="B1121" s="11" t="s">
        <v>114</v>
      </c>
      <c r="C1121" s="12" t="s">
        <v>541</v>
      </c>
      <c r="D1121" s="11" t="s">
        <v>104</v>
      </c>
      <c r="E1121" s="12" t="s">
        <v>105</v>
      </c>
      <c r="F1121" s="12" t="s">
        <v>106</v>
      </c>
      <c r="G1121" s="12">
        <v>4</v>
      </c>
      <c r="H1121" s="13">
        <v>0.22673611111111111</v>
      </c>
      <c r="I1121" s="13">
        <v>4.3483796296296298E-2</v>
      </c>
      <c r="J1121" s="13">
        <v>1.0870949074074075E-2</v>
      </c>
      <c r="K1121" s="13">
        <v>0.2008449074074074</v>
      </c>
      <c r="L1121" s="14">
        <v>0.8858090862685043</v>
      </c>
      <c r="M1121" s="12" t="s">
        <v>334</v>
      </c>
      <c r="N1121" s="13"/>
      <c r="O1121" s="13">
        <v>3.5879629629629629E-4</v>
      </c>
      <c r="P1121" s="13"/>
      <c r="Q1121" s="13"/>
      <c r="R1121" s="13"/>
      <c r="S1121" s="13">
        <v>1.4791666666666667E-2</v>
      </c>
      <c r="T1121" s="13">
        <v>6.177083333333333E-2</v>
      </c>
      <c r="U1121" s="13">
        <v>1.7361111111111112E-4</v>
      </c>
      <c r="V1121" s="13"/>
      <c r="W1121" s="13">
        <v>0.12375</v>
      </c>
    </row>
    <row r="1122" spans="1:23" ht="15" customHeight="1" x14ac:dyDescent="0.25">
      <c r="A1122" s="19">
        <v>46248</v>
      </c>
      <c r="B1122" s="11" t="s">
        <v>44</v>
      </c>
      <c r="C1122" s="12" t="s">
        <v>506</v>
      </c>
      <c r="D1122" s="11" t="s">
        <v>100</v>
      </c>
      <c r="E1122" s="12" t="s">
        <v>32</v>
      </c>
      <c r="F1122" s="12" t="s">
        <v>33</v>
      </c>
      <c r="G1122" s="12">
        <v>37</v>
      </c>
      <c r="H1122" s="13">
        <v>0.26181712962962961</v>
      </c>
      <c r="I1122" s="13">
        <v>0.18479166666666666</v>
      </c>
      <c r="J1122" s="13">
        <v>4.9943693693693695E-3</v>
      </c>
      <c r="K1122" s="13">
        <v>2.9837962962962962E-2</v>
      </c>
      <c r="L1122" s="14">
        <v>0.11396489987180054</v>
      </c>
      <c r="M1122" s="12" t="s">
        <v>334</v>
      </c>
      <c r="N1122" s="13"/>
      <c r="O1122" s="13">
        <v>1.3854166666666667E-2</v>
      </c>
      <c r="P1122" s="13"/>
      <c r="Q1122" s="13"/>
      <c r="R1122" s="13"/>
      <c r="S1122" s="13">
        <v>1.3946759259259259E-2</v>
      </c>
      <c r="T1122" s="13">
        <v>3.9351851851851852E-4</v>
      </c>
      <c r="U1122" s="13">
        <v>1.5625000000000001E-3</v>
      </c>
      <c r="V1122" s="13"/>
      <c r="W1122" s="13"/>
    </row>
    <row r="1123" spans="1:23" ht="15" customHeight="1" x14ac:dyDescent="0.25">
      <c r="A1123" s="19">
        <v>46248</v>
      </c>
      <c r="B1123" s="11" t="s">
        <v>240</v>
      </c>
      <c r="C1123" s="12" t="s">
        <v>527</v>
      </c>
      <c r="D1123" s="11" t="s">
        <v>233</v>
      </c>
      <c r="E1123" s="12" t="s">
        <v>32</v>
      </c>
      <c r="F1123" s="12" t="s">
        <v>106</v>
      </c>
      <c r="G1123" s="12">
        <v>0</v>
      </c>
      <c r="H1123" s="13">
        <v>0.22290509259259259</v>
      </c>
      <c r="I1123" s="13">
        <v>0</v>
      </c>
      <c r="J1123" s="13">
        <v>0</v>
      </c>
      <c r="K1123" s="13">
        <v>0.22173611111111111</v>
      </c>
      <c r="L1123" s="14">
        <v>0.99475569863440472</v>
      </c>
      <c r="M1123" s="12" t="s">
        <v>334</v>
      </c>
      <c r="N1123" s="13">
        <v>1.6053240740740739E-2</v>
      </c>
      <c r="O1123" s="13">
        <v>1.2280092592592592E-2</v>
      </c>
      <c r="P1123" s="13"/>
      <c r="Q1123" s="13"/>
      <c r="R1123" s="13"/>
      <c r="S1123" s="13">
        <v>1.4050925925925927E-2</v>
      </c>
      <c r="T1123" s="13">
        <v>5.5555555555555556E-4</v>
      </c>
      <c r="U1123" s="13"/>
      <c r="V1123" s="13"/>
      <c r="W1123" s="13">
        <v>0.17879629629629629</v>
      </c>
    </row>
    <row r="1124" spans="1:23" ht="15" customHeight="1" x14ac:dyDescent="0.25">
      <c r="A1124" s="19">
        <v>46248</v>
      </c>
      <c r="B1124" s="11" t="s">
        <v>497</v>
      </c>
      <c r="C1124" s="12" t="s">
        <v>498</v>
      </c>
      <c r="D1124" s="11" t="s">
        <v>78</v>
      </c>
      <c r="E1124" s="12" t="s">
        <v>80</v>
      </c>
      <c r="F1124" s="12" t="s">
        <v>81</v>
      </c>
      <c r="G1124" s="12">
        <v>0</v>
      </c>
      <c r="H1124" s="13">
        <v>0.3439814814814815</v>
      </c>
      <c r="I1124" s="13">
        <v>0</v>
      </c>
      <c r="J1124" s="13">
        <v>0</v>
      </c>
      <c r="K1124" s="13">
        <v>5.9537037037037034E-2</v>
      </c>
      <c r="L1124" s="14">
        <v>0.17308209959623147</v>
      </c>
      <c r="M1124" s="12" t="s">
        <v>334</v>
      </c>
      <c r="N1124" s="13">
        <v>1.6666666666666668E-3</v>
      </c>
      <c r="O1124" s="13">
        <v>1.4988425925925926E-2</v>
      </c>
      <c r="P1124" s="13"/>
      <c r="Q1124" s="13"/>
      <c r="R1124" s="13"/>
      <c r="S1124" s="13">
        <v>4.1828703703703701E-2</v>
      </c>
      <c r="T1124" s="13">
        <v>1.0185185185185184E-3</v>
      </c>
      <c r="U1124" s="13"/>
      <c r="V1124" s="13"/>
      <c r="W1124" s="13"/>
    </row>
    <row r="1125" spans="1:23" ht="15" customHeight="1" x14ac:dyDescent="0.25">
      <c r="A1125" s="19">
        <v>46248</v>
      </c>
      <c r="B1125" s="11" t="s">
        <v>309</v>
      </c>
      <c r="C1125" s="12" t="s">
        <v>310</v>
      </c>
      <c r="D1125" s="11" t="s">
        <v>78</v>
      </c>
      <c r="E1125" s="12" t="s">
        <v>80</v>
      </c>
      <c r="F1125" s="12" t="s">
        <v>81</v>
      </c>
      <c r="G1125" s="12">
        <v>0</v>
      </c>
      <c r="H1125" s="13">
        <v>0.34356481481481482</v>
      </c>
      <c r="I1125" s="13">
        <v>0</v>
      </c>
      <c r="J1125" s="13">
        <v>0</v>
      </c>
      <c r="K1125" s="13">
        <v>7.2696759259259253E-2</v>
      </c>
      <c r="L1125" s="14">
        <v>0.21159547230831421</v>
      </c>
      <c r="M1125" s="12" t="s">
        <v>334</v>
      </c>
      <c r="N1125" s="13">
        <v>1.5590277777777778E-2</v>
      </c>
      <c r="O1125" s="13">
        <v>4.8495370370370369E-2</v>
      </c>
      <c r="P1125" s="13"/>
      <c r="Q1125" s="13"/>
      <c r="R1125" s="13"/>
      <c r="S1125" s="13">
        <v>7.5115740740740742E-3</v>
      </c>
      <c r="T1125" s="13">
        <v>1.8518518518518518E-4</v>
      </c>
      <c r="U1125" s="13">
        <v>8.9120370370370373E-4</v>
      </c>
      <c r="V1125" s="13"/>
      <c r="W1125" s="13"/>
    </row>
    <row r="1126" spans="1:23" ht="15" customHeight="1" x14ac:dyDescent="0.25">
      <c r="A1126" s="19">
        <v>46248</v>
      </c>
      <c r="B1126" s="11" t="s">
        <v>160</v>
      </c>
      <c r="C1126" s="12" t="s">
        <v>544</v>
      </c>
      <c r="D1126" s="11" t="s">
        <v>146</v>
      </c>
      <c r="E1126" s="12" t="s">
        <v>147</v>
      </c>
      <c r="F1126" s="12" t="s">
        <v>106</v>
      </c>
      <c r="G1126" s="12">
        <v>14</v>
      </c>
      <c r="H1126" s="13">
        <v>0.25603009259259257</v>
      </c>
      <c r="I1126" s="13">
        <v>2.9756944444444444E-2</v>
      </c>
      <c r="J1126" s="13">
        <v>2.1254960317460317E-3</v>
      </c>
      <c r="K1126" s="13">
        <v>4.6516203703703705E-2</v>
      </c>
      <c r="L1126" s="14">
        <v>0.1816825640793816</v>
      </c>
      <c r="M1126" s="12" t="s">
        <v>334</v>
      </c>
      <c r="N1126" s="13">
        <v>1.0115740740740741E-2</v>
      </c>
      <c r="O1126" s="13">
        <v>1.6412037037037037E-2</v>
      </c>
      <c r="P1126" s="13"/>
      <c r="Q1126" s="13">
        <v>5.2662037037037035E-3</v>
      </c>
      <c r="R1126" s="13">
        <v>9.2592592592592588E-5</v>
      </c>
      <c r="S1126" s="13">
        <v>1.4074074074074074E-2</v>
      </c>
      <c r="T1126" s="13">
        <v>1.9675925925925926E-4</v>
      </c>
      <c r="U1126" s="13">
        <v>3.4722222222222224E-4</v>
      </c>
      <c r="V1126" s="13"/>
      <c r="W1126" s="13"/>
    </row>
    <row r="1127" spans="1:23" ht="15" customHeight="1" x14ac:dyDescent="0.25">
      <c r="A1127" s="19">
        <v>46248</v>
      </c>
      <c r="B1127" s="11" t="s">
        <v>645</v>
      </c>
      <c r="C1127" s="12" t="s">
        <v>646</v>
      </c>
      <c r="D1127" s="11" t="s">
        <v>100</v>
      </c>
      <c r="E1127" s="12" t="s">
        <v>32</v>
      </c>
      <c r="F1127" s="12" t="s">
        <v>33</v>
      </c>
      <c r="G1127" s="12">
        <v>41</v>
      </c>
      <c r="H1127" s="13">
        <v>0.26270833333333332</v>
      </c>
      <c r="I1127" s="13">
        <v>0.19718749999999999</v>
      </c>
      <c r="J1127" s="13">
        <v>4.8094512195121951E-3</v>
      </c>
      <c r="K1127" s="13">
        <v>3.2337962962962964E-2</v>
      </c>
      <c r="L1127" s="14">
        <v>0.12309454577495815</v>
      </c>
      <c r="M1127" s="12" t="s">
        <v>334</v>
      </c>
      <c r="N1127" s="13">
        <v>1.9212962962962964E-3</v>
      </c>
      <c r="O1127" s="13">
        <v>1.4351851851851852E-2</v>
      </c>
      <c r="P1127" s="13"/>
      <c r="Q1127" s="13"/>
      <c r="R1127" s="13"/>
      <c r="S1127" s="13">
        <v>1.4027777777777778E-2</v>
      </c>
      <c r="T1127" s="13">
        <v>5.4398148148148144E-4</v>
      </c>
      <c r="U1127" s="13">
        <v>1.3888888888888889E-3</v>
      </c>
      <c r="V1127" s="13"/>
      <c r="W1127" s="13"/>
    </row>
    <row r="1128" spans="1:23" ht="15" customHeight="1" x14ac:dyDescent="0.25">
      <c r="A1128" s="19">
        <v>46248</v>
      </c>
      <c r="B1128" s="11" t="s">
        <v>120</v>
      </c>
      <c r="C1128" s="12" t="s">
        <v>558</v>
      </c>
      <c r="D1128" s="11" t="s">
        <v>233</v>
      </c>
      <c r="E1128" s="12" t="s">
        <v>32</v>
      </c>
      <c r="F1128" s="12" t="s">
        <v>106</v>
      </c>
      <c r="G1128" s="12">
        <v>37</v>
      </c>
      <c r="H1128" s="13">
        <v>0.2621412037037037</v>
      </c>
      <c r="I1128" s="13">
        <v>8.3344907407407409E-2</v>
      </c>
      <c r="J1128" s="13">
        <v>2.2525650650650651E-3</v>
      </c>
      <c r="K1128" s="13">
        <v>4.3067129629629629E-2</v>
      </c>
      <c r="L1128" s="14">
        <v>0.16428981411982868</v>
      </c>
      <c r="M1128" s="12" t="s">
        <v>334</v>
      </c>
      <c r="N1128" s="13"/>
      <c r="O1128" s="13">
        <v>1.3587962962962963E-2</v>
      </c>
      <c r="P1128" s="13"/>
      <c r="Q1128" s="13"/>
      <c r="R1128" s="13"/>
      <c r="S1128" s="13">
        <v>1.3483796296296296E-2</v>
      </c>
      <c r="T1128" s="13">
        <v>9.0624999999999994E-3</v>
      </c>
      <c r="U1128" s="13">
        <v>3.1018518518518517E-3</v>
      </c>
      <c r="V1128" s="13"/>
      <c r="W1128" s="13">
        <v>3.8310185185185183E-3</v>
      </c>
    </row>
    <row r="1129" spans="1:23" ht="15" customHeight="1" x14ac:dyDescent="0.25">
      <c r="A1129" s="19">
        <v>46248</v>
      </c>
      <c r="B1129" s="11" t="s">
        <v>46</v>
      </c>
      <c r="C1129" s="12" t="s">
        <v>507</v>
      </c>
      <c r="D1129" s="11" t="s">
        <v>100</v>
      </c>
      <c r="E1129" s="12" t="s">
        <v>32</v>
      </c>
      <c r="F1129" s="12" t="s">
        <v>33</v>
      </c>
      <c r="G1129" s="12">
        <v>37</v>
      </c>
      <c r="H1129" s="13">
        <v>0.26241898148148146</v>
      </c>
      <c r="I1129" s="13">
        <v>0.1872800925925926</v>
      </c>
      <c r="J1129" s="13">
        <v>5.061624124124124E-3</v>
      </c>
      <c r="K1129" s="13">
        <v>3.5925925925925924E-2</v>
      </c>
      <c r="L1129" s="14">
        <v>0.13690292418294889</v>
      </c>
      <c r="M1129" s="12" t="s">
        <v>334</v>
      </c>
      <c r="N1129" s="13">
        <v>1.9907407407407408E-3</v>
      </c>
      <c r="O1129" s="13">
        <v>1.4166666666666666E-2</v>
      </c>
      <c r="P1129" s="13"/>
      <c r="Q1129" s="13"/>
      <c r="R1129" s="13"/>
      <c r="S1129" s="13">
        <v>1.4108796296296296E-2</v>
      </c>
      <c r="T1129" s="13">
        <v>2.0833333333333335E-4</v>
      </c>
      <c r="U1129" s="13">
        <v>1.4583333333333334E-3</v>
      </c>
      <c r="V1129" s="13"/>
      <c r="W1129" s="13">
        <v>3.9236111111111112E-3</v>
      </c>
    </row>
    <row r="1130" spans="1:23" ht="15" customHeight="1" x14ac:dyDescent="0.25">
      <c r="A1130" s="19">
        <v>46248</v>
      </c>
      <c r="B1130" s="11" t="s">
        <v>287</v>
      </c>
      <c r="C1130" s="12" t="s">
        <v>542</v>
      </c>
      <c r="D1130" s="11" t="s">
        <v>104</v>
      </c>
      <c r="E1130" s="12" t="s">
        <v>105</v>
      </c>
      <c r="F1130" s="12" t="s">
        <v>106</v>
      </c>
      <c r="G1130" s="12">
        <v>2</v>
      </c>
      <c r="H1130" s="13">
        <v>0.20943287037037037</v>
      </c>
      <c r="I1130" s="13">
        <v>3.0034722222222223E-2</v>
      </c>
      <c r="J1130" s="13">
        <v>1.5017361111111112E-2</v>
      </c>
      <c r="K1130" s="13">
        <v>0.18817129629629631</v>
      </c>
      <c r="L1130" s="14">
        <v>0.89848024316109432</v>
      </c>
      <c r="M1130" s="12" t="s">
        <v>334</v>
      </c>
      <c r="N1130" s="13"/>
      <c r="O1130" s="13">
        <v>1.170138888888889E-2</v>
      </c>
      <c r="P1130" s="13"/>
      <c r="Q1130" s="13"/>
      <c r="R1130" s="13"/>
      <c r="S1130" s="13">
        <v>5.0810185185185186E-3</v>
      </c>
      <c r="T1130" s="13">
        <v>2.3032407407407407E-3</v>
      </c>
      <c r="U1130" s="13">
        <v>8.4490740740740739E-4</v>
      </c>
      <c r="V1130" s="13"/>
      <c r="W1130" s="13">
        <v>0.16824074074074075</v>
      </c>
    </row>
    <row r="1131" spans="1:23" ht="15" customHeight="1" x14ac:dyDescent="0.25">
      <c r="A1131" s="19">
        <v>46248</v>
      </c>
      <c r="B1131" s="11" t="s">
        <v>499</v>
      </c>
      <c r="C1131" s="12" t="s">
        <v>517</v>
      </c>
      <c r="D1131" s="11" t="s">
        <v>146</v>
      </c>
      <c r="E1131" s="12" t="s">
        <v>147</v>
      </c>
      <c r="F1131" s="12" t="s">
        <v>106</v>
      </c>
      <c r="G1131" s="12">
        <v>12</v>
      </c>
      <c r="H1131" s="13">
        <v>0.24078703703703705</v>
      </c>
      <c r="I1131" s="13">
        <v>6.4988425925925922E-2</v>
      </c>
      <c r="J1131" s="13">
        <v>5.4157021604938271E-3</v>
      </c>
      <c r="K1131" s="13">
        <v>4.7939814814814817E-2</v>
      </c>
      <c r="L1131" s="14">
        <v>0.19909632762930204</v>
      </c>
      <c r="M1131" s="12" t="s">
        <v>334</v>
      </c>
      <c r="N1131" s="13">
        <v>5.2546296296296299E-3</v>
      </c>
      <c r="O1131" s="13">
        <v>1.3900462962962963E-2</v>
      </c>
      <c r="P1131" s="13"/>
      <c r="Q1131" s="13">
        <v>4.0046296296296297E-3</v>
      </c>
      <c r="R1131" s="13"/>
      <c r="S1131" s="13">
        <v>1.3935185185185186E-2</v>
      </c>
      <c r="T1131" s="13">
        <v>6.5972222222222224E-4</v>
      </c>
      <c r="U1131" s="13">
        <v>4.5138888888888887E-4</v>
      </c>
      <c r="V1131" s="13"/>
      <c r="W1131" s="13">
        <v>9.7337962962962959E-3</v>
      </c>
    </row>
    <row r="1132" spans="1:23" ht="15" customHeight="1" x14ac:dyDescent="0.25">
      <c r="A1132" s="19">
        <v>46248</v>
      </c>
      <c r="B1132" s="11" t="s">
        <v>647</v>
      </c>
      <c r="C1132" s="12" t="s">
        <v>648</v>
      </c>
      <c r="D1132" s="11" t="s">
        <v>233</v>
      </c>
      <c r="E1132" s="12" t="s">
        <v>32</v>
      </c>
      <c r="F1132" s="12" t="s">
        <v>106</v>
      </c>
      <c r="G1132" s="12">
        <v>29</v>
      </c>
      <c r="H1132" s="13">
        <v>0.26395833333333335</v>
      </c>
      <c r="I1132" s="13">
        <v>0.10212962962962963</v>
      </c>
      <c r="J1132" s="13">
        <v>3.5217113665389527E-3</v>
      </c>
      <c r="K1132" s="13">
        <v>4.2118055555555554E-2</v>
      </c>
      <c r="L1132" s="14">
        <v>0.1595632728229413</v>
      </c>
      <c r="M1132" s="12" t="s">
        <v>334</v>
      </c>
      <c r="N1132" s="13">
        <v>1.170138888888889E-2</v>
      </c>
      <c r="O1132" s="13">
        <v>1.4953703703703703E-2</v>
      </c>
      <c r="P1132" s="13"/>
      <c r="Q1132" s="13">
        <v>1.8518518518518518E-4</v>
      </c>
      <c r="R1132" s="13"/>
      <c r="S1132" s="13">
        <v>1.462962962962963E-2</v>
      </c>
      <c r="T1132" s="13">
        <v>6.4814814814814813E-4</v>
      </c>
      <c r="U1132" s="13"/>
      <c r="V1132" s="13"/>
      <c r="W1132" s="13"/>
    </row>
    <row r="1133" spans="1:23" ht="15" customHeight="1" x14ac:dyDescent="0.25">
      <c r="A1133" s="19">
        <v>46248</v>
      </c>
      <c r="B1133" s="11" t="s">
        <v>649</v>
      </c>
      <c r="C1133" s="12" t="s">
        <v>650</v>
      </c>
      <c r="D1133" s="11" t="s">
        <v>104</v>
      </c>
      <c r="E1133" s="12" t="s">
        <v>105</v>
      </c>
      <c r="F1133" s="12" t="s">
        <v>106</v>
      </c>
      <c r="G1133" s="12">
        <v>4</v>
      </c>
      <c r="H1133" s="13">
        <v>0.2429050925925926</v>
      </c>
      <c r="I1133" s="13">
        <v>8.307870370370371E-2</v>
      </c>
      <c r="J1133" s="13">
        <v>2.0769675925925928E-2</v>
      </c>
      <c r="K1133" s="13">
        <v>0.20054398148148148</v>
      </c>
      <c r="L1133" s="14">
        <v>0.82560632772668785</v>
      </c>
      <c r="M1133" s="12" t="s">
        <v>334</v>
      </c>
      <c r="N1133" s="13">
        <v>9.1319444444444443E-3</v>
      </c>
      <c r="O1133" s="13">
        <v>8.9236111111111113E-3</v>
      </c>
      <c r="P1133" s="13"/>
      <c r="Q1133" s="13"/>
      <c r="R1133" s="13"/>
      <c r="S1133" s="13">
        <v>1.0532407407407407E-2</v>
      </c>
      <c r="T1133" s="13">
        <v>7.1759259259259259E-4</v>
      </c>
      <c r="U1133" s="13"/>
      <c r="V1133" s="13"/>
      <c r="W1133" s="13">
        <v>0.17123842592592592</v>
      </c>
    </row>
    <row r="1134" spans="1:23" ht="15" customHeight="1" x14ac:dyDescent="0.25">
      <c r="A1134" s="19">
        <v>46248</v>
      </c>
      <c r="B1134" s="11" t="s">
        <v>246</v>
      </c>
      <c r="C1134" s="12" t="s">
        <v>568</v>
      </c>
      <c r="D1134" s="11" t="s">
        <v>233</v>
      </c>
      <c r="E1134" s="12" t="s">
        <v>32</v>
      </c>
      <c r="F1134" s="12" t="s">
        <v>106</v>
      </c>
      <c r="G1134" s="12">
        <v>49</v>
      </c>
      <c r="H1134" s="13">
        <v>0.3399537037037037</v>
      </c>
      <c r="I1134" s="13">
        <v>0.14246527777777779</v>
      </c>
      <c r="J1134" s="13">
        <v>2.9074546485260773E-3</v>
      </c>
      <c r="K1134" s="13">
        <v>5.4386574074074073E-2</v>
      </c>
      <c r="L1134" s="14">
        <v>0.15998229606427891</v>
      </c>
      <c r="M1134" s="12" t="s">
        <v>334</v>
      </c>
      <c r="N1134" s="13">
        <v>1.3206018518518518E-2</v>
      </c>
      <c r="O1134" s="13">
        <v>1.3946759259259259E-2</v>
      </c>
      <c r="P1134" s="13"/>
      <c r="Q1134" s="13"/>
      <c r="R1134" s="13"/>
      <c r="S1134" s="13">
        <v>1.3738425925925926E-2</v>
      </c>
      <c r="T1134" s="13">
        <v>1.3495370370370371E-2</v>
      </c>
      <c r="U1134" s="13"/>
      <c r="V1134" s="13"/>
      <c r="W1134" s="13"/>
    </row>
    <row r="1135" spans="1:23" ht="15" customHeight="1" x14ac:dyDescent="0.25">
      <c r="A1135" s="19">
        <v>46248</v>
      </c>
      <c r="B1135" s="11" t="s">
        <v>48</v>
      </c>
      <c r="C1135" s="12" t="s">
        <v>508</v>
      </c>
      <c r="D1135" s="11" t="s">
        <v>100</v>
      </c>
      <c r="E1135" s="12" t="s">
        <v>32</v>
      </c>
      <c r="F1135" s="12" t="s">
        <v>33</v>
      </c>
      <c r="G1135" s="12">
        <v>42</v>
      </c>
      <c r="H1135" s="13">
        <v>0.26665509259259257</v>
      </c>
      <c r="I1135" s="13">
        <v>0.1307638888888889</v>
      </c>
      <c r="J1135" s="13">
        <v>3.1134259259259262E-3</v>
      </c>
      <c r="K1135" s="13">
        <v>6.535879629629629E-2</v>
      </c>
      <c r="L1135" s="14">
        <v>0.24510612439776031</v>
      </c>
      <c r="M1135" s="12" t="s">
        <v>334</v>
      </c>
      <c r="N1135" s="13">
        <v>2.4074074074074076E-3</v>
      </c>
      <c r="O1135" s="13">
        <v>1.4050925925925927E-2</v>
      </c>
      <c r="P1135" s="13"/>
      <c r="Q1135" s="13"/>
      <c r="R1135" s="13"/>
      <c r="S1135" s="13">
        <v>1.4155092592592592E-2</v>
      </c>
      <c r="T1135" s="13">
        <v>6.9444444444444444E-5</v>
      </c>
      <c r="U1135" s="13">
        <v>3.9004629629629628E-3</v>
      </c>
      <c r="V1135" s="13"/>
      <c r="W1135" s="13">
        <v>3.0636574074074073E-2</v>
      </c>
    </row>
    <row r="1136" spans="1:23" ht="15" customHeight="1" x14ac:dyDescent="0.25">
      <c r="A1136" s="19">
        <v>46248</v>
      </c>
      <c r="B1136" s="11" t="s">
        <v>50</v>
      </c>
      <c r="C1136" s="12" t="s">
        <v>538</v>
      </c>
      <c r="D1136" s="11" t="s">
        <v>100</v>
      </c>
      <c r="E1136" s="12" t="s">
        <v>32</v>
      </c>
      <c r="F1136" s="12" t="s">
        <v>33</v>
      </c>
      <c r="G1136" s="12">
        <v>6</v>
      </c>
      <c r="H1136" s="13">
        <v>0.26399305555555558</v>
      </c>
      <c r="I1136" s="13">
        <v>3.0173611111111109E-2</v>
      </c>
      <c r="J1136" s="13">
        <v>5.0289351851851849E-3</v>
      </c>
      <c r="K1136" s="13">
        <v>0.23689814814814814</v>
      </c>
      <c r="L1136" s="14">
        <v>0.89736507518961806</v>
      </c>
      <c r="M1136" s="12" t="s">
        <v>334</v>
      </c>
      <c r="N1136" s="13">
        <v>2.0821759259259259E-2</v>
      </c>
      <c r="O1136" s="13">
        <v>1.4085648148148147E-2</v>
      </c>
      <c r="P1136" s="13"/>
      <c r="Q1136" s="13"/>
      <c r="R1136" s="13"/>
      <c r="S1136" s="13">
        <v>1.5208333333333334E-2</v>
      </c>
      <c r="T1136" s="13">
        <v>3.2407407407407406E-4</v>
      </c>
      <c r="U1136" s="13">
        <v>1.7361111111111112E-4</v>
      </c>
      <c r="V1136" s="13"/>
      <c r="W1136" s="13">
        <v>0.18628472222222223</v>
      </c>
    </row>
    <row r="1137" spans="1:23" ht="15" customHeight="1" x14ac:dyDescent="0.25">
      <c r="A1137" s="19">
        <v>46248</v>
      </c>
      <c r="B1137" s="11" t="s">
        <v>242</v>
      </c>
      <c r="C1137" s="12" t="s">
        <v>603</v>
      </c>
      <c r="D1137" s="11" t="s">
        <v>233</v>
      </c>
      <c r="E1137" s="12" t="s">
        <v>32</v>
      </c>
      <c r="F1137" s="12" t="s">
        <v>106</v>
      </c>
      <c r="G1137" s="12">
        <v>35</v>
      </c>
      <c r="H1137" s="13">
        <v>0.26006944444444446</v>
      </c>
      <c r="I1137" s="13">
        <v>0.12356481481481481</v>
      </c>
      <c r="J1137" s="13">
        <v>3.5304232804232801E-3</v>
      </c>
      <c r="K1137" s="13">
        <v>1.0393518518518519E-2</v>
      </c>
      <c r="L1137" s="14">
        <v>3.9964396973742766E-2</v>
      </c>
      <c r="M1137" s="12" t="s">
        <v>334</v>
      </c>
      <c r="N1137" s="13"/>
      <c r="O1137" s="13">
        <v>8.1828703703703699E-3</v>
      </c>
      <c r="P1137" s="13"/>
      <c r="Q1137" s="13"/>
      <c r="R1137" s="13"/>
      <c r="S1137" s="13">
        <v>6.9444444444444444E-5</v>
      </c>
      <c r="T1137" s="13">
        <v>5.7870370370370373E-5</v>
      </c>
      <c r="U1137" s="13">
        <v>1.9907407407407408E-3</v>
      </c>
      <c r="V1137" s="13"/>
      <c r="W1137" s="13">
        <v>2.3148148148148147E-5</v>
      </c>
    </row>
    <row r="1138" spans="1:23" ht="15" customHeight="1" x14ac:dyDescent="0.25">
      <c r="A1138" s="19">
        <v>46248</v>
      </c>
      <c r="B1138" s="11" t="s">
        <v>248</v>
      </c>
      <c r="C1138" s="12" t="s">
        <v>249</v>
      </c>
      <c r="D1138" s="11" t="s">
        <v>78</v>
      </c>
      <c r="E1138" s="12" t="s">
        <v>80</v>
      </c>
      <c r="F1138" s="12" t="s">
        <v>81</v>
      </c>
      <c r="G1138" s="12">
        <v>0</v>
      </c>
      <c r="H1138" s="13">
        <v>0.31706018518518519</v>
      </c>
      <c r="I1138" s="13">
        <v>0</v>
      </c>
      <c r="J1138" s="13">
        <v>0</v>
      </c>
      <c r="K1138" s="13">
        <v>2.2453703703703702E-3</v>
      </c>
      <c r="L1138" s="14">
        <v>7.0818427392859741E-3</v>
      </c>
      <c r="M1138" s="12" t="s">
        <v>334</v>
      </c>
      <c r="N1138" s="13">
        <v>4.6296296296296294E-5</v>
      </c>
      <c r="O1138" s="13"/>
      <c r="P1138" s="13"/>
      <c r="Q1138" s="13"/>
      <c r="R1138" s="13"/>
      <c r="S1138" s="13"/>
      <c r="T1138" s="13">
        <v>2.5462962962962961E-4</v>
      </c>
      <c r="U1138" s="13">
        <v>1.8287037037037037E-3</v>
      </c>
      <c r="V1138" s="13"/>
      <c r="W1138" s="13">
        <v>2.3148148148148147E-5</v>
      </c>
    </row>
    <row r="1139" spans="1:23" ht="15" customHeight="1" x14ac:dyDescent="0.25">
      <c r="A1139" s="19">
        <v>46248</v>
      </c>
      <c r="B1139" s="11" t="s">
        <v>289</v>
      </c>
      <c r="C1139" s="12" t="s">
        <v>559</v>
      </c>
      <c r="D1139" s="11" t="s">
        <v>104</v>
      </c>
      <c r="E1139" s="12" t="s">
        <v>105</v>
      </c>
      <c r="F1139" s="12" t="s">
        <v>106</v>
      </c>
      <c r="G1139" s="12">
        <v>3</v>
      </c>
      <c r="H1139" s="13">
        <v>0.18623842592592593</v>
      </c>
      <c r="I1139" s="13">
        <v>3.878472222222222E-2</v>
      </c>
      <c r="J1139" s="13">
        <v>1.292824074074074E-2</v>
      </c>
      <c r="K1139" s="13">
        <v>0.15781249999999999</v>
      </c>
      <c r="L1139" s="14">
        <v>0.84736809396557078</v>
      </c>
      <c r="M1139" s="12" t="s">
        <v>334</v>
      </c>
      <c r="N1139" s="13"/>
      <c r="O1139" s="13">
        <v>1.3495370370370371E-2</v>
      </c>
      <c r="P1139" s="13"/>
      <c r="Q1139" s="13"/>
      <c r="R1139" s="13"/>
      <c r="S1139" s="13">
        <v>5.6712962962962967E-4</v>
      </c>
      <c r="T1139" s="13">
        <v>8.3564814814814821E-3</v>
      </c>
      <c r="U1139" s="13">
        <v>4.6296296296296294E-5</v>
      </c>
      <c r="V1139" s="13"/>
      <c r="W1139" s="13">
        <v>0.13534722222222223</v>
      </c>
    </row>
    <row r="1140" spans="1:23" ht="15" customHeight="1" x14ac:dyDescent="0.25">
      <c r="A1140" s="19">
        <v>46248</v>
      </c>
      <c r="B1140" s="11" t="s">
        <v>252</v>
      </c>
      <c r="C1140" s="12" t="s">
        <v>553</v>
      </c>
      <c r="D1140" s="11" t="s">
        <v>78</v>
      </c>
      <c r="E1140" s="12" t="s">
        <v>80</v>
      </c>
      <c r="F1140" s="12" t="s">
        <v>81</v>
      </c>
      <c r="G1140" s="12">
        <v>0</v>
      </c>
      <c r="H1140" s="13">
        <v>1.1921296296296296E-3</v>
      </c>
      <c r="I1140" s="13">
        <v>0</v>
      </c>
      <c r="J1140" s="13">
        <v>0</v>
      </c>
      <c r="K1140" s="13">
        <v>0</v>
      </c>
      <c r="L1140" s="14">
        <v>0</v>
      </c>
      <c r="M1140" s="12" t="s">
        <v>333</v>
      </c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</row>
    <row r="1141" spans="1:23" ht="15" customHeight="1" x14ac:dyDescent="0.25">
      <c r="A1141" s="19">
        <v>46248</v>
      </c>
      <c r="B1141" s="11" t="s">
        <v>500</v>
      </c>
      <c r="C1141" s="12" t="s">
        <v>518</v>
      </c>
      <c r="D1141" s="11" t="s">
        <v>274</v>
      </c>
      <c r="E1141" s="12" t="s">
        <v>147</v>
      </c>
      <c r="F1141" s="12" t="s">
        <v>33</v>
      </c>
      <c r="G1141" s="12">
        <v>10</v>
      </c>
      <c r="H1141" s="13">
        <v>0.25603009259259257</v>
      </c>
      <c r="I1141" s="13">
        <v>5.5995370370370369E-2</v>
      </c>
      <c r="J1141" s="13">
        <v>5.5995370370370365E-3</v>
      </c>
      <c r="K1141" s="13">
        <v>3.1851851851851853E-2</v>
      </c>
      <c r="L1141" s="14">
        <v>0.12440667239274898</v>
      </c>
      <c r="M1141" s="12" t="s">
        <v>334</v>
      </c>
      <c r="N1141" s="13">
        <v>2.2916666666666667E-3</v>
      </c>
      <c r="O1141" s="13">
        <v>1.1805555555555555E-2</v>
      </c>
      <c r="P1141" s="13"/>
      <c r="Q1141" s="13">
        <v>3.425925925925926E-3</v>
      </c>
      <c r="R1141" s="13"/>
      <c r="S1141" s="13">
        <v>1.3854166666666667E-2</v>
      </c>
      <c r="T1141" s="13">
        <v>4.7453703703703704E-4</v>
      </c>
      <c r="U1141" s="13"/>
      <c r="V1141" s="13"/>
      <c r="W1141" s="13"/>
    </row>
    <row r="1142" spans="1:23" ht="15" customHeight="1" x14ac:dyDescent="0.25">
      <c r="A1142" s="19">
        <v>46248</v>
      </c>
      <c r="B1142" s="11" t="s">
        <v>683</v>
      </c>
      <c r="C1142" s="12" t="s">
        <v>684</v>
      </c>
      <c r="D1142" s="11" t="s">
        <v>233</v>
      </c>
      <c r="E1142" s="12" t="s">
        <v>32</v>
      </c>
      <c r="F1142" s="12" t="s">
        <v>106</v>
      </c>
      <c r="G1142" s="12">
        <v>30</v>
      </c>
      <c r="H1142" s="13">
        <v>0.25734953703703706</v>
      </c>
      <c r="I1142" s="13">
        <v>8.3344907407407409E-2</v>
      </c>
      <c r="J1142" s="13">
        <v>2.7781635802469136E-3</v>
      </c>
      <c r="K1142" s="13">
        <v>4.4155092592592593E-2</v>
      </c>
      <c r="L1142" s="14">
        <v>0.1715763436024286</v>
      </c>
      <c r="M1142" s="12" t="s">
        <v>334</v>
      </c>
      <c r="N1142" s="13">
        <v>7.8703703703703696E-3</v>
      </c>
      <c r="O1142" s="13">
        <v>1.7002314814814814E-2</v>
      </c>
      <c r="P1142" s="13"/>
      <c r="Q1142" s="13"/>
      <c r="R1142" s="13"/>
      <c r="S1142" s="13">
        <v>1.1458333333333333E-2</v>
      </c>
      <c r="T1142" s="13">
        <v>2.0833333333333333E-3</v>
      </c>
      <c r="U1142" s="13">
        <v>5.2430555555555555E-3</v>
      </c>
      <c r="V1142" s="13"/>
      <c r="W1142" s="13">
        <v>4.9768518518518521E-4</v>
      </c>
    </row>
    <row r="1143" spans="1:23" ht="15" customHeight="1" x14ac:dyDescent="0.25">
      <c r="A1143" s="19">
        <v>46248</v>
      </c>
      <c r="B1143" s="11" t="s">
        <v>653</v>
      </c>
      <c r="C1143" s="12" t="s">
        <v>654</v>
      </c>
      <c r="D1143" s="11" t="s">
        <v>100</v>
      </c>
      <c r="E1143" s="12" t="s">
        <v>32</v>
      </c>
      <c r="F1143" s="12" t="s">
        <v>33</v>
      </c>
      <c r="G1143" s="12">
        <v>33</v>
      </c>
      <c r="H1143" s="13">
        <v>0.25425925925925924</v>
      </c>
      <c r="I1143" s="13">
        <v>0.16809027777777777</v>
      </c>
      <c r="J1143" s="13">
        <v>5.0936447811447813E-3</v>
      </c>
      <c r="K1143" s="13">
        <v>3.9687500000000001E-2</v>
      </c>
      <c r="L1143" s="14">
        <v>0.15609067734887111</v>
      </c>
      <c r="M1143" s="12" t="s">
        <v>334</v>
      </c>
      <c r="N1143" s="13">
        <v>8.067129629629629E-3</v>
      </c>
      <c r="O1143" s="13">
        <v>1.4039351851851851E-2</v>
      </c>
      <c r="P1143" s="13"/>
      <c r="Q1143" s="13"/>
      <c r="R1143" s="13"/>
      <c r="S1143" s="13">
        <v>1.4085648148148147E-2</v>
      </c>
      <c r="T1143" s="13">
        <v>6.018518518518519E-4</v>
      </c>
      <c r="U1143" s="13">
        <v>2.7893518518518519E-3</v>
      </c>
      <c r="V1143" s="13"/>
      <c r="W1143" s="13"/>
    </row>
    <row r="1144" spans="1:23" ht="15" customHeight="1" x14ac:dyDescent="0.25">
      <c r="A1144" s="19">
        <v>46248</v>
      </c>
      <c r="B1144" s="11" t="s">
        <v>52</v>
      </c>
      <c r="C1144" s="12" t="s">
        <v>509</v>
      </c>
      <c r="D1144" s="11" t="s">
        <v>100</v>
      </c>
      <c r="E1144" s="12" t="s">
        <v>32</v>
      </c>
      <c r="F1144" s="12" t="s">
        <v>33</v>
      </c>
      <c r="G1144" s="12">
        <v>3</v>
      </c>
      <c r="H1144" s="13">
        <v>0.18337962962962964</v>
      </c>
      <c r="I1144" s="13">
        <v>1.2800925925925926E-2</v>
      </c>
      <c r="J1144" s="13">
        <v>4.2669753086419749E-3</v>
      </c>
      <c r="K1144" s="13">
        <v>0.17395833333333333</v>
      </c>
      <c r="L1144" s="14">
        <v>0.94862408482706373</v>
      </c>
      <c r="M1144" s="12" t="s">
        <v>334</v>
      </c>
      <c r="N1144" s="13"/>
      <c r="O1144" s="13">
        <v>1.357638888888889E-2</v>
      </c>
      <c r="P1144" s="13"/>
      <c r="Q1144" s="13"/>
      <c r="R1144" s="13"/>
      <c r="S1144" s="13">
        <v>1.4155092592592592E-2</v>
      </c>
      <c r="T1144" s="13">
        <v>7.407407407407407E-4</v>
      </c>
      <c r="U1144" s="13">
        <v>4.6296296296296298E-4</v>
      </c>
      <c r="V1144" s="13"/>
      <c r="W1144" s="13">
        <v>0.14502314814814815</v>
      </c>
    </row>
    <row r="1145" spans="1:23" ht="15" customHeight="1" x14ac:dyDescent="0.25">
      <c r="A1145" s="19">
        <v>46248</v>
      </c>
      <c r="B1145" s="11" t="s">
        <v>164</v>
      </c>
      <c r="C1145" s="12" t="s">
        <v>519</v>
      </c>
      <c r="D1145" s="11" t="s">
        <v>146</v>
      </c>
      <c r="E1145" s="12" t="s">
        <v>147</v>
      </c>
      <c r="F1145" s="12" t="s">
        <v>106</v>
      </c>
      <c r="G1145" s="12">
        <v>26</v>
      </c>
      <c r="H1145" s="13">
        <v>0.33510416666666665</v>
      </c>
      <c r="I1145" s="13">
        <v>3.0011574074074072E-2</v>
      </c>
      <c r="J1145" s="13">
        <v>1.1542913105413105E-3</v>
      </c>
      <c r="K1145" s="13">
        <v>3.875E-2</v>
      </c>
      <c r="L1145" s="14">
        <v>0.11563568542119988</v>
      </c>
      <c r="M1145" s="12" t="s">
        <v>334</v>
      </c>
      <c r="N1145" s="13">
        <v>9.2129629629629627E-3</v>
      </c>
      <c r="O1145" s="13">
        <v>1.4166666666666666E-2</v>
      </c>
      <c r="P1145" s="13"/>
      <c r="Q1145" s="13"/>
      <c r="R1145" s="13">
        <v>5.7870370370370373E-5</v>
      </c>
      <c r="S1145" s="13">
        <v>1.4317129629629629E-2</v>
      </c>
      <c r="T1145" s="13">
        <v>3.8194444444444446E-4</v>
      </c>
      <c r="U1145" s="13">
        <v>1.0416666666666667E-4</v>
      </c>
      <c r="V1145" s="13"/>
      <c r="W1145" s="13"/>
    </row>
    <row r="1146" spans="1:23" ht="15" customHeight="1" x14ac:dyDescent="0.25">
      <c r="A1146" s="19">
        <v>46248</v>
      </c>
      <c r="B1146" s="11" t="s">
        <v>655</v>
      </c>
      <c r="C1146" s="12" t="s">
        <v>656</v>
      </c>
      <c r="D1146" s="11" t="s">
        <v>100</v>
      </c>
      <c r="E1146" s="12" t="s">
        <v>32</v>
      </c>
      <c r="F1146" s="12" t="s">
        <v>33</v>
      </c>
      <c r="G1146" s="12">
        <v>39</v>
      </c>
      <c r="H1146" s="13">
        <v>0.25905092592592593</v>
      </c>
      <c r="I1146" s="13">
        <v>0.15468750000000001</v>
      </c>
      <c r="J1146" s="13">
        <v>3.9663461538461536E-3</v>
      </c>
      <c r="K1146" s="13">
        <v>3.3136574074074075E-2</v>
      </c>
      <c r="L1146" s="14">
        <v>0.12791528907157537</v>
      </c>
      <c r="M1146" s="12" t="s">
        <v>334</v>
      </c>
      <c r="N1146" s="13">
        <v>3.4375E-3</v>
      </c>
      <c r="O1146" s="13">
        <v>1.3726851851851851E-2</v>
      </c>
      <c r="P1146" s="13"/>
      <c r="Q1146" s="13"/>
      <c r="R1146" s="13"/>
      <c r="S1146" s="13">
        <v>1.3912037037037037E-2</v>
      </c>
      <c r="T1146" s="13">
        <v>8.1018518518518516E-5</v>
      </c>
      <c r="U1146" s="13">
        <v>1.8981481481481482E-3</v>
      </c>
      <c r="V1146" s="13"/>
      <c r="W1146" s="13"/>
    </row>
    <row r="1147" spans="1:23" ht="15" customHeight="1" x14ac:dyDescent="0.25">
      <c r="A1147" s="19">
        <v>46248</v>
      </c>
      <c r="B1147" s="11" t="s">
        <v>657</v>
      </c>
      <c r="C1147" s="12" t="s">
        <v>658</v>
      </c>
      <c r="D1147" s="11" t="s">
        <v>274</v>
      </c>
      <c r="E1147" s="12" t="s">
        <v>147</v>
      </c>
      <c r="F1147" s="12" t="s">
        <v>33</v>
      </c>
      <c r="G1147" s="12">
        <v>12</v>
      </c>
      <c r="H1147" s="13">
        <v>0.25015046296296295</v>
      </c>
      <c r="I1147" s="13">
        <v>3.6527777777777777E-2</v>
      </c>
      <c r="J1147" s="13">
        <v>3.0439814814814813E-3</v>
      </c>
      <c r="K1147" s="13">
        <v>3.5486111111111114E-2</v>
      </c>
      <c r="L1147" s="14">
        <v>0.14185906630268821</v>
      </c>
      <c r="M1147" s="12" t="s">
        <v>334</v>
      </c>
      <c r="N1147" s="13">
        <v>3.4953703703703705E-3</v>
      </c>
      <c r="O1147" s="13">
        <v>1.5243055555555555E-2</v>
      </c>
      <c r="P1147" s="13"/>
      <c r="Q1147" s="13"/>
      <c r="R1147" s="13"/>
      <c r="S1147" s="13">
        <v>1.650462962962963E-2</v>
      </c>
      <c r="T1147" s="13">
        <v>1.5046296296296297E-4</v>
      </c>
      <c r="U1147" s="13">
        <v>9.2592592592592588E-5</v>
      </c>
      <c r="V1147" s="13"/>
      <c r="W1147" s="13"/>
    </row>
    <row r="1148" spans="1:23" ht="15" customHeight="1" x14ac:dyDescent="0.25">
      <c r="A1148" s="19">
        <v>46248</v>
      </c>
      <c r="B1148" s="11" t="s">
        <v>166</v>
      </c>
      <c r="C1148" s="12" t="s">
        <v>167</v>
      </c>
      <c r="D1148" s="11" t="s">
        <v>146</v>
      </c>
      <c r="E1148" s="12" t="s">
        <v>147</v>
      </c>
      <c r="F1148" s="12" t="s">
        <v>106</v>
      </c>
      <c r="G1148" s="12">
        <v>16</v>
      </c>
      <c r="H1148" s="13">
        <v>0.26165509259259262</v>
      </c>
      <c r="I1148" s="13">
        <v>4.0127314814814817E-2</v>
      </c>
      <c r="J1148" s="13">
        <v>2.5079571759259261E-3</v>
      </c>
      <c r="K1148" s="13">
        <v>3.1990740740740743E-2</v>
      </c>
      <c r="L1148" s="14">
        <v>0.12226301588003716</v>
      </c>
      <c r="M1148" s="12" t="s">
        <v>334</v>
      </c>
      <c r="N1148" s="13">
        <v>5.1273148148148146E-3</v>
      </c>
      <c r="O1148" s="13">
        <v>1.3055555555555556E-2</v>
      </c>
      <c r="P1148" s="13"/>
      <c r="Q1148" s="13"/>
      <c r="R1148" s="13"/>
      <c r="S1148" s="13">
        <v>1.3043981481481481E-2</v>
      </c>
      <c r="T1148" s="13">
        <v>2.3148148148148149E-4</v>
      </c>
      <c r="U1148" s="13">
        <v>5.0925925925925921E-4</v>
      </c>
      <c r="V1148" s="13"/>
      <c r="W1148" s="13"/>
    </row>
    <row r="1149" spans="1:23" ht="15" customHeight="1" x14ac:dyDescent="0.25">
      <c r="A1149" s="19">
        <v>46248</v>
      </c>
      <c r="B1149" s="11" t="s">
        <v>659</v>
      </c>
      <c r="C1149" s="12" t="s">
        <v>660</v>
      </c>
      <c r="D1149" s="11" t="s">
        <v>100</v>
      </c>
      <c r="E1149" s="12" t="s">
        <v>32</v>
      </c>
      <c r="F1149" s="12" t="s">
        <v>33</v>
      </c>
      <c r="G1149" s="12">
        <v>6</v>
      </c>
      <c r="H1149" s="13">
        <v>0.25422453703703701</v>
      </c>
      <c r="I1149" s="13">
        <v>4.9375000000000002E-2</v>
      </c>
      <c r="J1149" s="13">
        <v>8.2291666666666676E-3</v>
      </c>
      <c r="K1149" s="13">
        <v>0.21409722222222222</v>
      </c>
      <c r="L1149" s="14">
        <v>0.84215797860232189</v>
      </c>
      <c r="M1149" s="12" t="s">
        <v>334</v>
      </c>
      <c r="N1149" s="13">
        <v>1.3414351851851853E-2</v>
      </c>
      <c r="O1149" s="13">
        <v>1.8333333333333333E-2</v>
      </c>
      <c r="P1149" s="13"/>
      <c r="Q1149" s="13"/>
      <c r="R1149" s="13"/>
      <c r="S1149" s="13">
        <v>1.8935185185185187E-2</v>
      </c>
      <c r="T1149" s="13">
        <v>1.6782407407407408E-3</v>
      </c>
      <c r="U1149" s="13">
        <v>1.6203703703703703E-4</v>
      </c>
      <c r="V1149" s="13"/>
      <c r="W1149" s="13">
        <v>0.16157407407407406</v>
      </c>
    </row>
    <row r="1150" spans="1:23" ht="15" customHeight="1" x14ac:dyDescent="0.25">
      <c r="A1150" s="19">
        <v>46248</v>
      </c>
      <c r="B1150" s="11" t="s">
        <v>254</v>
      </c>
      <c r="C1150" s="12" t="s">
        <v>528</v>
      </c>
      <c r="D1150" s="11" t="s">
        <v>233</v>
      </c>
      <c r="E1150" s="12" t="s">
        <v>32</v>
      </c>
      <c r="F1150" s="12" t="s">
        <v>106</v>
      </c>
      <c r="G1150" s="12">
        <v>18</v>
      </c>
      <c r="H1150" s="13">
        <v>0.26745370370370369</v>
      </c>
      <c r="I1150" s="13">
        <v>8.3182870370370365E-2</v>
      </c>
      <c r="J1150" s="13">
        <v>4.6212705761316869E-3</v>
      </c>
      <c r="K1150" s="13">
        <v>6.8101851851851858E-2</v>
      </c>
      <c r="L1150" s="14">
        <v>0.25463043101956034</v>
      </c>
      <c r="M1150" s="12" t="s">
        <v>334</v>
      </c>
      <c r="N1150" s="13">
        <v>1.8136574074074076E-2</v>
      </c>
      <c r="O1150" s="13">
        <v>8.2870370370370372E-3</v>
      </c>
      <c r="P1150" s="13"/>
      <c r="Q1150" s="13">
        <v>1.3310185185185185E-2</v>
      </c>
      <c r="R1150" s="13">
        <v>6.9791666666666665E-3</v>
      </c>
      <c r="S1150" s="13">
        <v>1.3969907407407407E-2</v>
      </c>
      <c r="T1150" s="13">
        <v>7.4189814814814813E-3</v>
      </c>
      <c r="U1150" s="13"/>
      <c r="V1150" s="13"/>
      <c r="W1150" s="13"/>
    </row>
    <row r="1151" spans="1:23" ht="15" customHeight="1" x14ac:dyDescent="0.25">
      <c r="A1151" s="19">
        <v>46248</v>
      </c>
      <c r="B1151" s="11" t="s">
        <v>201</v>
      </c>
      <c r="C1151" s="12" t="s">
        <v>545</v>
      </c>
      <c r="D1151" s="11" t="s">
        <v>601</v>
      </c>
      <c r="E1151" s="12" t="s">
        <v>600</v>
      </c>
      <c r="F1151" s="12" t="s">
        <v>33</v>
      </c>
      <c r="G1151" s="12">
        <v>26</v>
      </c>
      <c r="H1151" s="13">
        <v>0.23456018518518518</v>
      </c>
      <c r="I1151" s="13">
        <v>5.6574074074074075E-2</v>
      </c>
      <c r="J1151" s="13">
        <v>2.1759259259259258E-3</v>
      </c>
      <c r="K1151" s="13">
        <v>6.8854166666666661E-2</v>
      </c>
      <c r="L1151" s="14">
        <v>0.29354584032369485</v>
      </c>
      <c r="M1151" s="12" t="s">
        <v>334</v>
      </c>
      <c r="N1151" s="13">
        <v>1.3773148148148149E-2</v>
      </c>
      <c r="O1151" s="13">
        <v>9.6759259259259264E-3</v>
      </c>
      <c r="P1151" s="13">
        <v>1.4421296296296297E-2</v>
      </c>
      <c r="Q1151" s="13"/>
      <c r="R1151" s="13"/>
      <c r="S1151" s="13">
        <v>1.6296296296296295E-2</v>
      </c>
      <c r="T1151" s="13">
        <v>2.0370370370370369E-3</v>
      </c>
      <c r="U1151" s="13">
        <v>1.2638888888888889E-2</v>
      </c>
      <c r="V1151" s="13"/>
      <c r="W1151" s="13"/>
    </row>
    <row r="1152" spans="1:23" ht="15" customHeight="1" x14ac:dyDescent="0.25">
      <c r="A1152" s="19">
        <v>46248</v>
      </c>
      <c r="B1152" s="11" t="s">
        <v>168</v>
      </c>
      <c r="C1152" s="12" t="s">
        <v>520</v>
      </c>
      <c r="D1152" s="11" t="s">
        <v>274</v>
      </c>
      <c r="E1152" s="12" t="s">
        <v>147</v>
      </c>
      <c r="F1152" s="12" t="s">
        <v>33</v>
      </c>
      <c r="G1152" s="12">
        <v>14</v>
      </c>
      <c r="H1152" s="13">
        <v>0.26425925925925925</v>
      </c>
      <c r="I1152" s="13">
        <v>2.6886574074074073E-2</v>
      </c>
      <c r="J1152" s="13">
        <v>1.9204695767195766E-3</v>
      </c>
      <c r="K1152" s="13">
        <v>4.4791666666666667E-2</v>
      </c>
      <c r="L1152" s="14">
        <v>0.1694989488437281</v>
      </c>
      <c r="M1152" s="12" t="s">
        <v>334</v>
      </c>
      <c r="N1152" s="13">
        <v>8.9004629629629625E-3</v>
      </c>
      <c r="O1152" s="13">
        <v>7.3379629629629628E-3</v>
      </c>
      <c r="P1152" s="13"/>
      <c r="Q1152" s="13">
        <v>5.1967592592592595E-3</v>
      </c>
      <c r="R1152" s="13">
        <v>7.4305555555555557E-3</v>
      </c>
      <c r="S1152" s="13">
        <v>1.5682870370370371E-2</v>
      </c>
      <c r="T1152" s="13">
        <v>6.9444444444444444E-5</v>
      </c>
      <c r="U1152" s="13">
        <v>1.7361111111111112E-4</v>
      </c>
      <c r="V1152" s="13"/>
      <c r="W1152" s="13"/>
    </row>
    <row r="1153" spans="1:23" ht="15" customHeight="1" x14ac:dyDescent="0.25">
      <c r="A1153" s="19">
        <v>46248</v>
      </c>
      <c r="B1153" s="11" t="s">
        <v>170</v>
      </c>
      <c r="C1153" s="12" t="s">
        <v>521</v>
      </c>
      <c r="D1153" s="11" t="s">
        <v>146</v>
      </c>
      <c r="E1153" s="12" t="s">
        <v>147</v>
      </c>
      <c r="F1153" s="12" t="s">
        <v>106</v>
      </c>
      <c r="G1153" s="12">
        <v>15</v>
      </c>
      <c r="H1153" s="13">
        <v>0.25481481481481483</v>
      </c>
      <c r="I1153" s="13">
        <v>6.1296296296296293E-2</v>
      </c>
      <c r="J1153" s="13">
        <v>4.0864197530864196E-3</v>
      </c>
      <c r="K1153" s="13">
        <v>3.7418981481481484E-2</v>
      </c>
      <c r="L1153" s="14">
        <v>0.14684774709302326</v>
      </c>
      <c r="M1153" s="12" t="s">
        <v>334</v>
      </c>
      <c r="N1153" s="13">
        <v>5.6365740740740742E-3</v>
      </c>
      <c r="O1153" s="13">
        <v>1.7997685185185186E-2</v>
      </c>
      <c r="P1153" s="13"/>
      <c r="Q1153" s="13"/>
      <c r="R1153" s="13"/>
      <c r="S1153" s="13">
        <v>1.275462962962963E-2</v>
      </c>
      <c r="T1153" s="13">
        <v>4.1666666666666669E-4</v>
      </c>
      <c r="U1153" s="13">
        <v>6.018518518518519E-4</v>
      </c>
      <c r="V1153" s="13"/>
      <c r="W1153" s="13"/>
    </row>
    <row r="1154" spans="1:23" ht="15" customHeight="1" x14ac:dyDescent="0.25">
      <c r="A1154" s="19">
        <v>46248</v>
      </c>
      <c r="B1154" s="11" t="s">
        <v>92</v>
      </c>
      <c r="C1154" s="12" t="s">
        <v>93</v>
      </c>
      <c r="D1154" s="11" t="s">
        <v>78</v>
      </c>
      <c r="E1154" s="12" t="s">
        <v>80</v>
      </c>
      <c r="F1154" s="12" t="s">
        <v>81</v>
      </c>
      <c r="G1154" s="12">
        <v>0</v>
      </c>
      <c r="H1154" s="13">
        <v>0.33799768518518519</v>
      </c>
      <c r="I1154" s="13">
        <v>0</v>
      </c>
      <c r="J1154" s="13">
        <v>0</v>
      </c>
      <c r="K1154" s="13">
        <v>0.31270833333333331</v>
      </c>
      <c r="L1154" s="14">
        <v>0.92517891997397517</v>
      </c>
      <c r="M1154" s="12" t="s">
        <v>334</v>
      </c>
      <c r="N1154" s="13"/>
      <c r="O1154" s="13">
        <v>0.20167824074074073</v>
      </c>
      <c r="P1154" s="13"/>
      <c r="Q1154" s="13"/>
      <c r="R1154" s="13"/>
      <c r="S1154" s="13">
        <v>7.7719907407407404E-2</v>
      </c>
      <c r="T1154" s="13">
        <v>3.3148148148148149E-2</v>
      </c>
      <c r="U1154" s="13">
        <v>1.5046296296296297E-4</v>
      </c>
      <c r="V1154" s="13"/>
      <c r="W1154" s="13"/>
    </row>
    <row r="1155" spans="1:23" ht="15" customHeight="1" x14ac:dyDescent="0.25">
      <c r="A1155" s="19">
        <v>46248</v>
      </c>
      <c r="B1155" s="11" t="s">
        <v>94</v>
      </c>
      <c r="C1155" s="12" t="s">
        <v>95</v>
      </c>
      <c r="D1155" s="11" t="s">
        <v>78</v>
      </c>
      <c r="E1155" s="12" t="s">
        <v>80</v>
      </c>
      <c r="F1155" s="12" t="s">
        <v>81</v>
      </c>
      <c r="G1155" s="12">
        <v>0</v>
      </c>
      <c r="H1155" s="13">
        <v>0.34002314814814816</v>
      </c>
      <c r="I1155" s="13">
        <v>0</v>
      </c>
      <c r="J1155" s="13">
        <v>0</v>
      </c>
      <c r="K1155" s="13">
        <v>8.6168981481481485E-2</v>
      </c>
      <c r="L1155" s="14">
        <v>0.2534209272244537</v>
      </c>
      <c r="M1155" s="12" t="s">
        <v>334</v>
      </c>
      <c r="N1155" s="13">
        <v>1.6261574074074074E-2</v>
      </c>
      <c r="O1155" s="13"/>
      <c r="P1155" s="13"/>
      <c r="Q1155" s="13"/>
      <c r="R1155" s="13">
        <v>5.9918981481481483E-2</v>
      </c>
      <c r="S1155" s="13">
        <v>9.9305555555555553E-3</v>
      </c>
      <c r="T1155" s="13">
        <v>5.7870370370370373E-5</v>
      </c>
      <c r="U1155" s="13"/>
      <c r="V1155" s="13"/>
      <c r="W1155" s="13"/>
    </row>
    <row r="1156" spans="1:23" ht="15" customHeight="1" x14ac:dyDescent="0.25">
      <c r="A1156" s="19">
        <v>46248</v>
      </c>
      <c r="B1156" s="11" t="s">
        <v>293</v>
      </c>
      <c r="C1156" s="12" t="s">
        <v>543</v>
      </c>
      <c r="D1156" s="11" t="s">
        <v>104</v>
      </c>
      <c r="E1156" s="12" t="s">
        <v>600</v>
      </c>
      <c r="F1156" s="12" t="s">
        <v>106</v>
      </c>
      <c r="G1156" s="12">
        <v>27</v>
      </c>
      <c r="H1156" s="13">
        <v>0.24815972222222221</v>
      </c>
      <c r="I1156" s="13">
        <v>0.10400462962962963</v>
      </c>
      <c r="J1156" s="13">
        <v>3.8520233196159123E-3</v>
      </c>
      <c r="K1156" s="13">
        <v>0.12364583333333333</v>
      </c>
      <c r="L1156" s="14">
        <v>0.49825101441164127</v>
      </c>
      <c r="M1156" s="12" t="s">
        <v>334</v>
      </c>
      <c r="N1156" s="13">
        <v>8.2870370370370372E-3</v>
      </c>
      <c r="O1156" s="13">
        <v>1.275462962962963E-2</v>
      </c>
      <c r="P1156" s="13"/>
      <c r="Q1156" s="13"/>
      <c r="R1156" s="13"/>
      <c r="S1156" s="13">
        <v>1.5625E-2</v>
      </c>
      <c r="T1156" s="13">
        <v>1.4236111111111112E-3</v>
      </c>
      <c r="U1156" s="13">
        <v>5.7870370370370373E-5</v>
      </c>
      <c r="V1156" s="13"/>
      <c r="W1156" s="13">
        <v>8.549768518518519E-2</v>
      </c>
    </row>
    <row r="1157" spans="1:23" ht="15" customHeight="1" x14ac:dyDescent="0.25">
      <c r="A1157" s="19">
        <v>46248</v>
      </c>
      <c r="B1157" s="11" t="s">
        <v>606</v>
      </c>
      <c r="C1157" s="12" t="s">
        <v>633</v>
      </c>
      <c r="D1157" s="11" t="s">
        <v>146</v>
      </c>
      <c r="E1157" s="12" t="s">
        <v>147</v>
      </c>
      <c r="F1157" s="12" t="s">
        <v>106</v>
      </c>
      <c r="G1157" s="12">
        <v>8</v>
      </c>
      <c r="H1157" s="13">
        <v>0.2578125</v>
      </c>
      <c r="I1157" s="13">
        <v>4.673611111111111E-2</v>
      </c>
      <c r="J1157" s="13">
        <v>5.8420138888888888E-3</v>
      </c>
      <c r="K1157" s="13">
        <v>5.7407407407407407E-2</v>
      </c>
      <c r="L1157" s="14">
        <v>0.22267115600448933</v>
      </c>
      <c r="M1157" s="12" t="s">
        <v>334</v>
      </c>
      <c r="N1157" s="13">
        <v>1.2662037037037038E-2</v>
      </c>
      <c r="O1157" s="13">
        <v>1.4085648148148147E-2</v>
      </c>
      <c r="P1157" s="13"/>
      <c r="Q1157" s="13"/>
      <c r="R1157" s="13"/>
      <c r="S1157" s="13">
        <v>1.4606481481481481E-2</v>
      </c>
      <c r="T1157" s="13">
        <v>5.0810185185185186E-3</v>
      </c>
      <c r="U1157" s="13">
        <v>8.0208333333333329E-3</v>
      </c>
      <c r="V1157" s="13"/>
      <c r="W1157" s="13">
        <v>2.9050925925925928E-3</v>
      </c>
    </row>
    <row r="1158" spans="1:23" ht="15" customHeight="1" x14ac:dyDescent="0.25">
      <c r="A1158" s="19">
        <v>46248</v>
      </c>
      <c r="B1158" s="11" t="s">
        <v>256</v>
      </c>
      <c r="C1158" s="12" t="s">
        <v>529</v>
      </c>
      <c r="D1158" s="11" t="s">
        <v>233</v>
      </c>
      <c r="E1158" s="12" t="s">
        <v>32</v>
      </c>
      <c r="F1158" s="12" t="s">
        <v>106</v>
      </c>
      <c r="G1158" s="12">
        <v>18</v>
      </c>
      <c r="H1158" s="13">
        <v>0.25701388888888888</v>
      </c>
      <c r="I1158" s="13">
        <v>7.72337962962963E-2</v>
      </c>
      <c r="J1158" s="13">
        <v>4.29076646090535E-3</v>
      </c>
      <c r="K1158" s="13">
        <v>5.6851851851851855E-2</v>
      </c>
      <c r="L1158" s="14">
        <v>0.22120147707826715</v>
      </c>
      <c r="M1158" s="12" t="s">
        <v>334</v>
      </c>
      <c r="N1158" s="13">
        <v>2.417824074074074E-2</v>
      </c>
      <c r="O1158" s="13">
        <v>9.2245370370370363E-3</v>
      </c>
      <c r="P1158" s="13"/>
      <c r="Q1158" s="13"/>
      <c r="R1158" s="13"/>
      <c r="S1158" s="13">
        <v>1.7233796296296296E-2</v>
      </c>
      <c r="T1158" s="13">
        <v>1.5046296296296297E-4</v>
      </c>
      <c r="U1158" s="13">
        <v>6.0069444444444441E-3</v>
      </c>
      <c r="V1158" s="13"/>
      <c r="W1158" s="13"/>
    </row>
    <row r="1159" spans="1:23" ht="15" customHeight="1" x14ac:dyDescent="0.25">
      <c r="A1159" s="19">
        <v>46248</v>
      </c>
      <c r="B1159" s="11" t="s">
        <v>612</v>
      </c>
      <c r="C1159" s="12" t="s">
        <v>634</v>
      </c>
      <c r="D1159" s="11" t="s">
        <v>601</v>
      </c>
      <c r="E1159" s="12" t="s">
        <v>105</v>
      </c>
      <c r="F1159" s="12" t="s">
        <v>33</v>
      </c>
      <c r="G1159" s="12">
        <v>1</v>
      </c>
      <c r="H1159" s="13">
        <v>0.22310185185185186</v>
      </c>
      <c r="I1159" s="13">
        <v>1.2997685185185185E-2</v>
      </c>
      <c r="J1159" s="13">
        <v>1.2997685185185185E-2</v>
      </c>
      <c r="K1159" s="13">
        <v>0.2119675925925926</v>
      </c>
      <c r="L1159" s="14">
        <v>0.95009338036937119</v>
      </c>
      <c r="M1159" s="12" t="s">
        <v>334</v>
      </c>
      <c r="N1159" s="13">
        <v>2.5335648148148149E-2</v>
      </c>
      <c r="O1159" s="13">
        <v>1.511574074074074E-2</v>
      </c>
      <c r="P1159" s="13"/>
      <c r="Q1159" s="13">
        <v>2.3935185185185184E-2</v>
      </c>
      <c r="R1159" s="13"/>
      <c r="S1159" s="13">
        <v>1.3078703703703703E-3</v>
      </c>
      <c r="T1159" s="13">
        <v>8.9699074074074073E-3</v>
      </c>
      <c r="U1159" s="13">
        <v>0.13730324074074074</v>
      </c>
      <c r="V1159" s="13"/>
      <c r="W1159" s="13"/>
    </row>
    <row r="1160" spans="1:23" ht="15" customHeight="1" x14ac:dyDescent="0.25">
      <c r="A1160" s="19">
        <v>46248</v>
      </c>
      <c r="B1160" s="11" t="s">
        <v>258</v>
      </c>
      <c r="C1160" s="12" t="s">
        <v>554</v>
      </c>
      <c r="D1160" s="11" t="s">
        <v>233</v>
      </c>
      <c r="E1160" s="12" t="s">
        <v>32</v>
      </c>
      <c r="F1160" s="12" t="s">
        <v>106</v>
      </c>
      <c r="G1160" s="12">
        <v>1</v>
      </c>
      <c r="H1160" s="13">
        <v>0.21149305555555556</v>
      </c>
      <c r="I1160" s="13">
        <v>1.1319444444444444E-2</v>
      </c>
      <c r="J1160" s="13">
        <v>1.1319444444444444E-2</v>
      </c>
      <c r="K1160" s="13">
        <v>0.18967592592592591</v>
      </c>
      <c r="L1160" s="14">
        <v>0.89684233568653193</v>
      </c>
      <c r="M1160" s="12" t="s">
        <v>334</v>
      </c>
      <c r="N1160" s="13"/>
      <c r="O1160" s="13"/>
      <c r="P1160" s="13"/>
      <c r="Q1160" s="13"/>
      <c r="R1160" s="13"/>
      <c r="S1160" s="13">
        <v>1.3564814814814814E-2</v>
      </c>
      <c r="T1160" s="13">
        <v>2.5462962962962961E-4</v>
      </c>
      <c r="U1160" s="13"/>
      <c r="V1160" s="13"/>
      <c r="W1160" s="13">
        <v>0.17585648148148147</v>
      </c>
    </row>
    <row r="1161" spans="1:23" ht="15" customHeight="1" x14ac:dyDescent="0.25">
      <c r="A1161" s="19">
        <v>46248</v>
      </c>
      <c r="B1161" s="11" t="s">
        <v>661</v>
      </c>
      <c r="C1161" s="12" t="s">
        <v>662</v>
      </c>
      <c r="D1161" s="11" t="s">
        <v>100</v>
      </c>
      <c r="E1161" s="12" t="s">
        <v>32</v>
      </c>
      <c r="F1161" s="12" t="s">
        <v>33</v>
      </c>
      <c r="G1161" s="12">
        <v>29</v>
      </c>
      <c r="H1161" s="13">
        <v>0.25987268518518519</v>
      </c>
      <c r="I1161" s="13">
        <v>0.16571759259259258</v>
      </c>
      <c r="J1161" s="13">
        <v>5.7143997445721576E-3</v>
      </c>
      <c r="K1161" s="13">
        <v>5.7708333333333334E-2</v>
      </c>
      <c r="L1161" s="14">
        <v>0.22206386674386497</v>
      </c>
      <c r="M1161" s="12" t="s">
        <v>334</v>
      </c>
      <c r="N1161" s="13">
        <v>1.6215277777777776E-2</v>
      </c>
      <c r="O1161" s="13">
        <v>1.7708333333333333E-2</v>
      </c>
      <c r="P1161" s="13"/>
      <c r="Q1161" s="13"/>
      <c r="R1161" s="13"/>
      <c r="S1161" s="13">
        <v>1.4270833333333333E-2</v>
      </c>
      <c r="T1161" s="13">
        <v>1.8171296296296297E-3</v>
      </c>
      <c r="U1161" s="13">
        <v>2.0370370370370369E-3</v>
      </c>
      <c r="V1161" s="13"/>
      <c r="W1161" s="13">
        <v>5.6134259259259262E-3</v>
      </c>
    </row>
    <row r="1162" spans="1:23" ht="15" customHeight="1" x14ac:dyDescent="0.25">
      <c r="A1162" s="19">
        <v>46248</v>
      </c>
      <c r="B1162" s="11" t="s">
        <v>663</v>
      </c>
      <c r="C1162" s="12" t="s">
        <v>664</v>
      </c>
      <c r="D1162" s="11" t="s">
        <v>233</v>
      </c>
      <c r="E1162" s="12" t="s">
        <v>32</v>
      </c>
      <c r="F1162" s="12" t="s">
        <v>106</v>
      </c>
      <c r="G1162" s="12">
        <v>19</v>
      </c>
      <c r="H1162" s="13">
        <v>0.26494212962962965</v>
      </c>
      <c r="I1162" s="13">
        <v>0.14467592592592593</v>
      </c>
      <c r="J1162" s="13">
        <v>7.6145224171539965E-3</v>
      </c>
      <c r="K1162" s="13">
        <v>4.3981481481481483E-2</v>
      </c>
      <c r="L1162" s="14">
        <v>0.16600410641736926</v>
      </c>
      <c r="M1162" s="12" t="s">
        <v>334</v>
      </c>
      <c r="N1162" s="13">
        <v>5.9490740740740745E-3</v>
      </c>
      <c r="O1162" s="13">
        <v>1.3819444444444445E-2</v>
      </c>
      <c r="P1162" s="13"/>
      <c r="Q1162" s="13">
        <v>4.7222222222222223E-3</v>
      </c>
      <c r="R1162" s="13"/>
      <c r="S1162" s="13">
        <v>1.9166666666666665E-2</v>
      </c>
      <c r="T1162" s="13">
        <v>8.1018518518518516E-5</v>
      </c>
      <c r="U1162" s="13">
        <v>2.3148148148148149E-4</v>
      </c>
      <c r="V1162" s="13"/>
      <c r="W1162" s="13"/>
    </row>
    <row r="1163" spans="1:23" ht="15" customHeight="1" x14ac:dyDescent="0.25">
      <c r="A1163" s="19">
        <v>46248</v>
      </c>
      <c r="B1163" s="11" t="s">
        <v>665</v>
      </c>
      <c r="C1163" s="12" t="s">
        <v>666</v>
      </c>
      <c r="D1163" s="11" t="s">
        <v>100</v>
      </c>
      <c r="E1163" s="12" t="s">
        <v>32</v>
      </c>
      <c r="F1163" s="12" t="s">
        <v>33</v>
      </c>
      <c r="G1163" s="12">
        <v>30</v>
      </c>
      <c r="H1163" s="13">
        <v>0.25535879629629632</v>
      </c>
      <c r="I1163" s="13">
        <v>0.18457175925925925</v>
      </c>
      <c r="J1163" s="13">
        <v>6.1523919753086421E-3</v>
      </c>
      <c r="K1163" s="13">
        <v>3.0347222222222223E-2</v>
      </c>
      <c r="L1163" s="14">
        <v>0.11884149934279109</v>
      </c>
      <c r="M1163" s="12" t="s">
        <v>334</v>
      </c>
      <c r="N1163" s="13">
        <v>1.3773148148148147E-3</v>
      </c>
      <c r="O1163" s="13">
        <v>1.3125E-2</v>
      </c>
      <c r="P1163" s="13"/>
      <c r="Q1163" s="13"/>
      <c r="R1163" s="13"/>
      <c r="S1163" s="13">
        <v>1.3125E-2</v>
      </c>
      <c r="T1163" s="13">
        <v>1.6203703703703703E-4</v>
      </c>
      <c r="U1163" s="13">
        <v>1.25E-3</v>
      </c>
      <c r="V1163" s="13"/>
      <c r="W1163" s="13">
        <v>1.25E-3</v>
      </c>
    </row>
    <row r="1164" spans="1:23" ht="15" customHeight="1" x14ac:dyDescent="0.25">
      <c r="A1164" s="19">
        <v>46248</v>
      </c>
      <c r="B1164" s="11" t="s">
        <v>264</v>
      </c>
      <c r="C1164" s="12" t="s">
        <v>530</v>
      </c>
      <c r="D1164" s="11" t="s">
        <v>78</v>
      </c>
      <c r="E1164" s="12" t="s">
        <v>80</v>
      </c>
      <c r="F1164" s="12" t="s">
        <v>106</v>
      </c>
      <c r="G1164" s="12">
        <v>0</v>
      </c>
      <c r="H1164" s="13">
        <v>1.1805555555555556E-3</v>
      </c>
      <c r="I1164" s="13">
        <v>0</v>
      </c>
      <c r="J1164" s="13">
        <v>0</v>
      </c>
      <c r="K1164" s="13">
        <v>0</v>
      </c>
      <c r="L1164" s="14">
        <v>0</v>
      </c>
      <c r="M1164" s="12" t="s">
        <v>333</v>
      </c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</row>
    <row r="1165" spans="1:23" ht="15" customHeight="1" x14ac:dyDescent="0.25">
      <c r="A1165" s="19">
        <v>46248</v>
      </c>
      <c r="B1165" s="11" t="s">
        <v>128</v>
      </c>
      <c r="C1165" s="12" t="s">
        <v>555</v>
      </c>
      <c r="D1165" s="11" t="s">
        <v>233</v>
      </c>
      <c r="E1165" s="12" t="s">
        <v>32</v>
      </c>
      <c r="F1165" s="12" t="s">
        <v>106</v>
      </c>
      <c r="G1165" s="12">
        <v>27</v>
      </c>
      <c r="H1165" s="13">
        <v>0.24570601851851853</v>
      </c>
      <c r="I1165" s="13">
        <v>9.0057870370370371E-2</v>
      </c>
      <c r="J1165" s="13">
        <v>3.335476680384088E-3</v>
      </c>
      <c r="K1165" s="13">
        <v>6.4560185185185179E-2</v>
      </c>
      <c r="L1165" s="14">
        <v>0.26275378020632151</v>
      </c>
      <c r="M1165" s="12" t="s">
        <v>334</v>
      </c>
      <c r="N1165" s="13">
        <v>1.2210648148148148E-2</v>
      </c>
      <c r="O1165" s="13">
        <v>2.1550925925925925E-2</v>
      </c>
      <c r="P1165" s="13"/>
      <c r="Q1165" s="13">
        <v>6.7708333333333336E-3</v>
      </c>
      <c r="R1165" s="13"/>
      <c r="S1165" s="13">
        <v>1.8148148148148149E-2</v>
      </c>
      <c r="T1165" s="13">
        <v>5.7986111111111112E-3</v>
      </c>
      <c r="U1165" s="13">
        <v>6.9444444444444444E-5</v>
      </c>
      <c r="V1165" s="13"/>
      <c r="W1165" s="13"/>
    </row>
    <row r="1166" spans="1:23" ht="15" customHeight="1" x14ac:dyDescent="0.25">
      <c r="A1166" s="19">
        <v>46248</v>
      </c>
      <c r="B1166" s="11" t="s">
        <v>178</v>
      </c>
      <c r="C1166" s="12" t="s">
        <v>522</v>
      </c>
      <c r="D1166" s="11" t="s">
        <v>146</v>
      </c>
      <c r="E1166" s="12" t="s">
        <v>147</v>
      </c>
      <c r="F1166" s="12" t="s">
        <v>106</v>
      </c>
      <c r="G1166" s="12">
        <v>13</v>
      </c>
      <c r="H1166" s="13">
        <v>0.25369212962962961</v>
      </c>
      <c r="I1166" s="13">
        <v>3.5486111111111114E-2</v>
      </c>
      <c r="J1166" s="13">
        <v>2.7297008547008551E-3</v>
      </c>
      <c r="K1166" s="13">
        <v>3.0532407407407407E-2</v>
      </c>
      <c r="L1166" s="14">
        <v>0.12035220584880697</v>
      </c>
      <c r="M1166" s="12" t="s">
        <v>334</v>
      </c>
      <c r="N1166" s="13"/>
      <c r="O1166" s="13">
        <v>1.7210648148148149E-2</v>
      </c>
      <c r="P1166" s="13"/>
      <c r="Q1166" s="13"/>
      <c r="R1166" s="13">
        <v>1.9675925925925926E-4</v>
      </c>
      <c r="S1166" s="13">
        <v>1.1087962962962963E-2</v>
      </c>
      <c r="T1166" s="13">
        <v>1.3888888888888889E-4</v>
      </c>
      <c r="U1166" s="13">
        <v>1.8634259259259259E-3</v>
      </c>
      <c r="V1166" s="13"/>
      <c r="W1166" s="13"/>
    </row>
    <row r="1167" spans="1:23" ht="15" customHeight="1" x14ac:dyDescent="0.25">
      <c r="A1167" s="19">
        <v>46248</v>
      </c>
      <c r="B1167" s="11" t="s">
        <v>266</v>
      </c>
      <c r="C1167" s="12" t="s">
        <v>531</v>
      </c>
      <c r="D1167" s="11" t="s">
        <v>233</v>
      </c>
      <c r="E1167" s="12" t="s">
        <v>32</v>
      </c>
      <c r="F1167" s="12" t="s">
        <v>106</v>
      </c>
      <c r="G1167" s="12">
        <v>0</v>
      </c>
      <c r="H1167" s="13">
        <v>0.24056712962962962</v>
      </c>
      <c r="I1167" s="13">
        <v>0</v>
      </c>
      <c r="J1167" s="13">
        <v>0</v>
      </c>
      <c r="K1167" s="13">
        <v>0.24056712962962962</v>
      </c>
      <c r="L1167" s="14">
        <v>1</v>
      </c>
      <c r="M1167" s="12" t="s">
        <v>334</v>
      </c>
      <c r="N1167" s="13"/>
      <c r="O1167" s="13">
        <v>1.457175925925926E-2</v>
      </c>
      <c r="P1167" s="13"/>
      <c r="Q1167" s="13"/>
      <c r="R1167" s="13"/>
      <c r="S1167" s="13">
        <v>1.4675925925925926E-2</v>
      </c>
      <c r="T1167" s="13">
        <v>6.9444444444444447E-4</v>
      </c>
      <c r="U1167" s="13"/>
      <c r="V1167" s="13"/>
      <c r="W1167" s="13">
        <v>0.21062500000000001</v>
      </c>
    </row>
    <row r="1168" spans="1:23" ht="15" customHeight="1" x14ac:dyDescent="0.25">
      <c r="A1168" s="19">
        <v>46248</v>
      </c>
      <c r="B1168" s="11" t="s">
        <v>297</v>
      </c>
      <c r="C1168" s="12" t="s">
        <v>667</v>
      </c>
      <c r="D1168" s="11" t="s">
        <v>104</v>
      </c>
      <c r="E1168" s="12" t="s">
        <v>105</v>
      </c>
      <c r="F1168" s="12" t="s">
        <v>106</v>
      </c>
      <c r="G1168" s="12">
        <v>3</v>
      </c>
      <c r="H1168" s="13">
        <v>0.20949074074074073</v>
      </c>
      <c r="I1168" s="13">
        <v>3.6284722222222225E-2</v>
      </c>
      <c r="J1168" s="13">
        <v>1.2094907407407408E-2</v>
      </c>
      <c r="K1168" s="13">
        <v>0.1955324074074074</v>
      </c>
      <c r="L1168" s="14">
        <v>0.93337016574585641</v>
      </c>
      <c r="M1168" s="12" t="s">
        <v>334</v>
      </c>
      <c r="N1168" s="13">
        <v>1.3229166666666667E-2</v>
      </c>
      <c r="O1168" s="13">
        <v>1.6018518518518519E-2</v>
      </c>
      <c r="P1168" s="13"/>
      <c r="Q1168" s="13"/>
      <c r="R1168" s="13"/>
      <c r="S1168" s="13">
        <v>1.3530092592592592E-2</v>
      </c>
      <c r="T1168" s="13">
        <v>1.6261574074074074E-2</v>
      </c>
      <c r="U1168" s="13">
        <v>3.8194444444444446E-4</v>
      </c>
      <c r="V1168" s="13"/>
      <c r="W1168" s="13">
        <v>0.1361111111111111</v>
      </c>
    </row>
    <row r="1169" spans="1:23" ht="15" customHeight="1" x14ac:dyDescent="0.25">
      <c r="A1169" s="19">
        <v>46248</v>
      </c>
      <c r="B1169" s="11" t="s">
        <v>207</v>
      </c>
      <c r="C1169" s="12" t="s">
        <v>566</v>
      </c>
      <c r="D1169" s="11" t="s">
        <v>274</v>
      </c>
      <c r="E1169" s="12" t="s">
        <v>147</v>
      </c>
      <c r="F1169" s="12" t="s">
        <v>33</v>
      </c>
      <c r="G1169" s="12">
        <v>13</v>
      </c>
      <c r="H1169" s="13">
        <v>0.25760416666666669</v>
      </c>
      <c r="I1169" s="13">
        <v>4.6793981481481478E-2</v>
      </c>
      <c r="J1169" s="13">
        <v>3.5995370370370369E-3</v>
      </c>
      <c r="K1169" s="13">
        <v>3.2164351851851854E-2</v>
      </c>
      <c r="L1169" s="14">
        <v>0.12485959473424091</v>
      </c>
      <c r="M1169" s="12" t="s">
        <v>334</v>
      </c>
      <c r="N1169" s="13">
        <v>8.1018518518518516E-4</v>
      </c>
      <c r="O1169" s="13">
        <v>1.4409722222222223E-2</v>
      </c>
      <c r="P1169" s="13"/>
      <c r="Q1169" s="13">
        <v>2.7777777777777778E-4</v>
      </c>
      <c r="R1169" s="13">
        <v>2.1875000000000002E-3</v>
      </c>
      <c r="S1169" s="13">
        <v>1.3958333333333333E-2</v>
      </c>
      <c r="T1169" s="13">
        <v>1.273148148148148E-4</v>
      </c>
      <c r="U1169" s="13">
        <v>3.8194444444444446E-4</v>
      </c>
      <c r="V1169" s="13"/>
      <c r="W1169" s="13"/>
    </row>
    <row r="1170" spans="1:23" ht="15" customHeight="1" x14ac:dyDescent="0.25">
      <c r="A1170" s="19">
        <v>46248</v>
      </c>
      <c r="B1170" s="11" t="s">
        <v>614</v>
      </c>
      <c r="C1170" s="12" t="s">
        <v>635</v>
      </c>
      <c r="D1170" s="11" t="s">
        <v>601</v>
      </c>
      <c r="E1170" s="12" t="s">
        <v>105</v>
      </c>
      <c r="F1170" s="12" t="s">
        <v>33</v>
      </c>
      <c r="G1170" s="12">
        <v>1</v>
      </c>
      <c r="H1170" s="13">
        <v>0.22381944444444443</v>
      </c>
      <c r="I1170" s="13">
        <v>4.4907407407407405E-3</v>
      </c>
      <c r="J1170" s="13">
        <v>4.4907407407407405E-3</v>
      </c>
      <c r="K1170" s="13">
        <v>0.22137731481481482</v>
      </c>
      <c r="L1170" s="14">
        <v>0.98908884062467683</v>
      </c>
      <c r="M1170" s="12" t="s">
        <v>334</v>
      </c>
      <c r="N1170" s="13"/>
      <c r="O1170" s="13">
        <v>1.1550925925925926E-2</v>
      </c>
      <c r="P1170" s="13"/>
      <c r="Q1170" s="13"/>
      <c r="R1170" s="13"/>
      <c r="S1170" s="13">
        <v>1.712962962962963E-3</v>
      </c>
      <c r="T1170" s="13">
        <v>1.2951388888888889E-2</v>
      </c>
      <c r="U1170" s="13">
        <v>0.19516203703703705</v>
      </c>
      <c r="V1170" s="13"/>
      <c r="W1170" s="13"/>
    </row>
    <row r="1171" spans="1:23" ht="15" customHeight="1" x14ac:dyDescent="0.25">
      <c r="A1171" s="19">
        <v>46248</v>
      </c>
      <c r="B1171" s="11" t="s">
        <v>96</v>
      </c>
      <c r="C1171" s="12" t="s">
        <v>97</v>
      </c>
      <c r="D1171" s="11" t="s">
        <v>78</v>
      </c>
      <c r="E1171" s="12" t="s">
        <v>80</v>
      </c>
      <c r="F1171" s="12" t="s">
        <v>81</v>
      </c>
      <c r="G1171" s="12">
        <v>0</v>
      </c>
      <c r="H1171" s="13">
        <v>0.34445601851851854</v>
      </c>
      <c r="I1171" s="13">
        <v>0</v>
      </c>
      <c r="J1171" s="13">
        <v>0</v>
      </c>
      <c r="K1171" s="13">
        <v>0.12685185185185185</v>
      </c>
      <c r="L1171" s="14">
        <v>0.36826719532273777</v>
      </c>
      <c r="M1171" s="12" t="s">
        <v>334</v>
      </c>
      <c r="N1171" s="13">
        <v>0.10589120370370371</v>
      </c>
      <c r="O1171" s="13"/>
      <c r="P1171" s="13"/>
      <c r="Q1171" s="13"/>
      <c r="R1171" s="13"/>
      <c r="S1171" s="13">
        <v>2.0312500000000001E-2</v>
      </c>
      <c r="T1171" s="13">
        <v>6.9444444444444444E-5</v>
      </c>
      <c r="U1171" s="13">
        <v>5.3240740740740744E-4</v>
      </c>
      <c r="V1171" s="13"/>
      <c r="W1171" s="13"/>
    </row>
    <row r="1172" spans="1:23" ht="15" customHeight="1" x14ac:dyDescent="0.25">
      <c r="A1172" s="19">
        <v>46248</v>
      </c>
      <c r="B1172" s="11" t="s">
        <v>180</v>
      </c>
      <c r="C1172" s="12" t="s">
        <v>523</v>
      </c>
      <c r="D1172" s="11" t="s">
        <v>146</v>
      </c>
      <c r="E1172" s="12" t="s">
        <v>147</v>
      </c>
      <c r="F1172" s="12" t="s">
        <v>106</v>
      </c>
      <c r="G1172" s="12">
        <v>12</v>
      </c>
      <c r="H1172" s="13">
        <v>0.25723379629629628</v>
      </c>
      <c r="I1172" s="13">
        <v>5.3530092592592594E-2</v>
      </c>
      <c r="J1172" s="13">
        <v>4.4608410493827159E-3</v>
      </c>
      <c r="K1172" s="13">
        <v>3.4918981481481481E-2</v>
      </c>
      <c r="L1172" s="14">
        <v>0.13574803149606299</v>
      </c>
      <c r="M1172" s="12" t="s">
        <v>334</v>
      </c>
      <c r="N1172" s="13">
        <v>5.8101851851851856E-3</v>
      </c>
      <c r="O1172" s="13">
        <v>1.4502314814814815E-2</v>
      </c>
      <c r="P1172" s="13"/>
      <c r="Q1172" s="13"/>
      <c r="R1172" s="13"/>
      <c r="S1172" s="13">
        <v>1.4027777777777778E-2</v>
      </c>
      <c r="T1172" s="13">
        <v>1.5046296296296297E-4</v>
      </c>
      <c r="U1172" s="13">
        <v>4.1666666666666669E-4</v>
      </c>
      <c r="V1172" s="13"/>
      <c r="W1172" s="13"/>
    </row>
    <row r="1173" spans="1:23" ht="15" customHeight="1" x14ac:dyDescent="0.25">
      <c r="A1173" s="19">
        <v>46248</v>
      </c>
      <c r="B1173" s="11" t="s">
        <v>615</v>
      </c>
      <c r="C1173" s="12" t="s">
        <v>636</v>
      </c>
      <c r="D1173" s="11" t="s">
        <v>601</v>
      </c>
      <c r="E1173" s="12" t="s">
        <v>105</v>
      </c>
      <c r="F1173" s="12" t="s">
        <v>33</v>
      </c>
      <c r="G1173" s="12">
        <v>4</v>
      </c>
      <c r="H1173" s="13">
        <v>0.24158564814814815</v>
      </c>
      <c r="I1173" s="13">
        <v>7.0000000000000007E-2</v>
      </c>
      <c r="J1173" s="13">
        <v>1.7500000000000002E-2</v>
      </c>
      <c r="K1173" s="13">
        <v>0.23020833333333332</v>
      </c>
      <c r="L1173" s="14">
        <v>0.95290566760887263</v>
      </c>
      <c r="M1173" s="12" t="s">
        <v>334</v>
      </c>
      <c r="N1173" s="13">
        <v>1.8518518518518519E-3</v>
      </c>
      <c r="O1173" s="13">
        <v>1.2048611111111111E-2</v>
      </c>
      <c r="P1173" s="13"/>
      <c r="Q1173" s="13"/>
      <c r="R1173" s="13"/>
      <c r="S1173" s="13">
        <v>1.2962962962962963E-2</v>
      </c>
      <c r="T1173" s="13">
        <v>1.2268518518518518E-3</v>
      </c>
      <c r="U1173" s="13">
        <v>0.2020949074074074</v>
      </c>
      <c r="V1173" s="13"/>
      <c r="W1173" s="13">
        <v>2.3148148148148147E-5</v>
      </c>
    </row>
    <row r="1174" spans="1:23" ht="15" customHeight="1" x14ac:dyDescent="0.25">
      <c r="A1174" s="19">
        <v>46248</v>
      </c>
      <c r="B1174" s="11" t="s">
        <v>616</v>
      </c>
      <c r="C1174" s="12" t="s">
        <v>637</v>
      </c>
      <c r="D1174" s="11" t="s">
        <v>601</v>
      </c>
      <c r="E1174" s="12" t="s">
        <v>105</v>
      </c>
      <c r="F1174" s="12" t="s">
        <v>33</v>
      </c>
      <c r="G1174" s="12">
        <v>2</v>
      </c>
      <c r="H1174" s="13">
        <v>0.20550925925925925</v>
      </c>
      <c r="I1174" s="13">
        <v>2.7534722222222221E-2</v>
      </c>
      <c r="J1174" s="13">
        <v>1.376736111111111E-2</v>
      </c>
      <c r="K1174" s="13">
        <v>0.19317129629629629</v>
      </c>
      <c r="L1174" s="14">
        <v>0.93996395584591119</v>
      </c>
      <c r="M1174" s="12" t="s">
        <v>334</v>
      </c>
      <c r="N1174" s="13">
        <v>9.5023148148148141E-3</v>
      </c>
      <c r="O1174" s="13">
        <v>1.0219907407407407E-2</v>
      </c>
      <c r="P1174" s="13"/>
      <c r="Q1174" s="13"/>
      <c r="R1174" s="13"/>
      <c r="S1174" s="13">
        <v>1.4178240740740741E-2</v>
      </c>
      <c r="T1174" s="13">
        <v>1.0416666666666667E-3</v>
      </c>
      <c r="U1174" s="13">
        <v>0.15822916666666667</v>
      </c>
      <c r="V1174" s="13"/>
      <c r="W1174" s="13"/>
    </row>
    <row r="1175" spans="1:23" ht="15" customHeight="1" x14ac:dyDescent="0.25">
      <c r="A1175" s="19">
        <v>46248</v>
      </c>
      <c r="B1175" s="11" t="s">
        <v>209</v>
      </c>
      <c r="C1175" s="12" t="s">
        <v>567</v>
      </c>
      <c r="D1175" s="11" t="s">
        <v>601</v>
      </c>
      <c r="E1175" s="12" t="s">
        <v>105</v>
      </c>
      <c r="F1175" s="12" t="s">
        <v>33</v>
      </c>
      <c r="G1175" s="12">
        <v>1</v>
      </c>
      <c r="H1175" s="13">
        <v>0.2087037037037037</v>
      </c>
      <c r="I1175" s="13">
        <v>3.3611111111111112E-2</v>
      </c>
      <c r="J1175" s="13">
        <v>3.3611111111111112E-2</v>
      </c>
      <c r="K1175" s="13">
        <v>0.17640046296296297</v>
      </c>
      <c r="L1175" s="14">
        <v>0.84521960958296372</v>
      </c>
      <c r="M1175" s="12" t="s">
        <v>334</v>
      </c>
      <c r="N1175" s="13">
        <v>1.9212962962962964E-3</v>
      </c>
      <c r="O1175" s="13">
        <v>7.0949074074074074E-3</v>
      </c>
      <c r="P1175" s="13"/>
      <c r="Q1175" s="13"/>
      <c r="R1175" s="13"/>
      <c r="S1175" s="13">
        <v>1.6006944444444445E-2</v>
      </c>
      <c r="T1175" s="13">
        <v>1.9675925925925924E-3</v>
      </c>
      <c r="U1175" s="13">
        <v>0.14940972222222224</v>
      </c>
      <c r="V1175" s="13"/>
      <c r="W1175" s="13"/>
    </row>
    <row r="1176" spans="1:23" ht="15" customHeight="1" x14ac:dyDescent="0.25">
      <c r="A1176" s="19">
        <v>46248</v>
      </c>
      <c r="B1176" s="11" t="s">
        <v>60</v>
      </c>
      <c r="C1176" s="12" t="s">
        <v>510</v>
      </c>
      <c r="D1176" s="11" t="s">
        <v>100</v>
      </c>
      <c r="E1176" s="12" t="s">
        <v>32</v>
      </c>
      <c r="F1176" s="12" t="s">
        <v>33</v>
      </c>
      <c r="G1176" s="12">
        <v>33</v>
      </c>
      <c r="H1176" s="13">
        <v>0.2643287037037037</v>
      </c>
      <c r="I1176" s="13">
        <v>0.20256944444444444</v>
      </c>
      <c r="J1176" s="13">
        <v>6.1384680134680134E-3</v>
      </c>
      <c r="K1176" s="13">
        <v>3.3819444444444444E-2</v>
      </c>
      <c r="L1176" s="14">
        <v>0.12794465364742971</v>
      </c>
      <c r="M1176" s="12" t="s">
        <v>334</v>
      </c>
      <c r="N1176" s="13">
        <v>2.7430555555555554E-3</v>
      </c>
      <c r="O1176" s="13">
        <v>1.4675925925925926E-2</v>
      </c>
      <c r="P1176" s="13"/>
      <c r="Q1176" s="13"/>
      <c r="R1176" s="13"/>
      <c r="S1176" s="13">
        <v>1.4641203703703703E-2</v>
      </c>
      <c r="T1176" s="13">
        <v>6.9444444444444444E-5</v>
      </c>
      <c r="U1176" s="13">
        <v>1.6203703703703703E-3</v>
      </c>
      <c r="V1176" s="13"/>
      <c r="W1176" s="13"/>
    </row>
    <row r="1177" spans="1:23" ht="15" customHeight="1" x14ac:dyDescent="0.25">
      <c r="A1177" s="19">
        <v>46248</v>
      </c>
      <c r="B1177" s="11" t="s">
        <v>132</v>
      </c>
      <c r="C1177" s="12" t="s">
        <v>512</v>
      </c>
      <c r="D1177" s="11" t="s">
        <v>104</v>
      </c>
      <c r="E1177" s="12" t="s">
        <v>105</v>
      </c>
      <c r="F1177" s="12" t="s">
        <v>106</v>
      </c>
      <c r="G1177" s="12">
        <v>3</v>
      </c>
      <c r="H1177" s="13">
        <v>0.23670138888888889</v>
      </c>
      <c r="I1177" s="13">
        <v>3.923611111111111E-2</v>
      </c>
      <c r="J1177" s="13">
        <v>1.3078703703703703E-2</v>
      </c>
      <c r="K1177" s="13">
        <v>0.21082175925925925</v>
      </c>
      <c r="L1177" s="14">
        <v>0.89066549312992027</v>
      </c>
      <c r="M1177" s="12" t="s">
        <v>334</v>
      </c>
      <c r="N1177" s="13">
        <v>1.4236111111111112E-3</v>
      </c>
      <c r="O1177" s="13">
        <v>1.892361111111111E-2</v>
      </c>
      <c r="P1177" s="13"/>
      <c r="Q1177" s="13"/>
      <c r="R1177" s="13"/>
      <c r="S1177" s="13">
        <v>1.4722222222222222E-2</v>
      </c>
      <c r="T1177" s="13">
        <v>4.4675925925925924E-3</v>
      </c>
      <c r="U1177" s="13">
        <v>4.5138888888888887E-4</v>
      </c>
      <c r="V1177" s="13"/>
      <c r="W1177" s="13">
        <v>0.17082175925925927</v>
      </c>
    </row>
    <row r="1178" spans="1:23" ht="15" customHeight="1" x14ac:dyDescent="0.25">
      <c r="A1178" s="19">
        <v>46248</v>
      </c>
      <c r="B1178" s="11" t="s">
        <v>211</v>
      </c>
      <c r="C1178" s="12" t="s">
        <v>546</v>
      </c>
      <c r="D1178" s="11" t="s">
        <v>104</v>
      </c>
      <c r="E1178" s="12" t="s">
        <v>105</v>
      </c>
      <c r="F1178" s="12" t="s">
        <v>106</v>
      </c>
      <c r="G1178" s="12">
        <v>3</v>
      </c>
      <c r="H1178" s="13">
        <v>0.1998263888888889</v>
      </c>
      <c r="I1178" s="13">
        <v>8.8888888888888892E-2</v>
      </c>
      <c r="J1178" s="13">
        <v>2.9629629629629631E-2</v>
      </c>
      <c r="K1178" s="13">
        <v>0.14141203703703703</v>
      </c>
      <c r="L1178" s="14">
        <v>0.70767448595424265</v>
      </c>
      <c r="M1178" s="12" t="s">
        <v>334</v>
      </c>
      <c r="N1178" s="13"/>
      <c r="O1178" s="13">
        <v>1.9212962962962963E-2</v>
      </c>
      <c r="P1178" s="13">
        <v>3.7546296296296293E-2</v>
      </c>
      <c r="Q1178" s="13"/>
      <c r="R1178" s="13"/>
      <c r="S1178" s="13"/>
      <c r="T1178" s="13">
        <v>2.5462962962962961E-4</v>
      </c>
      <c r="U1178" s="13">
        <v>3.1250000000000001E-4</v>
      </c>
      <c r="V1178" s="13"/>
      <c r="W1178" s="13">
        <v>8.4085648148148145E-2</v>
      </c>
    </row>
    <row r="1179" spans="1:23" ht="15" customHeight="1" x14ac:dyDescent="0.25">
      <c r="A1179" s="19">
        <v>46248</v>
      </c>
      <c r="B1179" s="11" t="s">
        <v>617</v>
      </c>
      <c r="C1179" s="12" t="s">
        <v>638</v>
      </c>
      <c r="D1179" s="11" t="s">
        <v>601</v>
      </c>
      <c r="E1179" s="12" t="s">
        <v>105</v>
      </c>
      <c r="F1179" s="12" t="s">
        <v>33</v>
      </c>
      <c r="G1179" s="12">
        <v>4</v>
      </c>
      <c r="H1179" s="13">
        <v>0.21660879629629629</v>
      </c>
      <c r="I1179" s="13">
        <v>2.9652777777777778E-2</v>
      </c>
      <c r="J1179" s="13">
        <v>7.4131944444444445E-3</v>
      </c>
      <c r="K1179" s="13">
        <v>0.17590277777777777</v>
      </c>
      <c r="L1179" s="14">
        <v>0.81207587496660438</v>
      </c>
      <c r="M1179" s="12" t="s">
        <v>334</v>
      </c>
      <c r="N1179" s="13">
        <v>7.4768518518518517E-3</v>
      </c>
      <c r="O1179" s="13">
        <v>1.5787037037037037E-2</v>
      </c>
      <c r="P1179" s="13"/>
      <c r="Q1179" s="13"/>
      <c r="R1179" s="13"/>
      <c r="S1179" s="13"/>
      <c r="T1179" s="13">
        <v>2.9398148148148148E-3</v>
      </c>
      <c r="U1179" s="13">
        <v>0.14969907407407407</v>
      </c>
      <c r="V1179" s="13"/>
      <c r="W1179" s="13"/>
    </row>
    <row r="1180" spans="1:23" ht="15" customHeight="1" x14ac:dyDescent="0.25">
      <c r="A1180" s="19">
        <v>46248</v>
      </c>
      <c r="B1180" s="11" t="s">
        <v>618</v>
      </c>
      <c r="C1180" s="12" t="s">
        <v>639</v>
      </c>
      <c r="D1180" s="11" t="s">
        <v>601</v>
      </c>
      <c r="E1180" s="12" t="s">
        <v>105</v>
      </c>
      <c r="F1180" s="12" t="s">
        <v>33</v>
      </c>
      <c r="G1180" s="12">
        <v>3</v>
      </c>
      <c r="H1180" s="13">
        <v>0.22537037037037036</v>
      </c>
      <c r="I1180" s="13">
        <v>3.7118055555555557E-2</v>
      </c>
      <c r="J1180" s="13">
        <v>1.2372685185185186E-2</v>
      </c>
      <c r="K1180" s="13">
        <v>0.20120370370370369</v>
      </c>
      <c r="L1180" s="14">
        <v>0.89276910435497125</v>
      </c>
      <c r="M1180" s="12" t="s">
        <v>334</v>
      </c>
      <c r="N1180" s="13">
        <v>2.0150462962962964E-2</v>
      </c>
      <c r="O1180" s="13">
        <v>1.6053240740740739E-2</v>
      </c>
      <c r="P1180" s="13"/>
      <c r="Q1180" s="13"/>
      <c r="R1180" s="13"/>
      <c r="S1180" s="13">
        <v>8.5995370370370375E-3</v>
      </c>
      <c r="T1180" s="13">
        <v>3.2986111111111111E-3</v>
      </c>
      <c r="U1180" s="13">
        <v>0.15310185185185185</v>
      </c>
      <c r="V1180" s="13"/>
      <c r="W1180" s="13"/>
    </row>
    <row r="1181" spans="1:23" ht="15" customHeight="1" x14ac:dyDescent="0.25">
      <c r="A1181" s="19">
        <v>46248</v>
      </c>
      <c r="B1181" s="11" t="s">
        <v>501</v>
      </c>
      <c r="C1181" s="12" t="s">
        <v>524</v>
      </c>
      <c r="D1181" s="11" t="s">
        <v>274</v>
      </c>
      <c r="E1181" s="12" t="s">
        <v>147</v>
      </c>
      <c r="F1181" s="12" t="s">
        <v>33</v>
      </c>
      <c r="G1181" s="12">
        <v>9</v>
      </c>
      <c r="H1181" s="13">
        <v>0.2590277777777778</v>
      </c>
      <c r="I1181" s="13">
        <v>4.7569444444444442E-2</v>
      </c>
      <c r="J1181" s="13">
        <v>5.2854938271604934E-3</v>
      </c>
      <c r="K1181" s="13">
        <v>4.3946759259259262E-2</v>
      </c>
      <c r="L1181" s="14">
        <v>0.1696604110813226</v>
      </c>
      <c r="M1181" s="12" t="s">
        <v>334</v>
      </c>
      <c r="N1181" s="13">
        <v>6.076388888888889E-3</v>
      </c>
      <c r="O1181" s="13">
        <v>1.6875000000000001E-2</v>
      </c>
      <c r="P1181" s="13"/>
      <c r="Q1181" s="13">
        <v>4.2476851851851851E-3</v>
      </c>
      <c r="R1181" s="13"/>
      <c r="S1181" s="13">
        <v>1.3935185185185186E-2</v>
      </c>
      <c r="T1181" s="13">
        <v>2.8124999999999999E-3</v>
      </c>
      <c r="U1181" s="13"/>
      <c r="V1181" s="13"/>
      <c r="W1181" s="13"/>
    </row>
    <row r="1182" spans="1:23" ht="15" customHeight="1" x14ac:dyDescent="0.25">
      <c r="A1182" s="19">
        <v>46248</v>
      </c>
      <c r="B1182" s="11" t="s">
        <v>213</v>
      </c>
      <c r="C1182" s="12" t="s">
        <v>572</v>
      </c>
      <c r="D1182" s="11" t="s">
        <v>601</v>
      </c>
      <c r="E1182" s="12" t="s">
        <v>105</v>
      </c>
      <c r="F1182" s="12" t="s">
        <v>33</v>
      </c>
      <c r="G1182" s="12">
        <v>5</v>
      </c>
      <c r="H1182" s="13">
        <v>0.23376157407407408</v>
      </c>
      <c r="I1182" s="13">
        <v>0.11155092592592593</v>
      </c>
      <c r="J1182" s="13">
        <v>2.2310185185185186E-2</v>
      </c>
      <c r="K1182" s="13">
        <v>0.2114351851851852</v>
      </c>
      <c r="L1182" s="14">
        <v>0.90449076595533995</v>
      </c>
      <c r="M1182" s="12" t="s">
        <v>334</v>
      </c>
      <c r="N1182" s="13">
        <v>2.3148148148148147E-3</v>
      </c>
      <c r="O1182" s="13">
        <v>1.6064814814814816E-2</v>
      </c>
      <c r="P1182" s="13"/>
      <c r="Q1182" s="13"/>
      <c r="R1182" s="13"/>
      <c r="S1182" s="13">
        <v>1.3888888888888888E-2</v>
      </c>
      <c r="T1182" s="13">
        <v>6.2037037037037035E-3</v>
      </c>
      <c r="U1182" s="13">
        <v>0.17296296296296296</v>
      </c>
      <c r="V1182" s="13"/>
      <c r="W1182" s="13"/>
    </row>
    <row r="1183" spans="1:23" ht="15" customHeight="1" x14ac:dyDescent="0.25">
      <c r="A1183" s="19">
        <v>46248</v>
      </c>
      <c r="B1183" s="11" t="s">
        <v>619</v>
      </c>
      <c r="C1183" s="12" t="s">
        <v>640</v>
      </c>
      <c r="D1183" s="11" t="s">
        <v>601</v>
      </c>
      <c r="E1183" s="12" t="s">
        <v>105</v>
      </c>
      <c r="F1183" s="12" t="s">
        <v>33</v>
      </c>
      <c r="G1183" s="12">
        <v>4</v>
      </c>
      <c r="H1183" s="13">
        <v>0.17247685185185185</v>
      </c>
      <c r="I1183" s="13">
        <v>5.0092592592592591E-2</v>
      </c>
      <c r="J1183" s="13">
        <v>1.2523148148148148E-2</v>
      </c>
      <c r="K1183" s="13">
        <v>0.13219907407407408</v>
      </c>
      <c r="L1183" s="14">
        <v>0.76647429875184536</v>
      </c>
      <c r="M1183" s="12" t="s">
        <v>334</v>
      </c>
      <c r="N1183" s="13"/>
      <c r="O1183" s="13">
        <v>1.0324074074074074E-2</v>
      </c>
      <c r="P1183" s="13"/>
      <c r="Q1183" s="13">
        <v>2.0462962962962964E-2</v>
      </c>
      <c r="R1183" s="13"/>
      <c r="S1183" s="13"/>
      <c r="T1183" s="13">
        <v>1.9328703703703704E-3</v>
      </c>
      <c r="U1183" s="13">
        <v>9.947916666666666E-2</v>
      </c>
      <c r="V1183" s="13"/>
      <c r="W1183" s="13"/>
    </row>
    <row r="1184" spans="1:23" ht="15" customHeight="1" x14ac:dyDescent="0.25">
      <c r="A1184" s="19">
        <v>46248</v>
      </c>
      <c r="B1184" s="11" t="s">
        <v>668</v>
      </c>
      <c r="C1184" s="12" t="s">
        <v>669</v>
      </c>
      <c r="D1184" s="11" t="s">
        <v>233</v>
      </c>
      <c r="E1184" s="12" t="s">
        <v>32</v>
      </c>
      <c r="F1184" s="12" t="s">
        <v>106</v>
      </c>
      <c r="G1184" s="12">
        <v>32</v>
      </c>
      <c r="H1184" s="13">
        <v>0.26047453703703705</v>
      </c>
      <c r="I1184" s="13">
        <v>9.6469907407407407E-2</v>
      </c>
      <c r="J1184" s="13">
        <v>3.0146846064814815E-3</v>
      </c>
      <c r="K1184" s="13">
        <v>4.193287037037037E-2</v>
      </c>
      <c r="L1184" s="14">
        <v>0.16098644745612087</v>
      </c>
      <c r="M1184" s="12" t="s">
        <v>334</v>
      </c>
      <c r="N1184" s="13">
        <v>4.5370370370370373E-3</v>
      </c>
      <c r="O1184" s="13">
        <v>1.4375000000000001E-2</v>
      </c>
      <c r="P1184" s="13"/>
      <c r="Q1184" s="13"/>
      <c r="R1184" s="13"/>
      <c r="S1184" s="13">
        <v>1.2974537037037038E-2</v>
      </c>
      <c r="T1184" s="13">
        <v>9.7569444444444448E-3</v>
      </c>
      <c r="U1184" s="13">
        <v>2.8935185185185184E-4</v>
      </c>
      <c r="V1184" s="13"/>
      <c r="W1184" s="13"/>
    </row>
    <row r="1185" spans="1:23" ht="15" customHeight="1" x14ac:dyDescent="0.25">
      <c r="A1185" s="19">
        <v>46248</v>
      </c>
      <c r="B1185" s="11" t="s">
        <v>219</v>
      </c>
      <c r="C1185" s="12" t="s">
        <v>548</v>
      </c>
      <c r="D1185" s="11" t="s">
        <v>104</v>
      </c>
      <c r="E1185" s="12" t="s">
        <v>105</v>
      </c>
      <c r="F1185" s="12" t="s">
        <v>106</v>
      </c>
      <c r="G1185" s="12">
        <v>3</v>
      </c>
      <c r="H1185" s="13">
        <v>0.21409722222222222</v>
      </c>
      <c r="I1185" s="13">
        <v>4.880787037037037E-2</v>
      </c>
      <c r="J1185" s="13">
        <v>1.6269290123456789E-2</v>
      </c>
      <c r="K1185" s="13">
        <v>0.18660879629629629</v>
      </c>
      <c r="L1185" s="14">
        <v>0.87160774137744623</v>
      </c>
      <c r="M1185" s="12" t="s">
        <v>334</v>
      </c>
      <c r="N1185" s="13"/>
      <c r="O1185" s="13">
        <v>1.1296296296296296E-2</v>
      </c>
      <c r="P1185" s="13"/>
      <c r="Q1185" s="13"/>
      <c r="R1185" s="13"/>
      <c r="S1185" s="13">
        <v>1.2719907407407407E-2</v>
      </c>
      <c r="T1185" s="13">
        <v>2.0046296296296295E-2</v>
      </c>
      <c r="U1185" s="13">
        <v>1.9675925925925926E-4</v>
      </c>
      <c r="V1185" s="13"/>
      <c r="W1185" s="13">
        <v>0.14234953703703704</v>
      </c>
    </row>
    <row r="1186" spans="1:23" ht="15" customHeight="1" x14ac:dyDescent="0.25">
      <c r="A1186" s="19">
        <v>46248</v>
      </c>
      <c r="B1186" s="11" t="s">
        <v>305</v>
      </c>
      <c r="C1186" s="12" t="s">
        <v>306</v>
      </c>
      <c r="D1186" s="11" t="s">
        <v>100</v>
      </c>
      <c r="E1186" s="12" t="s">
        <v>32</v>
      </c>
      <c r="F1186" s="12" t="s">
        <v>33</v>
      </c>
      <c r="G1186" s="12">
        <v>39</v>
      </c>
      <c r="H1186" s="13">
        <v>0.26071759259259258</v>
      </c>
      <c r="I1186" s="13">
        <v>0.18174768518518519</v>
      </c>
      <c r="J1186" s="13">
        <v>4.6601970560303891E-3</v>
      </c>
      <c r="K1186" s="13">
        <v>4.8680555555555553E-2</v>
      </c>
      <c r="L1186" s="14">
        <v>0.18671757080706738</v>
      </c>
      <c r="M1186" s="12" t="s">
        <v>334</v>
      </c>
      <c r="N1186" s="13">
        <v>1.5810185185185184E-2</v>
      </c>
      <c r="O1186" s="13">
        <v>1.6782407407407409E-2</v>
      </c>
      <c r="P1186" s="13"/>
      <c r="Q1186" s="13"/>
      <c r="R1186" s="13"/>
      <c r="S1186" s="13">
        <v>1.5775462962962963E-2</v>
      </c>
      <c r="T1186" s="13">
        <v>3.1250000000000001E-4</v>
      </c>
      <c r="U1186" s="13"/>
      <c r="V1186" s="13"/>
      <c r="W1186" s="13"/>
    </row>
    <row r="1187" spans="1:23" ht="15" customHeight="1" x14ac:dyDescent="0.25">
      <c r="A1187" s="19">
        <v>46248</v>
      </c>
      <c r="B1187" s="11" t="s">
        <v>620</v>
      </c>
      <c r="C1187" s="12" t="s">
        <v>641</v>
      </c>
      <c r="D1187" s="11" t="s">
        <v>601</v>
      </c>
      <c r="E1187" s="12" t="s">
        <v>105</v>
      </c>
      <c r="F1187" s="12" t="s">
        <v>33</v>
      </c>
      <c r="G1187" s="12">
        <v>2</v>
      </c>
      <c r="H1187" s="13">
        <v>0.21501157407407406</v>
      </c>
      <c r="I1187" s="13">
        <v>2.9791666666666668E-2</v>
      </c>
      <c r="J1187" s="13">
        <v>1.4895833333333334E-2</v>
      </c>
      <c r="K1187" s="13">
        <v>0.20385416666666667</v>
      </c>
      <c r="L1187" s="14">
        <v>0.94810787532970886</v>
      </c>
      <c r="M1187" s="12" t="s">
        <v>334</v>
      </c>
      <c r="N1187" s="13">
        <v>2.4074074074074076E-3</v>
      </c>
      <c r="O1187" s="13">
        <v>1.6087962962962964E-2</v>
      </c>
      <c r="P1187" s="13"/>
      <c r="Q1187" s="13"/>
      <c r="R1187" s="13"/>
      <c r="S1187" s="13">
        <v>1.3136574074074075E-2</v>
      </c>
      <c r="T1187" s="13">
        <v>5.4861111111111109E-3</v>
      </c>
      <c r="U1187" s="13">
        <v>0.16673611111111111</v>
      </c>
      <c r="V1187" s="13"/>
      <c r="W1187" s="13"/>
    </row>
    <row r="1188" spans="1:23" ht="15" customHeight="1" x14ac:dyDescent="0.25">
      <c r="A1188" s="19">
        <v>46248</v>
      </c>
      <c r="B1188" s="11" t="s">
        <v>138</v>
      </c>
      <c r="C1188" s="12" t="s">
        <v>556</v>
      </c>
      <c r="D1188" s="11" t="s">
        <v>104</v>
      </c>
      <c r="E1188" s="12" t="s">
        <v>105</v>
      </c>
      <c r="F1188" s="12" t="s">
        <v>106</v>
      </c>
      <c r="G1188" s="12">
        <v>6</v>
      </c>
      <c r="H1188" s="13">
        <v>0.25723379629629628</v>
      </c>
      <c r="I1188" s="13">
        <v>0.12680555555555556</v>
      </c>
      <c r="J1188" s="13">
        <v>2.1134259259259259E-2</v>
      </c>
      <c r="K1188" s="13">
        <v>0.17902777777777779</v>
      </c>
      <c r="L1188" s="14">
        <v>0.69597300337457824</v>
      </c>
      <c r="M1188" s="12" t="s">
        <v>334</v>
      </c>
      <c r="N1188" s="13">
        <v>4.9421296296296297E-3</v>
      </c>
      <c r="O1188" s="13">
        <v>2.0983796296296296E-2</v>
      </c>
      <c r="P1188" s="13"/>
      <c r="Q1188" s="13"/>
      <c r="R1188" s="13"/>
      <c r="S1188" s="13">
        <v>1.7766203703703704E-2</v>
      </c>
      <c r="T1188" s="13">
        <v>5.6944444444444447E-3</v>
      </c>
      <c r="U1188" s="13">
        <v>3.8194444444444446E-4</v>
      </c>
      <c r="V1188" s="13"/>
      <c r="W1188" s="13">
        <v>0.12925925925925927</v>
      </c>
    </row>
    <row r="1189" spans="1:23" ht="15" customHeight="1" x14ac:dyDescent="0.25">
      <c r="A1189" s="19">
        <v>46248</v>
      </c>
      <c r="B1189" s="11" t="s">
        <v>276</v>
      </c>
      <c r="C1189" s="12" t="s">
        <v>532</v>
      </c>
      <c r="D1189" s="11" t="s">
        <v>233</v>
      </c>
      <c r="E1189" s="12" t="s">
        <v>32</v>
      </c>
      <c r="F1189" s="12" t="s">
        <v>106</v>
      </c>
      <c r="G1189" s="12">
        <v>31</v>
      </c>
      <c r="H1189" s="13">
        <v>0.26374999999999998</v>
      </c>
      <c r="I1189" s="13">
        <v>6.2962962962962957E-2</v>
      </c>
      <c r="J1189" s="13">
        <v>2.0310633213859019E-3</v>
      </c>
      <c r="K1189" s="13">
        <v>5.6273148148148149E-2</v>
      </c>
      <c r="L1189" s="14">
        <v>0.21335790767070389</v>
      </c>
      <c r="M1189" s="12" t="s">
        <v>334</v>
      </c>
      <c r="N1189" s="13">
        <v>1.4421296296296297E-2</v>
      </c>
      <c r="O1189" s="13">
        <v>1.6168981481481482E-2</v>
      </c>
      <c r="P1189" s="13"/>
      <c r="Q1189" s="13"/>
      <c r="R1189" s="13"/>
      <c r="S1189" s="13">
        <v>1.4409722222222223E-2</v>
      </c>
      <c r="T1189" s="13">
        <v>1.1273148148148148E-2</v>
      </c>
      <c r="U1189" s="13"/>
      <c r="V1189" s="13"/>
      <c r="W1189" s="13"/>
    </row>
    <row r="1190" spans="1:23" ht="15" customHeight="1" x14ac:dyDescent="0.25">
      <c r="A1190" s="19">
        <v>46248</v>
      </c>
      <c r="B1190" s="11" t="s">
        <v>278</v>
      </c>
      <c r="C1190" s="12" t="s">
        <v>533</v>
      </c>
      <c r="D1190" s="11" t="s">
        <v>233</v>
      </c>
      <c r="E1190" s="12" t="s">
        <v>32</v>
      </c>
      <c r="F1190" s="12" t="s">
        <v>106</v>
      </c>
      <c r="G1190" s="12">
        <v>21</v>
      </c>
      <c r="H1190" s="13">
        <v>0.26652777777777775</v>
      </c>
      <c r="I1190" s="13">
        <v>0.12325231481481481</v>
      </c>
      <c r="J1190" s="13">
        <v>5.8691578483245146E-3</v>
      </c>
      <c r="K1190" s="13">
        <v>3.5185185185185187E-2</v>
      </c>
      <c r="L1190" s="14">
        <v>0.13201320132013203</v>
      </c>
      <c r="M1190" s="12" t="s">
        <v>334</v>
      </c>
      <c r="N1190" s="13">
        <v>2.7430555555555554E-3</v>
      </c>
      <c r="O1190" s="13">
        <v>1.380787037037037E-2</v>
      </c>
      <c r="P1190" s="13"/>
      <c r="Q1190" s="13">
        <v>6.9444444444444444E-5</v>
      </c>
      <c r="R1190" s="13"/>
      <c r="S1190" s="13">
        <v>1.3645833333333333E-2</v>
      </c>
      <c r="T1190" s="13">
        <v>4.9189814814814816E-3</v>
      </c>
      <c r="U1190" s="13"/>
      <c r="V1190" s="13"/>
      <c r="W1190" s="13"/>
    </row>
    <row r="1191" spans="1:23" ht="15" customHeight="1" x14ac:dyDescent="0.25">
      <c r="A1191" s="19">
        <v>46248</v>
      </c>
      <c r="B1191" s="11" t="s">
        <v>313</v>
      </c>
      <c r="C1191" s="12" t="s">
        <v>511</v>
      </c>
      <c r="D1191" s="11" t="s">
        <v>78</v>
      </c>
      <c r="E1191" s="12" t="s">
        <v>80</v>
      </c>
      <c r="F1191" s="12" t="s">
        <v>81</v>
      </c>
      <c r="G1191" s="12">
        <v>2</v>
      </c>
      <c r="H1191" s="13">
        <v>0.26217592592592592</v>
      </c>
      <c r="I1191" s="13">
        <v>1.4143518518518519E-2</v>
      </c>
      <c r="J1191" s="13">
        <v>7.0717592592592594E-3</v>
      </c>
      <c r="K1191" s="13">
        <v>7.2187500000000002E-2</v>
      </c>
      <c r="L1191" s="14">
        <v>0.2753399258343634</v>
      </c>
      <c r="M1191" s="12" t="s">
        <v>334</v>
      </c>
      <c r="N1191" s="13"/>
      <c r="O1191" s="13">
        <v>2.0902777777777777E-2</v>
      </c>
      <c r="P1191" s="13"/>
      <c r="Q1191" s="13">
        <v>1.0300925925925926E-3</v>
      </c>
      <c r="R1191" s="13"/>
      <c r="S1191" s="13">
        <v>1.1388888888888889E-2</v>
      </c>
      <c r="T1191" s="13">
        <v>1.3888888888888889E-4</v>
      </c>
      <c r="U1191" s="13"/>
      <c r="V1191" s="13"/>
      <c r="W1191" s="13">
        <v>3.8726851851851853E-2</v>
      </c>
    </row>
    <row r="1192" spans="1:23" ht="15" customHeight="1" x14ac:dyDescent="0.25">
      <c r="A1192" s="19">
        <v>46248</v>
      </c>
      <c r="B1192" s="11" t="s">
        <v>673</v>
      </c>
      <c r="C1192" s="12" t="s">
        <v>674</v>
      </c>
      <c r="D1192" s="11" t="s">
        <v>104</v>
      </c>
      <c r="E1192" s="12" t="s">
        <v>105</v>
      </c>
      <c r="F1192" s="12" t="s">
        <v>106</v>
      </c>
      <c r="G1192" s="12">
        <v>3</v>
      </c>
      <c r="H1192" s="13">
        <v>0.23731481481481481</v>
      </c>
      <c r="I1192" s="13">
        <v>8.0694444444444444E-2</v>
      </c>
      <c r="J1192" s="13">
        <v>2.6898148148148147E-2</v>
      </c>
      <c r="K1192" s="13">
        <v>0.19369212962962962</v>
      </c>
      <c r="L1192" s="14">
        <v>0.81618220834959032</v>
      </c>
      <c r="M1192" s="12" t="s">
        <v>334</v>
      </c>
      <c r="N1192" s="13">
        <v>1.7222222222222222E-2</v>
      </c>
      <c r="O1192" s="13">
        <v>9.8611111111111104E-3</v>
      </c>
      <c r="P1192" s="13"/>
      <c r="Q1192" s="13"/>
      <c r="R1192" s="13"/>
      <c r="S1192" s="13">
        <v>8.518518518518519E-3</v>
      </c>
      <c r="T1192" s="13">
        <v>6.134259259259259E-4</v>
      </c>
      <c r="U1192" s="13">
        <v>2.199074074074074E-4</v>
      </c>
      <c r="V1192" s="13"/>
      <c r="W1192" s="13">
        <v>0.15725694444444444</v>
      </c>
    </row>
    <row r="1193" spans="1:23" ht="15" customHeight="1" x14ac:dyDescent="0.25">
      <c r="A1193" s="19">
        <v>46248</v>
      </c>
      <c r="B1193" s="11" t="s">
        <v>225</v>
      </c>
      <c r="C1193" s="12" t="s">
        <v>549</v>
      </c>
      <c r="D1193" s="11" t="s">
        <v>601</v>
      </c>
      <c r="E1193" s="12" t="s">
        <v>105</v>
      </c>
      <c r="F1193" s="12" t="s">
        <v>33</v>
      </c>
      <c r="G1193" s="12">
        <v>3</v>
      </c>
      <c r="H1193" s="13">
        <v>0.22278935185185186</v>
      </c>
      <c r="I1193" s="13">
        <v>4.8726851851851855E-2</v>
      </c>
      <c r="J1193" s="13">
        <v>1.6242283950617286E-2</v>
      </c>
      <c r="K1193" s="13">
        <v>0.18429398148148149</v>
      </c>
      <c r="L1193" s="14">
        <v>0.82721180321055643</v>
      </c>
      <c r="M1193" s="12" t="s">
        <v>334</v>
      </c>
      <c r="N1193" s="13">
        <v>4.4212962962962964E-3</v>
      </c>
      <c r="O1193" s="13">
        <v>7.2106481481481483E-3</v>
      </c>
      <c r="P1193" s="13"/>
      <c r="Q1193" s="13"/>
      <c r="R1193" s="13"/>
      <c r="S1193" s="13"/>
      <c r="T1193" s="13">
        <v>1.4467592592592592E-3</v>
      </c>
      <c r="U1193" s="13">
        <v>0.17121527777777779</v>
      </c>
      <c r="V1193" s="13"/>
      <c r="W1193" s="13"/>
    </row>
    <row r="1194" spans="1:23" ht="15" customHeight="1" x14ac:dyDescent="0.25">
      <c r="A1194" s="19">
        <v>46248</v>
      </c>
      <c r="B1194" s="11" t="s">
        <v>70</v>
      </c>
      <c r="C1194" s="12" t="s">
        <v>71</v>
      </c>
      <c r="D1194" s="11" t="s">
        <v>78</v>
      </c>
      <c r="E1194" s="12" t="s">
        <v>80</v>
      </c>
      <c r="F1194" s="12" t="s">
        <v>33</v>
      </c>
      <c r="G1194" s="12">
        <v>0</v>
      </c>
      <c r="H1194" s="13">
        <v>0.31731481481481483</v>
      </c>
      <c r="I1194" s="13">
        <v>0</v>
      </c>
      <c r="J1194" s="13">
        <v>0</v>
      </c>
      <c r="K1194" s="13">
        <v>7.4675925925925923E-2</v>
      </c>
      <c r="L1194" s="14">
        <v>0.23533702947184124</v>
      </c>
      <c r="M1194" s="12" t="s">
        <v>334</v>
      </c>
      <c r="N1194" s="13"/>
      <c r="O1194" s="13">
        <v>5.3333333333333337E-2</v>
      </c>
      <c r="P1194" s="13"/>
      <c r="Q1194" s="13"/>
      <c r="R1194" s="13">
        <v>3.5069444444444445E-3</v>
      </c>
      <c r="S1194" s="13">
        <v>1.6886574074074075E-2</v>
      </c>
      <c r="T1194" s="13">
        <v>9.3749999999999997E-4</v>
      </c>
      <c r="U1194" s="13"/>
      <c r="V1194" s="13"/>
      <c r="W1194" s="13"/>
    </row>
    <row r="1195" spans="1:23" ht="15" customHeight="1" x14ac:dyDescent="0.25">
      <c r="A1195" s="19">
        <v>46248</v>
      </c>
      <c r="B1195" s="11" t="s">
        <v>280</v>
      </c>
      <c r="C1195" s="12" t="s">
        <v>534</v>
      </c>
      <c r="D1195" s="11" t="s">
        <v>233</v>
      </c>
      <c r="E1195" s="12" t="s">
        <v>32</v>
      </c>
      <c r="F1195" s="12" t="s">
        <v>106</v>
      </c>
      <c r="G1195" s="12">
        <v>23</v>
      </c>
      <c r="H1195" s="13">
        <v>0.25458333333333333</v>
      </c>
      <c r="I1195" s="13">
        <v>9.0300925925925923E-2</v>
      </c>
      <c r="J1195" s="13">
        <v>3.9261272141706922E-3</v>
      </c>
      <c r="K1195" s="13">
        <v>4.4143518518518519E-2</v>
      </c>
      <c r="L1195" s="14">
        <v>0.1733951627568649</v>
      </c>
      <c r="M1195" s="12" t="s">
        <v>334</v>
      </c>
      <c r="N1195" s="13">
        <v>8.9467592592592585E-3</v>
      </c>
      <c r="O1195" s="13">
        <v>1.7187500000000001E-2</v>
      </c>
      <c r="P1195" s="13"/>
      <c r="Q1195" s="13"/>
      <c r="R1195" s="13"/>
      <c r="S1195" s="13">
        <v>1.443287037037037E-2</v>
      </c>
      <c r="T1195" s="13">
        <v>3.5763888888888889E-3</v>
      </c>
      <c r="U1195" s="13"/>
      <c r="V1195" s="13"/>
      <c r="W1195" s="13"/>
    </row>
    <row r="1196" spans="1:23" ht="15" customHeight="1" x14ac:dyDescent="0.25">
      <c r="A1196" s="19">
        <v>46248</v>
      </c>
      <c r="B1196" s="11" t="s">
        <v>299</v>
      </c>
      <c r="C1196" s="12" t="s">
        <v>571</v>
      </c>
      <c r="D1196" s="11" t="s">
        <v>104</v>
      </c>
      <c r="E1196" s="12" t="s">
        <v>105</v>
      </c>
      <c r="F1196" s="12" t="s">
        <v>106</v>
      </c>
      <c r="G1196" s="12">
        <v>4</v>
      </c>
      <c r="H1196" s="13">
        <v>0.25743055555555555</v>
      </c>
      <c r="I1196" s="13">
        <v>0.12086805555555556</v>
      </c>
      <c r="J1196" s="13">
        <v>3.021701388888889E-2</v>
      </c>
      <c r="K1196" s="13">
        <v>0.17136574074074074</v>
      </c>
      <c r="L1196" s="14">
        <v>0.66567754698318493</v>
      </c>
      <c r="M1196" s="12" t="s">
        <v>334</v>
      </c>
      <c r="N1196" s="13"/>
      <c r="O1196" s="13">
        <v>1.7465277777777777E-2</v>
      </c>
      <c r="P1196" s="13"/>
      <c r="Q1196" s="13"/>
      <c r="R1196" s="13"/>
      <c r="S1196" s="13">
        <v>1.0324074074074074E-2</v>
      </c>
      <c r="T1196" s="13">
        <v>1.5046296296296297E-4</v>
      </c>
      <c r="U1196" s="13">
        <v>4.5138888888888887E-4</v>
      </c>
      <c r="V1196" s="13"/>
      <c r="W1196" s="13">
        <v>0.14297453703703702</v>
      </c>
    </row>
    <row r="1197" spans="1:23" ht="15" customHeight="1" x14ac:dyDescent="0.25">
      <c r="A1197" s="20">
        <v>46248</v>
      </c>
      <c r="B1197" s="15" t="s">
        <v>598</v>
      </c>
      <c r="C1197" s="16" t="s">
        <v>598</v>
      </c>
      <c r="D1197" s="15" t="s">
        <v>284</v>
      </c>
      <c r="E1197" s="16"/>
      <c r="F1197" s="16"/>
      <c r="G1197" s="16">
        <v>1</v>
      </c>
      <c r="H1197" s="17">
        <v>0</v>
      </c>
      <c r="I1197" s="17">
        <v>1.1574074074074073E-5</v>
      </c>
      <c r="J1197" s="17">
        <v>1.1574074074074073E-5</v>
      </c>
      <c r="K1197" s="17">
        <v>0</v>
      </c>
      <c r="L1197" s="18">
        <v>0</v>
      </c>
      <c r="M1197" s="16" t="s">
        <v>333</v>
      </c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</row>
    <row r="1198" spans="1:23" ht="15" customHeight="1" x14ac:dyDescent="0.25">
      <c r="A1198" s="19">
        <v>46248</v>
      </c>
      <c r="B1198" s="11" t="s">
        <v>227</v>
      </c>
      <c r="C1198" s="12" t="s">
        <v>557</v>
      </c>
      <c r="D1198" s="11" t="s">
        <v>146</v>
      </c>
      <c r="E1198" s="12" t="s">
        <v>147</v>
      </c>
      <c r="F1198" s="12" t="s">
        <v>106</v>
      </c>
      <c r="G1198" s="12">
        <v>10</v>
      </c>
      <c r="H1198" s="13">
        <v>0.26984953703703701</v>
      </c>
      <c r="I1198" s="13">
        <v>5.7037037037037039E-2</v>
      </c>
      <c r="J1198" s="13">
        <v>5.7037037037037039E-3</v>
      </c>
      <c r="K1198" s="13">
        <v>3.6203703703703703E-2</v>
      </c>
      <c r="L1198" s="14">
        <v>0.13416255629423118</v>
      </c>
      <c r="M1198" s="12" t="s">
        <v>334</v>
      </c>
      <c r="N1198" s="13">
        <v>6.2384259259259259E-3</v>
      </c>
      <c r="O1198" s="13">
        <v>1.3981481481481482E-2</v>
      </c>
      <c r="P1198" s="13">
        <v>1.273148148148148E-4</v>
      </c>
      <c r="Q1198" s="13">
        <v>9.3749999999999997E-4</v>
      </c>
      <c r="R1198" s="13"/>
      <c r="S1198" s="13">
        <v>1.3796296296296296E-2</v>
      </c>
      <c r="T1198" s="13">
        <v>1.9675925925925926E-4</v>
      </c>
      <c r="U1198" s="13">
        <v>8.9120370370370373E-4</v>
      </c>
      <c r="V1198" s="13"/>
      <c r="W1198" s="13"/>
    </row>
    <row r="1199" spans="1:23" ht="15" customHeight="1" x14ac:dyDescent="0.25">
      <c r="A1199" s="19">
        <v>46248</v>
      </c>
      <c r="B1199" s="11" t="s">
        <v>282</v>
      </c>
      <c r="C1199" s="12" t="s">
        <v>535</v>
      </c>
      <c r="D1199" s="11" t="s">
        <v>233</v>
      </c>
      <c r="E1199" s="12" t="s">
        <v>32</v>
      </c>
      <c r="F1199" s="12" t="s">
        <v>106</v>
      </c>
      <c r="G1199" s="12">
        <v>30</v>
      </c>
      <c r="H1199" s="13">
        <v>0.25734953703703706</v>
      </c>
      <c r="I1199" s="13">
        <v>9.1597222222222219E-2</v>
      </c>
      <c r="J1199" s="13">
        <v>3.0532407407407405E-3</v>
      </c>
      <c r="K1199" s="13">
        <v>4.3402777777777776E-2</v>
      </c>
      <c r="L1199" s="14">
        <v>0.16865302451090622</v>
      </c>
      <c r="M1199" s="12" t="s">
        <v>334</v>
      </c>
      <c r="N1199" s="13">
        <v>8.0092592592592594E-3</v>
      </c>
      <c r="O1199" s="13">
        <v>1.7766203703703704E-2</v>
      </c>
      <c r="P1199" s="13"/>
      <c r="Q1199" s="13"/>
      <c r="R1199" s="13"/>
      <c r="S1199" s="13">
        <v>1.457175925925926E-2</v>
      </c>
      <c r="T1199" s="13">
        <v>3.0555555555555557E-3</v>
      </c>
      <c r="U1199" s="13"/>
      <c r="V1199" s="13"/>
      <c r="W1199" s="13"/>
    </row>
    <row r="1200" spans="1:23" ht="15" customHeight="1" x14ac:dyDescent="0.25">
      <c r="A1200" s="19">
        <v>46248</v>
      </c>
      <c r="B1200" s="11" t="s">
        <v>675</v>
      </c>
      <c r="C1200" s="12" t="s">
        <v>676</v>
      </c>
      <c r="D1200" s="11" t="s">
        <v>104</v>
      </c>
      <c r="E1200" s="12" t="s">
        <v>105</v>
      </c>
      <c r="F1200" s="12" t="s">
        <v>106</v>
      </c>
      <c r="G1200" s="12">
        <v>4</v>
      </c>
      <c r="H1200" s="13">
        <v>0.26195601851851852</v>
      </c>
      <c r="I1200" s="13">
        <v>0.14101851851851852</v>
      </c>
      <c r="J1200" s="13">
        <v>3.5254629629629629E-2</v>
      </c>
      <c r="K1200" s="13">
        <v>0.17371527777777779</v>
      </c>
      <c r="L1200" s="14">
        <v>0.66314673264701984</v>
      </c>
      <c r="M1200" s="12" t="s">
        <v>334</v>
      </c>
      <c r="N1200" s="13"/>
      <c r="O1200" s="13">
        <v>1.3564814814814814E-2</v>
      </c>
      <c r="P1200" s="13"/>
      <c r="Q1200" s="13"/>
      <c r="R1200" s="13"/>
      <c r="S1200" s="13">
        <v>1.3969907407407407E-2</v>
      </c>
      <c r="T1200" s="13">
        <v>3.7615740740740739E-3</v>
      </c>
      <c r="U1200" s="13">
        <v>3.1250000000000001E-4</v>
      </c>
      <c r="V1200" s="13"/>
      <c r="W1200" s="13">
        <v>0.14210648148148147</v>
      </c>
    </row>
    <row r="1201" spans="1:23" ht="15" customHeight="1" x14ac:dyDescent="0.25">
      <c r="A1201" s="19">
        <v>46248</v>
      </c>
      <c r="B1201" s="11" t="s">
        <v>677</v>
      </c>
      <c r="C1201" s="12" t="s">
        <v>678</v>
      </c>
      <c r="D1201" s="11" t="s">
        <v>274</v>
      </c>
      <c r="E1201" s="12" t="s">
        <v>147</v>
      </c>
      <c r="F1201" s="12" t="s">
        <v>33</v>
      </c>
      <c r="G1201" s="12">
        <v>12</v>
      </c>
      <c r="H1201" s="13">
        <v>0.26135416666666667</v>
      </c>
      <c r="I1201" s="13">
        <v>4.4027777777777777E-2</v>
      </c>
      <c r="J1201" s="13">
        <v>3.6689814814814814E-3</v>
      </c>
      <c r="K1201" s="13">
        <v>3.9363425925925927E-2</v>
      </c>
      <c r="L1201" s="14">
        <v>0.15061334750453922</v>
      </c>
      <c r="M1201" s="12" t="s">
        <v>334</v>
      </c>
      <c r="N1201" s="13">
        <v>6.0069444444444441E-3</v>
      </c>
      <c r="O1201" s="13">
        <v>1.5196759259259259E-2</v>
      </c>
      <c r="P1201" s="13"/>
      <c r="Q1201" s="13">
        <v>2.3958333333333331E-3</v>
      </c>
      <c r="R1201" s="13"/>
      <c r="S1201" s="13">
        <v>1.4768518518518519E-2</v>
      </c>
      <c r="T1201" s="13">
        <v>5.7870370370370367E-4</v>
      </c>
      <c r="U1201" s="13">
        <v>3.8194444444444446E-4</v>
      </c>
      <c r="V1201" s="13"/>
      <c r="W1201" s="13"/>
    </row>
    <row r="1202" spans="1:23" ht="15" customHeight="1" x14ac:dyDescent="0.25">
      <c r="A1202" s="19">
        <v>46249</v>
      </c>
      <c r="B1202" s="11" t="s">
        <v>186</v>
      </c>
      <c r="C1202" s="12" t="s">
        <v>562</v>
      </c>
      <c r="D1202" s="11" t="s">
        <v>78</v>
      </c>
      <c r="E1202" s="12" t="s">
        <v>80</v>
      </c>
      <c r="F1202" s="12" t="s">
        <v>33</v>
      </c>
      <c r="G1202" s="12">
        <v>3</v>
      </c>
      <c r="H1202" s="13">
        <v>0.26402777777777775</v>
      </c>
      <c r="I1202" s="13">
        <v>2.7164351851851853E-2</v>
      </c>
      <c r="J1202" s="13">
        <v>9.0547839506172848E-3</v>
      </c>
      <c r="K1202" s="13">
        <v>3.2627314814814817E-2</v>
      </c>
      <c r="L1202" s="14">
        <v>0.12357531123969842</v>
      </c>
      <c r="M1202" s="12" t="s">
        <v>334</v>
      </c>
      <c r="N1202" s="13">
        <v>5.5671296296296293E-3</v>
      </c>
      <c r="O1202" s="13">
        <v>1.2337962962962964E-2</v>
      </c>
      <c r="P1202" s="13"/>
      <c r="Q1202" s="13"/>
      <c r="R1202" s="13"/>
      <c r="S1202" s="13">
        <v>1.4548611111111111E-2</v>
      </c>
      <c r="T1202" s="13">
        <v>5.7870370370370373E-5</v>
      </c>
      <c r="U1202" s="13">
        <v>1.0416666666666667E-4</v>
      </c>
      <c r="V1202" s="13"/>
      <c r="W1202" s="13"/>
    </row>
    <row r="1203" spans="1:23" ht="15" customHeight="1" x14ac:dyDescent="0.25">
      <c r="A1203" s="19">
        <v>46249</v>
      </c>
      <c r="B1203" s="11" t="s">
        <v>643</v>
      </c>
      <c r="C1203" s="12" t="s">
        <v>644</v>
      </c>
      <c r="D1203" s="11" t="s">
        <v>233</v>
      </c>
      <c r="E1203" s="12" t="s">
        <v>32</v>
      </c>
      <c r="F1203" s="12" t="s">
        <v>106</v>
      </c>
      <c r="G1203" s="12">
        <v>16</v>
      </c>
      <c r="H1203" s="13">
        <v>0.26254629629629628</v>
      </c>
      <c r="I1203" s="13">
        <v>8.7928240740740737E-2</v>
      </c>
      <c r="J1203" s="13">
        <v>5.4955150462962961E-3</v>
      </c>
      <c r="K1203" s="13">
        <v>3.2581018518518516E-2</v>
      </c>
      <c r="L1203" s="14">
        <v>0.12409627931581732</v>
      </c>
      <c r="M1203" s="12" t="s">
        <v>334</v>
      </c>
      <c r="N1203" s="13">
        <v>2.8819444444444444E-3</v>
      </c>
      <c r="O1203" s="13">
        <v>1.2986111111111111E-2</v>
      </c>
      <c r="P1203" s="13"/>
      <c r="Q1203" s="13"/>
      <c r="R1203" s="13"/>
      <c r="S1203" s="13">
        <v>1.4351851851851852E-2</v>
      </c>
      <c r="T1203" s="13">
        <v>3.2407407407407406E-4</v>
      </c>
      <c r="U1203" s="13">
        <v>2.0023148148148148E-3</v>
      </c>
      <c r="V1203" s="13"/>
      <c r="W1203" s="13"/>
    </row>
    <row r="1204" spans="1:23" ht="15" customHeight="1" x14ac:dyDescent="0.25">
      <c r="A1204" s="19">
        <v>46249</v>
      </c>
      <c r="B1204" s="11" t="s">
        <v>193</v>
      </c>
      <c r="C1204" s="12" t="s">
        <v>563</v>
      </c>
      <c r="D1204" s="11" t="s">
        <v>274</v>
      </c>
      <c r="E1204" s="12" t="s">
        <v>147</v>
      </c>
      <c r="F1204" s="12" t="s">
        <v>33</v>
      </c>
      <c r="G1204" s="12">
        <v>14</v>
      </c>
      <c r="H1204" s="13">
        <v>0.26822916666666669</v>
      </c>
      <c r="I1204" s="13">
        <v>3.4004629629629628E-2</v>
      </c>
      <c r="J1204" s="13">
        <v>2.4289021164021164E-3</v>
      </c>
      <c r="K1204" s="13">
        <v>3.1342592592592596E-2</v>
      </c>
      <c r="L1204" s="14">
        <v>0.11685005393743259</v>
      </c>
      <c r="M1204" s="12" t="s">
        <v>334</v>
      </c>
      <c r="N1204" s="13">
        <v>2.476851851851852E-3</v>
      </c>
      <c r="O1204" s="13">
        <v>7.3379629629629628E-3</v>
      </c>
      <c r="P1204" s="13"/>
      <c r="Q1204" s="13"/>
      <c r="R1204" s="13">
        <v>7.0717592592592594E-3</v>
      </c>
      <c r="S1204" s="13">
        <v>1.3923611111111111E-2</v>
      </c>
      <c r="T1204" s="13">
        <v>5.7870370370370373E-5</v>
      </c>
      <c r="U1204" s="13">
        <v>4.3981481481481481E-4</v>
      </c>
      <c r="V1204" s="13"/>
      <c r="W1204" s="13"/>
    </row>
    <row r="1205" spans="1:23" ht="15" customHeight="1" x14ac:dyDescent="0.25">
      <c r="A1205" s="19">
        <v>46249</v>
      </c>
      <c r="B1205" s="11" t="s">
        <v>231</v>
      </c>
      <c r="C1205" s="12" t="s">
        <v>525</v>
      </c>
      <c r="D1205" s="11" t="s">
        <v>233</v>
      </c>
      <c r="E1205" s="12" t="s">
        <v>32</v>
      </c>
      <c r="F1205" s="12" t="s">
        <v>106</v>
      </c>
      <c r="G1205" s="12">
        <v>21</v>
      </c>
      <c r="H1205" s="13">
        <v>0.26202546296296297</v>
      </c>
      <c r="I1205" s="13">
        <v>6.0034722222222225E-2</v>
      </c>
      <c r="J1205" s="13">
        <v>2.8587962962962963E-3</v>
      </c>
      <c r="K1205" s="13">
        <v>4.4166666666666667E-2</v>
      </c>
      <c r="L1205" s="14">
        <v>0.16855868192057952</v>
      </c>
      <c r="M1205" s="12" t="s">
        <v>334</v>
      </c>
      <c r="N1205" s="13">
        <v>2.9629629629629628E-3</v>
      </c>
      <c r="O1205" s="13">
        <v>1.4050925925925927E-2</v>
      </c>
      <c r="P1205" s="13"/>
      <c r="Q1205" s="13"/>
      <c r="R1205" s="13"/>
      <c r="S1205" s="13">
        <v>1.3900462962962963E-2</v>
      </c>
      <c r="T1205" s="13">
        <v>1.3055555555555556E-2</v>
      </c>
      <c r="U1205" s="13">
        <v>1.9675925925925926E-4</v>
      </c>
      <c r="V1205" s="13"/>
      <c r="W1205" s="13"/>
    </row>
    <row r="1206" spans="1:23" ht="15" customHeight="1" x14ac:dyDescent="0.25">
      <c r="A1206" s="19">
        <v>46249</v>
      </c>
      <c r="B1206" s="11" t="s">
        <v>148</v>
      </c>
      <c r="C1206" s="12" t="s">
        <v>513</v>
      </c>
      <c r="D1206" s="11" t="s">
        <v>104</v>
      </c>
      <c r="E1206" s="12" t="s">
        <v>105</v>
      </c>
      <c r="F1206" s="12" t="s">
        <v>106</v>
      </c>
      <c r="G1206" s="12">
        <v>2</v>
      </c>
      <c r="H1206" s="13">
        <v>0.25190972222222224</v>
      </c>
      <c r="I1206" s="13">
        <v>5.2499999999999998E-2</v>
      </c>
      <c r="J1206" s="13">
        <v>2.6249999999999999E-2</v>
      </c>
      <c r="K1206" s="13">
        <v>0.22954861111111111</v>
      </c>
      <c r="L1206" s="14">
        <v>0.91123363197794616</v>
      </c>
      <c r="M1206" s="12" t="s">
        <v>334</v>
      </c>
      <c r="N1206" s="13">
        <v>3.7847222222222223E-3</v>
      </c>
      <c r="O1206" s="13">
        <v>1.4918981481481481E-2</v>
      </c>
      <c r="P1206" s="13"/>
      <c r="Q1206" s="13"/>
      <c r="R1206" s="13"/>
      <c r="S1206" s="13">
        <v>1.3935185185185186E-2</v>
      </c>
      <c r="T1206" s="13">
        <v>4.1504629629629627E-2</v>
      </c>
      <c r="U1206" s="13">
        <v>2.5462962962962961E-4</v>
      </c>
      <c r="V1206" s="13"/>
      <c r="W1206" s="13">
        <v>0.15515046296296298</v>
      </c>
    </row>
    <row r="1207" spans="1:23" ht="15" customHeight="1" x14ac:dyDescent="0.25">
      <c r="A1207" s="19">
        <v>46249</v>
      </c>
      <c r="B1207" s="11" t="s">
        <v>234</v>
      </c>
      <c r="C1207" s="12" t="s">
        <v>550</v>
      </c>
      <c r="D1207" s="11" t="s">
        <v>233</v>
      </c>
      <c r="E1207" s="12" t="s">
        <v>32</v>
      </c>
      <c r="F1207" s="12" t="s">
        <v>106</v>
      </c>
      <c r="G1207" s="12">
        <v>18</v>
      </c>
      <c r="H1207" s="13">
        <v>0.2651736111111111</v>
      </c>
      <c r="I1207" s="13">
        <v>2.78125E-2</v>
      </c>
      <c r="J1207" s="13">
        <v>1.5451388888888889E-3</v>
      </c>
      <c r="K1207" s="13">
        <v>4.1319444444444443E-2</v>
      </c>
      <c r="L1207" s="14">
        <v>0.15582034830430799</v>
      </c>
      <c r="M1207" s="12" t="s">
        <v>334</v>
      </c>
      <c r="N1207" s="13">
        <v>9.6874999999999999E-3</v>
      </c>
      <c r="O1207" s="13">
        <v>1.4236111111111111E-2</v>
      </c>
      <c r="P1207" s="13"/>
      <c r="Q1207" s="13">
        <v>2.7777777777777778E-4</v>
      </c>
      <c r="R1207" s="13"/>
      <c r="S1207" s="13">
        <v>1.3831018518518519E-2</v>
      </c>
      <c r="T1207" s="13">
        <v>3.2870370370370371E-3</v>
      </c>
      <c r="U1207" s="13"/>
      <c r="V1207" s="13"/>
      <c r="W1207" s="13"/>
    </row>
    <row r="1208" spans="1:23" ht="15" customHeight="1" x14ac:dyDescent="0.25">
      <c r="A1208" s="19">
        <v>46249</v>
      </c>
      <c r="B1208" s="11" t="s">
        <v>34</v>
      </c>
      <c r="C1208" s="12" t="s">
        <v>505</v>
      </c>
      <c r="D1208" s="11" t="s">
        <v>233</v>
      </c>
      <c r="E1208" s="12" t="s">
        <v>32</v>
      </c>
      <c r="F1208" s="12" t="s">
        <v>106</v>
      </c>
      <c r="G1208" s="12">
        <v>17</v>
      </c>
      <c r="H1208" s="13">
        <v>0.26231481481481483</v>
      </c>
      <c r="I1208" s="13">
        <v>3.9155092592592596E-2</v>
      </c>
      <c r="J1208" s="13">
        <v>2.3032407407407411E-3</v>
      </c>
      <c r="K1208" s="13">
        <v>4.3287037037037034E-2</v>
      </c>
      <c r="L1208" s="14">
        <v>0.16501941404871159</v>
      </c>
      <c r="M1208" s="12" t="s">
        <v>334</v>
      </c>
      <c r="N1208" s="13">
        <v>7.3726851851851852E-3</v>
      </c>
      <c r="O1208" s="13">
        <v>1.4097222222222223E-2</v>
      </c>
      <c r="P1208" s="13"/>
      <c r="Q1208" s="13"/>
      <c r="R1208" s="13"/>
      <c r="S1208" s="13">
        <v>1.3391203703703704E-2</v>
      </c>
      <c r="T1208" s="13">
        <v>8.1018518518518516E-5</v>
      </c>
      <c r="U1208" s="13">
        <v>8.3449074074074068E-3</v>
      </c>
      <c r="V1208" s="13"/>
      <c r="W1208" s="13"/>
    </row>
    <row r="1209" spans="1:23" ht="15" customHeight="1" x14ac:dyDescent="0.25">
      <c r="A1209" s="19">
        <v>46249</v>
      </c>
      <c r="B1209" s="11" t="s">
        <v>236</v>
      </c>
      <c r="C1209" s="12" t="s">
        <v>551</v>
      </c>
      <c r="D1209" s="11" t="s">
        <v>233</v>
      </c>
      <c r="E1209" s="12" t="s">
        <v>32</v>
      </c>
      <c r="F1209" s="12" t="s">
        <v>106</v>
      </c>
      <c r="G1209" s="12">
        <v>1</v>
      </c>
      <c r="H1209" s="13">
        <v>0.22994212962962962</v>
      </c>
      <c r="I1209" s="13">
        <v>1.3194444444444445E-3</v>
      </c>
      <c r="J1209" s="13">
        <v>1.3194444444444445E-3</v>
      </c>
      <c r="K1209" s="13">
        <v>0.21041666666666667</v>
      </c>
      <c r="L1209" s="14">
        <v>0.91508531736044696</v>
      </c>
      <c r="M1209" s="12" t="s">
        <v>334</v>
      </c>
      <c r="N1209" s="13">
        <v>8.324074074074074E-2</v>
      </c>
      <c r="O1209" s="13">
        <v>9.2708333333333341E-3</v>
      </c>
      <c r="P1209" s="13"/>
      <c r="Q1209" s="13"/>
      <c r="R1209" s="13"/>
      <c r="S1209" s="13"/>
      <c r="T1209" s="13">
        <v>6.0879629629629626E-3</v>
      </c>
      <c r="U1209" s="13">
        <v>8.1018518518518516E-5</v>
      </c>
      <c r="V1209" s="13"/>
      <c r="W1209" s="13">
        <v>0.11173611111111111</v>
      </c>
    </row>
    <row r="1210" spans="1:23" ht="15" customHeight="1" x14ac:dyDescent="0.25">
      <c r="A1210" s="19">
        <v>46249</v>
      </c>
      <c r="B1210" s="11" t="s">
        <v>238</v>
      </c>
      <c r="C1210" s="12" t="s">
        <v>526</v>
      </c>
      <c r="D1210" s="11" t="s">
        <v>233</v>
      </c>
      <c r="E1210" s="12" t="s">
        <v>32</v>
      </c>
      <c r="F1210" s="12" t="s">
        <v>106</v>
      </c>
      <c r="G1210" s="12">
        <v>0</v>
      </c>
      <c r="H1210" s="13">
        <v>0.23643518518518519</v>
      </c>
      <c r="I1210" s="13">
        <v>0</v>
      </c>
      <c r="J1210" s="13">
        <v>0</v>
      </c>
      <c r="K1210" s="13">
        <v>0.23641203703703703</v>
      </c>
      <c r="L1210" s="14">
        <v>0.99990209516350104</v>
      </c>
      <c r="M1210" s="12" t="s">
        <v>334</v>
      </c>
      <c r="N1210" s="13"/>
      <c r="O1210" s="13">
        <v>1.5405092592592592E-2</v>
      </c>
      <c r="P1210" s="13"/>
      <c r="Q1210" s="13"/>
      <c r="R1210" s="13"/>
      <c r="S1210" s="13">
        <v>2.1875000000000002E-3</v>
      </c>
      <c r="T1210" s="13">
        <v>8.1018518518518516E-4</v>
      </c>
      <c r="U1210" s="13"/>
      <c r="V1210" s="13"/>
      <c r="W1210" s="13">
        <v>0.21800925925925926</v>
      </c>
    </row>
    <row r="1211" spans="1:23" ht="15" customHeight="1" x14ac:dyDescent="0.25">
      <c r="A1211" s="19">
        <v>46249</v>
      </c>
      <c r="B1211" s="11" t="s">
        <v>608</v>
      </c>
      <c r="C1211" s="12" t="s">
        <v>631</v>
      </c>
      <c r="D1211" s="11" t="s">
        <v>601</v>
      </c>
      <c r="E1211" s="12" t="s">
        <v>105</v>
      </c>
      <c r="F1211" s="12" t="s">
        <v>33</v>
      </c>
      <c r="G1211" s="12">
        <v>1</v>
      </c>
      <c r="H1211" s="13">
        <v>0.24533564814814815</v>
      </c>
      <c r="I1211" s="13">
        <v>2.7777777777777776E-2</v>
      </c>
      <c r="J1211" s="13">
        <v>2.7777777777777776E-2</v>
      </c>
      <c r="K1211" s="13">
        <v>0.23814814814814814</v>
      </c>
      <c r="L1211" s="14">
        <v>0.97070340142472988</v>
      </c>
      <c r="M1211" s="12" t="s">
        <v>334</v>
      </c>
      <c r="N1211" s="13"/>
      <c r="O1211" s="13">
        <v>1.3958333333333333E-2</v>
      </c>
      <c r="P1211" s="13"/>
      <c r="Q1211" s="13"/>
      <c r="R1211" s="13"/>
      <c r="S1211" s="13">
        <v>1.3784722222222223E-2</v>
      </c>
      <c r="T1211" s="13">
        <v>3.7268518518518519E-3</v>
      </c>
      <c r="U1211" s="13">
        <v>0.20667824074074073</v>
      </c>
      <c r="V1211" s="13"/>
      <c r="W1211" s="13"/>
    </row>
    <row r="1212" spans="1:23" ht="15" customHeight="1" x14ac:dyDescent="0.25">
      <c r="A1212" s="19">
        <v>46249</v>
      </c>
      <c r="B1212" s="11" t="s">
        <v>197</v>
      </c>
      <c r="C1212" s="12" t="s">
        <v>564</v>
      </c>
      <c r="D1212" s="11" t="s">
        <v>601</v>
      </c>
      <c r="E1212" s="12" t="s">
        <v>105</v>
      </c>
      <c r="F1212" s="12" t="s">
        <v>33</v>
      </c>
      <c r="G1212" s="12">
        <v>3</v>
      </c>
      <c r="H1212" s="13">
        <v>0.24645833333333333</v>
      </c>
      <c r="I1212" s="13">
        <v>5.7337962962962966E-2</v>
      </c>
      <c r="J1212" s="13">
        <v>1.9112654320987656E-2</v>
      </c>
      <c r="K1212" s="13">
        <v>0.24440972222222221</v>
      </c>
      <c r="L1212" s="14">
        <v>0.99168779938010698</v>
      </c>
      <c r="M1212" s="12" t="s">
        <v>334</v>
      </c>
      <c r="N1212" s="13"/>
      <c r="O1212" s="13">
        <v>1.4537037037037038E-2</v>
      </c>
      <c r="P1212" s="13"/>
      <c r="Q1212" s="13"/>
      <c r="R1212" s="13"/>
      <c r="S1212" s="13">
        <v>1.4583333333333334E-2</v>
      </c>
      <c r="T1212" s="13">
        <v>2.7777777777777778E-4</v>
      </c>
      <c r="U1212" s="13">
        <v>2.0381944444444446E-2</v>
      </c>
      <c r="V1212" s="13"/>
      <c r="W1212" s="13">
        <v>0.19462962962962962</v>
      </c>
    </row>
    <row r="1213" spans="1:23" ht="15" customHeight="1" x14ac:dyDescent="0.25">
      <c r="A1213" s="19">
        <v>46249</v>
      </c>
      <c r="B1213" s="11" t="s">
        <v>150</v>
      </c>
      <c r="C1213" s="12" t="s">
        <v>514</v>
      </c>
      <c r="D1213" s="11" t="s">
        <v>146</v>
      </c>
      <c r="E1213" s="12" t="s">
        <v>147</v>
      </c>
      <c r="F1213" s="12" t="s">
        <v>106</v>
      </c>
      <c r="G1213" s="12">
        <v>17</v>
      </c>
      <c r="H1213" s="13">
        <v>0.23289351851851853</v>
      </c>
      <c r="I1213" s="13">
        <v>3.9502314814814816E-2</v>
      </c>
      <c r="J1213" s="13">
        <v>2.3236655773420482E-3</v>
      </c>
      <c r="K1213" s="13">
        <v>3.3206018518518517E-2</v>
      </c>
      <c r="L1213" s="14">
        <v>0.14258026041148991</v>
      </c>
      <c r="M1213" s="12" t="s">
        <v>334</v>
      </c>
      <c r="N1213" s="13">
        <v>1.5740740740740741E-3</v>
      </c>
      <c r="O1213" s="13">
        <v>1.5833333333333335E-2</v>
      </c>
      <c r="P1213" s="13"/>
      <c r="Q1213" s="13"/>
      <c r="R1213" s="13"/>
      <c r="S1213" s="13">
        <v>1.5057870370370371E-2</v>
      </c>
      <c r="T1213" s="13">
        <v>1.5046296296296297E-4</v>
      </c>
      <c r="U1213" s="13">
        <v>4.1666666666666669E-4</v>
      </c>
      <c r="V1213" s="13"/>
      <c r="W1213" s="13"/>
    </row>
    <row r="1214" spans="1:23" ht="15" customHeight="1" x14ac:dyDescent="0.25">
      <c r="A1214" s="19">
        <v>46249</v>
      </c>
      <c r="B1214" s="11" t="s">
        <v>681</v>
      </c>
      <c r="C1214" s="12" t="s">
        <v>682</v>
      </c>
      <c r="D1214" s="11" t="s">
        <v>601</v>
      </c>
      <c r="E1214" s="12" t="s">
        <v>105</v>
      </c>
      <c r="F1214" s="12" t="s">
        <v>33</v>
      </c>
      <c r="G1214" s="12">
        <v>3</v>
      </c>
      <c r="H1214" s="13">
        <v>0.25715277777777779</v>
      </c>
      <c r="I1214" s="13">
        <v>6.5740740740740738E-2</v>
      </c>
      <c r="J1214" s="13">
        <v>2.1913580246913578E-2</v>
      </c>
      <c r="K1214" s="13">
        <v>0.24972222222222223</v>
      </c>
      <c r="L1214" s="14">
        <v>0.9711045098568728</v>
      </c>
      <c r="M1214" s="12" t="s">
        <v>334</v>
      </c>
      <c r="N1214" s="13">
        <v>4.9652777777777777E-3</v>
      </c>
      <c r="O1214" s="13">
        <v>1.2974537037037038E-2</v>
      </c>
      <c r="P1214" s="13"/>
      <c r="Q1214" s="13"/>
      <c r="R1214" s="13"/>
      <c r="S1214" s="13">
        <v>1.443287037037037E-2</v>
      </c>
      <c r="T1214" s="13">
        <v>4.861111111111111E-4</v>
      </c>
      <c r="U1214" s="13">
        <v>7.9166666666666673E-3</v>
      </c>
      <c r="V1214" s="13"/>
      <c r="W1214" s="13">
        <v>0.20894675925925926</v>
      </c>
    </row>
    <row r="1215" spans="1:23" ht="15" customHeight="1" x14ac:dyDescent="0.25">
      <c r="A1215" s="19">
        <v>46249</v>
      </c>
      <c r="B1215" s="11" t="s">
        <v>154</v>
      </c>
      <c r="C1215" s="12" t="s">
        <v>515</v>
      </c>
      <c r="D1215" s="11" t="s">
        <v>146</v>
      </c>
      <c r="E1215" s="12" t="s">
        <v>147</v>
      </c>
      <c r="F1215" s="12" t="s">
        <v>106</v>
      </c>
      <c r="G1215" s="12">
        <v>18</v>
      </c>
      <c r="H1215" s="13">
        <v>0.26</v>
      </c>
      <c r="I1215" s="13">
        <v>2.7627314814814816E-2</v>
      </c>
      <c r="J1215" s="13">
        <v>1.5348508230452675E-3</v>
      </c>
      <c r="K1215" s="13">
        <v>3.5277777777777776E-2</v>
      </c>
      <c r="L1215" s="14">
        <v>0.13568376068376067</v>
      </c>
      <c r="M1215" s="12" t="s">
        <v>334</v>
      </c>
      <c r="N1215" s="13">
        <v>5.7060185185185183E-3</v>
      </c>
      <c r="O1215" s="13">
        <v>1.3483796296296296E-2</v>
      </c>
      <c r="P1215" s="13"/>
      <c r="Q1215" s="13"/>
      <c r="R1215" s="13"/>
      <c r="S1215" s="13">
        <v>1.4467592592592593E-2</v>
      </c>
      <c r="T1215" s="13">
        <v>1.9675925925925926E-4</v>
      </c>
      <c r="U1215" s="13">
        <v>1.2731481481481483E-3</v>
      </c>
      <c r="V1215" s="13"/>
      <c r="W1215" s="13"/>
    </row>
    <row r="1216" spans="1:23" ht="15" customHeight="1" x14ac:dyDescent="0.25">
      <c r="A1216" s="19">
        <v>46249</v>
      </c>
      <c r="B1216" s="11" t="s">
        <v>112</v>
      </c>
      <c r="C1216" s="12" t="s">
        <v>570</v>
      </c>
      <c r="D1216" s="11" t="s">
        <v>104</v>
      </c>
      <c r="E1216" s="12" t="s">
        <v>105</v>
      </c>
      <c r="F1216" s="12" t="s">
        <v>106</v>
      </c>
      <c r="G1216" s="12">
        <v>2</v>
      </c>
      <c r="H1216" s="13">
        <v>0.23776620370370372</v>
      </c>
      <c r="I1216" s="13">
        <v>3.6550925925925924E-2</v>
      </c>
      <c r="J1216" s="13">
        <v>1.8275462962962962E-2</v>
      </c>
      <c r="K1216" s="13">
        <v>0.22782407407407407</v>
      </c>
      <c r="L1216" s="14">
        <v>0.95818526992162778</v>
      </c>
      <c r="M1216" s="12" t="s">
        <v>334</v>
      </c>
      <c r="N1216" s="13">
        <v>7.083333333333333E-3</v>
      </c>
      <c r="O1216" s="13">
        <v>1.6863425925925928E-2</v>
      </c>
      <c r="P1216" s="13"/>
      <c r="Q1216" s="13"/>
      <c r="R1216" s="13"/>
      <c r="S1216" s="13">
        <v>1.3958333333333333E-2</v>
      </c>
      <c r="T1216" s="13">
        <v>8.2175925925925927E-4</v>
      </c>
      <c r="U1216" s="13">
        <v>4.1666666666666669E-4</v>
      </c>
      <c r="V1216" s="13"/>
      <c r="W1216" s="13">
        <v>0.18868055555555555</v>
      </c>
    </row>
    <row r="1217" spans="1:23" ht="15" customHeight="1" x14ac:dyDescent="0.25">
      <c r="A1217" s="19">
        <v>46249</v>
      </c>
      <c r="B1217" s="11" t="s">
        <v>42</v>
      </c>
      <c r="C1217" s="12" t="s">
        <v>537</v>
      </c>
      <c r="D1217" s="11" t="s">
        <v>104</v>
      </c>
      <c r="E1217" s="12" t="s">
        <v>105</v>
      </c>
      <c r="F1217" s="12" t="s">
        <v>106</v>
      </c>
      <c r="G1217" s="12">
        <v>2</v>
      </c>
      <c r="H1217" s="13">
        <v>0.19375000000000001</v>
      </c>
      <c r="I1217" s="13">
        <v>3.4768518518518518E-2</v>
      </c>
      <c r="J1217" s="13">
        <v>1.7384259259259259E-2</v>
      </c>
      <c r="K1217" s="13">
        <v>0.17809027777777778</v>
      </c>
      <c r="L1217" s="14">
        <v>0.91917562724014334</v>
      </c>
      <c r="M1217" s="12" t="s">
        <v>334</v>
      </c>
      <c r="N1217" s="13">
        <v>3.0208333333333333E-3</v>
      </c>
      <c r="O1217" s="13">
        <v>1.4363425925925925E-2</v>
      </c>
      <c r="P1217" s="13"/>
      <c r="Q1217" s="13"/>
      <c r="R1217" s="13"/>
      <c r="S1217" s="13">
        <v>1.3761574074074074E-2</v>
      </c>
      <c r="T1217" s="13">
        <v>4.7106481481481478E-3</v>
      </c>
      <c r="U1217" s="13">
        <v>2.4305555555555555E-4</v>
      </c>
      <c r="V1217" s="13"/>
      <c r="W1217" s="13">
        <v>0.14197916666666666</v>
      </c>
    </row>
    <row r="1218" spans="1:23" ht="15" customHeight="1" x14ac:dyDescent="0.25">
      <c r="A1218" s="19">
        <v>46249</v>
      </c>
      <c r="B1218" s="11" t="s">
        <v>114</v>
      </c>
      <c r="C1218" s="12" t="s">
        <v>541</v>
      </c>
      <c r="D1218" s="11" t="s">
        <v>104</v>
      </c>
      <c r="E1218" s="12" t="s">
        <v>105</v>
      </c>
      <c r="F1218" s="12" t="s">
        <v>106</v>
      </c>
      <c r="G1218" s="12">
        <v>3</v>
      </c>
      <c r="H1218" s="13">
        <v>0.23019675925925925</v>
      </c>
      <c r="I1218" s="13">
        <v>6.128472222222222E-2</v>
      </c>
      <c r="J1218" s="13">
        <v>2.042824074074074E-2</v>
      </c>
      <c r="K1218" s="13">
        <v>0.21751157407407407</v>
      </c>
      <c r="L1218" s="14">
        <v>0.94489416260244352</v>
      </c>
      <c r="M1218" s="12" t="s">
        <v>334</v>
      </c>
      <c r="N1218" s="13">
        <v>5.5902777777777773E-3</v>
      </c>
      <c r="O1218" s="13">
        <v>2.0231481481481482E-2</v>
      </c>
      <c r="P1218" s="13"/>
      <c r="Q1218" s="13"/>
      <c r="R1218" s="13"/>
      <c r="S1218" s="13">
        <v>1.3993055555555555E-2</v>
      </c>
      <c r="T1218" s="13">
        <v>2.0844907407407406E-2</v>
      </c>
      <c r="U1218" s="13">
        <v>4.6527777777777774E-3</v>
      </c>
      <c r="V1218" s="13"/>
      <c r="W1218" s="13">
        <v>0.15219907407407407</v>
      </c>
    </row>
    <row r="1219" spans="1:23" ht="15" customHeight="1" x14ac:dyDescent="0.25">
      <c r="A1219" s="19">
        <v>46249</v>
      </c>
      <c r="B1219" s="11" t="s">
        <v>44</v>
      </c>
      <c r="C1219" s="12" t="s">
        <v>506</v>
      </c>
      <c r="D1219" s="11" t="s">
        <v>100</v>
      </c>
      <c r="E1219" s="12" t="s">
        <v>32</v>
      </c>
      <c r="F1219" s="12" t="s">
        <v>33</v>
      </c>
      <c r="G1219" s="12">
        <v>20</v>
      </c>
      <c r="H1219" s="13">
        <v>0.26467592592592593</v>
      </c>
      <c r="I1219" s="13">
        <v>0.12880787037037036</v>
      </c>
      <c r="J1219" s="13">
        <v>6.440393518518518E-3</v>
      </c>
      <c r="K1219" s="13">
        <v>4.1678240740740738E-2</v>
      </c>
      <c r="L1219" s="14">
        <v>0.15746895224768234</v>
      </c>
      <c r="M1219" s="12" t="s">
        <v>334</v>
      </c>
      <c r="N1219" s="13">
        <v>2.685185185185185E-3</v>
      </c>
      <c r="O1219" s="13">
        <v>1.3796296296296296E-2</v>
      </c>
      <c r="P1219" s="13"/>
      <c r="Q1219" s="13">
        <v>5.324074074074074E-3</v>
      </c>
      <c r="R1219" s="13"/>
      <c r="S1219" s="13">
        <v>1.3865740740740741E-2</v>
      </c>
      <c r="T1219" s="13">
        <v>8.6805555555555551E-4</v>
      </c>
      <c r="U1219" s="13">
        <v>1.736111111111111E-3</v>
      </c>
      <c r="V1219" s="13"/>
      <c r="W1219" s="13">
        <v>3.2291666666666666E-3</v>
      </c>
    </row>
    <row r="1220" spans="1:23" ht="15" customHeight="1" x14ac:dyDescent="0.25">
      <c r="A1220" s="19">
        <v>46249</v>
      </c>
      <c r="B1220" s="11" t="s">
        <v>240</v>
      </c>
      <c r="C1220" s="12" t="s">
        <v>527</v>
      </c>
      <c r="D1220" s="11" t="s">
        <v>233</v>
      </c>
      <c r="E1220" s="12" t="s">
        <v>32</v>
      </c>
      <c r="F1220" s="12" t="s">
        <v>106</v>
      </c>
      <c r="G1220" s="12">
        <v>1</v>
      </c>
      <c r="H1220" s="13">
        <v>0.22140046296296295</v>
      </c>
      <c r="I1220" s="13">
        <v>2.6620370370370372E-4</v>
      </c>
      <c r="J1220" s="13">
        <v>2.6620370370370372E-4</v>
      </c>
      <c r="K1220" s="13">
        <v>0.19663194444444446</v>
      </c>
      <c r="L1220" s="14">
        <v>0.88812797323435633</v>
      </c>
      <c r="M1220" s="12" t="s">
        <v>334</v>
      </c>
      <c r="N1220" s="13">
        <v>1.755787037037037E-2</v>
      </c>
      <c r="O1220" s="13">
        <v>1.4074074074074074E-2</v>
      </c>
      <c r="P1220" s="13"/>
      <c r="Q1220" s="13"/>
      <c r="R1220" s="13"/>
      <c r="S1220" s="13">
        <v>1.3923611111111111E-2</v>
      </c>
      <c r="T1220" s="13">
        <v>4.0509259259259258E-4</v>
      </c>
      <c r="U1220" s="13"/>
      <c r="V1220" s="13"/>
      <c r="W1220" s="13">
        <v>0.1506712962962963</v>
      </c>
    </row>
    <row r="1221" spans="1:23" ht="15" customHeight="1" x14ac:dyDescent="0.25">
      <c r="A1221" s="19">
        <v>46249</v>
      </c>
      <c r="B1221" s="11" t="s">
        <v>160</v>
      </c>
      <c r="C1221" s="12" t="s">
        <v>544</v>
      </c>
      <c r="D1221" s="11" t="s">
        <v>146</v>
      </c>
      <c r="E1221" s="12" t="s">
        <v>147</v>
      </c>
      <c r="F1221" s="12" t="s">
        <v>106</v>
      </c>
      <c r="G1221" s="12">
        <v>18</v>
      </c>
      <c r="H1221" s="13">
        <v>0.26384259259259257</v>
      </c>
      <c r="I1221" s="13">
        <v>2.8101851851851854E-2</v>
      </c>
      <c r="J1221" s="13">
        <v>1.5612139917695474E-3</v>
      </c>
      <c r="K1221" s="13">
        <v>4.2951388888888886E-2</v>
      </c>
      <c r="L1221" s="14">
        <v>0.16279171784523599</v>
      </c>
      <c r="M1221" s="12" t="s">
        <v>334</v>
      </c>
      <c r="N1221" s="13">
        <v>5.0810185185185186E-3</v>
      </c>
      <c r="O1221" s="13">
        <v>1.7025462962962964E-2</v>
      </c>
      <c r="P1221" s="13"/>
      <c r="Q1221" s="13">
        <v>5.8101851851851856E-3</v>
      </c>
      <c r="R1221" s="13"/>
      <c r="S1221" s="13">
        <v>1.4166666666666666E-2</v>
      </c>
      <c r="T1221" s="13">
        <v>4.6296296296296298E-4</v>
      </c>
      <c r="U1221" s="13">
        <v>3.8194444444444446E-4</v>
      </c>
      <c r="V1221" s="13"/>
      <c r="W1221" s="13"/>
    </row>
    <row r="1222" spans="1:23" ht="15" customHeight="1" x14ac:dyDescent="0.25">
      <c r="A1222" s="19">
        <v>46249</v>
      </c>
      <c r="B1222" s="11" t="s">
        <v>645</v>
      </c>
      <c r="C1222" s="12" t="s">
        <v>646</v>
      </c>
      <c r="D1222" s="11" t="s">
        <v>100</v>
      </c>
      <c r="E1222" s="12" t="s">
        <v>32</v>
      </c>
      <c r="F1222" s="12" t="s">
        <v>33</v>
      </c>
      <c r="G1222" s="12">
        <v>28</v>
      </c>
      <c r="H1222" s="13">
        <v>0.26594907407407409</v>
      </c>
      <c r="I1222" s="13">
        <v>0.11856481481481482</v>
      </c>
      <c r="J1222" s="13">
        <v>4.2344576719576723E-3</v>
      </c>
      <c r="K1222" s="13">
        <v>3.5497685185185188E-2</v>
      </c>
      <c r="L1222" s="14">
        <v>0.13347549830272434</v>
      </c>
      <c r="M1222" s="12" t="s">
        <v>334</v>
      </c>
      <c r="N1222" s="13">
        <v>4.2245370370370371E-3</v>
      </c>
      <c r="O1222" s="13">
        <v>1.3773148148148149E-2</v>
      </c>
      <c r="P1222" s="13"/>
      <c r="Q1222" s="13"/>
      <c r="R1222" s="13"/>
      <c r="S1222" s="13">
        <v>1.3923611111111111E-2</v>
      </c>
      <c r="T1222" s="13">
        <v>2.1875000000000002E-3</v>
      </c>
      <c r="U1222" s="13">
        <v>1.2962962962962963E-3</v>
      </c>
      <c r="V1222" s="13"/>
      <c r="W1222" s="13"/>
    </row>
    <row r="1223" spans="1:23" ht="15" customHeight="1" x14ac:dyDescent="0.25">
      <c r="A1223" s="19">
        <v>46249</v>
      </c>
      <c r="B1223" s="11" t="s">
        <v>120</v>
      </c>
      <c r="C1223" s="12" t="s">
        <v>558</v>
      </c>
      <c r="D1223" s="11" t="s">
        <v>233</v>
      </c>
      <c r="E1223" s="12" t="s">
        <v>32</v>
      </c>
      <c r="F1223" s="12" t="s">
        <v>106</v>
      </c>
      <c r="G1223" s="12">
        <v>16</v>
      </c>
      <c r="H1223" s="13">
        <v>0.22873842592592591</v>
      </c>
      <c r="I1223" s="13">
        <v>2.9502314814814815E-2</v>
      </c>
      <c r="J1223" s="13">
        <v>1.8438946759259259E-3</v>
      </c>
      <c r="K1223" s="13">
        <v>4.1388888888888892E-2</v>
      </c>
      <c r="L1223" s="14">
        <v>0.18094418863532866</v>
      </c>
      <c r="M1223" s="12" t="s">
        <v>334</v>
      </c>
      <c r="N1223" s="13">
        <v>9.8495370370370369E-3</v>
      </c>
      <c r="O1223" s="13">
        <v>1.4166666666666666E-2</v>
      </c>
      <c r="P1223" s="13"/>
      <c r="Q1223" s="13"/>
      <c r="R1223" s="13"/>
      <c r="S1223" s="13">
        <v>1.3356481481481481E-2</v>
      </c>
      <c r="T1223" s="13">
        <v>2.3611111111111111E-3</v>
      </c>
      <c r="U1223" s="13">
        <v>1.6550925925925926E-3</v>
      </c>
      <c r="V1223" s="13"/>
      <c r="W1223" s="13"/>
    </row>
    <row r="1224" spans="1:23" ht="15" customHeight="1" x14ac:dyDescent="0.25">
      <c r="A1224" s="19">
        <v>46249</v>
      </c>
      <c r="B1224" s="11" t="s">
        <v>46</v>
      </c>
      <c r="C1224" s="12" t="s">
        <v>507</v>
      </c>
      <c r="D1224" s="11" t="s">
        <v>100</v>
      </c>
      <c r="E1224" s="12" t="s">
        <v>32</v>
      </c>
      <c r="F1224" s="12" t="s">
        <v>33</v>
      </c>
      <c r="G1224" s="12">
        <v>16</v>
      </c>
      <c r="H1224" s="13">
        <v>0.26157407407407407</v>
      </c>
      <c r="I1224" s="13">
        <v>9.6030092592592597E-2</v>
      </c>
      <c r="J1224" s="13">
        <v>6.0018807870370373E-3</v>
      </c>
      <c r="K1224" s="13">
        <v>3.1261574074074074E-2</v>
      </c>
      <c r="L1224" s="14">
        <v>0.11951327433628318</v>
      </c>
      <c r="M1224" s="12" t="s">
        <v>334</v>
      </c>
      <c r="N1224" s="13">
        <v>2.8356481481481483E-3</v>
      </c>
      <c r="O1224" s="13">
        <v>1.3784722222222223E-2</v>
      </c>
      <c r="P1224" s="13"/>
      <c r="Q1224" s="13"/>
      <c r="R1224" s="13"/>
      <c r="S1224" s="13">
        <v>1.3946759259259259E-2</v>
      </c>
      <c r="T1224" s="13">
        <v>6.9444444444444444E-5</v>
      </c>
      <c r="U1224" s="13">
        <v>6.134259259259259E-4</v>
      </c>
      <c r="V1224" s="13"/>
      <c r="W1224" s="13"/>
    </row>
    <row r="1225" spans="1:23" ht="15" customHeight="1" x14ac:dyDescent="0.25">
      <c r="A1225" s="19">
        <v>46249</v>
      </c>
      <c r="B1225" s="11" t="s">
        <v>287</v>
      </c>
      <c r="C1225" s="12" t="s">
        <v>542</v>
      </c>
      <c r="D1225" s="11" t="s">
        <v>104</v>
      </c>
      <c r="E1225" s="12" t="s">
        <v>105</v>
      </c>
      <c r="F1225" s="12" t="s">
        <v>106</v>
      </c>
      <c r="G1225" s="12">
        <v>2</v>
      </c>
      <c r="H1225" s="13">
        <v>0.21509259259259259</v>
      </c>
      <c r="I1225" s="13">
        <v>3.5046296296296298E-2</v>
      </c>
      <c r="J1225" s="13">
        <v>1.7523148148148149E-2</v>
      </c>
      <c r="K1225" s="13">
        <v>0.20700231481481482</v>
      </c>
      <c r="L1225" s="14">
        <v>0.96238699956952223</v>
      </c>
      <c r="M1225" s="12" t="s">
        <v>334</v>
      </c>
      <c r="N1225" s="13">
        <v>2.6064814814814815E-2</v>
      </c>
      <c r="O1225" s="13">
        <v>1.6319444444444445E-2</v>
      </c>
      <c r="P1225" s="13"/>
      <c r="Q1225" s="13"/>
      <c r="R1225" s="13"/>
      <c r="S1225" s="13">
        <v>2.5462962962962961E-4</v>
      </c>
      <c r="T1225" s="13">
        <v>2.9548611111111112E-2</v>
      </c>
      <c r="U1225" s="13"/>
      <c r="V1225" s="13"/>
      <c r="W1225" s="13">
        <v>0.1348148148148148</v>
      </c>
    </row>
    <row r="1226" spans="1:23" ht="15" customHeight="1" x14ac:dyDescent="0.25">
      <c r="A1226" s="19">
        <v>46249</v>
      </c>
      <c r="B1226" s="11" t="s">
        <v>499</v>
      </c>
      <c r="C1226" s="12" t="s">
        <v>517</v>
      </c>
      <c r="D1226" s="11" t="s">
        <v>146</v>
      </c>
      <c r="E1226" s="12" t="s">
        <v>147</v>
      </c>
      <c r="F1226" s="12" t="s">
        <v>106</v>
      </c>
      <c r="G1226" s="12">
        <v>10</v>
      </c>
      <c r="H1226" s="13">
        <v>0.25144675925925924</v>
      </c>
      <c r="I1226" s="13">
        <v>5.4803240740740743E-2</v>
      </c>
      <c r="J1226" s="13">
        <v>5.4803240740740741E-3</v>
      </c>
      <c r="K1226" s="13">
        <v>6.1851851851851852E-2</v>
      </c>
      <c r="L1226" s="14">
        <v>0.24598388952819333</v>
      </c>
      <c r="M1226" s="12" t="s">
        <v>334</v>
      </c>
      <c r="N1226" s="13">
        <v>1.2037037037037037E-2</v>
      </c>
      <c r="O1226" s="13">
        <v>1.6828703703703703E-2</v>
      </c>
      <c r="P1226" s="13"/>
      <c r="Q1226" s="13">
        <v>8.2060185185185187E-3</v>
      </c>
      <c r="R1226" s="13">
        <v>9.2592592592592588E-5</v>
      </c>
      <c r="S1226" s="13">
        <v>1.4097222222222223E-2</v>
      </c>
      <c r="T1226" s="13">
        <v>2.4305555555555555E-4</v>
      </c>
      <c r="U1226" s="13">
        <v>4.0393518518518521E-3</v>
      </c>
      <c r="V1226" s="13"/>
      <c r="W1226" s="13">
        <v>6.2384259259259259E-3</v>
      </c>
    </row>
    <row r="1227" spans="1:23" ht="15" customHeight="1" x14ac:dyDescent="0.25">
      <c r="A1227" s="19">
        <v>46249</v>
      </c>
      <c r="B1227" s="11" t="s">
        <v>647</v>
      </c>
      <c r="C1227" s="12" t="s">
        <v>648</v>
      </c>
      <c r="D1227" s="11" t="s">
        <v>233</v>
      </c>
      <c r="E1227" s="12" t="s">
        <v>32</v>
      </c>
      <c r="F1227" s="12" t="s">
        <v>106</v>
      </c>
      <c r="G1227" s="12">
        <v>15</v>
      </c>
      <c r="H1227" s="13">
        <v>0.26100694444444444</v>
      </c>
      <c r="I1227" s="13">
        <v>5.3101851851851851E-2</v>
      </c>
      <c r="J1227" s="13">
        <v>3.5401234567901236E-3</v>
      </c>
      <c r="K1227" s="13">
        <v>3.7870370370370374E-2</v>
      </c>
      <c r="L1227" s="14">
        <v>0.14509334397587692</v>
      </c>
      <c r="M1227" s="12" t="s">
        <v>334</v>
      </c>
      <c r="N1227" s="13">
        <v>7.3726851851851852E-3</v>
      </c>
      <c r="O1227" s="13">
        <v>1.4201388888888888E-2</v>
      </c>
      <c r="P1227" s="13"/>
      <c r="Q1227" s="13">
        <v>1.6203703703703703E-4</v>
      </c>
      <c r="R1227" s="13"/>
      <c r="S1227" s="13">
        <v>1.3622685185185186E-2</v>
      </c>
      <c r="T1227" s="13">
        <v>2.5115740740740741E-3</v>
      </c>
      <c r="U1227" s="13"/>
      <c r="V1227" s="13"/>
      <c r="W1227" s="13"/>
    </row>
    <row r="1228" spans="1:23" ht="15" customHeight="1" x14ac:dyDescent="0.25">
      <c r="A1228" s="19">
        <v>46249</v>
      </c>
      <c r="B1228" s="11" t="s">
        <v>649</v>
      </c>
      <c r="C1228" s="12" t="s">
        <v>650</v>
      </c>
      <c r="D1228" s="11" t="s">
        <v>104</v>
      </c>
      <c r="E1228" s="12" t="s">
        <v>105</v>
      </c>
      <c r="F1228" s="12" t="s">
        <v>106</v>
      </c>
      <c r="G1228" s="12">
        <v>1</v>
      </c>
      <c r="H1228" s="13">
        <v>0.21606481481481482</v>
      </c>
      <c r="I1228" s="13">
        <v>4.0011574074074074E-2</v>
      </c>
      <c r="J1228" s="13">
        <v>4.0011574074074074E-2</v>
      </c>
      <c r="K1228" s="13">
        <v>0.19005787037037036</v>
      </c>
      <c r="L1228" s="14">
        <v>0.87963359760017135</v>
      </c>
      <c r="M1228" s="12" t="s">
        <v>334</v>
      </c>
      <c r="N1228" s="13">
        <v>7.0254629629629634E-3</v>
      </c>
      <c r="O1228" s="13">
        <v>1.3159722222222222E-2</v>
      </c>
      <c r="P1228" s="13"/>
      <c r="Q1228" s="13">
        <v>3.3530092592592591E-2</v>
      </c>
      <c r="R1228" s="13"/>
      <c r="S1228" s="13">
        <v>1.4641203703703703E-2</v>
      </c>
      <c r="T1228" s="13">
        <v>4.1666666666666669E-4</v>
      </c>
      <c r="U1228" s="13"/>
      <c r="V1228" s="13"/>
      <c r="W1228" s="13">
        <v>0.12128472222222222</v>
      </c>
    </row>
    <row r="1229" spans="1:23" ht="15" customHeight="1" x14ac:dyDescent="0.25">
      <c r="A1229" s="19">
        <v>46249</v>
      </c>
      <c r="B1229" s="11" t="s">
        <v>246</v>
      </c>
      <c r="C1229" s="12" t="s">
        <v>568</v>
      </c>
      <c r="D1229" s="11" t="s">
        <v>233</v>
      </c>
      <c r="E1229" s="12" t="s">
        <v>32</v>
      </c>
      <c r="F1229" s="12" t="s">
        <v>106</v>
      </c>
      <c r="G1229" s="12">
        <v>19</v>
      </c>
      <c r="H1229" s="13">
        <v>0.26430555555555557</v>
      </c>
      <c r="I1229" s="13">
        <v>5.5636574074074074E-2</v>
      </c>
      <c r="J1229" s="13">
        <v>2.9282407407407408E-3</v>
      </c>
      <c r="K1229" s="13">
        <v>3.6863425925925924E-2</v>
      </c>
      <c r="L1229" s="14">
        <v>0.13947276230513223</v>
      </c>
      <c r="M1229" s="12" t="s">
        <v>334</v>
      </c>
      <c r="N1229" s="13">
        <v>7.0023148148148145E-3</v>
      </c>
      <c r="O1229" s="13">
        <v>1.3634259259259259E-2</v>
      </c>
      <c r="P1229" s="13"/>
      <c r="Q1229" s="13">
        <v>1.3425925925925925E-3</v>
      </c>
      <c r="R1229" s="13"/>
      <c r="S1229" s="13">
        <v>1.3703703703703704E-2</v>
      </c>
      <c r="T1229" s="13">
        <v>1.0185185185185184E-3</v>
      </c>
      <c r="U1229" s="13">
        <v>1.6203703703703703E-4</v>
      </c>
      <c r="V1229" s="13"/>
      <c r="W1229" s="13"/>
    </row>
    <row r="1230" spans="1:23" ht="15" customHeight="1" x14ac:dyDescent="0.25">
      <c r="A1230" s="19">
        <v>46249</v>
      </c>
      <c r="B1230" s="11" t="s">
        <v>48</v>
      </c>
      <c r="C1230" s="12" t="s">
        <v>508</v>
      </c>
      <c r="D1230" s="11" t="s">
        <v>100</v>
      </c>
      <c r="E1230" s="12" t="s">
        <v>32</v>
      </c>
      <c r="F1230" s="12" t="s">
        <v>33</v>
      </c>
      <c r="G1230" s="12">
        <v>18</v>
      </c>
      <c r="H1230" s="13">
        <v>0.2645601851851852</v>
      </c>
      <c r="I1230" s="13">
        <v>0.10054398148148148</v>
      </c>
      <c r="J1230" s="13">
        <v>5.5857767489711939E-3</v>
      </c>
      <c r="K1230" s="13">
        <v>4.6493055555555558E-2</v>
      </c>
      <c r="L1230" s="14">
        <v>0.17573715985650537</v>
      </c>
      <c r="M1230" s="12" t="s">
        <v>334</v>
      </c>
      <c r="N1230" s="13">
        <v>1.6122685185185184E-2</v>
      </c>
      <c r="O1230" s="13">
        <v>1.4155092592592592E-2</v>
      </c>
      <c r="P1230" s="13"/>
      <c r="Q1230" s="13"/>
      <c r="R1230" s="13"/>
      <c r="S1230" s="13">
        <v>1.3912037037037037E-2</v>
      </c>
      <c r="T1230" s="13">
        <v>2.4305555555555555E-4</v>
      </c>
      <c r="U1230" s="13">
        <v>9.837962962962962E-4</v>
      </c>
      <c r="V1230" s="13"/>
      <c r="W1230" s="13">
        <v>1.0532407407407407E-3</v>
      </c>
    </row>
    <row r="1231" spans="1:23" ht="15" customHeight="1" x14ac:dyDescent="0.25">
      <c r="A1231" s="19">
        <v>46249</v>
      </c>
      <c r="B1231" s="11" t="s">
        <v>50</v>
      </c>
      <c r="C1231" s="12" t="s">
        <v>538</v>
      </c>
      <c r="D1231" s="11" t="s">
        <v>100</v>
      </c>
      <c r="E1231" s="12" t="s">
        <v>32</v>
      </c>
      <c r="F1231" s="12" t="s">
        <v>33</v>
      </c>
      <c r="G1231" s="12">
        <v>0</v>
      </c>
      <c r="H1231" s="13">
        <v>0.15582175925925926</v>
      </c>
      <c r="I1231" s="13">
        <v>0</v>
      </c>
      <c r="J1231" s="13">
        <v>0</v>
      </c>
      <c r="K1231" s="13">
        <v>0.15582175925925926</v>
      </c>
      <c r="L1231" s="14">
        <v>1</v>
      </c>
      <c r="M1231" s="12" t="s">
        <v>334</v>
      </c>
      <c r="N1231" s="13">
        <v>2.2106481481481482E-3</v>
      </c>
      <c r="O1231" s="13">
        <v>1.1099537037037036E-2</v>
      </c>
      <c r="P1231" s="13"/>
      <c r="Q1231" s="13"/>
      <c r="R1231" s="13"/>
      <c r="S1231" s="13">
        <v>1.4074074074074074E-2</v>
      </c>
      <c r="T1231" s="13">
        <v>6.7129629629629625E-4</v>
      </c>
      <c r="U1231" s="13"/>
      <c r="V1231" s="13"/>
      <c r="W1231" s="13">
        <v>0.1277662037037037</v>
      </c>
    </row>
    <row r="1232" spans="1:23" ht="15" customHeight="1" x14ac:dyDescent="0.25">
      <c r="A1232" s="19">
        <v>46249</v>
      </c>
      <c r="B1232" s="11" t="s">
        <v>242</v>
      </c>
      <c r="C1232" s="12" t="s">
        <v>603</v>
      </c>
      <c r="D1232" s="11" t="s">
        <v>233</v>
      </c>
      <c r="E1232" s="12" t="s">
        <v>32</v>
      </c>
      <c r="F1232" s="12" t="s">
        <v>106</v>
      </c>
      <c r="G1232" s="12">
        <v>21</v>
      </c>
      <c r="H1232" s="13">
        <v>0.26724537037037038</v>
      </c>
      <c r="I1232" s="13">
        <v>0.10782407407407407</v>
      </c>
      <c r="J1232" s="13">
        <v>5.1344797178130511E-3</v>
      </c>
      <c r="K1232" s="13">
        <v>1.2361111111111111E-2</v>
      </c>
      <c r="L1232" s="14">
        <v>4.6253789519272406E-2</v>
      </c>
      <c r="M1232" s="12" t="s">
        <v>334</v>
      </c>
      <c r="N1232" s="13"/>
      <c r="O1232" s="13">
        <v>1.0092592592592592E-2</v>
      </c>
      <c r="P1232" s="13"/>
      <c r="Q1232" s="13"/>
      <c r="R1232" s="13"/>
      <c r="S1232" s="13"/>
      <c r="T1232" s="13">
        <v>4.5138888888888887E-4</v>
      </c>
      <c r="U1232" s="13">
        <v>1.7708333333333332E-3</v>
      </c>
      <c r="V1232" s="13"/>
      <c r="W1232" s="13">
        <v>1.1574074074074073E-5</v>
      </c>
    </row>
    <row r="1233" spans="1:23" ht="15" customHeight="1" x14ac:dyDescent="0.25">
      <c r="A1233" s="19">
        <v>46249</v>
      </c>
      <c r="B1233" s="11" t="s">
        <v>289</v>
      </c>
      <c r="C1233" s="12" t="s">
        <v>559</v>
      </c>
      <c r="D1233" s="11" t="s">
        <v>104</v>
      </c>
      <c r="E1233" s="12" t="s">
        <v>105</v>
      </c>
      <c r="F1233" s="12" t="s">
        <v>106</v>
      </c>
      <c r="G1233" s="12">
        <v>2</v>
      </c>
      <c r="H1233" s="13">
        <v>0.20898148148148149</v>
      </c>
      <c r="I1233" s="13">
        <v>5.0069444444444444E-2</v>
      </c>
      <c r="J1233" s="13">
        <v>2.5034722222222222E-2</v>
      </c>
      <c r="K1233" s="13">
        <v>0.19075231481481481</v>
      </c>
      <c r="L1233" s="14">
        <v>0.91277137793531227</v>
      </c>
      <c r="M1233" s="12" t="s">
        <v>334</v>
      </c>
      <c r="N1233" s="13"/>
      <c r="O1233" s="13">
        <v>1.0381944444444444E-2</v>
      </c>
      <c r="P1233" s="13"/>
      <c r="Q1233" s="13"/>
      <c r="R1233" s="13"/>
      <c r="S1233" s="13">
        <v>1.5787037037037037E-2</v>
      </c>
      <c r="T1233" s="13">
        <v>6.8287037037037035E-2</v>
      </c>
      <c r="U1233" s="13"/>
      <c r="V1233" s="13"/>
      <c r="W1233" s="13">
        <v>9.6296296296296297E-2</v>
      </c>
    </row>
    <row r="1234" spans="1:23" ht="15" customHeight="1" x14ac:dyDescent="0.25">
      <c r="A1234" s="19">
        <v>46249</v>
      </c>
      <c r="B1234" s="11" t="s">
        <v>500</v>
      </c>
      <c r="C1234" s="12" t="s">
        <v>518</v>
      </c>
      <c r="D1234" s="11" t="s">
        <v>274</v>
      </c>
      <c r="E1234" s="12" t="s">
        <v>147</v>
      </c>
      <c r="F1234" s="12" t="s">
        <v>33</v>
      </c>
      <c r="G1234" s="12">
        <v>14</v>
      </c>
      <c r="H1234" s="13">
        <v>0.26807870370370368</v>
      </c>
      <c r="I1234" s="13">
        <v>6.2071759259259257E-2</v>
      </c>
      <c r="J1234" s="13">
        <v>4.43369708994709E-3</v>
      </c>
      <c r="K1234" s="13">
        <v>3.2638888888888891E-2</v>
      </c>
      <c r="L1234" s="14">
        <v>0.12175114411536139</v>
      </c>
      <c r="M1234" s="12" t="s">
        <v>334</v>
      </c>
      <c r="N1234" s="13">
        <v>3.9351851851851848E-3</v>
      </c>
      <c r="O1234" s="13">
        <v>1.2650462962962962E-2</v>
      </c>
      <c r="P1234" s="13"/>
      <c r="Q1234" s="13"/>
      <c r="R1234" s="13"/>
      <c r="S1234" s="13">
        <v>1.5925925925925927E-2</v>
      </c>
      <c r="T1234" s="13">
        <v>1.273148148148148E-4</v>
      </c>
      <c r="U1234" s="13"/>
      <c r="V1234" s="13"/>
      <c r="W1234" s="13"/>
    </row>
    <row r="1235" spans="1:23" ht="15" customHeight="1" x14ac:dyDescent="0.25">
      <c r="A1235" s="19">
        <v>46249</v>
      </c>
      <c r="B1235" s="11" t="s">
        <v>683</v>
      </c>
      <c r="C1235" s="12" t="s">
        <v>684</v>
      </c>
      <c r="D1235" s="11" t="s">
        <v>233</v>
      </c>
      <c r="E1235" s="12" t="s">
        <v>32</v>
      </c>
      <c r="F1235" s="12" t="s">
        <v>106</v>
      </c>
      <c r="G1235" s="12">
        <v>18</v>
      </c>
      <c r="H1235" s="13">
        <v>0.25569444444444445</v>
      </c>
      <c r="I1235" s="13">
        <v>6.1111111111111109E-2</v>
      </c>
      <c r="J1235" s="13">
        <v>3.3950617283950617E-3</v>
      </c>
      <c r="K1235" s="13">
        <v>4.0601851851851854E-2</v>
      </c>
      <c r="L1235" s="14">
        <v>0.15879051240267972</v>
      </c>
      <c r="M1235" s="12" t="s">
        <v>334</v>
      </c>
      <c r="N1235" s="13">
        <v>7.3958333333333333E-3</v>
      </c>
      <c r="O1235" s="13">
        <v>6.9791666666666665E-3</v>
      </c>
      <c r="P1235" s="13"/>
      <c r="Q1235" s="13"/>
      <c r="R1235" s="13"/>
      <c r="S1235" s="13">
        <v>1.9085648148148147E-2</v>
      </c>
      <c r="T1235" s="13">
        <v>2.0833333333333335E-4</v>
      </c>
      <c r="U1235" s="13">
        <v>6.9212962962962961E-3</v>
      </c>
      <c r="V1235" s="13"/>
      <c r="W1235" s="13"/>
    </row>
    <row r="1236" spans="1:23" ht="15" customHeight="1" x14ac:dyDescent="0.25">
      <c r="A1236" s="19">
        <v>46249</v>
      </c>
      <c r="B1236" s="11" t="s">
        <v>653</v>
      </c>
      <c r="C1236" s="12" t="s">
        <v>654</v>
      </c>
      <c r="D1236" s="11" t="s">
        <v>100</v>
      </c>
      <c r="E1236" s="12" t="s">
        <v>32</v>
      </c>
      <c r="F1236" s="12" t="s">
        <v>33</v>
      </c>
      <c r="G1236" s="12">
        <v>20</v>
      </c>
      <c r="H1236" s="13">
        <v>0.25460648148148146</v>
      </c>
      <c r="I1236" s="13">
        <v>0.13130787037037037</v>
      </c>
      <c r="J1236" s="13">
        <v>6.5653935185185181E-3</v>
      </c>
      <c r="K1236" s="13">
        <v>3.0011574074074072E-2</v>
      </c>
      <c r="L1236" s="14">
        <v>0.11787435221383763</v>
      </c>
      <c r="M1236" s="12" t="s">
        <v>334</v>
      </c>
      <c r="N1236" s="13">
        <v>7.905092592592592E-3</v>
      </c>
      <c r="O1236" s="13">
        <v>7.1412037037037034E-3</v>
      </c>
      <c r="P1236" s="13"/>
      <c r="Q1236" s="13"/>
      <c r="R1236" s="13"/>
      <c r="S1236" s="13">
        <v>1.3784722222222223E-2</v>
      </c>
      <c r="T1236" s="13">
        <v>1.3888888888888889E-4</v>
      </c>
      <c r="U1236" s="13">
        <v>9.9537037037037042E-4</v>
      </c>
      <c r="V1236" s="13"/>
      <c r="W1236" s="13"/>
    </row>
    <row r="1237" spans="1:23" ht="15" customHeight="1" x14ac:dyDescent="0.25">
      <c r="A1237" s="19">
        <v>46249</v>
      </c>
      <c r="B1237" s="11" t="s">
        <v>52</v>
      </c>
      <c r="C1237" s="12" t="s">
        <v>509</v>
      </c>
      <c r="D1237" s="11" t="s">
        <v>100</v>
      </c>
      <c r="E1237" s="12" t="s">
        <v>32</v>
      </c>
      <c r="F1237" s="12" t="s">
        <v>33</v>
      </c>
      <c r="G1237" s="12">
        <v>0</v>
      </c>
      <c r="H1237" s="13">
        <v>0.23122685185185185</v>
      </c>
      <c r="I1237" s="13">
        <v>0</v>
      </c>
      <c r="J1237" s="13">
        <v>0</v>
      </c>
      <c r="K1237" s="13">
        <v>0.23122685185185185</v>
      </c>
      <c r="L1237" s="14">
        <v>1</v>
      </c>
      <c r="M1237" s="12" t="s">
        <v>334</v>
      </c>
      <c r="N1237" s="13"/>
      <c r="O1237" s="13">
        <v>1.4444444444444444E-2</v>
      </c>
      <c r="P1237" s="13"/>
      <c r="Q1237" s="13">
        <v>2.4548611111111111E-2</v>
      </c>
      <c r="R1237" s="13"/>
      <c r="S1237" s="13">
        <v>1.375E-2</v>
      </c>
      <c r="T1237" s="13">
        <v>5.3240740740740744E-4</v>
      </c>
      <c r="U1237" s="13"/>
      <c r="V1237" s="13"/>
      <c r="W1237" s="13">
        <v>0.1779513888888889</v>
      </c>
    </row>
    <row r="1238" spans="1:23" ht="15" customHeight="1" x14ac:dyDescent="0.25">
      <c r="A1238" s="19">
        <v>46249</v>
      </c>
      <c r="B1238" s="11" t="s">
        <v>164</v>
      </c>
      <c r="C1238" s="12" t="s">
        <v>519</v>
      </c>
      <c r="D1238" s="11" t="s">
        <v>146</v>
      </c>
      <c r="E1238" s="12" t="s">
        <v>147</v>
      </c>
      <c r="F1238" s="12" t="s">
        <v>106</v>
      </c>
      <c r="G1238" s="12">
        <v>20</v>
      </c>
      <c r="H1238" s="13">
        <v>0.25416666666666665</v>
      </c>
      <c r="I1238" s="13">
        <v>4.5289351851851851E-2</v>
      </c>
      <c r="J1238" s="13">
        <v>2.2644675925925927E-3</v>
      </c>
      <c r="K1238" s="13">
        <v>3.4814814814814812E-2</v>
      </c>
      <c r="L1238" s="14">
        <v>0.13697632058287795</v>
      </c>
      <c r="M1238" s="12" t="s">
        <v>334</v>
      </c>
      <c r="N1238" s="13"/>
      <c r="O1238" s="13">
        <v>1.9421296296296298E-2</v>
      </c>
      <c r="P1238" s="13"/>
      <c r="Q1238" s="13"/>
      <c r="R1238" s="13"/>
      <c r="S1238" s="13">
        <v>1.4224537037037037E-2</v>
      </c>
      <c r="T1238" s="13">
        <v>2.5462962962962961E-4</v>
      </c>
      <c r="U1238" s="13">
        <v>8.9120370370370373E-4</v>
      </c>
      <c r="V1238" s="13"/>
      <c r="W1238" s="13"/>
    </row>
    <row r="1239" spans="1:23" ht="15" customHeight="1" x14ac:dyDescent="0.25">
      <c r="A1239" s="19">
        <v>46249</v>
      </c>
      <c r="B1239" s="11" t="s">
        <v>655</v>
      </c>
      <c r="C1239" s="12" t="s">
        <v>656</v>
      </c>
      <c r="D1239" s="11" t="s">
        <v>100</v>
      </c>
      <c r="E1239" s="12" t="s">
        <v>32</v>
      </c>
      <c r="F1239" s="12" t="s">
        <v>33</v>
      </c>
      <c r="G1239" s="12">
        <v>19</v>
      </c>
      <c r="H1239" s="13">
        <v>0.25093749999999998</v>
      </c>
      <c r="I1239" s="13">
        <v>8.8391203703703708E-2</v>
      </c>
      <c r="J1239" s="13">
        <v>4.6521686159844058E-3</v>
      </c>
      <c r="K1239" s="13">
        <v>7.2129629629629627E-2</v>
      </c>
      <c r="L1239" s="14">
        <v>0.28744061620773953</v>
      </c>
      <c r="M1239" s="12" t="s">
        <v>334</v>
      </c>
      <c r="N1239" s="13">
        <v>5.5787037037037038E-3</v>
      </c>
      <c r="O1239" s="13">
        <v>7.5231481481481477E-3</v>
      </c>
      <c r="P1239" s="13"/>
      <c r="Q1239" s="13">
        <v>4.2430555555555555E-2</v>
      </c>
      <c r="R1239" s="13"/>
      <c r="S1239" s="13">
        <v>1.3877314814814815E-2</v>
      </c>
      <c r="T1239" s="13">
        <v>1.6203703703703703E-4</v>
      </c>
      <c r="U1239" s="13">
        <v>2.5000000000000001E-3</v>
      </c>
      <c r="V1239" s="13"/>
      <c r="W1239" s="13"/>
    </row>
    <row r="1240" spans="1:23" ht="15" customHeight="1" x14ac:dyDescent="0.25">
      <c r="A1240" s="19">
        <v>46249</v>
      </c>
      <c r="B1240" s="11" t="s">
        <v>657</v>
      </c>
      <c r="C1240" s="12" t="s">
        <v>658</v>
      </c>
      <c r="D1240" s="11" t="s">
        <v>274</v>
      </c>
      <c r="E1240" s="12" t="s">
        <v>147</v>
      </c>
      <c r="F1240" s="12" t="s">
        <v>33</v>
      </c>
      <c r="G1240" s="12">
        <v>11</v>
      </c>
      <c r="H1240" s="13">
        <v>0.22349537037037037</v>
      </c>
      <c r="I1240" s="13">
        <v>3.7581018518518521E-2</v>
      </c>
      <c r="J1240" s="13">
        <v>3.416456228956229E-3</v>
      </c>
      <c r="K1240" s="13">
        <v>2.9791666666666668E-2</v>
      </c>
      <c r="L1240" s="14">
        <v>0.13329880890730192</v>
      </c>
      <c r="M1240" s="12" t="s">
        <v>334</v>
      </c>
      <c r="N1240" s="13">
        <v>4.7222222222222223E-3</v>
      </c>
      <c r="O1240" s="13">
        <v>7.6620370370370366E-3</v>
      </c>
      <c r="P1240" s="13"/>
      <c r="Q1240" s="13"/>
      <c r="R1240" s="13"/>
      <c r="S1240" s="13">
        <v>1.6886574074074075E-2</v>
      </c>
      <c r="T1240" s="13">
        <v>1.1574074074074075E-4</v>
      </c>
      <c r="U1240" s="13">
        <v>3.7037037037037035E-4</v>
      </c>
      <c r="V1240" s="13"/>
      <c r="W1240" s="13"/>
    </row>
    <row r="1241" spans="1:23" ht="15" customHeight="1" x14ac:dyDescent="0.25">
      <c r="A1241" s="19">
        <v>46249</v>
      </c>
      <c r="B1241" s="11" t="s">
        <v>166</v>
      </c>
      <c r="C1241" s="12" t="s">
        <v>167</v>
      </c>
      <c r="D1241" s="11" t="s">
        <v>146</v>
      </c>
      <c r="E1241" s="12" t="s">
        <v>147</v>
      </c>
      <c r="F1241" s="12" t="s">
        <v>106</v>
      </c>
      <c r="G1241" s="12">
        <v>16</v>
      </c>
      <c r="H1241" s="13">
        <v>0.26251157407407405</v>
      </c>
      <c r="I1241" s="13">
        <v>4.701388888888889E-2</v>
      </c>
      <c r="J1241" s="13">
        <v>2.9383680555555556E-3</v>
      </c>
      <c r="K1241" s="13">
        <v>3.5520833333333335E-2</v>
      </c>
      <c r="L1241" s="14">
        <v>0.13531149420219568</v>
      </c>
      <c r="M1241" s="12" t="s">
        <v>334</v>
      </c>
      <c r="N1241" s="13">
        <v>5.5671296296296293E-3</v>
      </c>
      <c r="O1241" s="13">
        <v>1.3356481481481481E-2</v>
      </c>
      <c r="P1241" s="13"/>
      <c r="Q1241" s="13"/>
      <c r="R1241" s="13"/>
      <c r="S1241" s="13">
        <v>1.5173611111111112E-2</v>
      </c>
      <c r="T1241" s="13">
        <v>5.0925925925925921E-4</v>
      </c>
      <c r="U1241" s="13">
        <v>8.7962962962962962E-4</v>
      </c>
      <c r="V1241" s="13"/>
      <c r="W1241" s="13"/>
    </row>
    <row r="1242" spans="1:23" ht="15" customHeight="1" x14ac:dyDescent="0.25">
      <c r="A1242" s="19">
        <v>46249</v>
      </c>
      <c r="B1242" s="11" t="s">
        <v>659</v>
      </c>
      <c r="C1242" s="12" t="s">
        <v>660</v>
      </c>
      <c r="D1242" s="11" t="s">
        <v>100</v>
      </c>
      <c r="E1242" s="12" t="s">
        <v>32</v>
      </c>
      <c r="F1242" s="12" t="s">
        <v>33</v>
      </c>
      <c r="G1242" s="12">
        <v>0</v>
      </c>
      <c r="H1242" s="13">
        <v>0.22005787037037036</v>
      </c>
      <c r="I1242" s="13">
        <v>0</v>
      </c>
      <c r="J1242" s="13">
        <v>0</v>
      </c>
      <c r="K1242" s="13">
        <v>0.22005787037037036</v>
      </c>
      <c r="L1242" s="14">
        <v>1</v>
      </c>
      <c r="M1242" s="12" t="s">
        <v>334</v>
      </c>
      <c r="N1242" s="13">
        <v>5.0000000000000001E-3</v>
      </c>
      <c r="O1242" s="13">
        <v>1.0474537037037037E-2</v>
      </c>
      <c r="P1242" s="13"/>
      <c r="Q1242" s="13">
        <v>2.3101851851851853E-2</v>
      </c>
      <c r="R1242" s="13"/>
      <c r="S1242" s="13">
        <v>1.0844907407407407E-2</v>
      </c>
      <c r="T1242" s="13">
        <v>4.2731481481481481E-2</v>
      </c>
      <c r="U1242" s="13"/>
      <c r="V1242" s="13"/>
      <c r="W1242" s="13">
        <v>0.12790509259259258</v>
      </c>
    </row>
    <row r="1243" spans="1:23" ht="15" customHeight="1" x14ac:dyDescent="0.25">
      <c r="A1243" s="19">
        <v>46249</v>
      </c>
      <c r="B1243" s="11" t="s">
        <v>254</v>
      </c>
      <c r="C1243" s="12" t="s">
        <v>528</v>
      </c>
      <c r="D1243" s="11" t="s">
        <v>233</v>
      </c>
      <c r="E1243" s="12" t="s">
        <v>32</v>
      </c>
      <c r="F1243" s="12" t="s">
        <v>106</v>
      </c>
      <c r="G1243" s="12">
        <v>13</v>
      </c>
      <c r="H1243" s="13">
        <v>0.26390046296296299</v>
      </c>
      <c r="I1243" s="13">
        <v>5.1249999999999997E-2</v>
      </c>
      <c r="J1243" s="13">
        <v>3.942307692307692E-3</v>
      </c>
      <c r="K1243" s="13">
        <v>5.828703703703704E-2</v>
      </c>
      <c r="L1243" s="14">
        <v>0.22086750581114861</v>
      </c>
      <c r="M1243" s="12" t="s">
        <v>334</v>
      </c>
      <c r="N1243" s="13">
        <v>1.6921296296296295E-2</v>
      </c>
      <c r="O1243" s="13">
        <v>1.2372685185185184E-2</v>
      </c>
      <c r="P1243" s="13"/>
      <c r="Q1243" s="13">
        <v>2.8124999999999999E-3</v>
      </c>
      <c r="R1243" s="13"/>
      <c r="S1243" s="13">
        <v>1.3599537037037037E-2</v>
      </c>
      <c r="T1243" s="13">
        <v>1.1909722222222223E-2</v>
      </c>
      <c r="U1243" s="13">
        <v>6.7129629629629625E-4</v>
      </c>
      <c r="V1243" s="13"/>
      <c r="W1243" s="13"/>
    </row>
    <row r="1244" spans="1:23" ht="15" customHeight="1" x14ac:dyDescent="0.25">
      <c r="A1244" s="19">
        <v>46249</v>
      </c>
      <c r="B1244" s="11" t="s">
        <v>201</v>
      </c>
      <c r="C1244" s="12" t="s">
        <v>545</v>
      </c>
      <c r="D1244" s="11" t="s">
        <v>601</v>
      </c>
      <c r="E1244" s="12" t="s">
        <v>600</v>
      </c>
      <c r="F1244" s="12" t="s">
        <v>33</v>
      </c>
      <c r="G1244" s="12">
        <v>11</v>
      </c>
      <c r="H1244" s="13">
        <v>0.25297453703703704</v>
      </c>
      <c r="I1244" s="13">
        <v>3.636574074074074E-2</v>
      </c>
      <c r="J1244" s="13">
        <v>3.3059764309764307E-3</v>
      </c>
      <c r="K1244" s="13">
        <v>4.7442129629629633E-2</v>
      </c>
      <c r="L1244" s="14">
        <v>0.18753717344557808</v>
      </c>
      <c r="M1244" s="12" t="s">
        <v>334</v>
      </c>
      <c r="N1244" s="13">
        <v>1.0844907407407407E-2</v>
      </c>
      <c r="O1244" s="13">
        <v>2.1643518518518517E-2</v>
      </c>
      <c r="P1244" s="13"/>
      <c r="Q1244" s="13"/>
      <c r="R1244" s="13"/>
      <c r="S1244" s="13"/>
      <c r="T1244" s="13">
        <v>1.9212962962962964E-3</v>
      </c>
      <c r="U1244" s="13">
        <v>1.3032407407407407E-2</v>
      </c>
      <c r="V1244" s="13"/>
      <c r="W1244" s="13"/>
    </row>
    <row r="1245" spans="1:23" ht="15" customHeight="1" x14ac:dyDescent="0.25">
      <c r="A1245" s="19">
        <v>46249</v>
      </c>
      <c r="B1245" s="11" t="s">
        <v>168</v>
      </c>
      <c r="C1245" s="12" t="s">
        <v>520</v>
      </c>
      <c r="D1245" s="11" t="s">
        <v>274</v>
      </c>
      <c r="E1245" s="12" t="s">
        <v>147</v>
      </c>
      <c r="F1245" s="12" t="s">
        <v>33</v>
      </c>
      <c r="G1245" s="12">
        <v>10</v>
      </c>
      <c r="H1245" s="13">
        <v>0.25307870370370372</v>
      </c>
      <c r="I1245" s="13">
        <v>1.9039351851851852E-2</v>
      </c>
      <c r="J1245" s="13">
        <v>1.9039351851851852E-3</v>
      </c>
      <c r="K1245" s="13">
        <v>4.0208333333333332E-2</v>
      </c>
      <c r="L1245" s="14">
        <v>0.15887679502423852</v>
      </c>
      <c r="M1245" s="12" t="s">
        <v>334</v>
      </c>
      <c r="N1245" s="13">
        <v>1.0335648148148148E-2</v>
      </c>
      <c r="O1245" s="13">
        <v>1.6319444444444445E-2</v>
      </c>
      <c r="P1245" s="13"/>
      <c r="Q1245" s="13"/>
      <c r="R1245" s="13">
        <v>3.4722222222222222E-5</v>
      </c>
      <c r="S1245" s="13">
        <v>1.3217592592592593E-2</v>
      </c>
      <c r="T1245" s="13">
        <v>5.7870370370370373E-5</v>
      </c>
      <c r="U1245" s="13">
        <v>2.199074074074074E-4</v>
      </c>
      <c r="V1245" s="13"/>
      <c r="W1245" s="13"/>
    </row>
    <row r="1246" spans="1:23" ht="15" customHeight="1" x14ac:dyDescent="0.25">
      <c r="A1246" s="19">
        <v>46249</v>
      </c>
      <c r="B1246" s="11" t="s">
        <v>170</v>
      </c>
      <c r="C1246" s="12" t="s">
        <v>521</v>
      </c>
      <c r="D1246" s="11" t="s">
        <v>146</v>
      </c>
      <c r="E1246" s="12" t="s">
        <v>147</v>
      </c>
      <c r="F1246" s="12" t="s">
        <v>106</v>
      </c>
      <c r="G1246" s="12">
        <v>19</v>
      </c>
      <c r="H1246" s="13">
        <v>0.25790509259259259</v>
      </c>
      <c r="I1246" s="13">
        <v>8.1597222222222224E-2</v>
      </c>
      <c r="J1246" s="13">
        <v>4.2945906432748536E-3</v>
      </c>
      <c r="K1246" s="13">
        <v>3.6585648148148145E-2</v>
      </c>
      <c r="L1246" s="14">
        <v>0.14185702104743525</v>
      </c>
      <c r="M1246" s="12" t="s">
        <v>334</v>
      </c>
      <c r="N1246" s="13">
        <v>4.5138888888888885E-3</v>
      </c>
      <c r="O1246" s="13">
        <v>1.511574074074074E-2</v>
      </c>
      <c r="P1246" s="13"/>
      <c r="Q1246" s="13"/>
      <c r="R1246" s="13"/>
      <c r="S1246" s="13">
        <v>1.4884259259259259E-2</v>
      </c>
      <c r="T1246" s="13">
        <v>1.7361111111111112E-4</v>
      </c>
      <c r="U1246" s="13">
        <v>1.8171296296296297E-3</v>
      </c>
      <c r="V1246" s="13"/>
      <c r="W1246" s="13"/>
    </row>
    <row r="1247" spans="1:23" ht="15" customHeight="1" x14ac:dyDescent="0.25">
      <c r="A1247" s="19">
        <v>46249</v>
      </c>
      <c r="B1247" s="11" t="s">
        <v>606</v>
      </c>
      <c r="C1247" s="12" t="s">
        <v>633</v>
      </c>
      <c r="D1247" s="11" t="s">
        <v>146</v>
      </c>
      <c r="E1247" s="12" t="s">
        <v>147</v>
      </c>
      <c r="F1247" s="12" t="s">
        <v>106</v>
      </c>
      <c r="G1247" s="12">
        <v>10</v>
      </c>
      <c r="H1247" s="13">
        <v>0.26296296296296295</v>
      </c>
      <c r="I1247" s="13">
        <v>6.295138888888889E-2</v>
      </c>
      <c r="J1247" s="13">
        <v>6.2951388888888892E-3</v>
      </c>
      <c r="K1247" s="13">
        <v>7.0231481481481478E-2</v>
      </c>
      <c r="L1247" s="14">
        <v>0.2670774647887324</v>
      </c>
      <c r="M1247" s="12" t="s">
        <v>334</v>
      </c>
      <c r="N1247" s="13">
        <v>2.0659722222222222E-2</v>
      </c>
      <c r="O1247" s="13">
        <v>1.4050925925925927E-2</v>
      </c>
      <c r="P1247" s="13"/>
      <c r="Q1247" s="13"/>
      <c r="R1247" s="13"/>
      <c r="S1247" s="13">
        <v>1.5347222222222222E-2</v>
      </c>
      <c r="T1247" s="13">
        <v>5.4745370370370373E-3</v>
      </c>
      <c r="U1247" s="13">
        <v>1.1180555555555555E-2</v>
      </c>
      <c r="V1247" s="13"/>
      <c r="W1247" s="13">
        <v>3.4953703703703705E-3</v>
      </c>
    </row>
    <row r="1248" spans="1:23" ht="15" customHeight="1" x14ac:dyDescent="0.25">
      <c r="A1248" s="19">
        <v>46249</v>
      </c>
      <c r="B1248" s="11" t="s">
        <v>256</v>
      </c>
      <c r="C1248" s="12" t="s">
        <v>529</v>
      </c>
      <c r="D1248" s="11" t="s">
        <v>233</v>
      </c>
      <c r="E1248" s="12" t="s">
        <v>32</v>
      </c>
      <c r="F1248" s="12" t="s">
        <v>106</v>
      </c>
      <c r="G1248" s="12">
        <v>14</v>
      </c>
      <c r="H1248" s="13">
        <v>0.24570601851851853</v>
      </c>
      <c r="I1248" s="13">
        <v>6.5798611111111113E-2</v>
      </c>
      <c r="J1248" s="13">
        <v>4.6999007936507934E-3</v>
      </c>
      <c r="K1248" s="13">
        <v>4.9201388888888892E-2</v>
      </c>
      <c r="L1248" s="14">
        <v>0.20024494794856093</v>
      </c>
      <c r="M1248" s="12" t="s">
        <v>334</v>
      </c>
      <c r="N1248" s="13">
        <v>1.4490740740740742E-2</v>
      </c>
      <c r="O1248" s="13">
        <v>1.6041666666666666E-2</v>
      </c>
      <c r="P1248" s="13"/>
      <c r="Q1248" s="13"/>
      <c r="R1248" s="13"/>
      <c r="S1248" s="13">
        <v>1.380787037037037E-2</v>
      </c>
      <c r="T1248" s="13">
        <v>9.2592592592592588E-5</v>
      </c>
      <c r="U1248" s="13">
        <v>4.7569444444444447E-3</v>
      </c>
      <c r="V1248" s="13"/>
      <c r="W1248" s="13"/>
    </row>
    <row r="1249" spans="1:23" ht="15" customHeight="1" x14ac:dyDescent="0.25">
      <c r="A1249" s="19">
        <v>46249</v>
      </c>
      <c r="B1249" s="11" t="s">
        <v>258</v>
      </c>
      <c r="C1249" s="12" t="s">
        <v>554</v>
      </c>
      <c r="D1249" s="11" t="s">
        <v>233</v>
      </c>
      <c r="E1249" s="12" t="s">
        <v>32</v>
      </c>
      <c r="F1249" s="12" t="s">
        <v>106</v>
      </c>
      <c r="G1249" s="12">
        <v>0</v>
      </c>
      <c r="H1249" s="13">
        <v>0.21663194444444445</v>
      </c>
      <c r="I1249" s="13">
        <v>0</v>
      </c>
      <c r="J1249" s="13">
        <v>0</v>
      </c>
      <c r="K1249" s="13">
        <v>0.21663194444444445</v>
      </c>
      <c r="L1249" s="14">
        <v>1</v>
      </c>
      <c r="M1249" s="12" t="s">
        <v>334</v>
      </c>
      <c r="N1249" s="13"/>
      <c r="O1249" s="13"/>
      <c r="P1249" s="13"/>
      <c r="Q1249" s="13"/>
      <c r="R1249" s="13"/>
      <c r="S1249" s="13">
        <v>4.6296296296296294E-3</v>
      </c>
      <c r="T1249" s="13">
        <v>3.9351851851851852E-4</v>
      </c>
      <c r="U1249" s="13"/>
      <c r="V1249" s="13"/>
      <c r="W1249" s="13">
        <v>0.21160879629629631</v>
      </c>
    </row>
    <row r="1250" spans="1:23" ht="15" customHeight="1" x14ac:dyDescent="0.25">
      <c r="A1250" s="19">
        <v>46249</v>
      </c>
      <c r="B1250" s="11" t="s">
        <v>661</v>
      </c>
      <c r="C1250" s="12" t="s">
        <v>662</v>
      </c>
      <c r="D1250" s="11" t="s">
        <v>100</v>
      </c>
      <c r="E1250" s="12" t="s">
        <v>32</v>
      </c>
      <c r="F1250" s="12" t="s">
        <v>33</v>
      </c>
      <c r="G1250" s="12">
        <v>28</v>
      </c>
      <c r="H1250" s="13">
        <v>0.25908564814814816</v>
      </c>
      <c r="I1250" s="13">
        <v>9.8900462962962968E-2</v>
      </c>
      <c r="J1250" s="13">
        <v>3.5321593915343917E-3</v>
      </c>
      <c r="K1250" s="13">
        <v>4.1377314814814818E-2</v>
      </c>
      <c r="L1250" s="14">
        <v>0.15970515970515972</v>
      </c>
      <c r="M1250" s="12" t="s">
        <v>334</v>
      </c>
      <c r="N1250" s="13">
        <v>8.86574074074074E-3</v>
      </c>
      <c r="O1250" s="13">
        <v>1.5914351851851853E-2</v>
      </c>
      <c r="P1250" s="13"/>
      <c r="Q1250" s="13"/>
      <c r="R1250" s="13"/>
      <c r="S1250" s="13">
        <v>1.3993055555555555E-2</v>
      </c>
      <c r="T1250" s="13">
        <v>1.3888888888888889E-4</v>
      </c>
      <c r="U1250" s="13">
        <v>2.3611111111111111E-3</v>
      </c>
      <c r="V1250" s="13"/>
      <c r="W1250" s="13"/>
    </row>
    <row r="1251" spans="1:23" ht="15" customHeight="1" x14ac:dyDescent="0.25">
      <c r="A1251" s="19">
        <v>46249</v>
      </c>
      <c r="B1251" s="11" t="s">
        <v>663</v>
      </c>
      <c r="C1251" s="12" t="s">
        <v>664</v>
      </c>
      <c r="D1251" s="11" t="s">
        <v>233</v>
      </c>
      <c r="E1251" s="12" t="s">
        <v>32</v>
      </c>
      <c r="F1251" s="12" t="s">
        <v>106</v>
      </c>
      <c r="G1251" s="12">
        <v>15</v>
      </c>
      <c r="H1251" s="13">
        <v>0.25107638888888889</v>
      </c>
      <c r="I1251" s="13">
        <v>9.7557870370370364E-2</v>
      </c>
      <c r="J1251" s="13">
        <v>6.5038580246913578E-3</v>
      </c>
      <c r="K1251" s="13">
        <v>2.9814814814814815E-2</v>
      </c>
      <c r="L1251" s="14">
        <v>0.11874798322039368</v>
      </c>
      <c r="M1251" s="12" t="s">
        <v>334</v>
      </c>
      <c r="N1251" s="13">
        <v>3.1828703703703702E-3</v>
      </c>
      <c r="O1251" s="13">
        <v>1.0486111111111111E-2</v>
      </c>
      <c r="P1251" s="13"/>
      <c r="Q1251" s="13"/>
      <c r="R1251" s="13"/>
      <c r="S1251" s="13">
        <v>1.607638888888889E-2</v>
      </c>
      <c r="T1251" s="13">
        <v>6.9444444444444444E-5</v>
      </c>
      <c r="U1251" s="13"/>
      <c r="V1251" s="13"/>
      <c r="W1251" s="13"/>
    </row>
    <row r="1252" spans="1:23" ht="15" customHeight="1" x14ac:dyDescent="0.25">
      <c r="A1252" s="19">
        <v>46249</v>
      </c>
      <c r="B1252" s="11" t="s">
        <v>665</v>
      </c>
      <c r="C1252" s="12" t="s">
        <v>666</v>
      </c>
      <c r="D1252" s="11" t="s">
        <v>100</v>
      </c>
      <c r="E1252" s="12" t="s">
        <v>32</v>
      </c>
      <c r="F1252" s="12" t="s">
        <v>33</v>
      </c>
      <c r="G1252" s="12">
        <v>41</v>
      </c>
      <c r="H1252" s="13">
        <v>0.32119212962962962</v>
      </c>
      <c r="I1252" s="13">
        <v>0.15317129629629631</v>
      </c>
      <c r="J1252" s="13">
        <v>3.7358852755194219E-3</v>
      </c>
      <c r="K1252" s="13">
        <v>2.2187499999999999E-2</v>
      </c>
      <c r="L1252" s="14">
        <v>6.9078591762459007E-2</v>
      </c>
      <c r="M1252" s="12" t="s">
        <v>334</v>
      </c>
      <c r="N1252" s="13">
        <v>1.5277777777777779E-3</v>
      </c>
      <c r="O1252" s="13">
        <v>5.208333333333333E-3</v>
      </c>
      <c r="P1252" s="13"/>
      <c r="Q1252" s="13"/>
      <c r="R1252" s="13"/>
      <c r="S1252" s="13">
        <v>1.3344907407407408E-2</v>
      </c>
      <c r="T1252" s="13">
        <v>4.5138888888888887E-4</v>
      </c>
      <c r="U1252" s="13">
        <v>1.5393518518518519E-3</v>
      </c>
      <c r="V1252" s="13"/>
      <c r="W1252" s="13"/>
    </row>
    <row r="1253" spans="1:23" ht="15" customHeight="1" x14ac:dyDescent="0.25">
      <c r="A1253" s="19">
        <v>46249</v>
      </c>
      <c r="B1253" s="11" t="s">
        <v>128</v>
      </c>
      <c r="C1253" s="12" t="s">
        <v>555</v>
      </c>
      <c r="D1253" s="11" t="s">
        <v>233</v>
      </c>
      <c r="E1253" s="12" t="s">
        <v>32</v>
      </c>
      <c r="F1253" s="12" t="s">
        <v>106</v>
      </c>
      <c r="G1253" s="12">
        <v>17</v>
      </c>
      <c r="H1253" s="13">
        <v>0.2487037037037037</v>
      </c>
      <c r="I1253" s="13">
        <v>6.385416666666667E-2</v>
      </c>
      <c r="J1253" s="13">
        <v>3.7561274509803925E-3</v>
      </c>
      <c r="K1253" s="13">
        <v>5.122685185185185E-2</v>
      </c>
      <c r="L1253" s="14">
        <v>0.20597542814594191</v>
      </c>
      <c r="M1253" s="12" t="s">
        <v>334</v>
      </c>
      <c r="N1253" s="13">
        <v>1.861111111111111E-2</v>
      </c>
      <c r="O1253" s="13">
        <v>1.5277777777777777E-2</v>
      </c>
      <c r="P1253" s="13"/>
      <c r="Q1253" s="13"/>
      <c r="R1253" s="13"/>
      <c r="S1253" s="13">
        <v>1.5729166666666666E-2</v>
      </c>
      <c r="T1253" s="13">
        <v>9.3749999999999997E-4</v>
      </c>
      <c r="U1253" s="13">
        <v>6.4814814814814813E-4</v>
      </c>
      <c r="V1253" s="13"/>
      <c r="W1253" s="13"/>
    </row>
    <row r="1254" spans="1:23" ht="15" customHeight="1" x14ac:dyDescent="0.25">
      <c r="A1254" s="19">
        <v>46249</v>
      </c>
      <c r="B1254" s="11" t="s">
        <v>178</v>
      </c>
      <c r="C1254" s="12" t="s">
        <v>522</v>
      </c>
      <c r="D1254" s="11" t="s">
        <v>146</v>
      </c>
      <c r="E1254" s="12" t="s">
        <v>147</v>
      </c>
      <c r="F1254" s="12" t="s">
        <v>106</v>
      </c>
      <c r="G1254" s="12">
        <v>13</v>
      </c>
      <c r="H1254" s="13">
        <v>0.25673611111111111</v>
      </c>
      <c r="I1254" s="13">
        <v>5.1631944444444446E-2</v>
      </c>
      <c r="J1254" s="13">
        <v>3.9716880341880345E-3</v>
      </c>
      <c r="K1254" s="13">
        <v>4.4467592592592593E-2</v>
      </c>
      <c r="L1254" s="14">
        <v>0.1732034983319809</v>
      </c>
      <c r="M1254" s="12" t="s">
        <v>334</v>
      </c>
      <c r="N1254" s="13">
        <v>5.5787037037037038E-3</v>
      </c>
      <c r="O1254" s="13">
        <v>1.5555555555555555E-2</v>
      </c>
      <c r="P1254" s="13"/>
      <c r="Q1254" s="13"/>
      <c r="R1254" s="13"/>
      <c r="S1254" s="13">
        <v>1.2974537037037038E-2</v>
      </c>
      <c r="T1254" s="13">
        <v>9.525462962962963E-3</v>
      </c>
      <c r="U1254" s="13">
        <v>7.291666666666667E-4</v>
      </c>
      <c r="V1254" s="13"/>
      <c r="W1254" s="13">
        <v>1.0416666666666667E-4</v>
      </c>
    </row>
    <row r="1255" spans="1:23" ht="15" customHeight="1" x14ac:dyDescent="0.25">
      <c r="A1255" s="19">
        <v>46249</v>
      </c>
      <c r="B1255" s="11" t="s">
        <v>266</v>
      </c>
      <c r="C1255" s="12" t="s">
        <v>531</v>
      </c>
      <c r="D1255" s="11" t="s">
        <v>233</v>
      </c>
      <c r="E1255" s="12" t="s">
        <v>32</v>
      </c>
      <c r="F1255" s="12" t="s">
        <v>106</v>
      </c>
      <c r="G1255" s="12">
        <v>0</v>
      </c>
      <c r="H1255" s="13">
        <v>0.17371527777777779</v>
      </c>
      <c r="I1255" s="13">
        <v>0</v>
      </c>
      <c r="J1255" s="13">
        <v>0</v>
      </c>
      <c r="K1255" s="13">
        <v>0.17371527777777779</v>
      </c>
      <c r="L1255" s="14">
        <v>1</v>
      </c>
      <c r="M1255" s="12" t="s">
        <v>334</v>
      </c>
      <c r="N1255" s="13"/>
      <c r="O1255" s="13">
        <v>7.3495370370370372E-3</v>
      </c>
      <c r="P1255" s="13"/>
      <c r="Q1255" s="13"/>
      <c r="R1255" s="13"/>
      <c r="S1255" s="13"/>
      <c r="T1255" s="13">
        <v>4.1666666666666669E-4</v>
      </c>
      <c r="U1255" s="13"/>
      <c r="V1255" s="13"/>
      <c r="W1255" s="13">
        <v>0.16594907407407408</v>
      </c>
    </row>
    <row r="1256" spans="1:23" ht="15" customHeight="1" x14ac:dyDescent="0.25">
      <c r="A1256" s="19">
        <v>46249</v>
      </c>
      <c r="B1256" s="11" t="s">
        <v>297</v>
      </c>
      <c r="C1256" s="12" t="s">
        <v>667</v>
      </c>
      <c r="D1256" s="11" t="s">
        <v>104</v>
      </c>
      <c r="E1256" s="12" t="s">
        <v>105</v>
      </c>
      <c r="F1256" s="12" t="s">
        <v>106</v>
      </c>
      <c r="G1256" s="12">
        <v>2</v>
      </c>
      <c r="H1256" s="13">
        <v>0.2232986111111111</v>
      </c>
      <c r="I1256" s="13">
        <v>2.914351851851852E-2</v>
      </c>
      <c r="J1256" s="13">
        <v>1.457175925925926E-2</v>
      </c>
      <c r="K1256" s="13">
        <v>0.21994212962962964</v>
      </c>
      <c r="L1256" s="14">
        <v>0.98496864147618313</v>
      </c>
      <c r="M1256" s="12" t="s">
        <v>334</v>
      </c>
      <c r="N1256" s="13">
        <v>3.1921296296296295E-2</v>
      </c>
      <c r="O1256" s="13">
        <v>1.6481481481481482E-2</v>
      </c>
      <c r="P1256" s="13"/>
      <c r="Q1256" s="13"/>
      <c r="R1256" s="13"/>
      <c r="S1256" s="13">
        <v>1.4166666666666666E-2</v>
      </c>
      <c r="T1256" s="13">
        <v>3.9351851851851852E-4</v>
      </c>
      <c r="U1256" s="13">
        <v>3.7037037037037035E-4</v>
      </c>
      <c r="V1256" s="13"/>
      <c r="W1256" s="13">
        <v>0.15660879629629629</v>
      </c>
    </row>
    <row r="1257" spans="1:23" ht="15" customHeight="1" x14ac:dyDescent="0.25">
      <c r="A1257" s="19">
        <v>46249</v>
      </c>
      <c r="B1257" s="11" t="s">
        <v>207</v>
      </c>
      <c r="C1257" s="12" t="s">
        <v>566</v>
      </c>
      <c r="D1257" s="11" t="s">
        <v>274</v>
      </c>
      <c r="E1257" s="12" t="s">
        <v>147</v>
      </c>
      <c r="F1257" s="12" t="s">
        <v>33</v>
      </c>
      <c r="G1257" s="12">
        <v>13</v>
      </c>
      <c r="H1257" s="13">
        <v>0.25915509259259262</v>
      </c>
      <c r="I1257" s="13">
        <v>4.0590277777777781E-2</v>
      </c>
      <c r="J1257" s="13">
        <v>3.1223290598290602E-3</v>
      </c>
      <c r="K1257" s="13">
        <v>3.6041666666666666E-2</v>
      </c>
      <c r="L1257" s="14">
        <v>0.13907373498280556</v>
      </c>
      <c r="M1257" s="12" t="s">
        <v>334</v>
      </c>
      <c r="N1257" s="13">
        <v>7.2685185185185188E-3</v>
      </c>
      <c r="O1257" s="13">
        <v>1.4363425925925925E-2</v>
      </c>
      <c r="P1257" s="13"/>
      <c r="Q1257" s="13"/>
      <c r="R1257" s="13"/>
      <c r="S1257" s="13">
        <v>1.4050925925925927E-2</v>
      </c>
      <c r="T1257" s="13">
        <v>6.9444444444444444E-5</v>
      </c>
      <c r="U1257" s="13">
        <v>2.7777777777777778E-4</v>
      </c>
      <c r="V1257" s="13"/>
      <c r="W1257" s="13"/>
    </row>
    <row r="1258" spans="1:23" ht="15" customHeight="1" x14ac:dyDescent="0.25">
      <c r="A1258" s="19">
        <v>46249</v>
      </c>
      <c r="B1258" s="11" t="s">
        <v>614</v>
      </c>
      <c r="C1258" s="12" t="s">
        <v>635</v>
      </c>
      <c r="D1258" s="11" t="s">
        <v>601</v>
      </c>
      <c r="E1258" s="12" t="s">
        <v>105</v>
      </c>
      <c r="F1258" s="12" t="s">
        <v>33</v>
      </c>
      <c r="G1258" s="12">
        <v>6</v>
      </c>
      <c r="H1258" s="13">
        <v>0.24</v>
      </c>
      <c r="I1258" s="13">
        <v>4.3969907407407409E-2</v>
      </c>
      <c r="J1258" s="13">
        <v>7.3283179012345679E-3</v>
      </c>
      <c r="K1258" s="13">
        <v>0.15628472222222223</v>
      </c>
      <c r="L1258" s="14">
        <v>0.65118634259259267</v>
      </c>
      <c r="M1258" s="12" t="s">
        <v>334</v>
      </c>
      <c r="N1258" s="13">
        <v>8.4606481481481477E-3</v>
      </c>
      <c r="O1258" s="13">
        <v>1.2314814814814815E-2</v>
      </c>
      <c r="P1258" s="13"/>
      <c r="Q1258" s="13"/>
      <c r="R1258" s="13"/>
      <c r="S1258" s="13">
        <v>1.4212962962962964E-2</v>
      </c>
      <c r="T1258" s="13">
        <v>3.2986111111111111E-3</v>
      </c>
      <c r="U1258" s="13">
        <v>0.11799768518518519</v>
      </c>
      <c r="V1258" s="13"/>
      <c r="W1258" s="13"/>
    </row>
    <row r="1259" spans="1:23" ht="15" customHeight="1" x14ac:dyDescent="0.25">
      <c r="A1259" s="19">
        <v>46249</v>
      </c>
      <c r="B1259" s="11" t="s">
        <v>180</v>
      </c>
      <c r="C1259" s="12" t="s">
        <v>523</v>
      </c>
      <c r="D1259" s="11" t="s">
        <v>146</v>
      </c>
      <c r="E1259" s="12" t="s">
        <v>147</v>
      </c>
      <c r="F1259" s="12" t="s">
        <v>106</v>
      </c>
      <c r="G1259" s="12">
        <v>11</v>
      </c>
      <c r="H1259" s="13">
        <v>0.25916666666666666</v>
      </c>
      <c r="I1259" s="13">
        <v>5.6840277777777781E-2</v>
      </c>
      <c r="J1259" s="13">
        <v>5.1672979797979801E-3</v>
      </c>
      <c r="K1259" s="13">
        <v>3.622685185185185E-2</v>
      </c>
      <c r="L1259" s="14">
        <v>0.13978206502322257</v>
      </c>
      <c r="M1259" s="12" t="s">
        <v>334</v>
      </c>
      <c r="N1259" s="13">
        <v>5.7291666666666663E-3</v>
      </c>
      <c r="O1259" s="13">
        <v>1.4976851851851852E-2</v>
      </c>
      <c r="P1259" s="13"/>
      <c r="Q1259" s="13">
        <v>1.7476851851851852E-3</v>
      </c>
      <c r="R1259" s="13"/>
      <c r="S1259" s="13">
        <v>1.3495370370370371E-2</v>
      </c>
      <c r="T1259" s="13">
        <v>9.2592592592592588E-5</v>
      </c>
      <c r="U1259" s="13">
        <v>1.8518518518518518E-4</v>
      </c>
      <c r="V1259" s="13"/>
      <c r="W1259" s="13"/>
    </row>
    <row r="1260" spans="1:23" ht="15" customHeight="1" x14ac:dyDescent="0.25">
      <c r="A1260" s="19">
        <v>46249</v>
      </c>
      <c r="B1260" s="11" t="s">
        <v>615</v>
      </c>
      <c r="C1260" s="12" t="s">
        <v>636</v>
      </c>
      <c r="D1260" s="11" t="s">
        <v>601</v>
      </c>
      <c r="E1260" s="12" t="s">
        <v>105</v>
      </c>
      <c r="F1260" s="12" t="s">
        <v>33</v>
      </c>
      <c r="G1260" s="12">
        <v>3</v>
      </c>
      <c r="H1260" s="13">
        <v>0.17822916666666666</v>
      </c>
      <c r="I1260" s="13">
        <v>4.071759259259259E-2</v>
      </c>
      <c r="J1260" s="13">
        <v>1.3572530864197531E-2</v>
      </c>
      <c r="K1260" s="13">
        <v>0.16592592592592592</v>
      </c>
      <c r="L1260" s="14">
        <v>0.93096954347684913</v>
      </c>
      <c r="M1260" s="12" t="s">
        <v>334</v>
      </c>
      <c r="N1260" s="13"/>
      <c r="O1260" s="13">
        <v>1.5266203703703704E-2</v>
      </c>
      <c r="P1260" s="13"/>
      <c r="Q1260" s="13"/>
      <c r="R1260" s="13"/>
      <c r="S1260" s="13">
        <v>3.6226851851851854E-3</v>
      </c>
      <c r="T1260" s="13">
        <v>3.3564814814814812E-4</v>
      </c>
      <c r="U1260" s="13">
        <v>0.1467013888888889</v>
      </c>
      <c r="V1260" s="13"/>
      <c r="W1260" s="13"/>
    </row>
    <row r="1261" spans="1:23" ht="15" customHeight="1" x14ac:dyDescent="0.25">
      <c r="A1261" s="19">
        <v>46249</v>
      </c>
      <c r="B1261" s="11" t="s">
        <v>616</v>
      </c>
      <c r="C1261" s="12" t="s">
        <v>637</v>
      </c>
      <c r="D1261" s="11" t="s">
        <v>601</v>
      </c>
      <c r="E1261" s="12" t="s">
        <v>105</v>
      </c>
      <c r="F1261" s="12" t="s">
        <v>33</v>
      </c>
      <c r="G1261" s="12">
        <v>2</v>
      </c>
      <c r="H1261" s="13">
        <v>0.20413194444444444</v>
      </c>
      <c r="I1261" s="13">
        <v>4.2824074074074077E-2</v>
      </c>
      <c r="J1261" s="13">
        <v>2.1412037037037038E-2</v>
      </c>
      <c r="K1261" s="13">
        <v>0.19038194444444445</v>
      </c>
      <c r="L1261" s="14">
        <v>0.93264160571525778</v>
      </c>
      <c r="M1261" s="12" t="s">
        <v>334</v>
      </c>
      <c r="N1261" s="13">
        <v>1.3703703703703704E-2</v>
      </c>
      <c r="O1261" s="13">
        <v>7.7777777777777776E-3</v>
      </c>
      <c r="P1261" s="13"/>
      <c r="Q1261" s="13"/>
      <c r="R1261" s="13"/>
      <c r="S1261" s="13">
        <v>4.5370370370370373E-3</v>
      </c>
      <c r="T1261" s="13">
        <v>7.0601851851851847E-4</v>
      </c>
      <c r="U1261" s="13">
        <v>0.16365740740740742</v>
      </c>
      <c r="V1261" s="13"/>
      <c r="W1261" s="13"/>
    </row>
    <row r="1262" spans="1:23" ht="15" customHeight="1" x14ac:dyDescent="0.25">
      <c r="A1262" s="19">
        <v>46249</v>
      </c>
      <c r="B1262" s="11" t="s">
        <v>209</v>
      </c>
      <c r="C1262" s="12" t="s">
        <v>567</v>
      </c>
      <c r="D1262" s="11" t="s">
        <v>601</v>
      </c>
      <c r="E1262" s="12" t="s">
        <v>105</v>
      </c>
      <c r="F1262" s="12" t="s">
        <v>33</v>
      </c>
      <c r="G1262" s="12">
        <v>1</v>
      </c>
      <c r="H1262" s="13">
        <v>0.15584490740740742</v>
      </c>
      <c r="I1262" s="13">
        <v>1.2962962962962963E-2</v>
      </c>
      <c r="J1262" s="13">
        <v>1.2962962962962963E-2</v>
      </c>
      <c r="K1262" s="13">
        <v>0.13971064814814815</v>
      </c>
      <c r="L1262" s="14">
        <v>0.89647233568510953</v>
      </c>
      <c r="M1262" s="12" t="s">
        <v>334</v>
      </c>
      <c r="N1262" s="13">
        <v>3.8194444444444443E-3</v>
      </c>
      <c r="O1262" s="13">
        <v>4.4212962962962964E-3</v>
      </c>
      <c r="P1262" s="13"/>
      <c r="Q1262" s="13"/>
      <c r="R1262" s="13"/>
      <c r="S1262" s="13">
        <v>1.1921296296296296E-2</v>
      </c>
      <c r="T1262" s="13">
        <v>1.6898148148148148E-3</v>
      </c>
      <c r="U1262" s="13">
        <v>0.11785879629629629</v>
      </c>
      <c r="V1262" s="13"/>
      <c r="W1262" s="13"/>
    </row>
    <row r="1263" spans="1:23" ht="15" customHeight="1" x14ac:dyDescent="0.25">
      <c r="A1263" s="19">
        <v>46249</v>
      </c>
      <c r="B1263" s="11" t="s">
        <v>60</v>
      </c>
      <c r="C1263" s="12" t="s">
        <v>510</v>
      </c>
      <c r="D1263" s="11" t="s">
        <v>100</v>
      </c>
      <c r="E1263" s="12" t="s">
        <v>32</v>
      </c>
      <c r="F1263" s="12" t="s">
        <v>33</v>
      </c>
      <c r="G1263" s="12">
        <v>25</v>
      </c>
      <c r="H1263" s="13">
        <v>0.26162037037037039</v>
      </c>
      <c r="I1263" s="13">
        <v>0.12579861111111112</v>
      </c>
      <c r="J1263" s="13">
        <v>5.0319444444444448E-3</v>
      </c>
      <c r="K1263" s="13">
        <v>3.8449074074074073E-2</v>
      </c>
      <c r="L1263" s="14">
        <v>0.14696513891346663</v>
      </c>
      <c r="M1263" s="12" t="s">
        <v>334</v>
      </c>
      <c r="N1263" s="13"/>
      <c r="O1263" s="13">
        <v>1.4050925925925927E-2</v>
      </c>
      <c r="P1263" s="13"/>
      <c r="Q1263" s="13"/>
      <c r="R1263" s="13">
        <v>1.1574074074074075E-4</v>
      </c>
      <c r="S1263" s="13">
        <v>1.3900462962962963E-2</v>
      </c>
      <c r="T1263" s="13">
        <v>3.9351851851851852E-4</v>
      </c>
      <c r="U1263" s="13">
        <v>6.3657407407407413E-4</v>
      </c>
      <c r="V1263" s="13"/>
      <c r="W1263" s="13">
        <v>9.1203703703703707E-3</v>
      </c>
    </row>
    <row r="1264" spans="1:23" ht="15" customHeight="1" x14ac:dyDescent="0.25">
      <c r="A1264" s="19">
        <v>46249</v>
      </c>
      <c r="B1264" s="11" t="s">
        <v>132</v>
      </c>
      <c r="C1264" s="12" t="s">
        <v>512</v>
      </c>
      <c r="D1264" s="11" t="s">
        <v>104</v>
      </c>
      <c r="E1264" s="12" t="s">
        <v>105</v>
      </c>
      <c r="F1264" s="12" t="s">
        <v>106</v>
      </c>
      <c r="G1264" s="12">
        <v>2</v>
      </c>
      <c r="H1264" s="13">
        <v>0.24968750000000001</v>
      </c>
      <c r="I1264" s="13">
        <v>7.8912037037037031E-2</v>
      </c>
      <c r="J1264" s="13">
        <v>3.9456018518518515E-2</v>
      </c>
      <c r="K1264" s="13">
        <v>0.20827546296296295</v>
      </c>
      <c r="L1264" s="14">
        <v>0.83414453251749865</v>
      </c>
      <c r="M1264" s="12" t="s">
        <v>334</v>
      </c>
      <c r="N1264" s="13">
        <v>4.8842592592592592E-3</v>
      </c>
      <c r="O1264" s="13">
        <v>1.494212962962963E-2</v>
      </c>
      <c r="P1264" s="13"/>
      <c r="Q1264" s="13"/>
      <c r="R1264" s="13"/>
      <c r="S1264" s="13">
        <v>0.01</v>
      </c>
      <c r="T1264" s="13">
        <v>2.1770833333333333E-2</v>
      </c>
      <c r="U1264" s="13"/>
      <c r="V1264" s="13"/>
      <c r="W1264" s="13">
        <v>0.15667824074074074</v>
      </c>
    </row>
    <row r="1265" spans="1:23" ht="15" customHeight="1" x14ac:dyDescent="0.25">
      <c r="A1265" s="19">
        <v>46249</v>
      </c>
      <c r="B1265" s="11" t="s">
        <v>134</v>
      </c>
      <c r="C1265" s="12" t="s">
        <v>560</v>
      </c>
      <c r="D1265" s="11" t="s">
        <v>104</v>
      </c>
      <c r="E1265" s="12" t="s">
        <v>105</v>
      </c>
      <c r="F1265" s="12" t="s">
        <v>106</v>
      </c>
      <c r="G1265" s="12">
        <v>1</v>
      </c>
      <c r="H1265" s="13">
        <v>0.24407407407407408</v>
      </c>
      <c r="I1265" s="13">
        <v>2.642361111111111E-2</v>
      </c>
      <c r="J1265" s="13">
        <v>2.642361111111111E-2</v>
      </c>
      <c r="K1265" s="13">
        <v>0.229375</v>
      </c>
      <c r="L1265" s="14">
        <v>0.93977617602427921</v>
      </c>
      <c r="M1265" s="12" t="s">
        <v>334</v>
      </c>
      <c r="N1265" s="13">
        <v>4.9189814814814816E-3</v>
      </c>
      <c r="O1265" s="13">
        <v>2.9166666666666668E-3</v>
      </c>
      <c r="P1265" s="13"/>
      <c r="Q1265" s="13"/>
      <c r="R1265" s="13"/>
      <c r="S1265" s="13">
        <v>1.1620370370370371E-2</v>
      </c>
      <c r="T1265" s="13">
        <v>4.3321759259259261E-2</v>
      </c>
      <c r="U1265" s="13"/>
      <c r="V1265" s="13"/>
      <c r="W1265" s="13">
        <v>0.16659722222222223</v>
      </c>
    </row>
    <row r="1266" spans="1:23" ht="15" customHeight="1" x14ac:dyDescent="0.25">
      <c r="A1266" s="19">
        <v>46249</v>
      </c>
      <c r="B1266" s="11" t="s">
        <v>211</v>
      </c>
      <c r="C1266" s="12" t="s">
        <v>546</v>
      </c>
      <c r="D1266" s="11" t="s">
        <v>104</v>
      </c>
      <c r="E1266" s="12" t="s">
        <v>105</v>
      </c>
      <c r="F1266" s="12" t="s">
        <v>106</v>
      </c>
      <c r="G1266" s="12">
        <v>2</v>
      </c>
      <c r="H1266" s="13">
        <v>0.1630787037037037</v>
      </c>
      <c r="I1266" s="13">
        <v>3.0532407407407407E-2</v>
      </c>
      <c r="J1266" s="13">
        <v>1.5266203703703704E-2</v>
      </c>
      <c r="K1266" s="13">
        <v>0.10702546296296296</v>
      </c>
      <c r="L1266" s="14">
        <v>0.65628105039034779</v>
      </c>
      <c r="M1266" s="12" t="s">
        <v>334</v>
      </c>
      <c r="N1266" s="13"/>
      <c r="O1266" s="13">
        <v>1.6250000000000001E-2</v>
      </c>
      <c r="P1266" s="13">
        <v>3.3402777777777781E-2</v>
      </c>
      <c r="Q1266" s="13"/>
      <c r="R1266" s="13"/>
      <c r="S1266" s="13">
        <v>1.8865740740740742E-3</v>
      </c>
      <c r="T1266" s="13">
        <v>2.4305555555555555E-4</v>
      </c>
      <c r="U1266" s="13">
        <v>4.861111111111111E-4</v>
      </c>
      <c r="V1266" s="13"/>
      <c r="W1266" s="13">
        <v>5.4756944444444441E-2</v>
      </c>
    </row>
    <row r="1267" spans="1:23" ht="15" customHeight="1" x14ac:dyDescent="0.25">
      <c r="A1267" s="19">
        <v>46249</v>
      </c>
      <c r="B1267" s="11" t="s">
        <v>618</v>
      </c>
      <c r="C1267" s="12" t="s">
        <v>639</v>
      </c>
      <c r="D1267" s="11" t="s">
        <v>601</v>
      </c>
      <c r="E1267" s="12" t="s">
        <v>105</v>
      </c>
      <c r="F1267" s="12" t="s">
        <v>33</v>
      </c>
      <c r="G1267" s="12">
        <v>2</v>
      </c>
      <c r="H1267" s="13">
        <v>0.20394675925925926</v>
      </c>
      <c r="I1267" s="13">
        <v>5.2418981481481483E-2</v>
      </c>
      <c r="J1267" s="13">
        <v>2.6209490740740742E-2</v>
      </c>
      <c r="K1267" s="13">
        <v>0.1821875</v>
      </c>
      <c r="L1267" s="14">
        <v>0.89330911980023842</v>
      </c>
      <c r="M1267" s="12" t="s">
        <v>334</v>
      </c>
      <c r="N1267" s="13">
        <v>9.8263888888888897E-3</v>
      </c>
      <c r="O1267" s="13">
        <v>1.8865740740740742E-2</v>
      </c>
      <c r="P1267" s="13"/>
      <c r="Q1267" s="13"/>
      <c r="R1267" s="13"/>
      <c r="S1267" s="13">
        <v>1.4780092592592593E-2</v>
      </c>
      <c r="T1267" s="13">
        <v>4.7453703703703704E-4</v>
      </c>
      <c r="U1267" s="13">
        <v>0.13824074074074075</v>
      </c>
      <c r="V1267" s="13"/>
      <c r="W1267" s="13"/>
    </row>
    <row r="1268" spans="1:23" ht="15" customHeight="1" x14ac:dyDescent="0.25">
      <c r="A1268" s="19">
        <v>46249</v>
      </c>
      <c r="B1268" s="11" t="s">
        <v>501</v>
      </c>
      <c r="C1268" s="12" t="s">
        <v>524</v>
      </c>
      <c r="D1268" s="11" t="s">
        <v>274</v>
      </c>
      <c r="E1268" s="12" t="s">
        <v>147</v>
      </c>
      <c r="F1268" s="12" t="s">
        <v>33</v>
      </c>
      <c r="G1268" s="12">
        <v>14</v>
      </c>
      <c r="H1268" s="13">
        <v>0.27043981481481483</v>
      </c>
      <c r="I1268" s="13">
        <v>4.6932870370370368E-2</v>
      </c>
      <c r="J1268" s="13">
        <v>3.3523478835978835E-3</v>
      </c>
      <c r="K1268" s="13">
        <v>2.9849537037037036E-2</v>
      </c>
      <c r="L1268" s="14">
        <v>0.11037404776170504</v>
      </c>
      <c r="M1268" s="12" t="s">
        <v>334</v>
      </c>
      <c r="N1268" s="13"/>
      <c r="O1268" s="13">
        <v>1.6377314814814813E-2</v>
      </c>
      <c r="P1268" s="13"/>
      <c r="Q1268" s="13"/>
      <c r="R1268" s="13"/>
      <c r="S1268" s="13">
        <v>1.3321759259259259E-2</v>
      </c>
      <c r="T1268" s="13">
        <v>1.5046296296296297E-4</v>
      </c>
      <c r="U1268" s="13"/>
      <c r="V1268" s="13"/>
      <c r="W1268" s="13"/>
    </row>
    <row r="1269" spans="1:23" ht="15" customHeight="1" x14ac:dyDescent="0.25">
      <c r="A1269" s="19">
        <v>46249</v>
      </c>
      <c r="B1269" s="11" t="s">
        <v>213</v>
      </c>
      <c r="C1269" s="12" t="s">
        <v>572</v>
      </c>
      <c r="D1269" s="11" t="s">
        <v>601</v>
      </c>
      <c r="E1269" s="12" t="s">
        <v>105</v>
      </c>
      <c r="F1269" s="12" t="s">
        <v>33</v>
      </c>
      <c r="G1269" s="12">
        <v>5</v>
      </c>
      <c r="H1269" s="13">
        <v>0.25009259259259259</v>
      </c>
      <c r="I1269" s="13">
        <v>0.1303125</v>
      </c>
      <c r="J1269" s="13">
        <v>2.6062499999999999E-2</v>
      </c>
      <c r="K1269" s="13">
        <v>0.21030092592592592</v>
      </c>
      <c r="L1269" s="14">
        <v>0.84089226212513879</v>
      </c>
      <c r="M1269" s="12" t="s">
        <v>334</v>
      </c>
      <c r="N1269" s="13">
        <v>2.3807870370370372E-2</v>
      </c>
      <c r="O1269" s="13">
        <v>2.4282407407407409E-2</v>
      </c>
      <c r="P1269" s="13"/>
      <c r="Q1269" s="13"/>
      <c r="R1269" s="13"/>
      <c r="S1269" s="13">
        <v>1.2592592592592593E-2</v>
      </c>
      <c r="T1269" s="13">
        <v>6.018518518518519E-4</v>
      </c>
      <c r="U1269" s="13">
        <v>0.14901620370370369</v>
      </c>
      <c r="V1269" s="13"/>
      <c r="W1269" s="13"/>
    </row>
    <row r="1270" spans="1:23" ht="15" customHeight="1" x14ac:dyDescent="0.25">
      <c r="A1270" s="19">
        <v>46249</v>
      </c>
      <c r="B1270" s="11" t="s">
        <v>619</v>
      </c>
      <c r="C1270" s="12" t="s">
        <v>640</v>
      </c>
      <c r="D1270" s="11" t="s">
        <v>601</v>
      </c>
      <c r="E1270" s="12" t="s">
        <v>105</v>
      </c>
      <c r="F1270" s="12" t="s">
        <v>33</v>
      </c>
      <c r="G1270" s="12">
        <v>5</v>
      </c>
      <c r="H1270" s="13">
        <v>0.20988425925925927</v>
      </c>
      <c r="I1270" s="13">
        <v>4.5613425925925925E-2</v>
      </c>
      <c r="J1270" s="13">
        <v>9.1226851851851851E-3</v>
      </c>
      <c r="K1270" s="13">
        <v>0.14587962962962964</v>
      </c>
      <c r="L1270" s="14">
        <v>0.69504797617734637</v>
      </c>
      <c r="M1270" s="12" t="s">
        <v>334</v>
      </c>
      <c r="N1270" s="13">
        <v>8.2986111111111108E-3</v>
      </c>
      <c r="O1270" s="13">
        <v>1.4085648148148147E-2</v>
      </c>
      <c r="P1270" s="13"/>
      <c r="Q1270" s="13"/>
      <c r="R1270" s="13"/>
      <c r="S1270" s="13">
        <v>1.3032407407407407E-2</v>
      </c>
      <c r="T1270" s="13">
        <v>1.1076388888888889E-2</v>
      </c>
      <c r="U1270" s="13">
        <v>8.8587962962962966E-2</v>
      </c>
      <c r="V1270" s="13"/>
      <c r="W1270" s="13">
        <v>1.0798611111111111E-2</v>
      </c>
    </row>
    <row r="1271" spans="1:23" ht="15" customHeight="1" x14ac:dyDescent="0.25">
      <c r="A1271" s="19">
        <v>46249</v>
      </c>
      <c r="B1271" s="11" t="s">
        <v>668</v>
      </c>
      <c r="C1271" s="12" t="s">
        <v>669</v>
      </c>
      <c r="D1271" s="11" t="s">
        <v>233</v>
      </c>
      <c r="E1271" s="12" t="s">
        <v>32</v>
      </c>
      <c r="F1271" s="12" t="s">
        <v>106</v>
      </c>
      <c r="G1271" s="12">
        <v>18</v>
      </c>
      <c r="H1271" s="13">
        <v>0.26322916666666668</v>
      </c>
      <c r="I1271" s="13">
        <v>7.5219907407407402E-2</v>
      </c>
      <c r="J1271" s="13">
        <v>4.1788837448559664E-3</v>
      </c>
      <c r="K1271" s="13">
        <v>3.6886574074074072E-2</v>
      </c>
      <c r="L1271" s="14">
        <v>0.14013102932770521</v>
      </c>
      <c r="M1271" s="12" t="s">
        <v>334</v>
      </c>
      <c r="N1271" s="13">
        <v>5.9606481481481481E-3</v>
      </c>
      <c r="O1271" s="13">
        <v>1.3819444444444445E-2</v>
      </c>
      <c r="P1271" s="13"/>
      <c r="Q1271" s="13">
        <v>5.4398148148148144E-4</v>
      </c>
      <c r="R1271" s="13"/>
      <c r="S1271" s="13">
        <v>9.6064814814814815E-3</v>
      </c>
      <c r="T1271" s="13">
        <v>6.6782407407407407E-3</v>
      </c>
      <c r="U1271" s="13">
        <v>2.7777777777777778E-4</v>
      </c>
      <c r="V1271" s="13"/>
      <c r="W1271" s="13"/>
    </row>
    <row r="1272" spans="1:23" ht="15" customHeight="1" x14ac:dyDescent="0.25">
      <c r="A1272" s="19">
        <v>46249</v>
      </c>
      <c r="B1272" s="11" t="s">
        <v>219</v>
      </c>
      <c r="C1272" s="12" t="s">
        <v>548</v>
      </c>
      <c r="D1272" s="11" t="s">
        <v>104</v>
      </c>
      <c r="E1272" s="12" t="s">
        <v>105</v>
      </c>
      <c r="F1272" s="12" t="s">
        <v>106</v>
      </c>
      <c r="G1272" s="12">
        <v>2</v>
      </c>
      <c r="H1272" s="13">
        <v>0.21106481481481482</v>
      </c>
      <c r="I1272" s="13">
        <v>2.7719907407407408E-2</v>
      </c>
      <c r="J1272" s="13">
        <v>1.3859953703703704E-2</v>
      </c>
      <c r="K1272" s="13">
        <v>0.18692129629629631</v>
      </c>
      <c r="L1272" s="14">
        <v>0.88561087957885509</v>
      </c>
      <c r="M1272" s="12" t="s">
        <v>334</v>
      </c>
      <c r="N1272" s="13"/>
      <c r="O1272" s="13">
        <v>1.6400462962962964E-2</v>
      </c>
      <c r="P1272" s="13"/>
      <c r="Q1272" s="13"/>
      <c r="R1272" s="13"/>
      <c r="S1272" s="13">
        <v>1.773148148148148E-2</v>
      </c>
      <c r="T1272" s="13">
        <v>2.568287037037037E-2</v>
      </c>
      <c r="U1272" s="13">
        <v>3.2407407407407406E-4</v>
      </c>
      <c r="V1272" s="13"/>
      <c r="W1272" s="13">
        <v>0.1267824074074074</v>
      </c>
    </row>
    <row r="1273" spans="1:23" ht="15" customHeight="1" x14ac:dyDescent="0.25">
      <c r="A1273" s="19">
        <v>46249</v>
      </c>
      <c r="B1273" s="11" t="s">
        <v>305</v>
      </c>
      <c r="C1273" s="12" t="s">
        <v>306</v>
      </c>
      <c r="D1273" s="11" t="s">
        <v>100</v>
      </c>
      <c r="E1273" s="12" t="s">
        <v>32</v>
      </c>
      <c r="F1273" s="12" t="s">
        <v>33</v>
      </c>
      <c r="G1273" s="12">
        <v>27</v>
      </c>
      <c r="H1273" s="13">
        <v>0.26078703703703704</v>
      </c>
      <c r="I1273" s="13">
        <v>7.1192129629629633E-2</v>
      </c>
      <c r="J1273" s="13">
        <v>2.6367455418381345E-3</v>
      </c>
      <c r="K1273" s="13">
        <v>5.3854166666666668E-2</v>
      </c>
      <c r="L1273" s="14">
        <v>0.2065063021480561</v>
      </c>
      <c r="M1273" s="12" t="s">
        <v>334</v>
      </c>
      <c r="N1273" s="13">
        <v>1.4976851851851852E-2</v>
      </c>
      <c r="O1273" s="13">
        <v>1.7002314814814814E-2</v>
      </c>
      <c r="P1273" s="13"/>
      <c r="Q1273" s="13">
        <v>3.6111111111111109E-3</v>
      </c>
      <c r="R1273" s="13"/>
      <c r="S1273" s="13">
        <v>1.7465277777777777E-2</v>
      </c>
      <c r="T1273" s="13">
        <v>1.1574074074074075E-4</v>
      </c>
      <c r="U1273" s="13"/>
      <c r="V1273" s="13"/>
      <c r="W1273" s="13">
        <v>6.8287037037037036E-4</v>
      </c>
    </row>
    <row r="1274" spans="1:23" ht="15" customHeight="1" x14ac:dyDescent="0.25">
      <c r="A1274" s="19">
        <v>46249</v>
      </c>
      <c r="B1274" s="11" t="s">
        <v>620</v>
      </c>
      <c r="C1274" s="12" t="s">
        <v>641</v>
      </c>
      <c r="D1274" s="11" t="s">
        <v>601</v>
      </c>
      <c r="E1274" s="12" t="s">
        <v>105</v>
      </c>
      <c r="F1274" s="12" t="s">
        <v>33</v>
      </c>
      <c r="G1274" s="12">
        <v>6</v>
      </c>
      <c r="H1274" s="13">
        <v>0.23445601851851852</v>
      </c>
      <c r="I1274" s="13">
        <v>0.13603009259259261</v>
      </c>
      <c r="J1274" s="13">
        <v>2.2671682098765435E-2</v>
      </c>
      <c r="K1274" s="13">
        <v>0.18447916666666667</v>
      </c>
      <c r="L1274" s="14">
        <v>0.78683911734215328</v>
      </c>
      <c r="M1274" s="12" t="s">
        <v>334</v>
      </c>
      <c r="N1274" s="13">
        <v>4.178240740740741E-3</v>
      </c>
      <c r="O1274" s="13">
        <v>1.9340277777777779E-2</v>
      </c>
      <c r="P1274" s="13"/>
      <c r="Q1274" s="13"/>
      <c r="R1274" s="13"/>
      <c r="S1274" s="13">
        <v>1.5081018518518518E-2</v>
      </c>
      <c r="T1274" s="13">
        <v>5.5324074074074078E-3</v>
      </c>
      <c r="U1274" s="13">
        <v>0.14034722222222223</v>
      </c>
      <c r="V1274" s="13"/>
      <c r="W1274" s="13"/>
    </row>
    <row r="1275" spans="1:23" ht="15" customHeight="1" x14ac:dyDescent="0.25">
      <c r="A1275" s="19">
        <v>46249</v>
      </c>
      <c r="B1275" s="11" t="s">
        <v>138</v>
      </c>
      <c r="C1275" s="12" t="s">
        <v>556</v>
      </c>
      <c r="D1275" s="11" t="s">
        <v>104</v>
      </c>
      <c r="E1275" s="12" t="s">
        <v>105</v>
      </c>
      <c r="F1275" s="12" t="s">
        <v>106</v>
      </c>
      <c r="G1275" s="12">
        <v>3</v>
      </c>
      <c r="H1275" s="13">
        <v>0.24754629629629629</v>
      </c>
      <c r="I1275" s="13">
        <v>5.7604166666666665E-2</v>
      </c>
      <c r="J1275" s="13">
        <v>1.9201388888888889E-2</v>
      </c>
      <c r="K1275" s="13">
        <v>0.2129861111111111</v>
      </c>
      <c r="L1275" s="14">
        <v>0.86038900317935285</v>
      </c>
      <c r="M1275" s="12" t="s">
        <v>334</v>
      </c>
      <c r="N1275" s="13">
        <v>2.662037037037037E-3</v>
      </c>
      <c r="O1275" s="13">
        <v>1.0381944444444444E-2</v>
      </c>
      <c r="P1275" s="13"/>
      <c r="Q1275" s="13"/>
      <c r="R1275" s="13"/>
      <c r="S1275" s="13">
        <v>1.4537037037037038E-2</v>
      </c>
      <c r="T1275" s="13">
        <v>3.3692129629629627E-2</v>
      </c>
      <c r="U1275" s="13">
        <v>1.4467592592592592E-3</v>
      </c>
      <c r="V1275" s="13"/>
      <c r="W1275" s="13">
        <v>0.15026620370370369</v>
      </c>
    </row>
    <row r="1276" spans="1:23" ht="15" customHeight="1" x14ac:dyDescent="0.25">
      <c r="A1276" s="19">
        <v>46249</v>
      </c>
      <c r="B1276" s="11" t="s">
        <v>276</v>
      </c>
      <c r="C1276" s="12" t="s">
        <v>532</v>
      </c>
      <c r="D1276" s="11" t="s">
        <v>233</v>
      </c>
      <c r="E1276" s="12" t="s">
        <v>32</v>
      </c>
      <c r="F1276" s="12" t="s">
        <v>106</v>
      </c>
      <c r="G1276" s="12">
        <v>21</v>
      </c>
      <c r="H1276" s="13">
        <v>0.26505787037037037</v>
      </c>
      <c r="I1276" s="13">
        <v>4.6666666666666669E-2</v>
      </c>
      <c r="J1276" s="13">
        <v>2.2222222222222222E-3</v>
      </c>
      <c r="K1276" s="13">
        <v>5.1608796296296298E-2</v>
      </c>
      <c r="L1276" s="14">
        <v>0.19470765468756823</v>
      </c>
      <c r="M1276" s="12" t="s">
        <v>334</v>
      </c>
      <c r="N1276" s="13">
        <v>5.9837962962962961E-3</v>
      </c>
      <c r="O1276" s="13">
        <v>1.4143518518518519E-2</v>
      </c>
      <c r="P1276" s="13"/>
      <c r="Q1276" s="13"/>
      <c r="R1276" s="13"/>
      <c r="S1276" s="13">
        <v>1.4293981481481482E-2</v>
      </c>
      <c r="T1276" s="13">
        <v>1.6875000000000001E-2</v>
      </c>
      <c r="U1276" s="13">
        <v>3.0092592592592595E-4</v>
      </c>
      <c r="V1276" s="13"/>
      <c r="W1276" s="13"/>
    </row>
    <row r="1277" spans="1:23" ht="15" customHeight="1" x14ac:dyDescent="0.25">
      <c r="A1277" s="19">
        <v>46249</v>
      </c>
      <c r="B1277" s="11" t="s">
        <v>278</v>
      </c>
      <c r="C1277" s="12" t="s">
        <v>533</v>
      </c>
      <c r="D1277" s="11" t="s">
        <v>233</v>
      </c>
      <c r="E1277" s="12" t="s">
        <v>32</v>
      </c>
      <c r="F1277" s="12" t="s">
        <v>106</v>
      </c>
      <c r="G1277" s="12">
        <v>15</v>
      </c>
      <c r="H1277" s="13">
        <v>0.26144675925925925</v>
      </c>
      <c r="I1277" s="13">
        <v>6.9722222222222227E-2</v>
      </c>
      <c r="J1277" s="13">
        <v>4.6481481481481486E-3</v>
      </c>
      <c r="K1277" s="13">
        <v>4.2094907407407407E-2</v>
      </c>
      <c r="L1277" s="14">
        <v>0.16100757005622207</v>
      </c>
      <c r="M1277" s="12" t="s">
        <v>334</v>
      </c>
      <c r="N1277" s="13">
        <v>5.8449074074074072E-3</v>
      </c>
      <c r="O1277" s="13">
        <v>1.4085648148148147E-2</v>
      </c>
      <c r="P1277" s="13">
        <v>8.0092592592592594E-3</v>
      </c>
      <c r="Q1277" s="13"/>
      <c r="R1277" s="13"/>
      <c r="S1277" s="13">
        <v>1.3912037037037037E-2</v>
      </c>
      <c r="T1277" s="13">
        <v>2.4305555555555555E-4</v>
      </c>
      <c r="U1277" s="13"/>
      <c r="V1277" s="13"/>
      <c r="W1277" s="13"/>
    </row>
    <row r="1278" spans="1:23" ht="15" customHeight="1" x14ac:dyDescent="0.25">
      <c r="A1278" s="19">
        <v>46249</v>
      </c>
      <c r="B1278" s="11" t="s">
        <v>313</v>
      </c>
      <c r="C1278" s="12" t="s">
        <v>511</v>
      </c>
      <c r="D1278" s="11" t="s">
        <v>78</v>
      </c>
      <c r="E1278" s="12" t="s">
        <v>80</v>
      </c>
      <c r="F1278" s="12" t="s">
        <v>81</v>
      </c>
      <c r="G1278" s="12">
        <v>0</v>
      </c>
      <c r="H1278" s="13">
        <v>0.25111111111111112</v>
      </c>
      <c r="I1278" s="13">
        <v>0</v>
      </c>
      <c r="J1278" s="13">
        <v>0</v>
      </c>
      <c r="K1278" s="13">
        <v>3.9467592592592592E-3</v>
      </c>
      <c r="L1278" s="14">
        <v>1.5717182890855455E-2</v>
      </c>
      <c r="M1278" s="12" t="s">
        <v>334</v>
      </c>
      <c r="N1278" s="13">
        <v>3.7268518518518519E-3</v>
      </c>
      <c r="O1278" s="13">
        <v>1.5046296296296297E-4</v>
      </c>
      <c r="P1278" s="13"/>
      <c r="Q1278" s="13"/>
      <c r="R1278" s="13"/>
      <c r="S1278" s="13"/>
      <c r="T1278" s="13">
        <v>6.9444444444444444E-5</v>
      </c>
      <c r="U1278" s="13"/>
      <c r="V1278" s="13"/>
      <c r="W1278" s="13"/>
    </row>
    <row r="1279" spans="1:23" ht="15" customHeight="1" x14ac:dyDescent="0.25">
      <c r="A1279" s="19">
        <v>46249</v>
      </c>
      <c r="B1279" s="11" t="s">
        <v>673</v>
      </c>
      <c r="C1279" s="12" t="s">
        <v>674</v>
      </c>
      <c r="D1279" s="11" t="s">
        <v>104</v>
      </c>
      <c r="E1279" s="12" t="s">
        <v>105</v>
      </c>
      <c r="F1279" s="12" t="s">
        <v>106</v>
      </c>
      <c r="G1279" s="12">
        <v>2</v>
      </c>
      <c r="H1279" s="13">
        <v>0.24042824074074073</v>
      </c>
      <c r="I1279" s="13">
        <v>4.7361111111111111E-2</v>
      </c>
      <c r="J1279" s="13">
        <v>2.3680555555555555E-2</v>
      </c>
      <c r="K1279" s="13">
        <v>0.21812500000000001</v>
      </c>
      <c r="L1279" s="14">
        <v>0.90723535358397933</v>
      </c>
      <c r="M1279" s="12" t="s">
        <v>334</v>
      </c>
      <c r="N1279" s="13">
        <v>7.8240740740740736E-3</v>
      </c>
      <c r="O1279" s="13">
        <v>1.3715277777777778E-2</v>
      </c>
      <c r="P1279" s="13"/>
      <c r="Q1279" s="13"/>
      <c r="R1279" s="13"/>
      <c r="S1279" s="13">
        <v>1.4814814814814815E-2</v>
      </c>
      <c r="T1279" s="13">
        <v>2.5462962962962961E-4</v>
      </c>
      <c r="U1279" s="13">
        <v>2.3148148148148149E-4</v>
      </c>
      <c r="V1279" s="13"/>
      <c r="W1279" s="13">
        <v>0.18128472222222222</v>
      </c>
    </row>
    <row r="1280" spans="1:23" ht="15" customHeight="1" x14ac:dyDescent="0.25">
      <c r="A1280" s="19">
        <v>46249</v>
      </c>
      <c r="B1280" s="11" t="s">
        <v>225</v>
      </c>
      <c r="C1280" s="12" t="s">
        <v>549</v>
      </c>
      <c r="D1280" s="11" t="s">
        <v>601</v>
      </c>
      <c r="E1280" s="12" t="s">
        <v>105</v>
      </c>
      <c r="F1280" s="12" t="s">
        <v>33</v>
      </c>
      <c r="G1280" s="12">
        <v>6</v>
      </c>
      <c r="H1280" s="13">
        <v>0.2338425925925926</v>
      </c>
      <c r="I1280" s="13">
        <v>5.7083333333333333E-2</v>
      </c>
      <c r="J1280" s="13">
        <v>9.5138888888888894E-3</v>
      </c>
      <c r="K1280" s="13">
        <v>0.1333449074074074</v>
      </c>
      <c r="L1280" s="14">
        <v>0.57023361710552356</v>
      </c>
      <c r="M1280" s="12" t="s">
        <v>334</v>
      </c>
      <c r="N1280" s="13">
        <v>6.7708333333333336E-3</v>
      </c>
      <c r="O1280" s="13">
        <v>1.3680555555555555E-2</v>
      </c>
      <c r="P1280" s="13"/>
      <c r="Q1280" s="13"/>
      <c r="R1280" s="13"/>
      <c r="S1280" s="13">
        <v>1.2777777777777779E-2</v>
      </c>
      <c r="T1280" s="13">
        <v>5.5555555555555556E-4</v>
      </c>
      <c r="U1280" s="13">
        <v>9.9537037037037035E-2</v>
      </c>
      <c r="V1280" s="13"/>
      <c r="W1280" s="13"/>
    </row>
    <row r="1281" spans="1:23" ht="15" customHeight="1" x14ac:dyDescent="0.25">
      <c r="A1281" s="19">
        <v>46249</v>
      </c>
      <c r="B1281" s="11" t="s">
        <v>280</v>
      </c>
      <c r="C1281" s="12" t="s">
        <v>534</v>
      </c>
      <c r="D1281" s="11" t="s">
        <v>233</v>
      </c>
      <c r="E1281" s="12" t="s">
        <v>32</v>
      </c>
      <c r="F1281" s="12" t="s">
        <v>106</v>
      </c>
      <c r="G1281" s="12">
        <v>18</v>
      </c>
      <c r="H1281" s="13">
        <v>0.26515046296296296</v>
      </c>
      <c r="I1281" s="13">
        <v>5.5983796296296295E-2</v>
      </c>
      <c r="J1281" s="13">
        <v>3.1102109053497942E-3</v>
      </c>
      <c r="K1281" s="13">
        <v>3.6550925925925924E-2</v>
      </c>
      <c r="L1281" s="14">
        <v>0.13784975337203717</v>
      </c>
      <c r="M1281" s="12" t="s">
        <v>334</v>
      </c>
      <c r="N1281" s="13">
        <v>4.1435185185185186E-3</v>
      </c>
      <c r="O1281" s="13">
        <v>1.6886574074074075E-2</v>
      </c>
      <c r="P1281" s="13"/>
      <c r="Q1281" s="13"/>
      <c r="R1281" s="13"/>
      <c r="S1281" s="13">
        <v>1.5069444444444444E-2</v>
      </c>
      <c r="T1281" s="13">
        <v>4.1666666666666669E-4</v>
      </c>
      <c r="U1281" s="13"/>
      <c r="V1281" s="13"/>
      <c r="W1281" s="13">
        <v>3.4722222222222222E-5</v>
      </c>
    </row>
    <row r="1282" spans="1:23" ht="15" customHeight="1" x14ac:dyDescent="0.25">
      <c r="A1282" s="19">
        <v>46249</v>
      </c>
      <c r="B1282" s="11" t="s">
        <v>299</v>
      </c>
      <c r="C1282" s="12" t="s">
        <v>571</v>
      </c>
      <c r="D1282" s="11" t="s">
        <v>104</v>
      </c>
      <c r="E1282" s="12" t="s">
        <v>105</v>
      </c>
      <c r="F1282" s="12" t="s">
        <v>106</v>
      </c>
      <c r="G1282" s="12">
        <v>3</v>
      </c>
      <c r="H1282" s="13">
        <v>0.25481481481481483</v>
      </c>
      <c r="I1282" s="13">
        <v>8.0659722222222216E-2</v>
      </c>
      <c r="J1282" s="13">
        <v>2.6886574074074073E-2</v>
      </c>
      <c r="K1282" s="13">
        <v>0.21152777777777779</v>
      </c>
      <c r="L1282" s="14">
        <v>0.8301235465116279</v>
      </c>
      <c r="M1282" s="12" t="s">
        <v>334</v>
      </c>
      <c r="N1282" s="13">
        <v>3.5185185185185185E-3</v>
      </c>
      <c r="O1282" s="13">
        <v>1.2280092592592592E-2</v>
      </c>
      <c r="P1282" s="13"/>
      <c r="Q1282" s="13"/>
      <c r="R1282" s="13"/>
      <c r="S1282" s="13">
        <v>7.2337962962962963E-3</v>
      </c>
      <c r="T1282" s="13">
        <v>2.3657407407407408E-2</v>
      </c>
      <c r="U1282" s="13">
        <v>7.7546296296296293E-4</v>
      </c>
      <c r="V1282" s="13"/>
      <c r="W1282" s="13">
        <v>0.1640625</v>
      </c>
    </row>
    <row r="1283" spans="1:23" ht="15" customHeight="1" x14ac:dyDescent="0.25">
      <c r="A1283" s="20">
        <v>46249</v>
      </c>
      <c r="B1283" s="15" t="s">
        <v>598</v>
      </c>
      <c r="C1283" s="16" t="s">
        <v>598</v>
      </c>
      <c r="D1283" s="15" t="s">
        <v>284</v>
      </c>
      <c r="E1283" s="16"/>
      <c r="F1283" s="16"/>
      <c r="G1283" s="16">
        <v>48</v>
      </c>
      <c r="H1283" s="17">
        <v>0</v>
      </c>
      <c r="I1283" s="17">
        <v>5.5555555555555556E-4</v>
      </c>
      <c r="J1283" s="17">
        <v>1.1574074074074073E-5</v>
      </c>
      <c r="K1283" s="17">
        <v>0</v>
      </c>
      <c r="L1283" s="18">
        <v>0</v>
      </c>
      <c r="M1283" s="16" t="s">
        <v>333</v>
      </c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</row>
    <row r="1284" spans="1:23" ht="15" customHeight="1" x14ac:dyDescent="0.25">
      <c r="A1284" s="19">
        <v>46249</v>
      </c>
      <c r="B1284" s="11" t="s">
        <v>227</v>
      </c>
      <c r="C1284" s="12" t="s">
        <v>557</v>
      </c>
      <c r="D1284" s="11" t="s">
        <v>146</v>
      </c>
      <c r="E1284" s="12" t="s">
        <v>147</v>
      </c>
      <c r="F1284" s="12" t="s">
        <v>106</v>
      </c>
      <c r="G1284" s="12">
        <v>11</v>
      </c>
      <c r="H1284" s="13">
        <v>0.26138888888888889</v>
      </c>
      <c r="I1284" s="13">
        <v>7.4675925925925923E-2</v>
      </c>
      <c r="J1284" s="13">
        <v>6.7887205387205385E-3</v>
      </c>
      <c r="K1284" s="13">
        <v>3.5844907407407409E-2</v>
      </c>
      <c r="L1284" s="14">
        <v>0.13713248317392845</v>
      </c>
      <c r="M1284" s="12" t="s">
        <v>334</v>
      </c>
      <c r="N1284" s="13">
        <v>5.4513888888888893E-3</v>
      </c>
      <c r="O1284" s="13">
        <v>1.3425925925925926E-2</v>
      </c>
      <c r="P1284" s="13">
        <v>2.5000000000000001E-3</v>
      </c>
      <c r="Q1284" s="13"/>
      <c r="R1284" s="13"/>
      <c r="S1284" s="13">
        <v>1.3738425925925926E-2</v>
      </c>
      <c r="T1284" s="13">
        <v>1.273148148148148E-4</v>
      </c>
      <c r="U1284" s="13">
        <v>5.6712962962962967E-4</v>
      </c>
      <c r="V1284" s="13"/>
      <c r="W1284" s="13"/>
    </row>
    <row r="1285" spans="1:23" ht="15" customHeight="1" x14ac:dyDescent="0.25">
      <c r="A1285" s="19">
        <v>46249</v>
      </c>
      <c r="B1285" s="11" t="s">
        <v>282</v>
      </c>
      <c r="C1285" s="12" t="s">
        <v>535</v>
      </c>
      <c r="D1285" s="11" t="s">
        <v>233</v>
      </c>
      <c r="E1285" s="12" t="s">
        <v>32</v>
      </c>
      <c r="F1285" s="12" t="s">
        <v>106</v>
      </c>
      <c r="G1285" s="12">
        <v>20</v>
      </c>
      <c r="H1285" s="13">
        <v>0.2636574074074074</v>
      </c>
      <c r="I1285" s="13">
        <v>4.9108796296296296E-2</v>
      </c>
      <c r="J1285" s="13">
        <v>2.4554398148148148E-3</v>
      </c>
      <c r="K1285" s="13">
        <v>4.2488425925925923E-2</v>
      </c>
      <c r="L1285" s="14">
        <v>0.16115013169446882</v>
      </c>
      <c r="M1285" s="12" t="s">
        <v>334</v>
      </c>
      <c r="N1285" s="13">
        <v>6.7013888888888887E-3</v>
      </c>
      <c r="O1285" s="13">
        <v>1.8761574074074073E-2</v>
      </c>
      <c r="P1285" s="13"/>
      <c r="Q1285" s="13"/>
      <c r="R1285" s="13"/>
      <c r="S1285" s="13">
        <v>1.5300925925925926E-2</v>
      </c>
      <c r="T1285" s="13">
        <v>1.724537037037037E-3</v>
      </c>
      <c r="U1285" s="13"/>
      <c r="V1285" s="13"/>
      <c r="W1285" s="13"/>
    </row>
    <row r="1286" spans="1:23" ht="15" customHeight="1" x14ac:dyDescent="0.25">
      <c r="A1286" s="19">
        <v>46249</v>
      </c>
      <c r="B1286" s="11" t="s">
        <v>675</v>
      </c>
      <c r="C1286" s="12" t="s">
        <v>676</v>
      </c>
      <c r="D1286" s="11" t="s">
        <v>104</v>
      </c>
      <c r="E1286" s="12" t="s">
        <v>105</v>
      </c>
      <c r="F1286" s="12" t="s">
        <v>106</v>
      </c>
      <c r="G1286" s="12">
        <v>3</v>
      </c>
      <c r="H1286" s="13">
        <v>0.25180555555555556</v>
      </c>
      <c r="I1286" s="13">
        <v>7.9097222222222222E-2</v>
      </c>
      <c r="J1286" s="13">
        <v>2.6365740740740742E-2</v>
      </c>
      <c r="K1286" s="13">
        <v>0.21401620370370369</v>
      </c>
      <c r="L1286" s="14">
        <v>0.84992645706931413</v>
      </c>
      <c r="M1286" s="12" t="s">
        <v>334</v>
      </c>
      <c r="N1286" s="13">
        <v>2.650462962962963E-3</v>
      </c>
      <c r="O1286" s="13">
        <v>1.3831018518518519E-2</v>
      </c>
      <c r="P1286" s="13"/>
      <c r="Q1286" s="13"/>
      <c r="R1286" s="13"/>
      <c r="S1286" s="13"/>
      <c r="T1286" s="13">
        <v>1.6203703703703703E-3</v>
      </c>
      <c r="U1286" s="13">
        <v>1.2268518518518518E-3</v>
      </c>
      <c r="V1286" s="13"/>
      <c r="W1286" s="13">
        <v>0.19468750000000001</v>
      </c>
    </row>
    <row r="1287" spans="1:23" ht="15" customHeight="1" x14ac:dyDescent="0.25">
      <c r="A1287" s="19">
        <v>46251</v>
      </c>
      <c r="B1287" s="11" t="s">
        <v>186</v>
      </c>
      <c r="C1287" s="12" t="s">
        <v>562</v>
      </c>
      <c r="D1287" s="11" t="s">
        <v>78</v>
      </c>
      <c r="E1287" s="12" t="s">
        <v>80</v>
      </c>
      <c r="F1287" s="12" t="s">
        <v>33</v>
      </c>
      <c r="G1287" s="12">
        <v>1</v>
      </c>
      <c r="H1287" s="13">
        <v>0.26685185185185184</v>
      </c>
      <c r="I1287" s="13">
        <v>6.5972222222222224E-4</v>
      </c>
      <c r="J1287" s="13">
        <v>6.5972222222222224E-4</v>
      </c>
      <c r="K1287" s="13">
        <v>3.4629629629629628E-2</v>
      </c>
      <c r="L1287" s="14">
        <v>0.12977099236641221</v>
      </c>
      <c r="M1287" s="12" t="s">
        <v>334</v>
      </c>
      <c r="N1287" s="13">
        <v>3.414351851851852E-3</v>
      </c>
      <c r="O1287" s="13">
        <v>1.7280092592592593E-2</v>
      </c>
      <c r="P1287" s="13"/>
      <c r="Q1287" s="13"/>
      <c r="R1287" s="13"/>
      <c r="S1287" s="13">
        <v>1.3738425925925926E-2</v>
      </c>
      <c r="T1287" s="13">
        <v>6.9444444444444444E-5</v>
      </c>
      <c r="U1287" s="13">
        <v>1.0416666666666667E-4</v>
      </c>
      <c r="V1287" s="13"/>
      <c r="W1287" s="13"/>
    </row>
    <row r="1288" spans="1:23" ht="15" customHeight="1" x14ac:dyDescent="0.25">
      <c r="A1288" s="19">
        <v>46251</v>
      </c>
      <c r="B1288" s="11" t="s">
        <v>643</v>
      </c>
      <c r="C1288" s="12" t="s">
        <v>644</v>
      </c>
      <c r="D1288" s="11" t="s">
        <v>233</v>
      </c>
      <c r="E1288" s="12" t="s">
        <v>32</v>
      </c>
      <c r="F1288" s="12" t="s">
        <v>106</v>
      </c>
      <c r="G1288" s="12">
        <v>23</v>
      </c>
      <c r="H1288" s="13">
        <v>0.24790509259259258</v>
      </c>
      <c r="I1288" s="13">
        <v>0.13105324074074073</v>
      </c>
      <c r="J1288" s="13">
        <v>5.6979669887278579E-3</v>
      </c>
      <c r="K1288" s="13">
        <v>4.9363425925925929E-2</v>
      </c>
      <c r="L1288" s="14">
        <v>0.19912227461599516</v>
      </c>
      <c r="M1288" s="12" t="s">
        <v>334</v>
      </c>
      <c r="N1288" s="13">
        <v>2.6967592592592594E-3</v>
      </c>
      <c r="O1288" s="13">
        <v>1.3912037037037037E-2</v>
      </c>
      <c r="P1288" s="13">
        <v>9.9537037037037042E-4</v>
      </c>
      <c r="Q1288" s="13">
        <v>1.2581018518518519E-2</v>
      </c>
      <c r="R1288" s="13"/>
      <c r="S1288" s="13">
        <v>1.4756944444444444E-2</v>
      </c>
      <c r="T1288" s="13">
        <v>1.0416666666666667E-4</v>
      </c>
      <c r="U1288" s="13">
        <v>4.2708333333333331E-3</v>
      </c>
      <c r="V1288" s="13"/>
      <c r="W1288" s="13"/>
    </row>
    <row r="1289" spans="1:23" ht="15" customHeight="1" x14ac:dyDescent="0.25">
      <c r="A1289" s="19">
        <v>46251</v>
      </c>
      <c r="B1289" s="11" t="s">
        <v>193</v>
      </c>
      <c r="C1289" s="12" t="s">
        <v>563</v>
      </c>
      <c r="D1289" s="11" t="s">
        <v>274</v>
      </c>
      <c r="E1289" s="12" t="s">
        <v>147</v>
      </c>
      <c r="F1289" s="12" t="s">
        <v>33</v>
      </c>
      <c r="G1289" s="12">
        <v>20</v>
      </c>
      <c r="H1289" s="13">
        <v>0.26521990740740742</v>
      </c>
      <c r="I1289" s="13">
        <v>7.1539351851851854E-2</v>
      </c>
      <c r="J1289" s="13">
        <v>3.5769675925925925E-3</v>
      </c>
      <c r="K1289" s="13">
        <v>3.484953703703704E-2</v>
      </c>
      <c r="L1289" s="14">
        <v>0.13139864717433997</v>
      </c>
      <c r="M1289" s="12" t="s">
        <v>334</v>
      </c>
      <c r="N1289" s="13"/>
      <c r="O1289" s="13">
        <v>1.3923611111111111E-2</v>
      </c>
      <c r="P1289" s="13"/>
      <c r="Q1289" s="13">
        <v>6.8634259259259256E-3</v>
      </c>
      <c r="R1289" s="13"/>
      <c r="S1289" s="13">
        <v>1.3912037037037037E-2</v>
      </c>
      <c r="T1289" s="13">
        <v>6.9444444444444444E-5</v>
      </c>
      <c r="U1289" s="13">
        <v>8.1018518518518516E-5</v>
      </c>
      <c r="V1289" s="13"/>
      <c r="W1289" s="13"/>
    </row>
    <row r="1290" spans="1:23" ht="15" customHeight="1" x14ac:dyDescent="0.25">
      <c r="A1290" s="19">
        <v>46251</v>
      </c>
      <c r="B1290" s="11" t="s">
        <v>231</v>
      </c>
      <c r="C1290" s="12" t="s">
        <v>525</v>
      </c>
      <c r="D1290" s="11" t="s">
        <v>233</v>
      </c>
      <c r="E1290" s="12" t="s">
        <v>32</v>
      </c>
      <c r="F1290" s="12" t="s">
        <v>106</v>
      </c>
      <c r="G1290" s="12">
        <v>32</v>
      </c>
      <c r="H1290" s="13">
        <v>0.25634259259259257</v>
      </c>
      <c r="I1290" s="13">
        <v>0.15268518518518517</v>
      </c>
      <c r="J1290" s="13">
        <v>4.7714120370370367E-3</v>
      </c>
      <c r="K1290" s="13">
        <v>5.935185185185185E-2</v>
      </c>
      <c r="L1290" s="14">
        <v>0.23153332129311904</v>
      </c>
      <c r="M1290" s="12" t="s">
        <v>334</v>
      </c>
      <c r="N1290" s="13">
        <v>1.5509259259259259E-3</v>
      </c>
      <c r="O1290" s="13">
        <v>1.9085648148148147E-2</v>
      </c>
      <c r="P1290" s="13"/>
      <c r="Q1290" s="13">
        <v>9.6296296296296303E-3</v>
      </c>
      <c r="R1290" s="13"/>
      <c r="S1290" s="13">
        <v>1.3506944444444445E-2</v>
      </c>
      <c r="T1290" s="13">
        <v>1.4965277777777777E-2</v>
      </c>
      <c r="U1290" s="13">
        <v>6.134259259259259E-4</v>
      </c>
      <c r="V1290" s="13"/>
      <c r="W1290" s="13"/>
    </row>
    <row r="1291" spans="1:23" ht="15" customHeight="1" x14ac:dyDescent="0.25">
      <c r="A1291" s="19">
        <v>46251</v>
      </c>
      <c r="B1291" s="11" t="s">
        <v>148</v>
      </c>
      <c r="C1291" s="12" t="s">
        <v>513</v>
      </c>
      <c r="D1291" s="11" t="s">
        <v>104</v>
      </c>
      <c r="E1291" s="12" t="s">
        <v>105</v>
      </c>
      <c r="F1291" s="12" t="s">
        <v>106</v>
      </c>
      <c r="G1291" s="12">
        <v>5</v>
      </c>
      <c r="H1291" s="13">
        <v>0.23840277777777777</v>
      </c>
      <c r="I1291" s="13">
        <v>0.12752314814814814</v>
      </c>
      <c r="J1291" s="13">
        <v>2.5504629629629627E-2</v>
      </c>
      <c r="K1291" s="13">
        <v>0.18625</v>
      </c>
      <c r="L1291" s="14">
        <v>0.78124089717448297</v>
      </c>
      <c r="M1291" s="12" t="s">
        <v>334</v>
      </c>
      <c r="N1291" s="13">
        <v>3.9351851851851848E-3</v>
      </c>
      <c r="O1291" s="13">
        <v>1.5196759259259259E-2</v>
      </c>
      <c r="P1291" s="13"/>
      <c r="Q1291" s="13"/>
      <c r="R1291" s="13"/>
      <c r="S1291" s="13">
        <v>1.4050925925925927E-2</v>
      </c>
      <c r="T1291" s="13">
        <v>1.1990740740740741E-2</v>
      </c>
      <c r="U1291" s="13"/>
      <c r="V1291" s="13"/>
      <c r="W1291" s="13">
        <v>0.14107638888888888</v>
      </c>
    </row>
    <row r="1292" spans="1:23" ht="15" customHeight="1" x14ac:dyDescent="0.25">
      <c r="A1292" s="19">
        <v>46251</v>
      </c>
      <c r="B1292" s="11" t="s">
        <v>82</v>
      </c>
      <c r="C1292" s="12" t="s">
        <v>83</v>
      </c>
      <c r="D1292" s="11" t="s">
        <v>78</v>
      </c>
      <c r="E1292" s="12" t="s">
        <v>80</v>
      </c>
      <c r="F1292" s="12" t="s">
        <v>81</v>
      </c>
      <c r="G1292" s="12">
        <v>0</v>
      </c>
      <c r="H1292" s="13">
        <v>0.27657407407407408</v>
      </c>
      <c r="I1292" s="13">
        <v>0</v>
      </c>
      <c r="J1292" s="13">
        <v>0</v>
      </c>
      <c r="K1292" s="13">
        <v>0.27657407407407408</v>
      </c>
      <c r="L1292" s="14">
        <v>1</v>
      </c>
      <c r="M1292" s="12" t="s">
        <v>334</v>
      </c>
      <c r="N1292" s="13"/>
      <c r="O1292" s="13"/>
      <c r="P1292" s="13"/>
      <c r="Q1292" s="13"/>
      <c r="R1292" s="13"/>
      <c r="S1292" s="13"/>
      <c r="T1292" s="13">
        <v>0.27657407407407408</v>
      </c>
      <c r="U1292" s="13"/>
      <c r="V1292" s="13"/>
      <c r="W1292" s="13"/>
    </row>
    <row r="1293" spans="1:23" ht="15" customHeight="1" x14ac:dyDescent="0.25">
      <c r="A1293" s="19">
        <v>46251</v>
      </c>
      <c r="B1293" s="11" t="s">
        <v>234</v>
      </c>
      <c r="C1293" s="12" t="s">
        <v>550</v>
      </c>
      <c r="D1293" s="11" t="s">
        <v>233</v>
      </c>
      <c r="E1293" s="12" t="s">
        <v>32</v>
      </c>
      <c r="F1293" s="12" t="s">
        <v>106</v>
      </c>
      <c r="G1293" s="12">
        <v>51</v>
      </c>
      <c r="H1293" s="13">
        <v>0.34258101851851852</v>
      </c>
      <c r="I1293" s="13">
        <v>0.17695601851851853</v>
      </c>
      <c r="J1293" s="13">
        <v>3.4697258533042848E-3</v>
      </c>
      <c r="K1293" s="13">
        <v>6.0127314814814814E-2</v>
      </c>
      <c r="L1293" s="14">
        <v>0.17551268623939997</v>
      </c>
      <c r="M1293" s="12" t="s">
        <v>334</v>
      </c>
      <c r="N1293" s="13">
        <v>9.1087962962962971E-3</v>
      </c>
      <c r="O1293" s="13">
        <v>2.119212962962963E-2</v>
      </c>
      <c r="P1293" s="13">
        <v>1.9791666666666668E-3</v>
      </c>
      <c r="Q1293" s="13"/>
      <c r="R1293" s="13"/>
      <c r="S1293" s="13">
        <v>1.3842592592592592E-2</v>
      </c>
      <c r="T1293" s="13">
        <v>1.275462962962963E-2</v>
      </c>
      <c r="U1293" s="13">
        <v>1.238425925925926E-3</v>
      </c>
      <c r="V1293" s="13"/>
      <c r="W1293" s="13"/>
    </row>
    <row r="1294" spans="1:23" ht="15" customHeight="1" x14ac:dyDescent="0.25">
      <c r="A1294" s="19">
        <v>46251</v>
      </c>
      <c r="B1294" s="11" t="s">
        <v>34</v>
      </c>
      <c r="C1294" s="12" t="s">
        <v>505</v>
      </c>
      <c r="D1294" s="11" t="s">
        <v>233</v>
      </c>
      <c r="E1294" s="12" t="s">
        <v>32</v>
      </c>
      <c r="F1294" s="12" t="s">
        <v>106</v>
      </c>
      <c r="G1294" s="12">
        <v>41</v>
      </c>
      <c r="H1294" s="13">
        <v>0.26234953703703706</v>
      </c>
      <c r="I1294" s="13">
        <v>0.12640046296296295</v>
      </c>
      <c r="J1294" s="13">
        <v>3.0829381210478769E-3</v>
      </c>
      <c r="K1294" s="13">
        <v>4.8009259259259258E-2</v>
      </c>
      <c r="L1294" s="14">
        <v>0.18299730886310495</v>
      </c>
      <c r="M1294" s="12" t="s">
        <v>334</v>
      </c>
      <c r="N1294" s="13">
        <v>6.4699074074074077E-3</v>
      </c>
      <c r="O1294" s="13">
        <v>1.2916666666666667E-2</v>
      </c>
      <c r="P1294" s="13"/>
      <c r="Q1294" s="13">
        <v>1.0729166666666666E-2</v>
      </c>
      <c r="R1294" s="13"/>
      <c r="S1294" s="13">
        <v>1.3414351851851853E-2</v>
      </c>
      <c r="T1294" s="13">
        <v>3.7037037037037035E-4</v>
      </c>
      <c r="U1294" s="13">
        <v>1.5856481481481481E-3</v>
      </c>
      <c r="V1294" s="13"/>
      <c r="W1294" s="13">
        <v>1.7476851851851852E-3</v>
      </c>
    </row>
    <row r="1295" spans="1:23" ht="15" customHeight="1" x14ac:dyDescent="0.25">
      <c r="A1295" s="19">
        <v>46251</v>
      </c>
      <c r="B1295" s="11" t="s">
        <v>236</v>
      </c>
      <c r="C1295" s="12" t="s">
        <v>551</v>
      </c>
      <c r="D1295" s="11" t="s">
        <v>233</v>
      </c>
      <c r="E1295" s="12" t="s">
        <v>32</v>
      </c>
      <c r="F1295" s="12" t="s">
        <v>106</v>
      </c>
      <c r="G1295" s="12">
        <v>1</v>
      </c>
      <c r="H1295" s="13">
        <v>0.20268518518518519</v>
      </c>
      <c r="I1295" s="13">
        <v>2.8124999999999999E-3</v>
      </c>
      <c r="J1295" s="13">
        <v>2.8124999999999999E-3</v>
      </c>
      <c r="K1295" s="13">
        <v>0.19873842592592592</v>
      </c>
      <c r="L1295" s="14">
        <v>0.98052763819095468</v>
      </c>
      <c r="M1295" s="12" t="s">
        <v>334</v>
      </c>
      <c r="N1295" s="13">
        <v>4.3530092592592592E-2</v>
      </c>
      <c r="O1295" s="13">
        <v>8.7384259259259255E-3</v>
      </c>
      <c r="P1295" s="13"/>
      <c r="Q1295" s="13"/>
      <c r="R1295" s="13"/>
      <c r="S1295" s="13"/>
      <c r="T1295" s="13">
        <v>3.5879629629629629E-4</v>
      </c>
      <c r="U1295" s="13"/>
      <c r="V1295" s="13"/>
      <c r="W1295" s="13">
        <v>0.14611111111111111</v>
      </c>
    </row>
    <row r="1296" spans="1:23" ht="15" customHeight="1" x14ac:dyDescent="0.25">
      <c r="A1296" s="19">
        <v>46251</v>
      </c>
      <c r="B1296" s="11" t="s">
        <v>238</v>
      </c>
      <c r="C1296" s="12" t="s">
        <v>526</v>
      </c>
      <c r="D1296" s="11" t="s">
        <v>233</v>
      </c>
      <c r="E1296" s="12" t="s">
        <v>32</v>
      </c>
      <c r="F1296" s="12" t="s">
        <v>106</v>
      </c>
      <c r="G1296" s="12">
        <v>5</v>
      </c>
      <c r="H1296" s="13">
        <v>0.24703703703703703</v>
      </c>
      <c r="I1296" s="13">
        <v>1.4340277777777778E-2</v>
      </c>
      <c r="J1296" s="13">
        <v>2.8680555555555555E-3</v>
      </c>
      <c r="K1296" s="13">
        <v>0.22835648148148149</v>
      </c>
      <c r="L1296" s="14">
        <v>0.92438155922038989</v>
      </c>
      <c r="M1296" s="12" t="s">
        <v>334</v>
      </c>
      <c r="N1296" s="13"/>
      <c r="O1296" s="13"/>
      <c r="P1296" s="13"/>
      <c r="Q1296" s="13"/>
      <c r="R1296" s="13"/>
      <c r="S1296" s="13">
        <v>1.4618055555555556E-2</v>
      </c>
      <c r="T1296" s="13">
        <v>4.861111111111111E-4</v>
      </c>
      <c r="U1296" s="13"/>
      <c r="V1296" s="13"/>
      <c r="W1296" s="13">
        <v>0.21325231481481483</v>
      </c>
    </row>
    <row r="1297" spans="1:23" ht="15" customHeight="1" x14ac:dyDescent="0.25">
      <c r="A1297" s="19">
        <v>46251</v>
      </c>
      <c r="B1297" s="11" t="s">
        <v>608</v>
      </c>
      <c r="C1297" s="12" t="s">
        <v>631</v>
      </c>
      <c r="D1297" s="11" t="s">
        <v>601</v>
      </c>
      <c r="E1297" s="12" t="s">
        <v>105</v>
      </c>
      <c r="F1297" s="12" t="s">
        <v>33</v>
      </c>
      <c r="G1297" s="12">
        <v>11</v>
      </c>
      <c r="H1297" s="13">
        <v>0.24725694444444443</v>
      </c>
      <c r="I1297" s="13">
        <v>0.14454861111111111</v>
      </c>
      <c r="J1297" s="13">
        <v>1.3140782828282828E-2</v>
      </c>
      <c r="K1297" s="13">
        <v>0.16730324074074074</v>
      </c>
      <c r="L1297" s="14">
        <v>0.67663717642653187</v>
      </c>
      <c r="M1297" s="12" t="s">
        <v>334</v>
      </c>
      <c r="N1297" s="13">
        <v>4.1898148148148146E-3</v>
      </c>
      <c r="O1297" s="13">
        <v>1.4027777777777778E-2</v>
      </c>
      <c r="P1297" s="13"/>
      <c r="Q1297" s="13"/>
      <c r="R1297" s="13"/>
      <c r="S1297" s="13">
        <v>1.4583333333333334E-2</v>
      </c>
      <c r="T1297" s="13">
        <v>2.4421296296296296E-3</v>
      </c>
      <c r="U1297" s="13">
        <v>0.1320486111111111</v>
      </c>
      <c r="V1297" s="13"/>
      <c r="W1297" s="13"/>
    </row>
    <row r="1298" spans="1:23" ht="15" customHeight="1" x14ac:dyDescent="0.25">
      <c r="A1298" s="19">
        <v>46251</v>
      </c>
      <c r="B1298" s="11" t="s">
        <v>307</v>
      </c>
      <c r="C1298" s="12" t="s">
        <v>308</v>
      </c>
      <c r="D1298" s="11" t="s">
        <v>78</v>
      </c>
      <c r="E1298" s="12" t="s">
        <v>80</v>
      </c>
      <c r="F1298" s="12" t="s">
        <v>81</v>
      </c>
      <c r="G1298" s="12">
        <v>0</v>
      </c>
      <c r="H1298" s="13">
        <v>0.26706018518518521</v>
      </c>
      <c r="I1298" s="13">
        <v>0</v>
      </c>
      <c r="J1298" s="13">
        <v>0</v>
      </c>
      <c r="K1298" s="13">
        <v>0.14001157407407408</v>
      </c>
      <c r="L1298" s="14">
        <v>0.52426974083383893</v>
      </c>
      <c r="M1298" s="12" t="s">
        <v>334</v>
      </c>
      <c r="N1298" s="13"/>
      <c r="O1298" s="13"/>
      <c r="P1298" s="13"/>
      <c r="Q1298" s="13"/>
      <c r="R1298" s="13">
        <v>0.13962962962962963</v>
      </c>
      <c r="S1298" s="13"/>
      <c r="T1298" s="13">
        <v>2.7777777777777778E-4</v>
      </c>
      <c r="U1298" s="13">
        <v>9.2592592592592588E-5</v>
      </c>
      <c r="V1298" s="13"/>
      <c r="W1298" s="13"/>
    </row>
    <row r="1299" spans="1:23" ht="15" customHeight="1" x14ac:dyDescent="0.25">
      <c r="A1299" s="19">
        <v>46251</v>
      </c>
      <c r="B1299" s="11" t="s">
        <v>197</v>
      </c>
      <c r="C1299" s="12" t="s">
        <v>564</v>
      </c>
      <c r="D1299" s="11" t="s">
        <v>601</v>
      </c>
      <c r="E1299" s="12" t="s">
        <v>105</v>
      </c>
      <c r="F1299" s="12" t="s">
        <v>33</v>
      </c>
      <c r="G1299" s="12">
        <v>11</v>
      </c>
      <c r="H1299" s="13">
        <v>0.2484837962962963</v>
      </c>
      <c r="I1299" s="13">
        <v>0.12554398148148149</v>
      </c>
      <c r="J1299" s="13">
        <v>1.1413089225589227E-2</v>
      </c>
      <c r="K1299" s="13">
        <v>0.18461805555555555</v>
      </c>
      <c r="L1299" s="14">
        <v>0.74297824770599463</v>
      </c>
      <c r="M1299" s="12" t="s">
        <v>334</v>
      </c>
      <c r="N1299" s="13">
        <v>7.3379629629629628E-3</v>
      </c>
      <c r="O1299" s="13">
        <v>1.3020833333333334E-2</v>
      </c>
      <c r="P1299" s="13"/>
      <c r="Q1299" s="13">
        <v>2.480324074074074E-2</v>
      </c>
      <c r="R1299" s="13"/>
      <c r="S1299" s="13">
        <v>1.4988425925925926E-2</v>
      </c>
      <c r="T1299" s="13">
        <v>1.5509259259259259E-3</v>
      </c>
      <c r="U1299" s="13">
        <v>0.12291666666666666</v>
      </c>
      <c r="V1299" s="13"/>
      <c r="W1299" s="13"/>
    </row>
    <row r="1300" spans="1:23" ht="15" customHeight="1" x14ac:dyDescent="0.25">
      <c r="A1300" s="19">
        <v>46251</v>
      </c>
      <c r="B1300" s="11" t="s">
        <v>150</v>
      </c>
      <c r="C1300" s="12" t="s">
        <v>514</v>
      </c>
      <c r="D1300" s="11" t="s">
        <v>146</v>
      </c>
      <c r="E1300" s="12" t="s">
        <v>147</v>
      </c>
      <c r="F1300" s="12" t="s">
        <v>106</v>
      </c>
      <c r="G1300" s="12">
        <v>47</v>
      </c>
      <c r="H1300" s="13">
        <v>0.33994212962962961</v>
      </c>
      <c r="I1300" s="13">
        <v>0.14194444444444446</v>
      </c>
      <c r="J1300" s="13">
        <v>3.0200945626477544E-3</v>
      </c>
      <c r="K1300" s="13">
        <v>2.4733796296296295E-2</v>
      </c>
      <c r="L1300" s="14">
        <v>7.275884375744783E-2</v>
      </c>
      <c r="M1300" s="12" t="s">
        <v>334</v>
      </c>
      <c r="N1300" s="13"/>
      <c r="O1300" s="13">
        <v>7.5694444444444446E-3</v>
      </c>
      <c r="P1300" s="13"/>
      <c r="Q1300" s="13">
        <v>1.5277777777777779E-3</v>
      </c>
      <c r="R1300" s="13"/>
      <c r="S1300" s="13">
        <v>1.3935185185185186E-2</v>
      </c>
      <c r="T1300" s="13">
        <v>4.5138888888888887E-4</v>
      </c>
      <c r="U1300" s="13">
        <v>1.2268518518518518E-3</v>
      </c>
      <c r="V1300" s="13"/>
      <c r="W1300" s="13"/>
    </row>
    <row r="1301" spans="1:23" ht="15" customHeight="1" x14ac:dyDescent="0.25">
      <c r="A1301" s="19">
        <v>46251</v>
      </c>
      <c r="B1301" s="11" t="s">
        <v>681</v>
      </c>
      <c r="C1301" s="12" t="s">
        <v>682</v>
      </c>
      <c r="D1301" s="11" t="s">
        <v>601</v>
      </c>
      <c r="E1301" s="12" t="s">
        <v>105</v>
      </c>
      <c r="F1301" s="12" t="s">
        <v>33</v>
      </c>
      <c r="G1301" s="12">
        <v>5</v>
      </c>
      <c r="H1301" s="13">
        <v>0.19737268518518519</v>
      </c>
      <c r="I1301" s="13">
        <v>0.12812499999999999</v>
      </c>
      <c r="J1301" s="13">
        <v>2.5624999999999998E-2</v>
      </c>
      <c r="K1301" s="13">
        <v>0.10440972222222222</v>
      </c>
      <c r="L1301" s="14">
        <v>0.52899783029378988</v>
      </c>
      <c r="M1301" s="12" t="s">
        <v>334</v>
      </c>
      <c r="N1301" s="13">
        <v>2.8009259259259259E-3</v>
      </c>
      <c r="O1301" s="13">
        <v>1.4826388888888889E-2</v>
      </c>
      <c r="P1301" s="13"/>
      <c r="Q1301" s="13"/>
      <c r="R1301" s="13"/>
      <c r="S1301" s="13">
        <v>1.4004629629629629E-2</v>
      </c>
      <c r="T1301" s="13">
        <v>2.5462962962962961E-4</v>
      </c>
      <c r="U1301" s="13">
        <v>7.2523148148148142E-2</v>
      </c>
      <c r="V1301" s="13"/>
      <c r="W1301" s="13"/>
    </row>
    <row r="1302" spans="1:23" ht="15" customHeight="1" x14ac:dyDescent="0.25">
      <c r="A1302" s="19">
        <v>46251</v>
      </c>
      <c r="B1302" s="11" t="s">
        <v>112</v>
      </c>
      <c r="C1302" s="12" t="s">
        <v>570</v>
      </c>
      <c r="D1302" s="11" t="s">
        <v>104</v>
      </c>
      <c r="E1302" s="12" t="s">
        <v>105</v>
      </c>
      <c r="F1302" s="12" t="s">
        <v>106</v>
      </c>
      <c r="G1302" s="12">
        <v>6</v>
      </c>
      <c r="H1302" s="13">
        <v>0.22872685185185185</v>
      </c>
      <c r="I1302" s="13">
        <v>0.17465277777777777</v>
      </c>
      <c r="J1302" s="13">
        <v>2.9108796296296296E-2</v>
      </c>
      <c r="K1302" s="13">
        <v>0.14057870370370371</v>
      </c>
      <c r="L1302" s="14">
        <v>0.61461390547515438</v>
      </c>
      <c r="M1302" s="12" t="s">
        <v>334</v>
      </c>
      <c r="N1302" s="13">
        <v>1.3923611111111111E-2</v>
      </c>
      <c r="O1302" s="13">
        <v>1.6516203703703703E-2</v>
      </c>
      <c r="P1302" s="13"/>
      <c r="Q1302" s="13"/>
      <c r="R1302" s="13"/>
      <c r="S1302" s="13">
        <v>1.380787037037037E-2</v>
      </c>
      <c r="T1302" s="13">
        <v>6.7129629629629625E-4</v>
      </c>
      <c r="U1302" s="13">
        <v>3.9351851851851852E-4</v>
      </c>
      <c r="V1302" s="13"/>
      <c r="W1302" s="13">
        <v>9.52662037037037E-2</v>
      </c>
    </row>
    <row r="1303" spans="1:23" ht="15" customHeight="1" x14ac:dyDescent="0.25">
      <c r="A1303" s="19">
        <v>46251</v>
      </c>
      <c r="B1303" s="11" t="s">
        <v>42</v>
      </c>
      <c r="C1303" s="12" t="s">
        <v>537</v>
      </c>
      <c r="D1303" s="11" t="s">
        <v>104</v>
      </c>
      <c r="E1303" s="12" t="s">
        <v>105</v>
      </c>
      <c r="F1303" s="12" t="s">
        <v>106</v>
      </c>
      <c r="G1303" s="12">
        <v>9</v>
      </c>
      <c r="H1303" s="13">
        <v>0.26082175925925927</v>
      </c>
      <c r="I1303" s="13">
        <v>0.21048611111111112</v>
      </c>
      <c r="J1303" s="13">
        <v>2.3387345679012347E-2</v>
      </c>
      <c r="K1303" s="13">
        <v>0.17253472222222221</v>
      </c>
      <c r="L1303" s="14">
        <v>0.6615043266030618</v>
      </c>
      <c r="M1303" s="12" t="s">
        <v>334</v>
      </c>
      <c r="N1303" s="13">
        <v>1.1041666666666667E-2</v>
      </c>
      <c r="O1303" s="13">
        <v>1.3993055555555555E-2</v>
      </c>
      <c r="P1303" s="13"/>
      <c r="Q1303" s="13"/>
      <c r="R1303" s="13"/>
      <c r="S1303" s="13">
        <v>1.3831018518518519E-2</v>
      </c>
      <c r="T1303" s="13">
        <v>1.7476851851851852E-3</v>
      </c>
      <c r="U1303" s="13">
        <v>1.7361111111111112E-4</v>
      </c>
      <c r="V1303" s="13"/>
      <c r="W1303" s="13">
        <v>0.13174768518518518</v>
      </c>
    </row>
    <row r="1304" spans="1:23" ht="15" customHeight="1" x14ac:dyDescent="0.25">
      <c r="A1304" s="19">
        <v>46251</v>
      </c>
      <c r="B1304" s="11" t="s">
        <v>156</v>
      </c>
      <c r="C1304" s="12" t="s">
        <v>516</v>
      </c>
      <c r="D1304" s="11" t="s">
        <v>146</v>
      </c>
      <c r="E1304" s="12" t="s">
        <v>147</v>
      </c>
      <c r="F1304" s="12" t="s">
        <v>106</v>
      </c>
      <c r="G1304" s="12">
        <v>33</v>
      </c>
      <c r="H1304" s="13">
        <v>0.28144675925925927</v>
      </c>
      <c r="I1304" s="13">
        <v>9.5949074074074076E-2</v>
      </c>
      <c r="J1304" s="13">
        <v>2.907547699214366E-3</v>
      </c>
      <c r="K1304" s="13">
        <v>5.181712962962963E-2</v>
      </c>
      <c r="L1304" s="14">
        <v>0.18410988197557263</v>
      </c>
      <c r="M1304" s="12" t="s">
        <v>334</v>
      </c>
      <c r="N1304" s="13"/>
      <c r="O1304" s="13">
        <v>9.3055555555555548E-3</v>
      </c>
      <c r="P1304" s="13"/>
      <c r="Q1304" s="13">
        <v>7.6041666666666671E-3</v>
      </c>
      <c r="R1304" s="13"/>
      <c r="S1304" s="13">
        <v>1.9259259259259261E-2</v>
      </c>
      <c r="T1304" s="13">
        <v>1.5520833333333333E-2</v>
      </c>
      <c r="U1304" s="13">
        <v>1.1574074074074075E-4</v>
      </c>
      <c r="V1304" s="13"/>
      <c r="W1304" s="13"/>
    </row>
    <row r="1305" spans="1:23" ht="15" customHeight="1" x14ac:dyDescent="0.25">
      <c r="A1305" s="19">
        <v>46251</v>
      </c>
      <c r="B1305" s="11" t="s">
        <v>114</v>
      </c>
      <c r="C1305" s="12" t="s">
        <v>541</v>
      </c>
      <c r="D1305" s="11" t="s">
        <v>104</v>
      </c>
      <c r="E1305" s="12" t="s">
        <v>105</v>
      </c>
      <c r="F1305" s="12" t="s">
        <v>106</v>
      </c>
      <c r="G1305" s="12">
        <v>6</v>
      </c>
      <c r="H1305" s="13">
        <v>0.23199074074074075</v>
      </c>
      <c r="I1305" s="13">
        <v>0.12372685185185185</v>
      </c>
      <c r="J1305" s="13">
        <v>2.0621141975308642E-2</v>
      </c>
      <c r="K1305" s="13">
        <v>0.18956018518518519</v>
      </c>
      <c r="L1305" s="14">
        <v>0.81710237477549397</v>
      </c>
      <c r="M1305" s="12" t="s">
        <v>334</v>
      </c>
      <c r="N1305" s="13"/>
      <c r="O1305" s="13">
        <v>1.462962962962963E-2</v>
      </c>
      <c r="P1305" s="13"/>
      <c r="Q1305" s="13"/>
      <c r="R1305" s="13"/>
      <c r="S1305" s="13">
        <v>1.494212962962963E-2</v>
      </c>
      <c r="T1305" s="13">
        <v>1.8124999999999999E-2</v>
      </c>
      <c r="U1305" s="13">
        <v>2.5462962962962961E-4</v>
      </c>
      <c r="V1305" s="13"/>
      <c r="W1305" s="13">
        <v>0.1416087962962963</v>
      </c>
    </row>
    <row r="1306" spans="1:23" ht="15" customHeight="1" x14ac:dyDescent="0.25">
      <c r="A1306" s="19">
        <v>46251</v>
      </c>
      <c r="B1306" s="11" t="s">
        <v>44</v>
      </c>
      <c r="C1306" s="12" t="s">
        <v>506</v>
      </c>
      <c r="D1306" s="11" t="s">
        <v>100</v>
      </c>
      <c r="E1306" s="12" t="s">
        <v>32</v>
      </c>
      <c r="F1306" s="12" t="s">
        <v>33</v>
      </c>
      <c r="G1306" s="12">
        <v>41</v>
      </c>
      <c r="H1306" s="13">
        <v>0.25714120370370369</v>
      </c>
      <c r="I1306" s="13">
        <v>0.20730324074074075</v>
      </c>
      <c r="J1306" s="13">
        <v>5.0561766034327013E-3</v>
      </c>
      <c r="K1306" s="13">
        <v>3.5115740740740739E-2</v>
      </c>
      <c r="L1306" s="14">
        <v>0.13656209209164152</v>
      </c>
      <c r="M1306" s="12" t="s">
        <v>334</v>
      </c>
      <c r="N1306" s="13">
        <v>4.6527777777777774E-3</v>
      </c>
      <c r="O1306" s="13">
        <v>1.3831018518518519E-2</v>
      </c>
      <c r="P1306" s="13"/>
      <c r="Q1306" s="13"/>
      <c r="R1306" s="13"/>
      <c r="S1306" s="13">
        <v>1.3900462962962963E-2</v>
      </c>
      <c r="T1306" s="13">
        <v>2.8935185185185184E-4</v>
      </c>
      <c r="U1306" s="13">
        <v>2.4074074074074076E-3</v>
      </c>
      <c r="V1306" s="13"/>
      <c r="W1306" s="13"/>
    </row>
    <row r="1307" spans="1:23" ht="15" customHeight="1" x14ac:dyDescent="0.25">
      <c r="A1307" s="19">
        <v>46251</v>
      </c>
      <c r="B1307" s="11" t="s">
        <v>240</v>
      </c>
      <c r="C1307" s="12" t="s">
        <v>527</v>
      </c>
      <c r="D1307" s="11" t="s">
        <v>233</v>
      </c>
      <c r="E1307" s="12" t="s">
        <v>32</v>
      </c>
      <c r="F1307" s="12" t="s">
        <v>106</v>
      </c>
      <c r="G1307" s="12">
        <v>1</v>
      </c>
      <c r="H1307" s="13">
        <v>0.22604166666666667</v>
      </c>
      <c r="I1307" s="13">
        <v>1.050925925925926E-2</v>
      </c>
      <c r="J1307" s="13">
        <v>1.050925925925926E-2</v>
      </c>
      <c r="K1307" s="13">
        <v>0.21248842592592593</v>
      </c>
      <c r="L1307" s="14">
        <v>0.94004096262160775</v>
      </c>
      <c r="M1307" s="12" t="s">
        <v>334</v>
      </c>
      <c r="N1307" s="13">
        <v>1.3414351851851853E-2</v>
      </c>
      <c r="O1307" s="13">
        <v>1.0659722222222221E-2</v>
      </c>
      <c r="P1307" s="13"/>
      <c r="Q1307" s="13"/>
      <c r="R1307" s="13"/>
      <c r="S1307" s="13">
        <v>1.3900462962962963E-2</v>
      </c>
      <c r="T1307" s="13">
        <v>6.018518518518519E-4</v>
      </c>
      <c r="U1307" s="13"/>
      <c r="V1307" s="13"/>
      <c r="W1307" s="13">
        <v>0.17391203703703703</v>
      </c>
    </row>
    <row r="1308" spans="1:23" ht="15" customHeight="1" x14ac:dyDescent="0.25">
      <c r="A1308" s="19">
        <v>46251</v>
      </c>
      <c r="B1308" s="11" t="s">
        <v>497</v>
      </c>
      <c r="C1308" s="12" t="s">
        <v>498</v>
      </c>
      <c r="D1308" s="11" t="s">
        <v>78</v>
      </c>
      <c r="E1308" s="12" t="s">
        <v>80</v>
      </c>
      <c r="F1308" s="12" t="s">
        <v>81</v>
      </c>
      <c r="G1308" s="12">
        <v>0</v>
      </c>
      <c r="H1308" s="13">
        <v>0.34365740740740741</v>
      </c>
      <c r="I1308" s="13">
        <v>0</v>
      </c>
      <c r="J1308" s="13">
        <v>0</v>
      </c>
      <c r="K1308" s="13">
        <v>6.1921296296296294E-2</v>
      </c>
      <c r="L1308" s="14">
        <v>0.18018321433382728</v>
      </c>
      <c r="M1308" s="12" t="s">
        <v>334</v>
      </c>
      <c r="N1308" s="13"/>
      <c r="O1308" s="13">
        <v>1.3622685185185186E-2</v>
      </c>
      <c r="P1308" s="13"/>
      <c r="Q1308" s="13"/>
      <c r="R1308" s="13"/>
      <c r="S1308" s="13">
        <v>4.1435185185185186E-2</v>
      </c>
      <c r="T1308" s="13">
        <v>1.3310185185185185E-3</v>
      </c>
      <c r="U1308" s="13"/>
      <c r="V1308" s="13"/>
      <c r="W1308" s="13">
        <v>5.4629629629629629E-3</v>
      </c>
    </row>
    <row r="1309" spans="1:23" ht="15" customHeight="1" x14ac:dyDescent="0.25">
      <c r="A1309" s="19">
        <v>46251</v>
      </c>
      <c r="B1309" s="11" t="s">
        <v>309</v>
      </c>
      <c r="C1309" s="12" t="s">
        <v>310</v>
      </c>
      <c r="D1309" s="11" t="s">
        <v>78</v>
      </c>
      <c r="E1309" s="12" t="s">
        <v>80</v>
      </c>
      <c r="F1309" s="12" t="s">
        <v>81</v>
      </c>
      <c r="G1309" s="12">
        <v>0</v>
      </c>
      <c r="H1309" s="13">
        <v>0.35447916666666668</v>
      </c>
      <c r="I1309" s="13">
        <v>0</v>
      </c>
      <c r="J1309" s="13">
        <v>0</v>
      </c>
      <c r="K1309" s="13">
        <v>6.7210648148148144E-2</v>
      </c>
      <c r="L1309" s="14">
        <v>0.18960394423221338</v>
      </c>
      <c r="M1309" s="12" t="s">
        <v>334</v>
      </c>
      <c r="N1309" s="13">
        <v>1.1840277777777778E-2</v>
      </c>
      <c r="O1309" s="13">
        <v>4.597222222222222E-2</v>
      </c>
      <c r="P1309" s="13"/>
      <c r="Q1309" s="13"/>
      <c r="R1309" s="13"/>
      <c r="S1309" s="13">
        <v>6.8634259259259256E-3</v>
      </c>
      <c r="T1309" s="13">
        <v>1.25E-3</v>
      </c>
      <c r="U1309" s="13">
        <v>1.2037037037037038E-3</v>
      </c>
      <c r="V1309" s="13"/>
      <c r="W1309" s="13"/>
    </row>
    <row r="1310" spans="1:23" ht="15" customHeight="1" x14ac:dyDescent="0.25">
      <c r="A1310" s="19">
        <v>46251</v>
      </c>
      <c r="B1310" s="11" t="s">
        <v>645</v>
      </c>
      <c r="C1310" s="12" t="s">
        <v>646</v>
      </c>
      <c r="D1310" s="11" t="s">
        <v>100</v>
      </c>
      <c r="E1310" s="12" t="s">
        <v>32</v>
      </c>
      <c r="F1310" s="12" t="s">
        <v>33</v>
      </c>
      <c r="G1310" s="12">
        <v>34</v>
      </c>
      <c r="H1310" s="13">
        <v>0.26614583333333336</v>
      </c>
      <c r="I1310" s="13">
        <v>0.22961805555555556</v>
      </c>
      <c r="J1310" s="13">
        <v>6.7534722222222223E-3</v>
      </c>
      <c r="K1310" s="13">
        <v>3.9525462962962964E-2</v>
      </c>
      <c r="L1310" s="14">
        <v>0.14851054577081974</v>
      </c>
      <c r="M1310" s="12" t="s">
        <v>334</v>
      </c>
      <c r="N1310" s="13">
        <v>7.6967592592592591E-3</v>
      </c>
      <c r="O1310" s="13">
        <v>1.4293981481481482E-2</v>
      </c>
      <c r="P1310" s="13"/>
      <c r="Q1310" s="13"/>
      <c r="R1310" s="13"/>
      <c r="S1310" s="13">
        <v>1.4189814814814815E-2</v>
      </c>
      <c r="T1310" s="13">
        <v>9.3749999999999997E-4</v>
      </c>
      <c r="U1310" s="13">
        <v>2.3611111111111111E-3</v>
      </c>
      <c r="V1310" s="13"/>
      <c r="W1310" s="13"/>
    </row>
    <row r="1311" spans="1:23" ht="15" customHeight="1" x14ac:dyDescent="0.25">
      <c r="A1311" s="19">
        <v>46251</v>
      </c>
      <c r="B1311" s="11" t="s">
        <v>120</v>
      </c>
      <c r="C1311" s="12" t="s">
        <v>558</v>
      </c>
      <c r="D1311" s="11" t="s">
        <v>233</v>
      </c>
      <c r="E1311" s="12" t="s">
        <v>32</v>
      </c>
      <c r="F1311" s="12" t="s">
        <v>106</v>
      </c>
      <c r="G1311" s="12">
        <v>46</v>
      </c>
      <c r="H1311" s="13">
        <v>0.22047453703703704</v>
      </c>
      <c r="I1311" s="13">
        <v>0.12819444444444444</v>
      </c>
      <c r="J1311" s="13">
        <v>2.7868357487922705E-3</v>
      </c>
      <c r="K1311" s="13">
        <v>3.9293981481481478E-2</v>
      </c>
      <c r="L1311" s="14">
        <v>0.17822457871804293</v>
      </c>
      <c r="M1311" s="12" t="s">
        <v>334</v>
      </c>
      <c r="N1311" s="13">
        <v>1.1851851851851851E-2</v>
      </c>
      <c r="O1311" s="13">
        <v>1.2905092592592593E-2</v>
      </c>
      <c r="P1311" s="13"/>
      <c r="Q1311" s="13"/>
      <c r="R1311" s="13"/>
      <c r="S1311" s="13">
        <v>1.1481481481481481E-2</v>
      </c>
      <c r="T1311" s="13">
        <v>9.6064814814814819E-4</v>
      </c>
      <c r="U1311" s="13">
        <v>2.0717592592592593E-3</v>
      </c>
      <c r="V1311" s="13"/>
      <c r="W1311" s="13">
        <v>2.3148148148148147E-5</v>
      </c>
    </row>
    <row r="1312" spans="1:23" ht="15" customHeight="1" x14ac:dyDescent="0.25">
      <c r="A1312" s="19">
        <v>46251</v>
      </c>
      <c r="B1312" s="11" t="s">
        <v>46</v>
      </c>
      <c r="C1312" s="12" t="s">
        <v>507</v>
      </c>
      <c r="D1312" s="11" t="s">
        <v>100</v>
      </c>
      <c r="E1312" s="12" t="s">
        <v>32</v>
      </c>
      <c r="F1312" s="12" t="s">
        <v>33</v>
      </c>
      <c r="G1312" s="12">
        <v>36</v>
      </c>
      <c r="H1312" s="13">
        <v>0.26501157407407405</v>
      </c>
      <c r="I1312" s="13">
        <v>0.18385416666666668</v>
      </c>
      <c r="J1312" s="13">
        <v>5.1070601851851858E-3</v>
      </c>
      <c r="K1312" s="13">
        <v>3.2060185185185185E-2</v>
      </c>
      <c r="L1312" s="14">
        <v>0.12097654714591433</v>
      </c>
      <c r="M1312" s="12" t="s">
        <v>334</v>
      </c>
      <c r="N1312" s="13">
        <v>2.6157407407407405E-3</v>
      </c>
      <c r="O1312" s="13">
        <v>1.4039351851851851E-2</v>
      </c>
      <c r="P1312" s="13"/>
      <c r="Q1312" s="13"/>
      <c r="R1312" s="13"/>
      <c r="S1312" s="13">
        <v>1.3946759259259259E-2</v>
      </c>
      <c r="T1312" s="13">
        <v>5.7870370370370373E-5</v>
      </c>
      <c r="U1312" s="13">
        <v>1.3425925925925925E-3</v>
      </c>
      <c r="V1312" s="13"/>
      <c r="W1312" s="13"/>
    </row>
    <row r="1313" spans="1:23" ht="15" customHeight="1" x14ac:dyDescent="0.25">
      <c r="A1313" s="19">
        <v>46251</v>
      </c>
      <c r="B1313" s="11" t="s">
        <v>287</v>
      </c>
      <c r="C1313" s="12" t="s">
        <v>542</v>
      </c>
      <c r="D1313" s="11" t="s">
        <v>104</v>
      </c>
      <c r="E1313" s="12" t="s">
        <v>105</v>
      </c>
      <c r="F1313" s="12" t="s">
        <v>106</v>
      </c>
      <c r="G1313" s="12">
        <v>5</v>
      </c>
      <c r="H1313" s="13">
        <v>0.23210648148148147</v>
      </c>
      <c r="I1313" s="13">
        <v>0.11726851851851852</v>
      </c>
      <c r="J1313" s="13">
        <v>2.3453703703703706E-2</v>
      </c>
      <c r="K1313" s="13">
        <v>0.18108796296296295</v>
      </c>
      <c r="L1313" s="14">
        <v>0.78019347761045177</v>
      </c>
      <c r="M1313" s="12" t="s">
        <v>334</v>
      </c>
      <c r="N1313" s="13">
        <v>1.5289351851851853E-2</v>
      </c>
      <c r="O1313" s="13">
        <v>2.0150462962962964E-2</v>
      </c>
      <c r="P1313" s="13"/>
      <c r="Q1313" s="13"/>
      <c r="R1313" s="13">
        <v>7.2916666666666668E-3</v>
      </c>
      <c r="S1313" s="13">
        <v>1.7094907407407406E-2</v>
      </c>
      <c r="T1313" s="13">
        <v>1.0347222222222223E-2</v>
      </c>
      <c r="U1313" s="13">
        <v>6.9444444444444447E-4</v>
      </c>
      <c r="V1313" s="13"/>
      <c r="W1313" s="13">
        <v>0.11021990740740741</v>
      </c>
    </row>
    <row r="1314" spans="1:23" ht="15" customHeight="1" x14ac:dyDescent="0.25">
      <c r="A1314" s="19">
        <v>46251</v>
      </c>
      <c r="B1314" s="11" t="s">
        <v>499</v>
      </c>
      <c r="C1314" s="12" t="s">
        <v>517</v>
      </c>
      <c r="D1314" s="11" t="s">
        <v>146</v>
      </c>
      <c r="E1314" s="12" t="s">
        <v>147</v>
      </c>
      <c r="F1314" s="12" t="s">
        <v>106</v>
      </c>
      <c r="G1314" s="12">
        <v>16</v>
      </c>
      <c r="H1314" s="13">
        <v>0.24887731481481482</v>
      </c>
      <c r="I1314" s="13">
        <v>6.9675925925925933E-2</v>
      </c>
      <c r="J1314" s="13">
        <v>4.3547453703703708E-3</v>
      </c>
      <c r="K1314" s="13">
        <v>8.5787037037037037E-2</v>
      </c>
      <c r="L1314" s="14">
        <v>0.34469608891782544</v>
      </c>
      <c r="M1314" s="12" t="s">
        <v>334</v>
      </c>
      <c r="N1314" s="13">
        <v>1.3148148148148148E-2</v>
      </c>
      <c r="O1314" s="13">
        <v>1.5416666666666667E-2</v>
      </c>
      <c r="P1314" s="13">
        <v>7.9629629629629634E-3</v>
      </c>
      <c r="Q1314" s="13">
        <v>2.4814814814814814E-2</v>
      </c>
      <c r="R1314" s="13">
        <v>6.9444444444444444E-5</v>
      </c>
      <c r="S1314" s="13">
        <v>1.4490740740740742E-2</v>
      </c>
      <c r="T1314" s="13">
        <v>1.8749999999999999E-3</v>
      </c>
      <c r="U1314" s="13">
        <v>5.0925925925925921E-4</v>
      </c>
      <c r="V1314" s="13"/>
      <c r="W1314" s="13">
        <v>7.4884259259259262E-3</v>
      </c>
    </row>
    <row r="1315" spans="1:23" ht="15" customHeight="1" x14ac:dyDescent="0.25">
      <c r="A1315" s="19">
        <v>46251</v>
      </c>
      <c r="B1315" s="11" t="s">
        <v>647</v>
      </c>
      <c r="C1315" s="12" t="s">
        <v>648</v>
      </c>
      <c r="D1315" s="11" t="s">
        <v>233</v>
      </c>
      <c r="E1315" s="12" t="s">
        <v>32</v>
      </c>
      <c r="F1315" s="12" t="s">
        <v>106</v>
      </c>
      <c r="G1315" s="12">
        <v>47</v>
      </c>
      <c r="H1315" s="13">
        <v>0.26177083333333334</v>
      </c>
      <c r="I1315" s="13">
        <v>0.15559027777777779</v>
      </c>
      <c r="J1315" s="13">
        <v>3.3104314420803783E-3</v>
      </c>
      <c r="K1315" s="13">
        <v>4.8900462962962965E-2</v>
      </c>
      <c r="L1315" s="14">
        <v>0.18680638457797233</v>
      </c>
      <c r="M1315" s="12" t="s">
        <v>334</v>
      </c>
      <c r="N1315" s="13">
        <v>5.0578703703703706E-3</v>
      </c>
      <c r="O1315" s="13">
        <v>7.6620370370370366E-3</v>
      </c>
      <c r="P1315" s="13"/>
      <c r="Q1315" s="13">
        <v>9.6990740740740735E-3</v>
      </c>
      <c r="R1315" s="13">
        <v>7.4768518518518517E-3</v>
      </c>
      <c r="S1315" s="13">
        <v>1.4189814814814815E-2</v>
      </c>
      <c r="T1315" s="13">
        <v>4.8148148148148152E-3</v>
      </c>
      <c r="U1315" s="13"/>
      <c r="V1315" s="13"/>
      <c r="W1315" s="13"/>
    </row>
    <row r="1316" spans="1:23" ht="15" customHeight="1" x14ac:dyDescent="0.25">
      <c r="A1316" s="19">
        <v>46251</v>
      </c>
      <c r="B1316" s="11" t="s">
        <v>649</v>
      </c>
      <c r="C1316" s="12" t="s">
        <v>650</v>
      </c>
      <c r="D1316" s="11" t="s">
        <v>104</v>
      </c>
      <c r="E1316" s="12" t="s">
        <v>105</v>
      </c>
      <c r="F1316" s="12" t="s">
        <v>106</v>
      </c>
      <c r="G1316" s="12">
        <v>8</v>
      </c>
      <c r="H1316" s="13">
        <v>0.26094907407407408</v>
      </c>
      <c r="I1316" s="13">
        <v>0.19702546296296297</v>
      </c>
      <c r="J1316" s="13">
        <v>2.4628182870370371E-2</v>
      </c>
      <c r="K1316" s="13">
        <v>0.15907407407407406</v>
      </c>
      <c r="L1316" s="14">
        <v>0.60959815488334956</v>
      </c>
      <c r="M1316" s="12" t="s">
        <v>334</v>
      </c>
      <c r="N1316" s="13">
        <v>4.6064814814814814E-3</v>
      </c>
      <c r="O1316" s="13">
        <v>1.3425925925925926E-2</v>
      </c>
      <c r="P1316" s="13"/>
      <c r="Q1316" s="13"/>
      <c r="R1316" s="13"/>
      <c r="S1316" s="13">
        <v>1.3738425925925926E-2</v>
      </c>
      <c r="T1316" s="13">
        <v>1.6203703703703703E-4</v>
      </c>
      <c r="U1316" s="13">
        <v>2.8356481481481483E-3</v>
      </c>
      <c r="V1316" s="13"/>
      <c r="W1316" s="13">
        <v>0.12430555555555556</v>
      </c>
    </row>
    <row r="1317" spans="1:23" ht="15" customHeight="1" x14ac:dyDescent="0.25">
      <c r="A1317" s="19">
        <v>46251</v>
      </c>
      <c r="B1317" s="11" t="s">
        <v>651</v>
      </c>
      <c r="C1317" s="12" t="s">
        <v>652</v>
      </c>
      <c r="D1317" s="11" t="s">
        <v>100</v>
      </c>
      <c r="E1317" s="12" t="s">
        <v>32</v>
      </c>
      <c r="F1317" s="12" t="s">
        <v>33</v>
      </c>
      <c r="G1317" s="12">
        <v>39</v>
      </c>
      <c r="H1317" s="13">
        <v>0.25627314814814817</v>
      </c>
      <c r="I1317" s="13">
        <v>0.18327546296296296</v>
      </c>
      <c r="J1317" s="13">
        <v>4.6993708452041788E-3</v>
      </c>
      <c r="K1317" s="13">
        <v>6.6481481481481475E-2</v>
      </c>
      <c r="L1317" s="14">
        <v>0.25941649354168544</v>
      </c>
      <c r="M1317" s="12" t="s">
        <v>334</v>
      </c>
      <c r="N1317" s="13">
        <v>2.6041666666666665E-3</v>
      </c>
      <c r="O1317" s="13">
        <v>1.787037037037037E-2</v>
      </c>
      <c r="P1317" s="13"/>
      <c r="Q1317" s="13">
        <v>2.837962962962963E-2</v>
      </c>
      <c r="R1317" s="13"/>
      <c r="S1317" s="13">
        <v>1.6087962962962964E-2</v>
      </c>
      <c r="T1317" s="13">
        <v>1.5393518518518519E-3</v>
      </c>
      <c r="U1317" s="13"/>
      <c r="V1317" s="13"/>
      <c r="W1317" s="13"/>
    </row>
    <row r="1318" spans="1:23" ht="15" customHeight="1" x14ac:dyDescent="0.25">
      <c r="A1318" s="19">
        <v>46251</v>
      </c>
      <c r="B1318" s="11" t="s">
        <v>246</v>
      </c>
      <c r="C1318" s="12" t="s">
        <v>568</v>
      </c>
      <c r="D1318" s="11" t="s">
        <v>233</v>
      </c>
      <c r="E1318" s="12" t="s">
        <v>32</v>
      </c>
      <c r="F1318" s="12" t="s">
        <v>106</v>
      </c>
      <c r="G1318" s="12">
        <v>58</v>
      </c>
      <c r="H1318" s="13">
        <v>0.35091435185185182</v>
      </c>
      <c r="I1318" s="13">
        <v>0.19655092592592593</v>
      </c>
      <c r="J1318" s="13">
        <v>3.3888090676883783E-3</v>
      </c>
      <c r="K1318" s="13">
        <v>5.7465277777777775E-2</v>
      </c>
      <c r="L1318" s="14">
        <v>0.16375869916553976</v>
      </c>
      <c r="M1318" s="12" t="s">
        <v>334</v>
      </c>
      <c r="N1318" s="13">
        <v>9.7916666666666673E-3</v>
      </c>
      <c r="O1318" s="13">
        <v>2.060185185185185E-2</v>
      </c>
      <c r="P1318" s="13"/>
      <c r="Q1318" s="13">
        <v>6.4814814814814813E-3</v>
      </c>
      <c r="R1318" s="13"/>
      <c r="S1318" s="13">
        <v>1.3796296296296296E-2</v>
      </c>
      <c r="T1318" s="13">
        <v>6.6203703703703702E-3</v>
      </c>
      <c r="U1318" s="13">
        <v>1.7361111111111112E-4</v>
      </c>
      <c r="V1318" s="13"/>
      <c r="W1318" s="13"/>
    </row>
    <row r="1319" spans="1:23" ht="15" customHeight="1" x14ac:dyDescent="0.25">
      <c r="A1319" s="19">
        <v>46251</v>
      </c>
      <c r="B1319" s="11" t="s">
        <v>48</v>
      </c>
      <c r="C1319" s="12" t="s">
        <v>508</v>
      </c>
      <c r="D1319" s="11" t="s">
        <v>100</v>
      </c>
      <c r="E1319" s="12" t="s">
        <v>32</v>
      </c>
      <c r="F1319" s="12" t="s">
        <v>33</v>
      </c>
      <c r="G1319" s="12">
        <v>40</v>
      </c>
      <c r="H1319" s="13">
        <v>0.2630439814814815</v>
      </c>
      <c r="I1319" s="13">
        <v>0.16140046296296295</v>
      </c>
      <c r="J1319" s="13">
        <v>4.0350115740740737E-3</v>
      </c>
      <c r="K1319" s="13">
        <v>5.2199074074074071E-2</v>
      </c>
      <c r="L1319" s="14">
        <v>0.19844238130857567</v>
      </c>
      <c r="M1319" s="12" t="s">
        <v>334</v>
      </c>
      <c r="N1319" s="13">
        <v>4.7106481481481478E-3</v>
      </c>
      <c r="O1319" s="13">
        <v>7.1180555555555554E-3</v>
      </c>
      <c r="P1319" s="13"/>
      <c r="Q1319" s="13"/>
      <c r="R1319" s="13">
        <v>7.4189814814814813E-3</v>
      </c>
      <c r="S1319" s="13">
        <v>1.4386574074074074E-2</v>
      </c>
      <c r="T1319" s="13">
        <v>6.9444444444444444E-5</v>
      </c>
      <c r="U1319" s="13">
        <v>4.6064814814814814E-3</v>
      </c>
      <c r="V1319" s="13"/>
      <c r="W1319" s="13">
        <v>1.3842592592592592E-2</v>
      </c>
    </row>
    <row r="1320" spans="1:23" ht="15" customHeight="1" x14ac:dyDescent="0.25">
      <c r="A1320" s="19">
        <v>46251</v>
      </c>
      <c r="B1320" s="11" t="s">
        <v>50</v>
      </c>
      <c r="C1320" s="12" t="s">
        <v>538</v>
      </c>
      <c r="D1320" s="11" t="s">
        <v>100</v>
      </c>
      <c r="E1320" s="12" t="s">
        <v>32</v>
      </c>
      <c r="F1320" s="12" t="s">
        <v>33</v>
      </c>
      <c r="G1320" s="12">
        <v>5</v>
      </c>
      <c r="H1320" s="13">
        <v>0.19699074074074074</v>
      </c>
      <c r="I1320" s="13">
        <v>3.1053240740740742E-2</v>
      </c>
      <c r="J1320" s="13">
        <v>6.2106481481481483E-3</v>
      </c>
      <c r="K1320" s="13">
        <v>0.16480324074074074</v>
      </c>
      <c r="L1320" s="14">
        <v>0.83660399529964746</v>
      </c>
      <c r="M1320" s="12" t="s">
        <v>334</v>
      </c>
      <c r="N1320" s="13">
        <v>8.2175925925925923E-3</v>
      </c>
      <c r="O1320" s="13">
        <v>1.3599537037037037E-2</v>
      </c>
      <c r="P1320" s="13"/>
      <c r="Q1320" s="13"/>
      <c r="R1320" s="13"/>
      <c r="S1320" s="13">
        <v>1.4641203703703703E-2</v>
      </c>
      <c r="T1320" s="13">
        <v>3.2407407407407406E-4</v>
      </c>
      <c r="U1320" s="13">
        <v>6.018518518518519E-4</v>
      </c>
      <c r="V1320" s="13"/>
      <c r="W1320" s="13">
        <v>0.12741898148148148</v>
      </c>
    </row>
    <row r="1321" spans="1:23" ht="15" customHeight="1" x14ac:dyDescent="0.25">
      <c r="A1321" s="19">
        <v>46251</v>
      </c>
      <c r="B1321" s="11" t="s">
        <v>242</v>
      </c>
      <c r="C1321" s="12" t="s">
        <v>603</v>
      </c>
      <c r="D1321" s="11" t="s">
        <v>233</v>
      </c>
      <c r="E1321" s="12" t="s">
        <v>32</v>
      </c>
      <c r="F1321" s="12" t="s">
        <v>106</v>
      </c>
      <c r="G1321" s="12">
        <v>24</v>
      </c>
      <c r="H1321" s="13">
        <v>0.25783564814814813</v>
      </c>
      <c r="I1321" s="13">
        <v>0.19856481481481481</v>
      </c>
      <c r="J1321" s="13">
        <v>8.2735339506172841E-3</v>
      </c>
      <c r="K1321" s="13">
        <v>2.4791666666666667E-2</v>
      </c>
      <c r="L1321" s="14">
        <v>9.6152982897158512E-2</v>
      </c>
      <c r="M1321" s="12" t="s">
        <v>334</v>
      </c>
      <c r="N1321" s="13"/>
      <c r="O1321" s="13">
        <v>9.1435185185185178E-3</v>
      </c>
      <c r="P1321" s="13"/>
      <c r="Q1321" s="13"/>
      <c r="R1321" s="13"/>
      <c r="S1321" s="13">
        <v>1.3784722222222223E-2</v>
      </c>
      <c r="T1321" s="13">
        <v>1.3888888888888889E-4</v>
      </c>
      <c r="U1321" s="13">
        <v>1.6203703703703703E-3</v>
      </c>
      <c r="V1321" s="13"/>
      <c r="W1321" s="13">
        <v>5.7870370370370373E-5</v>
      </c>
    </row>
    <row r="1322" spans="1:23" ht="15" customHeight="1" x14ac:dyDescent="0.25">
      <c r="A1322" s="19">
        <v>46251</v>
      </c>
      <c r="B1322" s="11" t="s">
        <v>248</v>
      </c>
      <c r="C1322" s="12" t="s">
        <v>249</v>
      </c>
      <c r="D1322" s="11" t="s">
        <v>78</v>
      </c>
      <c r="E1322" s="12" t="s">
        <v>80</v>
      </c>
      <c r="F1322" s="12" t="s">
        <v>81</v>
      </c>
      <c r="G1322" s="12">
        <v>0</v>
      </c>
      <c r="H1322" s="13">
        <v>0.33839120370370368</v>
      </c>
      <c r="I1322" s="13">
        <v>0</v>
      </c>
      <c r="J1322" s="13">
        <v>0</v>
      </c>
      <c r="K1322" s="13">
        <v>1.5648148148148147E-2</v>
      </c>
      <c r="L1322" s="14">
        <v>4.6242774566473986E-2</v>
      </c>
      <c r="M1322" s="12" t="s">
        <v>334</v>
      </c>
      <c r="N1322" s="13">
        <v>5.7870370370370373E-5</v>
      </c>
      <c r="O1322" s="13">
        <v>1.3668981481481482E-2</v>
      </c>
      <c r="P1322" s="13"/>
      <c r="Q1322" s="13"/>
      <c r="R1322" s="13"/>
      <c r="S1322" s="13"/>
      <c r="T1322" s="13">
        <v>9.2592592592592588E-5</v>
      </c>
      <c r="U1322" s="13">
        <v>1.7013888888888888E-3</v>
      </c>
      <c r="V1322" s="13"/>
      <c r="W1322" s="13"/>
    </row>
    <row r="1323" spans="1:23" ht="15" customHeight="1" x14ac:dyDescent="0.25">
      <c r="A1323" s="19">
        <v>46251</v>
      </c>
      <c r="B1323" s="11" t="s">
        <v>289</v>
      </c>
      <c r="C1323" s="12" t="s">
        <v>559</v>
      </c>
      <c r="D1323" s="11" t="s">
        <v>104</v>
      </c>
      <c r="E1323" s="12" t="s">
        <v>105</v>
      </c>
      <c r="F1323" s="12" t="s">
        <v>106</v>
      </c>
      <c r="G1323" s="12">
        <v>6</v>
      </c>
      <c r="H1323" s="13">
        <v>0.19990740740740739</v>
      </c>
      <c r="I1323" s="13">
        <v>0.12430555555555556</v>
      </c>
      <c r="J1323" s="13">
        <v>2.0717592592592593E-2</v>
      </c>
      <c r="K1323" s="13">
        <v>0.14797453703703703</v>
      </c>
      <c r="L1323" s="14">
        <v>0.74021537748957855</v>
      </c>
      <c r="M1323" s="12" t="s">
        <v>334</v>
      </c>
      <c r="N1323" s="13"/>
      <c r="O1323" s="13">
        <v>2.2650462962962963E-2</v>
      </c>
      <c r="P1323" s="13"/>
      <c r="Q1323" s="13"/>
      <c r="R1323" s="13"/>
      <c r="S1323" s="13">
        <v>1.5335648148148149E-2</v>
      </c>
      <c r="T1323" s="13">
        <v>8.1250000000000003E-3</v>
      </c>
      <c r="U1323" s="13">
        <v>1.7361111111111112E-4</v>
      </c>
      <c r="V1323" s="13"/>
      <c r="W1323" s="13">
        <v>0.10168981481481482</v>
      </c>
    </row>
    <row r="1324" spans="1:23" ht="15" customHeight="1" x14ac:dyDescent="0.25">
      <c r="A1324" s="19">
        <v>46251</v>
      </c>
      <c r="B1324" s="11" t="s">
        <v>252</v>
      </c>
      <c r="C1324" s="12" t="s">
        <v>553</v>
      </c>
      <c r="D1324" s="11" t="s">
        <v>78</v>
      </c>
      <c r="E1324" s="12" t="s">
        <v>80</v>
      </c>
      <c r="F1324" s="12" t="s">
        <v>81</v>
      </c>
      <c r="G1324" s="12">
        <v>0</v>
      </c>
      <c r="H1324" s="13">
        <v>0.53988425925925931</v>
      </c>
      <c r="I1324" s="13">
        <v>0</v>
      </c>
      <c r="J1324" s="13">
        <v>0</v>
      </c>
      <c r="K1324" s="13">
        <v>1.6273148148148148E-2</v>
      </c>
      <c r="L1324" s="14">
        <v>3.0141919993139817E-2</v>
      </c>
      <c r="M1324" s="12" t="s">
        <v>334</v>
      </c>
      <c r="N1324" s="13"/>
      <c r="O1324" s="13">
        <v>3.6458333333333334E-3</v>
      </c>
      <c r="P1324" s="13"/>
      <c r="Q1324" s="13"/>
      <c r="R1324" s="13"/>
      <c r="S1324" s="13"/>
      <c r="T1324" s="13">
        <v>4.3981481481481481E-4</v>
      </c>
      <c r="U1324" s="13">
        <v>1.2106481481481482E-2</v>
      </c>
      <c r="V1324" s="13"/>
      <c r="W1324" s="13"/>
    </row>
    <row r="1325" spans="1:23" ht="15" customHeight="1" x14ac:dyDescent="0.25">
      <c r="A1325" s="19">
        <v>46251</v>
      </c>
      <c r="B1325" s="11" t="s">
        <v>500</v>
      </c>
      <c r="C1325" s="12" t="s">
        <v>518</v>
      </c>
      <c r="D1325" s="11" t="s">
        <v>274</v>
      </c>
      <c r="E1325" s="12" t="s">
        <v>147</v>
      </c>
      <c r="F1325" s="12" t="s">
        <v>33</v>
      </c>
      <c r="G1325" s="12">
        <v>25</v>
      </c>
      <c r="H1325" s="13">
        <v>0.26172453703703702</v>
      </c>
      <c r="I1325" s="13">
        <v>7.4432870370370371E-2</v>
      </c>
      <c r="J1325" s="13">
        <v>2.977314814814815E-3</v>
      </c>
      <c r="K1325" s="13">
        <v>2.4953703703703704E-2</v>
      </c>
      <c r="L1325" s="14">
        <v>9.5343386547561138E-2</v>
      </c>
      <c r="M1325" s="12" t="s">
        <v>334</v>
      </c>
      <c r="N1325" s="13"/>
      <c r="O1325" s="13">
        <v>7.3611111111111108E-3</v>
      </c>
      <c r="P1325" s="13"/>
      <c r="Q1325" s="13">
        <v>5.0810185185185186E-3</v>
      </c>
      <c r="R1325" s="13"/>
      <c r="S1325" s="13">
        <v>1.2280092592592592E-2</v>
      </c>
      <c r="T1325" s="13">
        <v>2.3148148148148149E-4</v>
      </c>
      <c r="U1325" s="13"/>
      <c r="V1325" s="13"/>
      <c r="W1325" s="13"/>
    </row>
    <row r="1326" spans="1:23" ht="15" customHeight="1" x14ac:dyDescent="0.25">
      <c r="A1326" s="19">
        <v>46251</v>
      </c>
      <c r="B1326" s="11" t="s">
        <v>683</v>
      </c>
      <c r="C1326" s="12" t="s">
        <v>684</v>
      </c>
      <c r="D1326" s="11" t="s">
        <v>233</v>
      </c>
      <c r="E1326" s="12" t="s">
        <v>32</v>
      </c>
      <c r="F1326" s="12" t="s">
        <v>106</v>
      </c>
      <c r="G1326" s="12">
        <v>38</v>
      </c>
      <c r="H1326" s="13">
        <v>0.25793981481481482</v>
      </c>
      <c r="I1326" s="13">
        <v>0.1439236111111111</v>
      </c>
      <c r="J1326" s="13">
        <v>3.7874634502923971E-3</v>
      </c>
      <c r="K1326" s="13">
        <v>5.4629629629629632E-2</v>
      </c>
      <c r="L1326" s="14">
        <v>0.21179215651081398</v>
      </c>
      <c r="M1326" s="12" t="s">
        <v>334</v>
      </c>
      <c r="N1326" s="13">
        <v>1.2500000000000001E-2</v>
      </c>
      <c r="O1326" s="13">
        <v>1.5972222222222221E-2</v>
      </c>
      <c r="P1326" s="13"/>
      <c r="Q1326" s="13"/>
      <c r="R1326" s="13"/>
      <c r="S1326" s="13">
        <v>1.576388888888889E-2</v>
      </c>
      <c r="T1326" s="13">
        <v>4.3518518518518515E-3</v>
      </c>
      <c r="U1326" s="13">
        <v>1.2037037037037038E-3</v>
      </c>
      <c r="V1326" s="13"/>
      <c r="W1326" s="13">
        <v>4.8379629629629632E-3</v>
      </c>
    </row>
    <row r="1327" spans="1:23" ht="15" customHeight="1" x14ac:dyDescent="0.25">
      <c r="A1327" s="19">
        <v>46251</v>
      </c>
      <c r="B1327" s="11" t="s">
        <v>653</v>
      </c>
      <c r="C1327" s="12" t="s">
        <v>654</v>
      </c>
      <c r="D1327" s="11" t="s">
        <v>100</v>
      </c>
      <c r="E1327" s="12" t="s">
        <v>32</v>
      </c>
      <c r="F1327" s="12" t="s">
        <v>33</v>
      </c>
      <c r="G1327" s="12">
        <v>30</v>
      </c>
      <c r="H1327" s="13">
        <v>0.26325231481481481</v>
      </c>
      <c r="I1327" s="13">
        <v>0.19188657407407408</v>
      </c>
      <c r="J1327" s="13">
        <v>6.3962191358024698E-3</v>
      </c>
      <c r="K1327" s="13">
        <v>6.3611111111111104E-2</v>
      </c>
      <c r="L1327" s="14">
        <v>0.24163552429105295</v>
      </c>
      <c r="M1327" s="12" t="s">
        <v>334</v>
      </c>
      <c r="N1327" s="13">
        <v>7.2569444444444443E-3</v>
      </c>
      <c r="O1327" s="13">
        <v>1.425925925925926E-2</v>
      </c>
      <c r="P1327" s="13"/>
      <c r="Q1327" s="13">
        <v>2.5196759259259259E-2</v>
      </c>
      <c r="R1327" s="13"/>
      <c r="S1327" s="13">
        <v>1.4293981481481482E-2</v>
      </c>
      <c r="T1327" s="13">
        <v>1.1111111111111111E-3</v>
      </c>
      <c r="U1327" s="13">
        <v>1.4699074074074074E-3</v>
      </c>
      <c r="V1327" s="13"/>
      <c r="W1327" s="13"/>
    </row>
    <row r="1328" spans="1:23" ht="15" customHeight="1" x14ac:dyDescent="0.25">
      <c r="A1328" s="19">
        <v>46251</v>
      </c>
      <c r="B1328" s="11" t="s">
        <v>52</v>
      </c>
      <c r="C1328" s="12" t="s">
        <v>509</v>
      </c>
      <c r="D1328" s="11" t="s">
        <v>100</v>
      </c>
      <c r="E1328" s="12" t="s">
        <v>32</v>
      </c>
      <c r="F1328" s="12" t="s">
        <v>33</v>
      </c>
      <c r="G1328" s="12">
        <v>8</v>
      </c>
      <c r="H1328" s="13">
        <v>0.25163194444444442</v>
      </c>
      <c r="I1328" s="13">
        <v>4.1365740740740738E-2</v>
      </c>
      <c r="J1328" s="13">
        <v>5.1707175925925922E-3</v>
      </c>
      <c r="K1328" s="13">
        <v>0.21611111111111111</v>
      </c>
      <c r="L1328" s="14">
        <v>0.85883813991996694</v>
      </c>
      <c r="M1328" s="12" t="s">
        <v>334</v>
      </c>
      <c r="N1328" s="13"/>
      <c r="O1328" s="13">
        <v>9.0046296296296298E-3</v>
      </c>
      <c r="P1328" s="13"/>
      <c r="Q1328" s="13"/>
      <c r="R1328" s="13"/>
      <c r="S1328" s="13">
        <v>1.3842592592592592E-2</v>
      </c>
      <c r="T1328" s="13">
        <v>7.1759259259259259E-4</v>
      </c>
      <c r="U1328" s="13">
        <v>2.0138888888888888E-3</v>
      </c>
      <c r="V1328" s="13"/>
      <c r="W1328" s="13">
        <v>0.1905324074074074</v>
      </c>
    </row>
    <row r="1329" spans="1:23" ht="15" customHeight="1" x14ac:dyDescent="0.25">
      <c r="A1329" s="19">
        <v>46251</v>
      </c>
      <c r="B1329" s="11" t="s">
        <v>164</v>
      </c>
      <c r="C1329" s="12" t="s">
        <v>519</v>
      </c>
      <c r="D1329" s="11" t="s">
        <v>146</v>
      </c>
      <c r="E1329" s="12" t="s">
        <v>147</v>
      </c>
      <c r="F1329" s="12" t="s">
        <v>106</v>
      </c>
      <c r="G1329" s="12">
        <v>57</v>
      </c>
      <c r="H1329" s="13">
        <v>0.36863425925925924</v>
      </c>
      <c r="I1329" s="13">
        <v>0.13564814814814816</v>
      </c>
      <c r="J1329" s="13">
        <v>2.379792072774529E-3</v>
      </c>
      <c r="K1329" s="13">
        <v>2.8136574074074074E-2</v>
      </c>
      <c r="L1329" s="14">
        <v>7.6326530612244897E-2</v>
      </c>
      <c r="M1329" s="12" t="s">
        <v>334</v>
      </c>
      <c r="N1329" s="13"/>
      <c r="O1329" s="13">
        <v>7.1759259259259259E-3</v>
      </c>
      <c r="P1329" s="13"/>
      <c r="Q1329" s="13">
        <v>8.2291666666666659E-3</v>
      </c>
      <c r="R1329" s="13"/>
      <c r="S1329" s="13">
        <v>1.2638888888888889E-2</v>
      </c>
      <c r="T1329" s="13">
        <v>9.2592592592592588E-5</v>
      </c>
      <c r="U1329" s="13"/>
      <c r="V1329" s="13"/>
      <c r="W1329" s="13"/>
    </row>
    <row r="1330" spans="1:23" ht="15" customHeight="1" x14ac:dyDescent="0.25">
      <c r="A1330" s="19">
        <v>46251</v>
      </c>
      <c r="B1330" s="11" t="s">
        <v>655</v>
      </c>
      <c r="C1330" s="12" t="s">
        <v>656</v>
      </c>
      <c r="D1330" s="11" t="s">
        <v>100</v>
      </c>
      <c r="E1330" s="12" t="s">
        <v>32</v>
      </c>
      <c r="F1330" s="12" t="s">
        <v>33</v>
      </c>
      <c r="G1330" s="12">
        <v>36</v>
      </c>
      <c r="H1330" s="13">
        <v>0.26194444444444442</v>
      </c>
      <c r="I1330" s="13">
        <v>0.166875</v>
      </c>
      <c r="J1330" s="13">
        <v>4.6354166666666662E-3</v>
      </c>
      <c r="K1330" s="13">
        <v>4.0648148148148149E-2</v>
      </c>
      <c r="L1330" s="14">
        <v>0.1551785083068222</v>
      </c>
      <c r="M1330" s="12" t="s">
        <v>334</v>
      </c>
      <c r="N1330" s="13">
        <v>6.8171296296296296E-3</v>
      </c>
      <c r="O1330" s="13">
        <v>1.6770833333333332E-2</v>
      </c>
      <c r="P1330" s="13"/>
      <c r="Q1330" s="13"/>
      <c r="R1330" s="13"/>
      <c r="S1330" s="13">
        <v>1.4664351851851852E-2</v>
      </c>
      <c r="T1330" s="13">
        <v>2.199074074074074E-4</v>
      </c>
      <c r="U1330" s="13">
        <v>2.0949074074074073E-3</v>
      </c>
      <c r="V1330" s="13"/>
      <c r="W1330" s="13"/>
    </row>
    <row r="1331" spans="1:23" ht="15" customHeight="1" x14ac:dyDescent="0.25">
      <c r="A1331" s="19">
        <v>46251</v>
      </c>
      <c r="B1331" s="11" t="s">
        <v>657</v>
      </c>
      <c r="C1331" s="12" t="s">
        <v>658</v>
      </c>
      <c r="D1331" s="11" t="s">
        <v>274</v>
      </c>
      <c r="E1331" s="12" t="s">
        <v>147</v>
      </c>
      <c r="F1331" s="12" t="s">
        <v>33</v>
      </c>
      <c r="G1331" s="12">
        <v>21</v>
      </c>
      <c r="H1331" s="13">
        <v>0.26478009259259261</v>
      </c>
      <c r="I1331" s="13">
        <v>7.8715277777777773E-2</v>
      </c>
      <c r="J1331" s="13">
        <v>3.7483465608465607E-3</v>
      </c>
      <c r="K1331" s="13">
        <v>4.1666666666666664E-2</v>
      </c>
      <c r="L1331" s="14">
        <v>0.1573632906412554</v>
      </c>
      <c r="M1331" s="12" t="s">
        <v>334</v>
      </c>
      <c r="N1331" s="13">
        <v>4.5370370370370373E-3</v>
      </c>
      <c r="O1331" s="13">
        <v>8.86574074074074E-3</v>
      </c>
      <c r="P1331" s="13"/>
      <c r="Q1331" s="13">
        <v>5.8333333333333336E-3</v>
      </c>
      <c r="R1331" s="13">
        <v>7.1990740740740739E-3</v>
      </c>
      <c r="S1331" s="13">
        <v>1.4699074074074074E-2</v>
      </c>
      <c r="T1331" s="13">
        <v>1.273148148148148E-4</v>
      </c>
      <c r="U1331" s="13">
        <v>3.9351851851851852E-4</v>
      </c>
      <c r="V1331" s="13"/>
      <c r="W1331" s="13"/>
    </row>
    <row r="1332" spans="1:23" ht="15" customHeight="1" x14ac:dyDescent="0.25">
      <c r="A1332" s="19">
        <v>46251</v>
      </c>
      <c r="B1332" s="11" t="s">
        <v>166</v>
      </c>
      <c r="C1332" s="12" t="s">
        <v>167</v>
      </c>
      <c r="D1332" s="11" t="s">
        <v>146</v>
      </c>
      <c r="E1332" s="12" t="s">
        <v>147</v>
      </c>
      <c r="F1332" s="12" t="s">
        <v>106</v>
      </c>
      <c r="G1332" s="12">
        <v>30</v>
      </c>
      <c r="H1332" s="13">
        <v>0.26418981481481479</v>
      </c>
      <c r="I1332" s="13">
        <v>9.0624999999999997E-2</v>
      </c>
      <c r="J1332" s="13">
        <v>3.0208333333333333E-3</v>
      </c>
      <c r="K1332" s="13">
        <v>5.7418981481481481E-2</v>
      </c>
      <c r="L1332" s="14">
        <v>0.2173398755804784</v>
      </c>
      <c r="M1332" s="12" t="s">
        <v>334</v>
      </c>
      <c r="N1332" s="13">
        <v>3.8657407407407408E-3</v>
      </c>
      <c r="O1332" s="13">
        <v>1.2881944444444444E-2</v>
      </c>
      <c r="P1332" s="13"/>
      <c r="Q1332" s="13">
        <v>6.5972222222222222E-3</v>
      </c>
      <c r="R1332" s="13"/>
      <c r="S1332" s="13">
        <v>1.6458333333333332E-2</v>
      </c>
      <c r="T1332" s="13">
        <v>2.7777777777777778E-4</v>
      </c>
      <c r="U1332" s="13">
        <v>4.9768518518518521E-4</v>
      </c>
      <c r="V1332" s="13"/>
      <c r="W1332" s="13">
        <v>1.6840277777777777E-2</v>
      </c>
    </row>
    <row r="1333" spans="1:23" ht="15" customHeight="1" x14ac:dyDescent="0.25">
      <c r="A1333" s="19">
        <v>46251</v>
      </c>
      <c r="B1333" s="11" t="s">
        <v>659</v>
      </c>
      <c r="C1333" s="12" t="s">
        <v>660</v>
      </c>
      <c r="D1333" s="11" t="s">
        <v>100</v>
      </c>
      <c r="E1333" s="12" t="s">
        <v>32</v>
      </c>
      <c r="F1333" s="12" t="s">
        <v>33</v>
      </c>
      <c r="G1333" s="12">
        <v>4</v>
      </c>
      <c r="H1333" s="13">
        <v>0.25552083333333331</v>
      </c>
      <c r="I1333" s="13">
        <v>2.6365740740740742E-2</v>
      </c>
      <c r="J1333" s="13">
        <v>6.5914351851851854E-3</v>
      </c>
      <c r="K1333" s="13">
        <v>0.23150462962962962</v>
      </c>
      <c r="L1333" s="14">
        <v>0.90601078045024241</v>
      </c>
      <c r="M1333" s="12" t="s">
        <v>334</v>
      </c>
      <c r="N1333" s="13">
        <v>1.2870370370370371E-2</v>
      </c>
      <c r="O1333" s="13">
        <v>1.5613425925925926E-2</v>
      </c>
      <c r="P1333" s="13"/>
      <c r="Q1333" s="13"/>
      <c r="R1333" s="13"/>
      <c r="S1333" s="13">
        <v>1.6273148148148148E-2</v>
      </c>
      <c r="T1333" s="13">
        <v>3.2407407407407406E-4</v>
      </c>
      <c r="U1333" s="13"/>
      <c r="V1333" s="13"/>
      <c r="W1333" s="13">
        <v>0.18642361111111111</v>
      </c>
    </row>
    <row r="1334" spans="1:23" ht="15" customHeight="1" x14ac:dyDescent="0.25">
      <c r="A1334" s="19">
        <v>46251</v>
      </c>
      <c r="B1334" s="11" t="s">
        <v>254</v>
      </c>
      <c r="C1334" s="12" t="s">
        <v>528</v>
      </c>
      <c r="D1334" s="11" t="s">
        <v>233</v>
      </c>
      <c r="E1334" s="12" t="s">
        <v>32</v>
      </c>
      <c r="F1334" s="12" t="s">
        <v>106</v>
      </c>
      <c r="G1334" s="12">
        <v>30</v>
      </c>
      <c r="H1334" s="13">
        <v>0.26186342592592593</v>
      </c>
      <c r="I1334" s="13">
        <v>0.10811342592592593</v>
      </c>
      <c r="J1334" s="13">
        <v>3.6037808641975312E-3</v>
      </c>
      <c r="K1334" s="13">
        <v>6.2696759259259258E-2</v>
      </c>
      <c r="L1334" s="14">
        <v>0.23942541436464088</v>
      </c>
      <c r="M1334" s="12" t="s">
        <v>334</v>
      </c>
      <c r="N1334" s="13">
        <v>2.2326388888888889E-2</v>
      </c>
      <c r="O1334" s="13">
        <v>1.5138888888888889E-2</v>
      </c>
      <c r="P1334" s="13">
        <v>1.724537037037037E-3</v>
      </c>
      <c r="Q1334" s="13">
        <v>2.4305555555555556E-3</v>
      </c>
      <c r="R1334" s="13"/>
      <c r="S1334" s="13">
        <v>1.4282407407407407E-2</v>
      </c>
      <c r="T1334" s="13">
        <v>5.1273148148148146E-3</v>
      </c>
      <c r="U1334" s="13">
        <v>1.6319444444444445E-3</v>
      </c>
      <c r="V1334" s="13"/>
      <c r="W1334" s="13"/>
    </row>
    <row r="1335" spans="1:23" ht="15" customHeight="1" x14ac:dyDescent="0.25">
      <c r="A1335" s="19">
        <v>46251</v>
      </c>
      <c r="B1335" s="11" t="s">
        <v>201</v>
      </c>
      <c r="C1335" s="12" t="s">
        <v>545</v>
      </c>
      <c r="D1335" s="11" t="s">
        <v>601</v>
      </c>
      <c r="E1335" s="12" t="s">
        <v>600</v>
      </c>
      <c r="F1335" s="12" t="s">
        <v>33</v>
      </c>
      <c r="G1335" s="12">
        <v>28</v>
      </c>
      <c r="H1335" s="13">
        <v>0.24884259259259259</v>
      </c>
      <c r="I1335" s="13">
        <v>6.0266203703703704E-2</v>
      </c>
      <c r="J1335" s="13">
        <v>2.1523644179894182E-3</v>
      </c>
      <c r="K1335" s="13">
        <v>5.9340277777777777E-2</v>
      </c>
      <c r="L1335" s="14">
        <v>0.23846511627906977</v>
      </c>
      <c r="M1335" s="12" t="s">
        <v>334</v>
      </c>
      <c r="N1335" s="13">
        <v>7.9166666666666673E-3</v>
      </c>
      <c r="O1335" s="13">
        <v>1.6747685185185185E-2</v>
      </c>
      <c r="P1335" s="13">
        <v>9.2592592592592588E-5</v>
      </c>
      <c r="Q1335" s="13"/>
      <c r="R1335" s="13"/>
      <c r="S1335" s="13">
        <v>1.3009259259259259E-2</v>
      </c>
      <c r="T1335" s="13">
        <v>1.2812499999999999E-2</v>
      </c>
      <c r="U1335" s="13">
        <v>8.7615740740740744E-3</v>
      </c>
      <c r="V1335" s="13"/>
      <c r="W1335" s="13"/>
    </row>
    <row r="1336" spans="1:23" ht="15" customHeight="1" x14ac:dyDescent="0.25">
      <c r="A1336" s="19">
        <v>46251</v>
      </c>
      <c r="B1336" s="11" t="s">
        <v>168</v>
      </c>
      <c r="C1336" s="12" t="s">
        <v>520</v>
      </c>
      <c r="D1336" s="11" t="s">
        <v>274</v>
      </c>
      <c r="E1336" s="12" t="s">
        <v>147</v>
      </c>
      <c r="F1336" s="12" t="s">
        <v>33</v>
      </c>
      <c r="G1336" s="12">
        <v>21</v>
      </c>
      <c r="H1336" s="13">
        <v>0.26743055555555556</v>
      </c>
      <c r="I1336" s="13">
        <v>6.40162037037037E-2</v>
      </c>
      <c r="J1336" s="13">
        <v>3.0483906525573192E-3</v>
      </c>
      <c r="K1336" s="13">
        <v>4.2708333333333334E-2</v>
      </c>
      <c r="L1336" s="14">
        <v>0.15969877953778239</v>
      </c>
      <c r="M1336" s="12" t="s">
        <v>334</v>
      </c>
      <c r="N1336" s="13">
        <v>9.6412037037037039E-3</v>
      </c>
      <c r="O1336" s="13">
        <v>1.2500000000000001E-2</v>
      </c>
      <c r="P1336" s="13"/>
      <c r="Q1336" s="13">
        <v>5.2777777777777779E-3</v>
      </c>
      <c r="R1336" s="13"/>
      <c r="S1336" s="13">
        <v>1.4675925925925926E-2</v>
      </c>
      <c r="T1336" s="13">
        <v>2.6620370370370372E-4</v>
      </c>
      <c r="U1336" s="13">
        <v>3.3564814814814812E-4</v>
      </c>
      <c r="V1336" s="13"/>
      <c r="W1336" s="13"/>
    </row>
    <row r="1337" spans="1:23" ht="15" customHeight="1" x14ac:dyDescent="0.25">
      <c r="A1337" s="19">
        <v>46251</v>
      </c>
      <c r="B1337" s="11" t="s">
        <v>170</v>
      </c>
      <c r="C1337" s="12" t="s">
        <v>521</v>
      </c>
      <c r="D1337" s="11" t="s">
        <v>146</v>
      </c>
      <c r="E1337" s="12" t="s">
        <v>147</v>
      </c>
      <c r="F1337" s="12" t="s">
        <v>106</v>
      </c>
      <c r="G1337" s="12">
        <v>25</v>
      </c>
      <c r="H1337" s="13">
        <v>0.25533564814814813</v>
      </c>
      <c r="I1337" s="13">
        <v>0.11858796296296296</v>
      </c>
      <c r="J1337" s="13">
        <v>4.7435185185185184E-3</v>
      </c>
      <c r="K1337" s="13">
        <v>4.1099537037037039E-2</v>
      </c>
      <c r="L1337" s="14">
        <v>0.16096278500521283</v>
      </c>
      <c r="M1337" s="12" t="s">
        <v>334</v>
      </c>
      <c r="N1337" s="13">
        <v>2.4537037037037036E-3</v>
      </c>
      <c r="O1337" s="13">
        <v>1.5868055555555555E-2</v>
      </c>
      <c r="P1337" s="13"/>
      <c r="Q1337" s="13">
        <v>8.1250000000000003E-3</v>
      </c>
      <c r="R1337" s="13"/>
      <c r="S1337" s="13">
        <v>1.3634259259259259E-2</v>
      </c>
      <c r="T1337" s="13">
        <v>3.7037037037037035E-4</v>
      </c>
      <c r="U1337" s="13">
        <v>6.134259259259259E-4</v>
      </c>
      <c r="V1337" s="13"/>
      <c r="W1337" s="13"/>
    </row>
    <row r="1338" spans="1:23" ht="15" customHeight="1" x14ac:dyDescent="0.25">
      <c r="A1338" s="19">
        <v>46251</v>
      </c>
      <c r="B1338" s="11" t="s">
        <v>92</v>
      </c>
      <c r="C1338" s="12" t="s">
        <v>93</v>
      </c>
      <c r="D1338" s="11" t="s">
        <v>78</v>
      </c>
      <c r="E1338" s="12" t="s">
        <v>80</v>
      </c>
      <c r="F1338" s="12" t="s">
        <v>81</v>
      </c>
      <c r="G1338" s="12">
        <v>0</v>
      </c>
      <c r="H1338" s="13">
        <v>0.27087962962962964</v>
      </c>
      <c r="I1338" s="13">
        <v>0</v>
      </c>
      <c r="J1338" s="13">
        <v>0</v>
      </c>
      <c r="K1338" s="13">
        <v>0.13881944444444444</v>
      </c>
      <c r="L1338" s="14">
        <v>0.51247649974363352</v>
      </c>
      <c r="M1338" s="12" t="s">
        <v>334</v>
      </c>
      <c r="N1338" s="13">
        <v>6.099537037037037E-3</v>
      </c>
      <c r="O1338" s="13">
        <v>6.8726851851851858E-2</v>
      </c>
      <c r="P1338" s="13"/>
      <c r="Q1338" s="13"/>
      <c r="R1338" s="13"/>
      <c r="S1338" s="13"/>
      <c r="T1338" s="13">
        <v>6.2615740740740736E-2</v>
      </c>
      <c r="U1338" s="13">
        <v>1.3310185185185185E-3</v>
      </c>
      <c r="V1338" s="13"/>
      <c r="W1338" s="13"/>
    </row>
    <row r="1339" spans="1:23" ht="15" customHeight="1" x14ac:dyDescent="0.25">
      <c r="A1339" s="19">
        <v>46251</v>
      </c>
      <c r="B1339" s="11" t="s">
        <v>94</v>
      </c>
      <c r="C1339" s="12" t="s">
        <v>95</v>
      </c>
      <c r="D1339" s="11" t="s">
        <v>78</v>
      </c>
      <c r="E1339" s="12" t="s">
        <v>80</v>
      </c>
      <c r="F1339" s="12" t="s">
        <v>81</v>
      </c>
      <c r="G1339" s="12">
        <v>0</v>
      </c>
      <c r="H1339" s="13">
        <v>0.36278935185185185</v>
      </c>
      <c r="I1339" s="13">
        <v>0</v>
      </c>
      <c r="J1339" s="13">
        <v>0</v>
      </c>
      <c r="K1339" s="13">
        <v>0.13452546296296297</v>
      </c>
      <c r="L1339" s="14">
        <v>0.37080874142606479</v>
      </c>
      <c r="M1339" s="12" t="s">
        <v>334</v>
      </c>
      <c r="N1339" s="13">
        <v>3.1307870370370368E-2</v>
      </c>
      <c r="O1339" s="13"/>
      <c r="P1339" s="13"/>
      <c r="Q1339" s="13"/>
      <c r="R1339" s="13">
        <v>0.10313657407407407</v>
      </c>
      <c r="S1339" s="13"/>
      <c r="T1339" s="13">
        <v>8.1018518518518516E-5</v>
      </c>
      <c r="U1339" s="13"/>
      <c r="V1339" s="13"/>
      <c r="W1339" s="13"/>
    </row>
    <row r="1340" spans="1:23" ht="15" customHeight="1" x14ac:dyDescent="0.25">
      <c r="A1340" s="19">
        <v>46251</v>
      </c>
      <c r="B1340" s="11" t="s">
        <v>293</v>
      </c>
      <c r="C1340" s="12" t="s">
        <v>543</v>
      </c>
      <c r="D1340" s="11" t="s">
        <v>104</v>
      </c>
      <c r="E1340" s="12" t="s">
        <v>600</v>
      </c>
      <c r="F1340" s="12" t="s">
        <v>106</v>
      </c>
      <c r="G1340" s="12">
        <v>21</v>
      </c>
      <c r="H1340" s="13">
        <v>0.22778935185185184</v>
      </c>
      <c r="I1340" s="13">
        <v>4.3229166666666666E-2</v>
      </c>
      <c r="J1340" s="13">
        <v>2.0585317460317461E-3</v>
      </c>
      <c r="K1340" s="13">
        <v>0.15372685185185186</v>
      </c>
      <c r="L1340" s="14">
        <v>0.67486408210964899</v>
      </c>
      <c r="M1340" s="12" t="s">
        <v>334</v>
      </c>
      <c r="N1340" s="13">
        <v>5.8217592592592592E-3</v>
      </c>
      <c r="O1340" s="13">
        <v>1.7280092592592593E-2</v>
      </c>
      <c r="P1340" s="13"/>
      <c r="Q1340" s="13"/>
      <c r="R1340" s="13"/>
      <c r="S1340" s="13">
        <v>1.2581018518518519E-2</v>
      </c>
      <c r="T1340" s="13">
        <v>1.1747685185185186E-2</v>
      </c>
      <c r="U1340" s="13">
        <v>1.1574074074074075E-4</v>
      </c>
      <c r="V1340" s="13"/>
      <c r="W1340" s="13">
        <v>0.10616898148148148</v>
      </c>
    </row>
    <row r="1341" spans="1:23" ht="15" customHeight="1" x14ac:dyDescent="0.25">
      <c r="A1341" s="19">
        <v>46251</v>
      </c>
      <c r="B1341" s="11" t="s">
        <v>606</v>
      </c>
      <c r="C1341" s="12" t="s">
        <v>633</v>
      </c>
      <c r="D1341" s="11" t="s">
        <v>146</v>
      </c>
      <c r="E1341" s="12" t="s">
        <v>147</v>
      </c>
      <c r="F1341" s="12" t="s">
        <v>106</v>
      </c>
      <c r="G1341" s="12">
        <v>16</v>
      </c>
      <c r="H1341" s="13">
        <v>0.26113425925925926</v>
      </c>
      <c r="I1341" s="13">
        <v>8.0659722222222216E-2</v>
      </c>
      <c r="J1341" s="13">
        <v>5.0412326388888885E-3</v>
      </c>
      <c r="K1341" s="13">
        <v>9.0173611111111107E-2</v>
      </c>
      <c r="L1341" s="14">
        <v>0.34531513163726618</v>
      </c>
      <c r="M1341" s="12" t="s">
        <v>334</v>
      </c>
      <c r="N1341" s="13">
        <v>1.5648148148148147E-2</v>
      </c>
      <c r="O1341" s="13">
        <v>1.425925925925926E-2</v>
      </c>
      <c r="P1341" s="13"/>
      <c r="Q1341" s="13"/>
      <c r="R1341" s="13"/>
      <c r="S1341" s="13">
        <v>1.4583333333333334E-2</v>
      </c>
      <c r="T1341" s="13">
        <v>6.1342592592592594E-3</v>
      </c>
      <c r="U1341" s="13">
        <v>1.5625E-2</v>
      </c>
      <c r="V1341" s="13"/>
      <c r="W1341" s="13">
        <v>2.388888888888889E-2</v>
      </c>
    </row>
    <row r="1342" spans="1:23" ht="15" customHeight="1" x14ac:dyDescent="0.25">
      <c r="A1342" s="19">
        <v>46251</v>
      </c>
      <c r="B1342" s="11" t="s">
        <v>256</v>
      </c>
      <c r="C1342" s="12" t="s">
        <v>529</v>
      </c>
      <c r="D1342" s="11" t="s">
        <v>233</v>
      </c>
      <c r="E1342" s="12" t="s">
        <v>32</v>
      </c>
      <c r="F1342" s="12" t="s">
        <v>106</v>
      </c>
      <c r="G1342" s="12">
        <v>23</v>
      </c>
      <c r="H1342" s="13">
        <v>0.24186342592592591</v>
      </c>
      <c r="I1342" s="13">
        <v>0.14925925925925926</v>
      </c>
      <c r="J1342" s="13">
        <v>6.4895330112721417E-3</v>
      </c>
      <c r="K1342" s="13">
        <v>4.0219907407407406E-2</v>
      </c>
      <c r="L1342" s="14">
        <v>0.16629181222185002</v>
      </c>
      <c r="M1342" s="12" t="s">
        <v>334</v>
      </c>
      <c r="N1342" s="13"/>
      <c r="O1342" s="13">
        <v>1.6250000000000001E-2</v>
      </c>
      <c r="P1342" s="13"/>
      <c r="Q1342" s="13"/>
      <c r="R1342" s="13"/>
      <c r="S1342" s="13">
        <v>1.5219907407407408E-2</v>
      </c>
      <c r="T1342" s="13">
        <v>1.5046296296296296E-3</v>
      </c>
      <c r="U1342" s="13">
        <v>7.2453703703703708E-3</v>
      </c>
      <c r="V1342" s="13"/>
      <c r="W1342" s="13"/>
    </row>
    <row r="1343" spans="1:23" ht="15" customHeight="1" x14ac:dyDescent="0.25">
      <c r="A1343" s="19">
        <v>46251</v>
      </c>
      <c r="B1343" s="11" t="s">
        <v>612</v>
      </c>
      <c r="C1343" s="12" t="s">
        <v>634</v>
      </c>
      <c r="D1343" s="11" t="s">
        <v>601</v>
      </c>
      <c r="E1343" s="12" t="s">
        <v>105</v>
      </c>
      <c r="F1343" s="12" t="s">
        <v>33</v>
      </c>
      <c r="G1343" s="12">
        <v>6</v>
      </c>
      <c r="H1343" s="13">
        <v>0.22391203703703705</v>
      </c>
      <c r="I1343" s="13">
        <v>0.12346064814814815</v>
      </c>
      <c r="J1343" s="13">
        <v>2.0576774691358025E-2</v>
      </c>
      <c r="K1343" s="13">
        <v>0.18586805555555555</v>
      </c>
      <c r="L1343" s="14">
        <v>0.83009407629484122</v>
      </c>
      <c r="M1343" s="12" t="s">
        <v>334</v>
      </c>
      <c r="N1343" s="13">
        <v>2.6076388888888889E-2</v>
      </c>
      <c r="O1343" s="13">
        <v>1.4976851851851852E-2</v>
      </c>
      <c r="P1343" s="13"/>
      <c r="Q1343" s="13">
        <v>5.0694444444444441E-3</v>
      </c>
      <c r="R1343" s="13"/>
      <c r="S1343" s="13">
        <v>1.1724537037037037E-2</v>
      </c>
      <c r="T1343" s="13">
        <v>4.4988425925925925E-2</v>
      </c>
      <c r="U1343" s="13">
        <v>8.3032407407407402E-2</v>
      </c>
      <c r="V1343" s="13"/>
      <c r="W1343" s="13"/>
    </row>
    <row r="1344" spans="1:23" ht="15" customHeight="1" x14ac:dyDescent="0.25">
      <c r="A1344" s="19">
        <v>46251</v>
      </c>
      <c r="B1344" s="11" t="s">
        <v>661</v>
      </c>
      <c r="C1344" s="12" t="s">
        <v>662</v>
      </c>
      <c r="D1344" s="11" t="s">
        <v>100</v>
      </c>
      <c r="E1344" s="12" t="s">
        <v>32</v>
      </c>
      <c r="F1344" s="12" t="s">
        <v>33</v>
      </c>
      <c r="G1344" s="12">
        <v>35</v>
      </c>
      <c r="H1344" s="13">
        <v>0.23791666666666667</v>
      </c>
      <c r="I1344" s="13">
        <v>0.17398148148148149</v>
      </c>
      <c r="J1344" s="13">
        <v>4.9708994708994713E-3</v>
      </c>
      <c r="K1344" s="13">
        <v>5.0995370370370371E-2</v>
      </c>
      <c r="L1344" s="14">
        <v>0.21434131153920996</v>
      </c>
      <c r="M1344" s="12" t="s">
        <v>334</v>
      </c>
      <c r="N1344" s="13"/>
      <c r="O1344" s="13">
        <v>1.5671296296296298E-2</v>
      </c>
      <c r="P1344" s="13"/>
      <c r="Q1344" s="13"/>
      <c r="R1344" s="13"/>
      <c r="S1344" s="13">
        <v>1.5104166666666667E-2</v>
      </c>
      <c r="T1344" s="13">
        <v>1.193287037037037E-2</v>
      </c>
      <c r="U1344" s="13">
        <v>2.7314814814814814E-3</v>
      </c>
      <c r="V1344" s="13"/>
      <c r="W1344" s="13">
        <v>5.4282407407407404E-3</v>
      </c>
    </row>
    <row r="1345" spans="1:23" ht="15" customHeight="1" x14ac:dyDescent="0.25">
      <c r="A1345" s="19">
        <v>46251</v>
      </c>
      <c r="B1345" s="11" t="s">
        <v>663</v>
      </c>
      <c r="C1345" s="12" t="s">
        <v>664</v>
      </c>
      <c r="D1345" s="11" t="s">
        <v>233</v>
      </c>
      <c r="E1345" s="12" t="s">
        <v>32</v>
      </c>
      <c r="F1345" s="12" t="s">
        <v>106</v>
      </c>
      <c r="G1345" s="12">
        <v>23</v>
      </c>
      <c r="H1345" s="13">
        <v>0.21340277777777777</v>
      </c>
      <c r="I1345" s="13">
        <v>0.15177083333333333</v>
      </c>
      <c r="J1345" s="13">
        <v>6.598731884057971E-3</v>
      </c>
      <c r="K1345" s="13">
        <v>2.3252314814814816E-2</v>
      </c>
      <c r="L1345" s="14">
        <v>0.10895975702353836</v>
      </c>
      <c r="M1345" s="12" t="s">
        <v>334</v>
      </c>
      <c r="N1345" s="13">
        <v>3.6458333333333334E-3</v>
      </c>
      <c r="O1345" s="13">
        <v>1.7627314814814814E-2</v>
      </c>
      <c r="P1345" s="13">
        <v>7.9861111111111116E-4</v>
      </c>
      <c r="Q1345" s="13"/>
      <c r="R1345" s="13"/>
      <c r="S1345" s="13"/>
      <c r="T1345" s="13">
        <v>1.1805555555555556E-3</v>
      </c>
      <c r="U1345" s="13"/>
      <c r="V1345" s="13"/>
      <c r="W1345" s="13"/>
    </row>
    <row r="1346" spans="1:23" ht="15" customHeight="1" x14ac:dyDescent="0.25">
      <c r="A1346" s="19">
        <v>46251</v>
      </c>
      <c r="B1346" s="11" t="s">
        <v>665</v>
      </c>
      <c r="C1346" s="12" t="s">
        <v>666</v>
      </c>
      <c r="D1346" s="11" t="s">
        <v>100</v>
      </c>
      <c r="E1346" s="12" t="s">
        <v>32</v>
      </c>
      <c r="F1346" s="12" t="s">
        <v>33</v>
      </c>
      <c r="G1346" s="12">
        <v>39</v>
      </c>
      <c r="H1346" s="13">
        <v>0.26521990740740742</v>
      </c>
      <c r="I1346" s="13">
        <v>0.21702546296296296</v>
      </c>
      <c r="J1346" s="13">
        <v>5.5647554605887939E-3</v>
      </c>
      <c r="K1346" s="13">
        <v>5.1967592592592593E-2</v>
      </c>
      <c r="L1346" s="14">
        <v>0.19594152301985598</v>
      </c>
      <c r="M1346" s="12" t="s">
        <v>334</v>
      </c>
      <c r="N1346" s="13"/>
      <c r="O1346" s="13">
        <v>1.3865740740740741E-2</v>
      </c>
      <c r="P1346" s="13"/>
      <c r="Q1346" s="13"/>
      <c r="R1346" s="13">
        <v>2.2430555555555554E-2</v>
      </c>
      <c r="S1346" s="13">
        <v>1.380787037037037E-2</v>
      </c>
      <c r="T1346" s="13">
        <v>9.2592592592592588E-5</v>
      </c>
      <c r="U1346" s="13">
        <v>1.7013888888888888E-3</v>
      </c>
      <c r="V1346" s="13"/>
      <c r="W1346" s="13"/>
    </row>
    <row r="1347" spans="1:23" ht="15" customHeight="1" x14ac:dyDescent="0.25">
      <c r="A1347" s="19">
        <v>46251</v>
      </c>
      <c r="B1347" s="11" t="s">
        <v>264</v>
      </c>
      <c r="C1347" s="12" t="s">
        <v>530</v>
      </c>
      <c r="D1347" s="11" t="s">
        <v>78</v>
      </c>
      <c r="E1347" s="12" t="s">
        <v>80</v>
      </c>
      <c r="F1347" s="12" t="s">
        <v>106</v>
      </c>
      <c r="G1347" s="12">
        <v>1</v>
      </c>
      <c r="H1347" s="13">
        <v>0.58961805555555558</v>
      </c>
      <c r="I1347" s="13">
        <v>5.4386574074074073E-2</v>
      </c>
      <c r="J1347" s="13">
        <v>5.4386574074074073E-2</v>
      </c>
      <c r="K1347" s="13">
        <v>2.2430555555555554E-2</v>
      </c>
      <c r="L1347" s="14">
        <v>3.8042518108474171E-2</v>
      </c>
      <c r="M1347" s="12" t="s">
        <v>334</v>
      </c>
      <c r="N1347" s="13"/>
      <c r="O1347" s="13"/>
      <c r="P1347" s="13"/>
      <c r="Q1347" s="13"/>
      <c r="R1347" s="13">
        <v>2.224537037037037E-2</v>
      </c>
      <c r="S1347" s="13"/>
      <c r="T1347" s="13">
        <v>6.9444444444444444E-5</v>
      </c>
      <c r="U1347" s="13">
        <v>1.0416666666666667E-4</v>
      </c>
      <c r="V1347" s="13"/>
      <c r="W1347" s="13"/>
    </row>
    <row r="1348" spans="1:23" ht="15" customHeight="1" x14ac:dyDescent="0.25">
      <c r="A1348" s="19">
        <v>46251</v>
      </c>
      <c r="B1348" s="11" t="s">
        <v>128</v>
      </c>
      <c r="C1348" s="12" t="s">
        <v>555</v>
      </c>
      <c r="D1348" s="11" t="s">
        <v>233</v>
      </c>
      <c r="E1348" s="12" t="s">
        <v>32</v>
      </c>
      <c r="F1348" s="12" t="s">
        <v>106</v>
      </c>
      <c r="G1348" s="12">
        <v>33</v>
      </c>
      <c r="H1348" s="13">
        <v>0.23776620370370372</v>
      </c>
      <c r="I1348" s="13">
        <v>0.13149305555555554</v>
      </c>
      <c r="J1348" s="13">
        <v>3.9846380471380465E-3</v>
      </c>
      <c r="K1348" s="13">
        <v>3.72337962962963E-2</v>
      </c>
      <c r="L1348" s="14">
        <v>0.15659835467069075</v>
      </c>
      <c r="M1348" s="12" t="s">
        <v>334</v>
      </c>
      <c r="N1348" s="13">
        <v>9.1319444444444443E-3</v>
      </c>
      <c r="O1348" s="13">
        <v>7.905092592592592E-3</v>
      </c>
      <c r="P1348" s="13"/>
      <c r="Q1348" s="13"/>
      <c r="R1348" s="13"/>
      <c r="S1348" s="13">
        <v>1.6620370370370369E-2</v>
      </c>
      <c r="T1348" s="13">
        <v>2.9050925925925928E-3</v>
      </c>
      <c r="U1348" s="13">
        <v>6.4814814814814813E-4</v>
      </c>
      <c r="V1348" s="13"/>
      <c r="W1348" s="13"/>
    </row>
    <row r="1349" spans="1:23" ht="15" customHeight="1" x14ac:dyDescent="0.25">
      <c r="A1349" s="19">
        <v>46251</v>
      </c>
      <c r="B1349" s="11" t="s">
        <v>266</v>
      </c>
      <c r="C1349" s="12" t="s">
        <v>531</v>
      </c>
      <c r="D1349" s="11" t="s">
        <v>233</v>
      </c>
      <c r="E1349" s="12" t="s">
        <v>32</v>
      </c>
      <c r="F1349" s="12" t="s">
        <v>106</v>
      </c>
      <c r="G1349" s="12">
        <v>0</v>
      </c>
      <c r="H1349" s="13">
        <v>0.22116898148148148</v>
      </c>
      <c r="I1349" s="13">
        <v>0</v>
      </c>
      <c r="J1349" s="13">
        <v>0</v>
      </c>
      <c r="K1349" s="13">
        <v>0.22116898148148148</v>
      </c>
      <c r="L1349" s="14">
        <v>1</v>
      </c>
      <c r="M1349" s="12" t="s">
        <v>334</v>
      </c>
      <c r="N1349" s="13"/>
      <c r="O1349" s="13">
        <v>1.2129629629629629E-2</v>
      </c>
      <c r="P1349" s="13"/>
      <c r="Q1349" s="13">
        <v>1.3773148148148149E-2</v>
      </c>
      <c r="R1349" s="13"/>
      <c r="S1349" s="13">
        <v>1.3912037037037037E-2</v>
      </c>
      <c r="T1349" s="13">
        <v>6.7129629629629625E-4</v>
      </c>
      <c r="U1349" s="13"/>
      <c r="V1349" s="13"/>
      <c r="W1349" s="13">
        <v>0.18068287037037037</v>
      </c>
    </row>
    <row r="1350" spans="1:23" ht="15" customHeight="1" x14ac:dyDescent="0.25">
      <c r="A1350" s="19">
        <v>46251</v>
      </c>
      <c r="B1350" s="11" t="s">
        <v>297</v>
      </c>
      <c r="C1350" s="12" t="s">
        <v>667</v>
      </c>
      <c r="D1350" s="11" t="s">
        <v>104</v>
      </c>
      <c r="E1350" s="12" t="s">
        <v>105</v>
      </c>
      <c r="F1350" s="12" t="s">
        <v>106</v>
      </c>
      <c r="G1350" s="12">
        <v>5</v>
      </c>
      <c r="H1350" s="13">
        <v>0.23145833333333332</v>
      </c>
      <c r="I1350" s="13">
        <v>0.10866898148148148</v>
      </c>
      <c r="J1350" s="13">
        <v>2.1733796296296296E-2</v>
      </c>
      <c r="K1350" s="13">
        <v>0.19460648148148149</v>
      </c>
      <c r="L1350" s="14">
        <v>0.84078407840784086</v>
      </c>
      <c r="M1350" s="12" t="s">
        <v>334</v>
      </c>
      <c r="N1350" s="13">
        <v>1.7615740740740741E-2</v>
      </c>
      <c r="O1350" s="13">
        <v>1.5821759259259258E-2</v>
      </c>
      <c r="P1350" s="13"/>
      <c r="Q1350" s="13"/>
      <c r="R1350" s="13"/>
      <c r="S1350" s="13">
        <v>1.4074074074074074E-2</v>
      </c>
      <c r="T1350" s="13">
        <v>3.9351851851851852E-4</v>
      </c>
      <c r="U1350" s="13">
        <v>2.5462962962962961E-4</v>
      </c>
      <c r="V1350" s="13"/>
      <c r="W1350" s="13">
        <v>0.14644675925925926</v>
      </c>
    </row>
    <row r="1351" spans="1:23" ht="15" customHeight="1" x14ac:dyDescent="0.25">
      <c r="A1351" s="19">
        <v>46251</v>
      </c>
      <c r="B1351" s="11" t="s">
        <v>207</v>
      </c>
      <c r="C1351" s="12" t="s">
        <v>566</v>
      </c>
      <c r="D1351" s="11" t="s">
        <v>274</v>
      </c>
      <c r="E1351" s="12" t="s">
        <v>147</v>
      </c>
      <c r="F1351" s="12" t="s">
        <v>33</v>
      </c>
      <c r="G1351" s="12">
        <v>19</v>
      </c>
      <c r="H1351" s="13">
        <v>0.25912037037037039</v>
      </c>
      <c r="I1351" s="13">
        <v>9.1076388888888887E-2</v>
      </c>
      <c r="J1351" s="13">
        <v>4.7934941520467837E-3</v>
      </c>
      <c r="K1351" s="13">
        <v>3.6932870370370373E-2</v>
      </c>
      <c r="L1351" s="14">
        <v>0.14253171341790244</v>
      </c>
      <c r="M1351" s="12" t="s">
        <v>334</v>
      </c>
      <c r="N1351" s="13">
        <v>1.1921296296296296E-3</v>
      </c>
      <c r="O1351" s="13">
        <v>7.4189814814814813E-3</v>
      </c>
      <c r="P1351" s="13"/>
      <c r="Q1351" s="13">
        <v>5.5902777777777773E-3</v>
      </c>
      <c r="R1351" s="13">
        <v>6.9675925925925929E-3</v>
      </c>
      <c r="S1351" s="13">
        <v>1.4710648148148148E-2</v>
      </c>
      <c r="T1351" s="13">
        <v>6.9444444444444444E-5</v>
      </c>
      <c r="U1351" s="13">
        <v>9.837962962962962E-4</v>
      </c>
      <c r="V1351" s="13"/>
      <c r="W1351" s="13"/>
    </row>
    <row r="1352" spans="1:23" ht="15" customHeight="1" x14ac:dyDescent="0.25">
      <c r="A1352" s="19">
        <v>46251</v>
      </c>
      <c r="B1352" s="11" t="s">
        <v>614</v>
      </c>
      <c r="C1352" s="12" t="s">
        <v>635</v>
      </c>
      <c r="D1352" s="11" t="s">
        <v>601</v>
      </c>
      <c r="E1352" s="12" t="s">
        <v>105</v>
      </c>
      <c r="F1352" s="12" t="s">
        <v>33</v>
      </c>
      <c r="G1352" s="12">
        <v>14</v>
      </c>
      <c r="H1352" s="13">
        <v>0.22576388888888888</v>
      </c>
      <c r="I1352" s="13">
        <v>0.16657407407407407</v>
      </c>
      <c r="J1352" s="13">
        <v>1.1898148148148147E-2</v>
      </c>
      <c r="K1352" s="13">
        <v>0.17318287037037036</v>
      </c>
      <c r="L1352" s="14">
        <v>0.76709730339382753</v>
      </c>
      <c r="M1352" s="12" t="s">
        <v>334</v>
      </c>
      <c r="N1352" s="13">
        <v>4.8495370370370368E-3</v>
      </c>
      <c r="O1352" s="13">
        <v>1.4641203703703703E-2</v>
      </c>
      <c r="P1352" s="13"/>
      <c r="Q1352" s="13"/>
      <c r="R1352" s="13"/>
      <c r="S1352" s="13">
        <v>1.4733796296296297E-2</v>
      </c>
      <c r="T1352" s="13">
        <v>5.5081018518518515E-2</v>
      </c>
      <c r="U1352" s="13">
        <v>8.3877314814814821E-2</v>
      </c>
      <c r="V1352" s="13"/>
      <c r="W1352" s="13"/>
    </row>
    <row r="1353" spans="1:23" ht="15" customHeight="1" x14ac:dyDescent="0.25">
      <c r="A1353" s="19">
        <v>46251</v>
      </c>
      <c r="B1353" s="11" t="s">
        <v>96</v>
      </c>
      <c r="C1353" s="12" t="s">
        <v>97</v>
      </c>
      <c r="D1353" s="11" t="s">
        <v>78</v>
      </c>
      <c r="E1353" s="12" t="s">
        <v>80</v>
      </c>
      <c r="F1353" s="12" t="s">
        <v>81</v>
      </c>
      <c r="G1353" s="12">
        <v>1</v>
      </c>
      <c r="H1353" s="13">
        <v>0.33895833333333331</v>
      </c>
      <c r="I1353" s="13">
        <v>1.1574074074074073E-3</v>
      </c>
      <c r="J1353" s="13">
        <v>1.1574074074074073E-3</v>
      </c>
      <c r="K1353" s="13">
        <v>9.2164351851851858E-2</v>
      </c>
      <c r="L1353" s="14">
        <v>0.27190466434473815</v>
      </c>
      <c r="M1353" s="12" t="s">
        <v>334</v>
      </c>
      <c r="N1353" s="13">
        <v>1.4375000000000001E-2</v>
      </c>
      <c r="O1353" s="13">
        <v>4.1643518518518517E-2</v>
      </c>
      <c r="P1353" s="13"/>
      <c r="Q1353" s="13"/>
      <c r="R1353" s="13"/>
      <c r="S1353" s="13">
        <v>2.673611111111111E-2</v>
      </c>
      <c r="T1353" s="13">
        <v>5.185185185185185E-3</v>
      </c>
      <c r="U1353" s="13">
        <v>4.0625000000000001E-3</v>
      </c>
      <c r="V1353" s="13"/>
      <c r="W1353" s="13"/>
    </row>
    <row r="1354" spans="1:23" ht="15" customHeight="1" x14ac:dyDescent="0.25">
      <c r="A1354" s="19">
        <v>46251</v>
      </c>
      <c r="B1354" s="11" t="s">
        <v>180</v>
      </c>
      <c r="C1354" s="12" t="s">
        <v>523</v>
      </c>
      <c r="D1354" s="11" t="s">
        <v>146</v>
      </c>
      <c r="E1354" s="12" t="s">
        <v>147</v>
      </c>
      <c r="F1354" s="12" t="s">
        <v>106</v>
      </c>
      <c r="G1354" s="12">
        <v>19</v>
      </c>
      <c r="H1354" s="13">
        <v>0.26447916666666665</v>
      </c>
      <c r="I1354" s="13">
        <v>9.9837962962962962E-2</v>
      </c>
      <c r="J1354" s="13">
        <v>5.2546296296296299E-3</v>
      </c>
      <c r="K1354" s="13">
        <v>3.8449074074074073E-2</v>
      </c>
      <c r="L1354" s="14">
        <v>0.14537656995317491</v>
      </c>
      <c r="M1354" s="12" t="s">
        <v>334</v>
      </c>
      <c r="N1354" s="13">
        <v>5.6249999999999998E-3</v>
      </c>
      <c r="O1354" s="13">
        <v>1.3935185185185186E-2</v>
      </c>
      <c r="P1354" s="13"/>
      <c r="Q1354" s="13">
        <v>4.7222222222222223E-3</v>
      </c>
      <c r="R1354" s="13"/>
      <c r="S1354" s="13">
        <v>1.3923611111111111E-2</v>
      </c>
      <c r="T1354" s="13">
        <v>1.7361111111111112E-4</v>
      </c>
      <c r="U1354" s="13">
        <v>5.7870370370370373E-5</v>
      </c>
      <c r="V1354" s="13"/>
      <c r="W1354" s="13"/>
    </row>
    <row r="1355" spans="1:23" ht="15" customHeight="1" x14ac:dyDescent="0.25">
      <c r="A1355" s="19">
        <v>46251</v>
      </c>
      <c r="B1355" s="11" t="s">
        <v>615</v>
      </c>
      <c r="C1355" s="12" t="s">
        <v>636</v>
      </c>
      <c r="D1355" s="11" t="s">
        <v>601</v>
      </c>
      <c r="E1355" s="12" t="s">
        <v>105</v>
      </c>
      <c r="F1355" s="12" t="s">
        <v>33</v>
      </c>
      <c r="G1355" s="12">
        <v>11</v>
      </c>
      <c r="H1355" s="13">
        <v>0.25343749999999998</v>
      </c>
      <c r="I1355" s="13">
        <v>0.15194444444444444</v>
      </c>
      <c r="J1355" s="13">
        <v>1.3813131313131312E-2</v>
      </c>
      <c r="K1355" s="13">
        <v>0.18644675925925927</v>
      </c>
      <c r="L1355" s="14">
        <v>0.73567155318080113</v>
      </c>
      <c r="M1355" s="12" t="s">
        <v>334</v>
      </c>
      <c r="N1355" s="13"/>
      <c r="O1355" s="13">
        <v>1.4236111111111111E-2</v>
      </c>
      <c r="P1355" s="13"/>
      <c r="Q1355" s="13"/>
      <c r="R1355" s="13"/>
      <c r="S1355" s="13">
        <v>1.4131944444444445E-2</v>
      </c>
      <c r="T1355" s="13">
        <v>6.3657407407407413E-4</v>
      </c>
      <c r="U1355" s="13">
        <v>0.15711805555555555</v>
      </c>
      <c r="V1355" s="13"/>
      <c r="W1355" s="13">
        <v>3.2407407407407406E-4</v>
      </c>
    </row>
    <row r="1356" spans="1:23" ht="15" customHeight="1" x14ac:dyDescent="0.25">
      <c r="A1356" s="19">
        <v>46251</v>
      </c>
      <c r="B1356" s="11" t="s">
        <v>616</v>
      </c>
      <c r="C1356" s="12" t="s">
        <v>637</v>
      </c>
      <c r="D1356" s="11" t="s">
        <v>601</v>
      </c>
      <c r="E1356" s="12" t="s">
        <v>105</v>
      </c>
      <c r="F1356" s="12" t="s">
        <v>33</v>
      </c>
      <c r="G1356" s="12">
        <v>7</v>
      </c>
      <c r="H1356" s="13">
        <v>0.21513888888888888</v>
      </c>
      <c r="I1356" s="13">
        <v>8.4224537037037042E-2</v>
      </c>
      <c r="J1356" s="13">
        <v>1.203207671957672E-2</v>
      </c>
      <c r="K1356" s="13">
        <v>0.17310185185185184</v>
      </c>
      <c r="L1356" s="14">
        <v>0.80460512158381747</v>
      </c>
      <c r="M1356" s="12" t="s">
        <v>334</v>
      </c>
      <c r="N1356" s="13"/>
      <c r="O1356" s="13">
        <v>1.4375000000000001E-2</v>
      </c>
      <c r="P1356" s="13"/>
      <c r="Q1356" s="13"/>
      <c r="R1356" s="13"/>
      <c r="S1356" s="13">
        <v>1.3912037037037037E-2</v>
      </c>
      <c r="T1356" s="13">
        <v>1.261574074074074E-3</v>
      </c>
      <c r="U1356" s="13">
        <v>0.14355324074074075</v>
      </c>
      <c r="V1356" s="13"/>
      <c r="W1356" s="13"/>
    </row>
    <row r="1357" spans="1:23" ht="15" customHeight="1" x14ac:dyDescent="0.25">
      <c r="A1357" s="19">
        <v>46251</v>
      </c>
      <c r="B1357" s="11" t="s">
        <v>209</v>
      </c>
      <c r="C1357" s="12" t="s">
        <v>567</v>
      </c>
      <c r="D1357" s="11" t="s">
        <v>601</v>
      </c>
      <c r="E1357" s="12" t="s">
        <v>105</v>
      </c>
      <c r="F1357" s="12" t="s">
        <v>33</v>
      </c>
      <c r="G1357" s="12">
        <v>6</v>
      </c>
      <c r="H1357" s="13">
        <v>0.24422453703703703</v>
      </c>
      <c r="I1357" s="13">
        <v>8.6296296296296301E-2</v>
      </c>
      <c r="J1357" s="13">
        <v>1.4382716049382717E-2</v>
      </c>
      <c r="K1357" s="13">
        <v>0.1633449074074074</v>
      </c>
      <c r="L1357" s="14">
        <v>0.66883086109663048</v>
      </c>
      <c r="M1357" s="12" t="s">
        <v>334</v>
      </c>
      <c r="N1357" s="13">
        <v>3.5763888888888889E-3</v>
      </c>
      <c r="O1357" s="13">
        <v>6.8402777777777776E-3</v>
      </c>
      <c r="P1357" s="13"/>
      <c r="Q1357" s="13"/>
      <c r="R1357" s="13"/>
      <c r="S1357" s="13">
        <v>1.3368055555555555E-2</v>
      </c>
      <c r="T1357" s="13">
        <v>1.1805555555555556E-3</v>
      </c>
      <c r="U1357" s="13">
        <v>0.13837962962962963</v>
      </c>
      <c r="V1357" s="13"/>
      <c r="W1357" s="13"/>
    </row>
    <row r="1358" spans="1:23" ht="15" customHeight="1" x14ac:dyDescent="0.25">
      <c r="A1358" s="19">
        <v>46251</v>
      </c>
      <c r="B1358" s="11" t="s">
        <v>60</v>
      </c>
      <c r="C1358" s="12" t="s">
        <v>510</v>
      </c>
      <c r="D1358" s="11" t="s">
        <v>100</v>
      </c>
      <c r="E1358" s="12" t="s">
        <v>32</v>
      </c>
      <c r="F1358" s="12" t="s">
        <v>33</v>
      </c>
      <c r="G1358" s="12">
        <v>44</v>
      </c>
      <c r="H1358" s="13">
        <v>0.26405092592592594</v>
      </c>
      <c r="I1358" s="13">
        <v>0.18652777777777776</v>
      </c>
      <c r="J1358" s="13">
        <v>4.2392676767676763E-3</v>
      </c>
      <c r="K1358" s="13">
        <v>3.3240740740740737E-2</v>
      </c>
      <c r="L1358" s="14">
        <v>0.12588761286929076</v>
      </c>
      <c r="M1358" s="12" t="s">
        <v>334</v>
      </c>
      <c r="N1358" s="13">
        <v>2.7777777777777779E-3</v>
      </c>
      <c r="O1358" s="13">
        <v>1.4166666666666666E-2</v>
      </c>
      <c r="P1358" s="13"/>
      <c r="Q1358" s="13"/>
      <c r="R1358" s="13"/>
      <c r="S1358" s="13">
        <v>1.3761574074074074E-2</v>
      </c>
      <c r="T1358" s="13">
        <v>1.273148148148148E-4</v>
      </c>
      <c r="U1358" s="13">
        <v>2.3032407407407407E-3</v>
      </c>
      <c r="V1358" s="13"/>
      <c r="W1358" s="13"/>
    </row>
    <row r="1359" spans="1:23" ht="15" customHeight="1" x14ac:dyDescent="0.25">
      <c r="A1359" s="19">
        <v>46251</v>
      </c>
      <c r="B1359" s="11" t="s">
        <v>132</v>
      </c>
      <c r="C1359" s="12" t="s">
        <v>512</v>
      </c>
      <c r="D1359" s="11" t="s">
        <v>104</v>
      </c>
      <c r="E1359" s="12" t="s">
        <v>105</v>
      </c>
      <c r="F1359" s="12" t="s">
        <v>106</v>
      </c>
      <c r="G1359" s="12">
        <v>13</v>
      </c>
      <c r="H1359" s="13">
        <v>0.26076388888888891</v>
      </c>
      <c r="I1359" s="13">
        <v>0.21641203703703704</v>
      </c>
      <c r="J1359" s="13">
        <v>1.6647079772079774E-2</v>
      </c>
      <c r="K1359" s="13">
        <v>0.14491898148148147</v>
      </c>
      <c r="L1359" s="14">
        <v>0.55574789169995553</v>
      </c>
      <c r="M1359" s="12" t="s">
        <v>334</v>
      </c>
      <c r="N1359" s="13">
        <v>5.347222222222222E-3</v>
      </c>
      <c r="O1359" s="13">
        <v>1.6250000000000001E-2</v>
      </c>
      <c r="P1359" s="13"/>
      <c r="Q1359" s="13"/>
      <c r="R1359" s="13"/>
      <c r="S1359" s="13">
        <v>1.5439814814814814E-2</v>
      </c>
      <c r="T1359" s="13">
        <v>1.2430555555555556E-2</v>
      </c>
      <c r="U1359" s="13">
        <v>5.4398148148148149E-3</v>
      </c>
      <c r="V1359" s="13"/>
      <c r="W1359" s="13">
        <v>9.0011574074074077E-2</v>
      </c>
    </row>
    <row r="1360" spans="1:23" ht="15" customHeight="1" x14ac:dyDescent="0.25">
      <c r="A1360" s="19">
        <v>46251</v>
      </c>
      <c r="B1360" s="11" t="s">
        <v>134</v>
      </c>
      <c r="C1360" s="12" t="s">
        <v>560</v>
      </c>
      <c r="D1360" s="11" t="s">
        <v>104</v>
      </c>
      <c r="E1360" s="12" t="s">
        <v>105</v>
      </c>
      <c r="F1360" s="12" t="s">
        <v>106</v>
      </c>
      <c r="G1360" s="12">
        <v>22</v>
      </c>
      <c r="H1360" s="13">
        <v>0.25700231481481484</v>
      </c>
      <c r="I1360" s="13">
        <v>0.15737268518518518</v>
      </c>
      <c r="J1360" s="13">
        <v>7.1533038720538724E-3</v>
      </c>
      <c r="K1360" s="13">
        <v>0.12718750000000001</v>
      </c>
      <c r="L1360" s="14">
        <v>0.49488853861742849</v>
      </c>
      <c r="M1360" s="12" t="s">
        <v>334</v>
      </c>
      <c r="N1360" s="13">
        <v>1.150462962962963E-2</v>
      </c>
      <c r="O1360" s="13">
        <v>1.2442129629629629E-2</v>
      </c>
      <c r="P1360" s="13">
        <v>5.9027777777777778E-4</v>
      </c>
      <c r="Q1360" s="13"/>
      <c r="R1360" s="13"/>
      <c r="S1360" s="13">
        <v>1.3148148148148148E-2</v>
      </c>
      <c r="T1360" s="13">
        <v>4.0509259259259258E-4</v>
      </c>
      <c r="U1360" s="13">
        <v>1.6319444444444445E-3</v>
      </c>
      <c r="V1360" s="13"/>
      <c r="W1360" s="13">
        <v>8.7418981481481486E-2</v>
      </c>
    </row>
    <row r="1361" spans="1:23" ht="15" customHeight="1" x14ac:dyDescent="0.25">
      <c r="A1361" s="19">
        <v>46251</v>
      </c>
      <c r="B1361" s="11" t="s">
        <v>211</v>
      </c>
      <c r="C1361" s="12" t="s">
        <v>546</v>
      </c>
      <c r="D1361" s="11" t="s">
        <v>104</v>
      </c>
      <c r="E1361" s="12" t="s">
        <v>105</v>
      </c>
      <c r="F1361" s="12" t="s">
        <v>106</v>
      </c>
      <c r="G1361" s="12">
        <v>5</v>
      </c>
      <c r="H1361" s="13">
        <v>0.19862268518518519</v>
      </c>
      <c r="I1361" s="13">
        <v>0.12745370370370371</v>
      </c>
      <c r="J1361" s="13">
        <v>2.5490740740740741E-2</v>
      </c>
      <c r="K1361" s="13">
        <v>9.5914351851851848E-2</v>
      </c>
      <c r="L1361" s="14">
        <v>0.48289726705902913</v>
      </c>
      <c r="M1361" s="12" t="s">
        <v>334</v>
      </c>
      <c r="N1361" s="13"/>
      <c r="O1361" s="13">
        <v>9.3865740740740732E-3</v>
      </c>
      <c r="P1361" s="13"/>
      <c r="Q1361" s="13"/>
      <c r="R1361" s="13"/>
      <c r="S1361" s="13">
        <v>1.3888888888888888E-2</v>
      </c>
      <c r="T1361" s="13">
        <v>4.0509259259259258E-4</v>
      </c>
      <c r="U1361" s="13">
        <v>6.8287037037037036E-4</v>
      </c>
      <c r="V1361" s="13"/>
      <c r="W1361" s="13">
        <v>7.1550925925925921E-2</v>
      </c>
    </row>
    <row r="1362" spans="1:23" ht="15" customHeight="1" x14ac:dyDescent="0.25">
      <c r="A1362" s="19">
        <v>46251</v>
      </c>
      <c r="B1362" s="11" t="s">
        <v>617</v>
      </c>
      <c r="C1362" s="12" t="s">
        <v>638</v>
      </c>
      <c r="D1362" s="11" t="s">
        <v>601</v>
      </c>
      <c r="E1362" s="12" t="s">
        <v>105</v>
      </c>
      <c r="F1362" s="12" t="s">
        <v>33</v>
      </c>
      <c r="G1362" s="12">
        <v>6</v>
      </c>
      <c r="H1362" s="13">
        <v>0.20732638888888888</v>
      </c>
      <c r="I1362" s="13">
        <v>0.10039351851851852</v>
      </c>
      <c r="J1362" s="13">
        <v>1.6732253086419752E-2</v>
      </c>
      <c r="K1362" s="13">
        <v>0.16583333333333333</v>
      </c>
      <c r="L1362" s="14">
        <v>0.79986601909227939</v>
      </c>
      <c r="M1362" s="12" t="s">
        <v>334</v>
      </c>
      <c r="N1362" s="13">
        <v>1.136574074074074E-2</v>
      </c>
      <c r="O1362" s="13">
        <v>1.5625E-2</v>
      </c>
      <c r="P1362" s="13"/>
      <c r="Q1362" s="13">
        <v>3.3020833333333333E-2</v>
      </c>
      <c r="R1362" s="13"/>
      <c r="S1362" s="13">
        <v>4.0972222222222226E-3</v>
      </c>
      <c r="T1362" s="13">
        <v>9.2245370370370363E-3</v>
      </c>
      <c r="U1362" s="13">
        <v>9.2499999999999999E-2</v>
      </c>
      <c r="V1362" s="13"/>
      <c r="W1362" s="13"/>
    </row>
    <row r="1363" spans="1:23" ht="15" customHeight="1" x14ac:dyDescent="0.25">
      <c r="A1363" s="19">
        <v>46251</v>
      </c>
      <c r="B1363" s="11" t="s">
        <v>136</v>
      </c>
      <c r="C1363" s="12" t="s">
        <v>561</v>
      </c>
      <c r="D1363" s="11" t="s">
        <v>104</v>
      </c>
      <c r="E1363" s="12" t="s">
        <v>105</v>
      </c>
      <c r="F1363" s="12" t="s">
        <v>106</v>
      </c>
      <c r="G1363" s="12">
        <v>11</v>
      </c>
      <c r="H1363" s="13">
        <v>0.26689814814814816</v>
      </c>
      <c r="I1363" s="13">
        <v>0.24195601851851853</v>
      </c>
      <c r="J1363" s="13">
        <v>2.1996001683501683E-2</v>
      </c>
      <c r="K1363" s="13">
        <v>0.15583333333333332</v>
      </c>
      <c r="L1363" s="14">
        <v>0.58386816999132696</v>
      </c>
      <c r="M1363" s="12" t="s">
        <v>334</v>
      </c>
      <c r="N1363" s="13">
        <v>3.449074074074074E-3</v>
      </c>
      <c r="O1363" s="13">
        <v>2.7280092592592592E-2</v>
      </c>
      <c r="P1363" s="13"/>
      <c r="Q1363" s="13"/>
      <c r="R1363" s="13"/>
      <c r="S1363" s="13">
        <v>1.4618055555555556E-2</v>
      </c>
      <c r="T1363" s="13">
        <v>1.9421296296296298E-2</v>
      </c>
      <c r="U1363" s="13">
        <v>1.3078703703703703E-3</v>
      </c>
      <c r="V1363" s="13"/>
      <c r="W1363" s="13">
        <v>8.9756944444444445E-2</v>
      </c>
    </row>
    <row r="1364" spans="1:23" ht="15" customHeight="1" x14ac:dyDescent="0.25">
      <c r="A1364" s="19">
        <v>46251</v>
      </c>
      <c r="B1364" s="11" t="s">
        <v>618</v>
      </c>
      <c r="C1364" s="12" t="s">
        <v>639</v>
      </c>
      <c r="D1364" s="11" t="s">
        <v>601</v>
      </c>
      <c r="E1364" s="12" t="s">
        <v>105</v>
      </c>
      <c r="F1364" s="12" t="s">
        <v>33</v>
      </c>
      <c r="G1364" s="12">
        <v>7</v>
      </c>
      <c r="H1364" s="13">
        <v>0.22547453703703704</v>
      </c>
      <c r="I1364" s="13">
        <v>8.5625000000000007E-2</v>
      </c>
      <c r="J1364" s="13">
        <v>1.2232142857142858E-2</v>
      </c>
      <c r="K1364" s="13">
        <v>0.16337962962962962</v>
      </c>
      <c r="L1364" s="14">
        <v>0.72460345978132534</v>
      </c>
      <c r="M1364" s="12" t="s">
        <v>334</v>
      </c>
      <c r="N1364" s="13">
        <v>5.6249999999999998E-3</v>
      </c>
      <c r="O1364" s="13">
        <v>1.576388888888889E-2</v>
      </c>
      <c r="P1364" s="13"/>
      <c r="Q1364" s="13"/>
      <c r="R1364" s="13"/>
      <c r="S1364" s="13">
        <v>1.3645833333333333E-2</v>
      </c>
      <c r="T1364" s="13">
        <v>5.1967592592592595E-3</v>
      </c>
      <c r="U1364" s="13">
        <v>0.12314814814814815</v>
      </c>
      <c r="V1364" s="13"/>
      <c r="W1364" s="13"/>
    </row>
    <row r="1365" spans="1:23" ht="15" customHeight="1" x14ac:dyDescent="0.25">
      <c r="A1365" s="19">
        <v>46251</v>
      </c>
      <c r="B1365" s="11" t="s">
        <v>501</v>
      </c>
      <c r="C1365" s="12" t="s">
        <v>524</v>
      </c>
      <c r="D1365" s="11" t="s">
        <v>274</v>
      </c>
      <c r="E1365" s="12" t="s">
        <v>147</v>
      </c>
      <c r="F1365" s="12" t="s">
        <v>33</v>
      </c>
      <c r="G1365" s="12">
        <v>22</v>
      </c>
      <c r="H1365" s="13">
        <v>0.26465277777777779</v>
      </c>
      <c r="I1365" s="13">
        <v>8.1250000000000003E-2</v>
      </c>
      <c r="J1365" s="13">
        <v>3.6931818181818181E-3</v>
      </c>
      <c r="K1365" s="13">
        <v>4.2777777777777776E-2</v>
      </c>
      <c r="L1365" s="14">
        <v>0.16163736552086064</v>
      </c>
      <c r="M1365" s="12" t="s">
        <v>334</v>
      </c>
      <c r="N1365" s="13">
        <v>7.3032407407407404E-3</v>
      </c>
      <c r="O1365" s="13">
        <v>1.3900462962962963E-2</v>
      </c>
      <c r="P1365" s="13"/>
      <c r="Q1365" s="13">
        <v>5.6944444444444447E-3</v>
      </c>
      <c r="R1365" s="13"/>
      <c r="S1365" s="13">
        <v>1.5231481481481481E-2</v>
      </c>
      <c r="T1365" s="13">
        <v>6.4814814814814813E-4</v>
      </c>
      <c r="U1365" s="13"/>
      <c r="V1365" s="13"/>
      <c r="W1365" s="13"/>
    </row>
    <row r="1366" spans="1:23" ht="15" customHeight="1" x14ac:dyDescent="0.25">
      <c r="A1366" s="19">
        <v>46251</v>
      </c>
      <c r="B1366" s="11" t="s">
        <v>213</v>
      </c>
      <c r="C1366" s="12" t="s">
        <v>572</v>
      </c>
      <c r="D1366" s="11" t="s">
        <v>601</v>
      </c>
      <c r="E1366" s="12" t="s">
        <v>105</v>
      </c>
      <c r="F1366" s="12" t="s">
        <v>33</v>
      </c>
      <c r="G1366" s="12">
        <v>6</v>
      </c>
      <c r="H1366" s="13">
        <v>0.23127314814814814</v>
      </c>
      <c r="I1366" s="13">
        <v>0.12200231481481481</v>
      </c>
      <c r="J1366" s="13">
        <v>2.033371913580247E-2</v>
      </c>
      <c r="K1366" s="13">
        <v>0.18539351851851851</v>
      </c>
      <c r="L1366" s="14">
        <v>0.80162145931338202</v>
      </c>
      <c r="M1366" s="12" t="s">
        <v>334</v>
      </c>
      <c r="N1366" s="13">
        <v>4.3287037037037035E-3</v>
      </c>
      <c r="O1366" s="13">
        <v>6.8402777777777776E-3</v>
      </c>
      <c r="P1366" s="13"/>
      <c r="Q1366" s="13"/>
      <c r="R1366" s="13"/>
      <c r="S1366" s="13">
        <v>1.3252314814814814E-2</v>
      </c>
      <c r="T1366" s="13">
        <v>9.9305555555555553E-3</v>
      </c>
      <c r="U1366" s="13">
        <v>0.15104166666666666</v>
      </c>
      <c r="V1366" s="13"/>
      <c r="W1366" s="13"/>
    </row>
    <row r="1367" spans="1:23" ht="15" customHeight="1" x14ac:dyDescent="0.25">
      <c r="A1367" s="19">
        <v>46251</v>
      </c>
      <c r="B1367" s="11" t="s">
        <v>668</v>
      </c>
      <c r="C1367" s="12" t="s">
        <v>669</v>
      </c>
      <c r="D1367" s="11" t="s">
        <v>233</v>
      </c>
      <c r="E1367" s="12" t="s">
        <v>32</v>
      </c>
      <c r="F1367" s="12" t="s">
        <v>106</v>
      </c>
      <c r="G1367" s="12">
        <v>46</v>
      </c>
      <c r="H1367" s="13">
        <v>0.26314814814814813</v>
      </c>
      <c r="I1367" s="13">
        <v>0.14076388888888888</v>
      </c>
      <c r="J1367" s="13">
        <v>3.060084541062802E-3</v>
      </c>
      <c r="K1367" s="13">
        <v>6.4537037037037032E-2</v>
      </c>
      <c r="L1367" s="14">
        <v>0.24524982406755805</v>
      </c>
      <c r="M1367" s="12" t="s">
        <v>334</v>
      </c>
      <c r="N1367" s="13">
        <v>9.9305555555555553E-3</v>
      </c>
      <c r="O1367" s="13">
        <v>1.5555555555555555E-2</v>
      </c>
      <c r="P1367" s="13"/>
      <c r="Q1367" s="13">
        <v>6.3078703703703708E-3</v>
      </c>
      <c r="R1367" s="13"/>
      <c r="S1367" s="13">
        <v>1.2442129629629629E-2</v>
      </c>
      <c r="T1367" s="13">
        <v>1.4733796296296297E-2</v>
      </c>
      <c r="U1367" s="13">
        <v>5.3125000000000004E-3</v>
      </c>
      <c r="V1367" s="13"/>
      <c r="W1367" s="13">
        <v>2.5462962962962961E-4</v>
      </c>
    </row>
    <row r="1368" spans="1:23" ht="15" customHeight="1" x14ac:dyDescent="0.25">
      <c r="A1368" s="19">
        <v>46251</v>
      </c>
      <c r="B1368" s="11" t="s">
        <v>305</v>
      </c>
      <c r="C1368" s="12" t="s">
        <v>306</v>
      </c>
      <c r="D1368" s="11" t="s">
        <v>100</v>
      </c>
      <c r="E1368" s="12" t="s">
        <v>32</v>
      </c>
      <c r="F1368" s="12" t="s">
        <v>33</v>
      </c>
      <c r="G1368" s="12">
        <v>36</v>
      </c>
      <c r="H1368" s="13">
        <v>0.26178240740740738</v>
      </c>
      <c r="I1368" s="13">
        <v>0.20211805555555556</v>
      </c>
      <c r="J1368" s="13">
        <v>5.614390432098766E-3</v>
      </c>
      <c r="K1368" s="13">
        <v>5.2037037037037034E-2</v>
      </c>
      <c r="L1368" s="14">
        <v>0.19877973295605272</v>
      </c>
      <c r="M1368" s="12" t="s">
        <v>334</v>
      </c>
      <c r="N1368" s="13">
        <v>1.667824074074074E-2</v>
      </c>
      <c r="O1368" s="13">
        <v>1.8368055555555554E-2</v>
      </c>
      <c r="P1368" s="13"/>
      <c r="Q1368" s="13"/>
      <c r="R1368" s="13"/>
      <c r="S1368" s="13">
        <v>1.6562500000000001E-2</v>
      </c>
      <c r="T1368" s="13">
        <v>1.273148148148148E-4</v>
      </c>
      <c r="U1368" s="13"/>
      <c r="V1368" s="13"/>
      <c r="W1368" s="13">
        <v>3.0092592592592595E-4</v>
      </c>
    </row>
    <row r="1369" spans="1:23" ht="15" customHeight="1" x14ac:dyDescent="0.25">
      <c r="A1369" s="19">
        <v>46251</v>
      </c>
      <c r="B1369" s="11" t="s">
        <v>620</v>
      </c>
      <c r="C1369" s="12" t="s">
        <v>641</v>
      </c>
      <c r="D1369" s="11" t="s">
        <v>601</v>
      </c>
      <c r="E1369" s="12" t="s">
        <v>105</v>
      </c>
      <c r="F1369" s="12" t="s">
        <v>33</v>
      </c>
      <c r="G1369" s="12">
        <v>9</v>
      </c>
      <c r="H1369" s="13">
        <v>0.24832175925925926</v>
      </c>
      <c r="I1369" s="13">
        <v>0.12445601851851852</v>
      </c>
      <c r="J1369" s="13">
        <v>1.3828446502057614E-2</v>
      </c>
      <c r="K1369" s="13">
        <v>0.17280092592592591</v>
      </c>
      <c r="L1369" s="14">
        <v>0.69587508739221626</v>
      </c>
      <c r="M1369" s="12" t="s">
        <v>334</v>
      </c>
      <c r="N1369" s="13">
        <v>1.1261574074074075E-2</v>
      </c>
      <c r="O1369" s="13">
        <v>1.4236111111111111E-2</v>
      </c>
      <c r="P1369" s="13"/>
      <c r="Q1369" s="13"/>
      <c r="R1369" s="13"/>
      <c r="S1369" s="13">
        <v>1.3472222222222222E-2</v>
      </c>
      <c r="T1369" s="13">
        <v>2.3067129629629628E-2</v>
      </c>
      <c r="U1369" s="13">
        <v>0.11076388888888888</v>
      </c>
      <c r="V1369" s="13"/>
      <c r="W1369" s="13"/>
    </row>
    <row r="1370" spans="1:23" ht="15" customHeight="1" x14ac:dyDescent="0.25">
      <c r="A1370" s="19">
        <v>46251</v>
      </c>
      <c r="B1370" s="11" t="s">
        <v>138</v>
      </c>
      <c r="C1370" s="12" t="s">
        <v>556</v>
      </c>
      <c r="D1370" s="11" t="s">
        <v>104</v>
      </c>
      <c r="E1370" s="12" t="s">
        <v>105</v>
      </c>
      <c r="F1370" s="12" t="s">
        <v>106</v>
      </c>
      <c r="G1370" s="12">
        <v>22</v>
      </c>
      <c r="H1370" s="13">
        <v>0.2525115740740741</v>
      </c>
      <c r="I1370" s="13">
        <v>0.20429398148148148</v>
      </c>
      <c r="J1370" s="13">
        <v>9.2860900673400679E-3</v>
      </c>
      <c r="K1370" s="13">
        <v>0.12855324074074073</v>
      </c>
      <c r="L1370" s="14">
        <v>0.50909840949718099</v>
      </c>
      <c r="M1370" s="12" t="s">
        <v>334</v>
      </c>
      <c r="N1370" s="13">
        <v>6.5856481481481478E-3</v>
      </c>
      <c r="O1370" s="13">
        <v>3.2615740740740744E-2</v>
      </c>
      <c r="P1370" s="13"/>
      <c r="Q1370" s="13"/>
      <c r="R1370" s="13"/>
      <c r="S1370" s="13">
        <v>2.3599537037037037E-2</v>
      </c>
      <c r="T1370" s="13">
        <v>3.5069444444444445E-3</v>
      </c>
      <c r="U1370" s="13">
        <v>1.1574074074074073E-3</v>
      </c>
      <c r="V1370" s="13"/>
      <c r="W1370" s="13">
        <v>6.1064814814814815E-2</v>
      </c>
    </row>
    <row r="1371" spans="1:23" ht="15" customHeight="1" x14ac:dyDescent="0.25">
      <c r="A1371" s="19">
        <v>46251</v>
      </c>
      <c r="B1371" s="11" t="s">
        <v>276</v>
      </c>
      <c r="C1371" s="12" t="s">
        <v>532</v>
      </c>
      <c r="D1371" s="11" t="s">
        <v>233</v>
      </c>
      <c r="E1371" s="12" t="s">
        <v>32</v>
      </c>
      <c r="F1371" s="12" t="s">
        <v>106</v>
      </c>
      <c r="G1371" s="12">
        <v>44</v>
      </c>
      <c r="H1371" s="13">
        <v>0.30274305555555553</v>
      </c>
      <c r="I1371" s="13">
        <v>0.1295138888888889</v>
      </c>
      <c r="J1371" s="13">
        <v>2.9434974747474751E-3</v>
      </c>
      <c r="K1371" s="13">
        <v>5.8819444444444445E-2</v>
      </c>
      <c r="L1371" s="14">
        <v>0.1942883358183278</v>
      </c>
      <c r="M1371" s="12" t="s">
        <v>334</v>
      </c>
      <c r="N1371" s="13">
        <v>1.7280092592592593E-2</v>
      </c>
      <c r="O1371" s="13">
        <v>1.0868055555555556E-2</v>
      </c>
      <c r="P1371" s="13"/>
      <c r="Q1371" s="13"/>
      <c r="R1371" s="13"/>
      <c r="S1371" s="13">
        <v>1.3402777777777777E-2</v>
      </c>
      <c r="T1371" s="13">
        <v>1.7164351851851851E-2</v>
      </c>
      <c r="U1371" s="13">
        <v>1.0416666666666667E-4</v>
      </c>
      <c r="V1371" s="13"/>
      <c r="W1371" s="13"/>
    </row>
    <row r="1372" spans="1:23" ht="15" customHeight="1" x14ac:dyDescent="0.25">
      <c r="A1372" s="19">
        <v>46251</v>
      </c>
      <c r="B1372" s="11" t="s">
        <v>278</v>
      </c>
      <c r="C1372" s="12" t="s">
        <v>533</v>
      </c>
      <c r="D1372" s="11" t="s">
        <v>233</v>
      </c>
      <c r="E1372" s="12" t="s">
        <v>32</v>
      </c>
      <c r="F1372" s="12" t="s">
        <v>106</v>
      </c>
      <c r="G1372" s="12">
        <v>29</v>
      </c>
      <c r="H1372" s="13">
        <v>0.26603009259259258</v>
      </c>
      <c r="I1372" s="13">
        <v>0.15189814814814814</v>
      </c>
      <c r="J1372" s="13">
        <v>5.2378671775223495E-3</v>
      </c>
      <c r="K1372" s="13">
        <v>4.3287037037037034E-2</v>
      </c>
      <c r="L1372" s="14">
        <v>0.1627148140091364</v>
      </c>
      <c r="M1372" s="12" t="s">
        <v>334</v>
      </c>
      <c r="N1372" s="13">
        <v>6.2152777777777779E-3</v>
      </c>
      <c r="O1372" s="13">
        <v>1.4097222222222223E-2</v>
      </c>
      <c r="P1372" s="13"/>
      <c r="Q1372" s="13">
        <v>5.7638888888888887E-3</v>
      </c>
      <c r="R1372" s="13"/>
      <c r="S1372" s="13">
        <v>1.4606481481481481E-2</v>
      </c>
      <c r="T1372" s="13">
        <v>2.6041666666666665E-3</v>
      </c>
      <c r="U1372" s="13"/>
      <c r="V1372" s="13"/>
      <c r="W1372" s="13"/>
    </row>
    <row r="1373" spans="1:23" ht="15" customHeight="1" x14ac:dyDescent="0.25">
      <c r="A1373" s="19">
        <v>46251</v>
      </c>
      <c r="B1373" s="11" t="s">
        <v>313</v>
      </c>
      <c r="C1373" s="12" t="s">
        <v>511</v>
      </c>
      <c r="D1373" s="11" t="s">
        <v>78</v>
      </c>
      <c r="E1373" s="12" t="s">
        <v>80</v>
      </c>
      <c r="F1373" s="12" t="s">
        <v>81</v>
      </c>
      <c r="G1373" s="12">
        <v>0</v>
      </c>
      <c r="H1373" s="13">
        <v>0.2585648148148148</v>
      </c>
      <c r="I1373" s="13">
        <v>0</v>
      </c>
      <c r="J1373" s="13">
        <v>0</v>
      </c>
      <c r="K1373" s="13">
        <v>4.0821759259259259E-2</v>
      </c>
      <c r="L1373" s="14">
        <v>0.15787824529991049</v>
      </c>
      <c r="M1373" s="12" t="s">
        <v>334</v>
      </c>
      <c r="N1373" s="13">
        <v>9.780092592592592E-3</v>
      </c>
      <c r="O1373" s="13">
        <v>1.4884259259259259E-2</v>
      </c>
      <c r="P1373" s="13"/>
      <c r="Q1373" s="13"/>
      <c r="R1373" s="13"/>
      <c r="S1373" s="13">
        <v>1.5914351851851853E-2</v>
      </c>
      <c r="T1373" s="13">
        <v>6.9444444444444444E-5</v>
      </c>
      <c r="U1373" s="13">
        <v>1.6203703703703703E-4</v>
      </c>
      <c r="V1373" s="13"/>
      <c r="W1373" s="13"/>
    </row>
    <row r="1374" spans="1:23" ht="15" customHeight="1" x14ac:dyDescent="0.25">
      <c r="A1374" s="19">
        <v>46251</v>
      </c>
      <c r="B1374" s="11" t="s">
        <v>673</v>
      </c>
      <c r="C1374" s="12" t="s">
        <v>674</v>
      </c>
      <c r="D1374" s="11" t="s">
        <v>104</v>
      </c>
      <c r="E1374" s="12" t="s">
        <v>105</v>
      </c>
      <c r="F1374" s="12" t="s">
        <v>106</v>
      </c>
      <c r="G1374" s="12">
        <v>15</v>
      </c>
      <c r="H1374" s="13">
        <v>0.26390046296296299</v>
      </c>
      <c r="I1374" s="13">
        <v>0.28099537037037037</v>
      </c>
      <c r="J1374" s="13">
        <v>1.8733024691358024E-2</v>
      </c>
      <c r="K1374" s="13">
        <v>0.12920138888888888</v>
      </c>
      <c r="L1374" s="14">
        <v>0.48958379018464093</v>
      </c>
      <c r="M1374" s="12" t="s">
        <v>334</v>
      </c>
      <c r="N1374" s="13"/>
      <c r="O1374" s="13">
        <v>1.7488425925925925E-2</v>
      </c>
      <c r="P1374" s="13"/>
      <c r="Q1374" s="13"/>
      <c r="R1374" s="13"/>
      <c r="S1374" s="13">
        <v>1.3819444444444445E-2</v>
      </c>
      <c r="T1374" s="13">
        <v>6.134259259259259E-4</v>
      </c>
      <c r="U1374" s="13">
        <v>8.7962962962962962E-4</v>
      </c>
      <c r="V1374" s="13"/>
      <c r="W1374" s="13">
        <v>9.6400462962962966E-2</v>
      </c>
    </row>
    <row r="1375" spans="1:23" ht="15" customHeight="1" x14ac:dyDescent="0.25">
      <c r="A1375" s="19">
        <v>46251</v>
      </c>
      <c r="B1375" s="11" t="s">
        <v>225</v>
      </c>
      <c r="C1375" s="12" t="s">
        <v>549</v>
      </c>
      <c r="D1375" s="11" t="s">
        <v>601</v>
      </c>
      <c r="E1375" s="12" t="s">
        <v>105</v>
      </c>
      <c r="F1375" s="12" t="s">
        <v>33</v>
      </c>
      <c r="G1375" s="12">
        <v>10</v>
      </c>
      <c r="H1375" s="13">
        <v>0.2449537037037037</v>
      </c>
      <c r="I1375" s="13">
        <v>6.3888888888888884E-2</v>
      </c>
      <c r="J1375" s="13">
        <v>6.3888888888888884E-3</v>
      </c>
      <c r="K1375" s="13">
        <v>0.15042824074074074</v>
      </c>
      <c r="L1375" s="14">
        <v>0.61410886410886412</v>
      </c>
      <c r="M1375" s="12" t="s">
        <v>334</v>
      </c>
      <c r="N1375" s="13">
        <v>4.9074074074074072E-3</v>
      </c>
      <c r="O1375" s="13">
        <v>1.1689814814814814E-2</v>
      </c>
      <c r="P1375" s="13"/>
      <c r="Q1375" s="13"/>
      <c r="R1375" s="13"/>
      <c r="S1375" s="13">
        <v>1.2453703703703703E-2</v>
      </c>
      <c r="T1375" s="13">
        <v>7.5231481481481482E-4</v>
      </c>
      <c r="U1375" s="13">
        <v>0.12059027777777778</v>
      </c>
      <c r="V1375" s="13"/>
      <c r="W1375" s="13"/>
    </row>
    <row r="1376" spans="1:23" ht="15" customHeight="1" x14ac:dyDescent="0.25">
      <c r="A1376" s="19">
        <v>46251</v>
      </c>
      <c r="B1376" s="11" t="s">
        <v>70</v>
      </c>
      <c r="C1376" s="12" t="s">
        <v>71</v>
      </c>
      <c r="D1376" s="11" t="s">
        <v>78</v>
      </c>
      <c r="E1376" s="12" t="s">
        <v>80</v>
      </c>
      <c r="F1376" s="12" t="s">
        <v>33</v>
      </c>
      <c r="G1376" s="12">
        <v>1</v>
      </c>
      <c r="H1376" s="13">
        <v>0.34225694444444443</v>
      </c>
      <c r="I1376" s="13">
        <v>6.0069444444444441E-3</v>
      </c>
      <c r="J1376" s="13">
        <v>6.0069444444444441E-3</v>
      </c>
      <c r="K1376" s="13">
        <v>0.10289351851851852</v>
      </c>
      <c r="L1376" s="14">
        <v>0.30063237631463258</v>
      </c>
      <c r="M1376" s="12" t="s">
        <v>334</v>
      </c>
      <c r="N1376" s="13"/>
      <c r="O1376" s="13">
        <v>4.1203703703703701E-2</v>
      </c>
      <c r="P1376" s="13"/>
      <c r="Q1376" s="13"/>
      <c r="R1376" s="13">
        <v>2.3472222222222221E-2</v>
      </c>
      <c r="S1376" s="13">
        <v>1.0185185185185186E-2</v>
      </c>
      <c r="T1376" s="13">
        <v>1.5046296296296297E-4</v>
      </c>
      <c r="U1376" s="13">
        <v>6.018518518518519E-4</v>
      </c>
      <c r="V1376" s="13"/>
      <c r="W1376" s="13">
        <v>2.7245370370370371E-2</v>
      </c>
    </row>
    <row r="1377" spans="1:23" ht="15" customHeight="1" x14ac:dyDescent="0.25">
      <c r="A1377" s="19">
        <v>46251</v>
      </c>
      <c r="B1377" s="11" t="s">
        <v>280</v>
      </c>
      <c r="C1377" s="12" t="s">
        <v>534</v>
      </c>
      <c r="D1377" s="11" t="s">
        <v>233</v>
      </c>
      <c r="E1377" s="12" t="s">
        <v>32</v>
      </c>
      <c r="F1377" s="12" t="s">
        <v>106</v>
      </c>
      <c r="G1377" s="12">
        <v>50</v>
      </c>
      <c r="H1377" s="13">
        <v>0.26401620370370371</v>
      </c>
      <c r="I1377" s="13">
        <v>0.13556712962962963</v>
      </c>
      <c r="J1377" s="13">
        <v>2.7113425925925929E-3</v>
      </c>
      <c r="K1377" s="13">
        <v>3.3530092592592591E-2</v>
      </c>
      <c r="L1377" s="14">
        <v>0.12700013151549691</v>
      </c>
      <c r="M1377" s="12" t="s">
        <v>334</v>
      </c>
      <c r="N1377" s="13">
        <v>2.5694444444444445E-3</v>
      </c>
      <c r="O1377" s="13">
        <v>1.5231481481481481E-2</v>
      </c>
      <c r="P1377" s="13"/>
      <c r="Q1377" s="13">
        <v>3.4722222222222222E-5</v>
      </c>
      <c r="R1377" s="13"/>
      <c r="S1377" s="13">
        <v>1.5081018518518518E-2</v>
      </c>
      <c r="T1377" s="13">
        <v>2.3148148148148149E-4</v>
      </c>
      <c r="U1377" s="13"/>
      <c r="V1377" s="13"/>
      <c r="W1377" s="13">
        <v>3.8194444444444446E-4</v>
      </c>
    </row>
    <row r="1378" spans="1:23" ht="15" customHeight="1" x14ac:dyDescent="0.25">
      <c r="A1378" s="19">
        <v>46251</v>
      </c>
      <c r="B1378" s="11" t="s">
        <v>299</v>
      </c>
      <c r="C1378" s="12" t="s">
        <v>571</v>
      </c>
      <c r="D1378" s="11" t="s">
        <v>104</v>
      </c>
      <c r="E1378" s="12" t="s">
        <v>105</v>
      </c>
      <c r="F1378" s="12" t="s">
        <v>106</v>
      </c>
      <c r="G1378" s="12">
        <v>7</v>
      </c>
      <c r="H1378" s="13">
        <v>0.25495370370370368</v>
      </c>
      <c r="I1378" s="13">
        <v>0.17284722222222224</v>
      </c>
      <c r="J1378" s="13">
        <v>2.4692460317460318E-2</v>
      </c>
      <c r="K1378" s="13">
        <v>0.16641203703703702</v>
      </c>
      <c r="L1378" s="14">
        <v>0.65271472671145814</v>
      </c>
      <c r="M1378" s="12" t="s">
        <v>334</v>
      </c>
      <c r="N1378" s="13"/>
      <c r="O1378" s="13">
        <v>1.3715277777777778E-2</v>
      </c>
      <c r="P1378" s="13"/>
      <c r="Q1378" s="13"/>
      <c r="R1378" s="13"/>
      <c r="S1378" s="13">
        <v>1.1782407407407408E-2</v>
      </c>
      <c r="T1378" s="13">
        <v>1.5046296296296297E-4</v>
      </c>
      <c r="U1378" s="13">
        <v>1.4583333333333334E-3</v>
      </c>
      <c r="V1378" s="13"/>
      <c r="W1378" s="13">
        <v>0.13930555555555554</v>
      </c>
    </row>
    <row r="1379" spans="1:23" ht="15" customHeight="1" x14ac:dyDescent="0.25">
      <c r="A1379" s="20">
        <v>46251</v>
      </c>
      <c r="B1379" s="15" t="s">
        <v>598</v>
      </c>
      <c r="C1379" s="16" t="s">
        <v>598</v>
      </c>
      <c r="D1379" s="15" t="s">
        <v>284</v>
      </c>
      <c r="E1379" s="16"/>
      <c r="F1379" s="16"/>
      <c r="G1379" s="16">
        <v>22</v>
      </c>
      <c r="H1379" s="17">
        <v>0</v>
      </c>
      <c r="I1379" s="17">
        <v>2.5462962962962961E-4</v>
      </c>
      <c r="J1379" s="17">
        <v>1.1574074074074073E-5</v>
      </c>
      <c r="K1379" s="17">
        <v>0</v>
      </c>
      <c r="L1379" s="18">
        <v>0</v>
      </c>
      <c r="M1379" s="16" t="s">
        <v>333</v>
      </c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</row>
    <row r="1380" spans="1:23" ht="15" customHeight="1" x14ac:dyDescent="0.25">
      <c r="A1380" s="19">
        <v>46251</v>
      </c>
      <c r="B1380" s="11" t="s">
        <v>227</v>
      </c>
      <c r="C1380" s="12" t="s">
        <v>557</v>
      </c>
      <c r="D1380" s="11" t="s">
        <v>146</v>
      </c>
      <c r="E1380" s="12" t="s">
        <v>147</v>
      </c>
      <c r="F1380" s="12" t="s">
        <v>106</v>
      </c>
      <c r="G1380" s="12">
        <v>17</v>
      </c>
      <c r="H1380" s="13">
        <v>0.25421296296296297</v>
      </c>
      <c r="I1380" s="13">
        <v>6.6678240740740746E-2</v>
      </c>
      <c r="J1380" s="13">
        <v>3.9222494553376912E-3</v>
      </c>
      <c r="K1380" s="13">
        <v>4.3437499999999997E-2</v>
      </c>
      <c r="L1380" s="14">
        <v>0.17087051538881803</v>
      </c>
      <c r="M1380" s="12" t="s">
        <v>334</v>
      </c>
      <c r="N1380" s="13">
        <v>3.7268518518518519E-3</v>
      </c>
      <c r="O1380" s="13">
        <v>1.4074074074074074E-2</v>
      </c>
      <c r="P1380" s="13">
        <v>1.0115740740740741E-2</v>
      </c>
      <c r="Q1380" s="13"/>
      <c r="R1380" s="13">
        <v>1.5740740740740741E-3</v>
      </c>
      <c r="S1380" s="13">
        <v>1.3703703703703704E-2</v>
      </c>
      <c r="T1380" s="13">
        <v>1.8518518518518518E-4</v>
      </c>
      <c r="U1380" s="13">
        <v>5.7870370370370373E-5</v>
      </c>
      <c r="V1380" s="13"/>
      <c r="W1380" s="13"/>
    </row>
    <row r="1381" spans="1:23" ht="15" customHeight="1" x14ac:dyDescent="0.25">
      <c r="A1381" s="19">
        <v>46251</v>
      </c>
      <c r="B1381" s="11" t="s">
        <v>282</v>
      </c>
      <c r="C1381" s="12" t="s">
        <v>535</v>
      </c>
      <c r="D1381" s="11" t="s">
        <v>233</v>
      </c>
      <c r="E1381" s="12" t="s">
        <v>32</v>
      </c>
      <c r="F1381" s="12" t="s">
        <v>106</v>
      </c>
      <c r="G1381" s="12">
        <v>50</v>
      </c>
      <c r="H1381" s="13">
        <v>0.26256944444444447</v>
      </c>
      <c r="I1381" s="13">
        <v>0.12358796296296297</v>
      </c>
      <c r="J1381" s="13">
        <v>2.4717592592592595E-3</v>
      </c>
      <c r="K1381" s="13">
        <v>4.2673611111111114E-2</v>
      </c>
      <c r="L1381" s="14">
        <v>0.16252314202591905</v>
      </c>
      <c r="M1381" s="12" t="s">
        <v>334</v>
      </c>
      <c r="N1381" s="13">
        <v>9.1666666666666667E-3</v>
      </c>
      <c r="O1381" s="13">
        <v>1.5231481481481481E-2</v>
      </c>
      <c r="P1381" s="13"/>
      <c r="Q1381" s="13"/>
      <c r="R1381" s="13"/>
      <c r="S1381" s="13">
        <v>1.545138888888889E-2</v>
      </c>
      <c r="T1381" s="13">
        <v>2.0949074074074073E-3</v>
      </c>
      <c r="U1381" s="13">
        <v>7.291666666666667E-4</v>
      </c>
      <c r="V1381" s="13"/>
      <c r="W1381" s="13"/>
    </row>
    <row r="1382" spans="1:23" ht="15" customHeight="1" x14ac:dyDescent="0.25">
      <c r="A1382" s="19">
        <v>46251</v>
      </c>
      <c r="B1382" s="11" t="s">
        <v>675</v>
      </c>
      <c r="C1382" s="12" t="s">
        <v>676</v>
      </c>
      <c r="D1382" s="11" t="s">
        <v>104</v>
      </c>
      <c r="E1382" s="12" t="s">
        <v>105</v>
      </c>
      <c r="F1382" s="12" t="s">
        <v>106</v>
      </c>
      <c r="G1382" s="12">
        <v>9</v>
      </c>
      <c r="H1382" s="13">
        <v>0.2587962962962963</v>
      </c>
      <c r="I1382" s="13">
        <v>0.20040509259259259</v>
      </c>
      <c r="J1382" s="13">
        <v>2.2267232510288067E-2</v>
      </c>
      <c r="K1382" s="13">
        <v>0.14472222222222222</v>
      </c>
      <c r="L1382" s="14">
        <v>0.55921288014311266</v>
      </c>
      <c r="M1382" s="12" t="s">
        <v>334</v>
      </c>
      <c r="N1382" s="13">
        <v>2.2685185185185187E-3</v>
      </c>
      <c r="O1382" s="13">
        <v>2.8668981481481483E-2</v>
      </c>
      <c r="P1382" s="13"/>
      <c r="Q1382" s="13"/>
      <c r="R1382" s="13"/>
      <c r="S1382" s="13"/>
      <c r="T1382" s="13">
        <v>7.905092592592592E-3</v>
      </c>
      <c r="U1382" s="13">
        <v>1.4814814814814814E-3</v>
      </c>
      <c r="V1382" s="13"/>
      <c r="W1382" s="13">
        <v>0.10438657407407408</v>
      </c>
    </row>
    <row r="1383" spans="1:23" ht="15" customHeight="1" x14ac:dyDescent="0.25">
      <c r="A1383" s="19">
        <v>46251</v>
      </c>
      <c r="B1383" s="11" t="s">
        <v>677</v>
      </c>
      <c r="C1383" s="12" t="s">
        <v>678</v>
      </c>
      <c r="D1383" s="11" t="s">
        <v>274</v>
      </c>
      <c r="E1383" s="12" t="s">
        <v>147</v>
      </c>
      <c r="F1383" s="12" t="s">
        <v>33</v>
      </c>
      <c r="G1383" s="12">
        <v>17</v>
      </c>
      <c r="H1383" s="13">
        <v>0.25578703703703703</v>
      </c>
      <c r="I1383" s="13">
        <v>5.7638888888888892E-2</v>
      </c>
      <c r="J1383" s="13">
        <v>3.3905228758169936E-3</v>
      </c>
      <c r="K1383" s="13">
        <v>3.9074074074074074E-2</v>
      </c>
      <c r="L1383" s="14">
        <v>0.15276018099547511</v>
      </c>
      <c r="M1383" s="12" t="s">
        <v>334</v>
      </c>
      <c r="N1383" s="13">
        <v>6.6319444444444446E-3</v>
      </c>
      <c r="O1383" s="13">
        <v>1.4004629629629629E-2</v>
      </c>
      <c r="P1383" s="13"/>
      <c r="Q1383" s="13">
        <v>2.2800925925925927E-3</v>
      </c>
      <c r="R1383" s="13"/>
      <c r="S1383" s="13">
        <v>1.4155092592592592E-2</v>
      </c>
      <c r="T1383" s="13">
        <v>2.0023148148148148E-3</v>
      </c>
      <c r="U1383" s="13"/>
      <c r="V1383" s="13"/>
      <c r="W1383" s="13"/>
    </row>
    <row r="1384" spans="1:23" ht="15" customHeight="1" x14ac:dyDescent="0.25">
      <c r="A1384" s="19">
        <v>46252</v>
      </c>
      <c r="B1384" s="11" t="s">
        <v>186</v>
      </c>
      <c r="C1384" s="12" t="s">
        <v>562</v>
      </c>
      <c r="D1384" s="11" t="s">
        <v>78</v>
      </c>
      <c r="E1384" s="12" t="s">
        <v>80</v>
      </c>
      <c r="F1384" s="12" t="s">
        <v>33</v>
      </c>
      <c r="G1384" s="12">
        <v>0</v>
      </c>
      <c r="H1384" s="13">
        <v>0.21445601851851853</v>
      </c>
      <c r="I1384" s="13">
        <v>0</v>
      </c>
      <c r="J1384" s="13">
        <v>0</v>
      </c>
      <c r="K1384" s="13">
        <v>3.4386574074074076E-2</v>
      </c>
      <c r="L1384" s="14">
        <v>0.16034324572292083</v>
      </c>
      <c r="M1384" s="12" t="s">
        <v>334</v>
      </c>
      <c r="N1384" s="13">
        <v>4.0625000000000001E-3</v>
      </c>
      <c r="O1384" s="13">
        <v>1.5231481481481481E-2</v>
      </c>
      <c r="P1384" s="13"/>
      <c r="Q1384" s="13"/>
      <c r="R1384" s="13"/>
      <c r="S1384" s="13">
        <v>1.3923611111111111E-2</v>
      </c>
      <c r="T1384" s="13">
        <v>2.199074074074074E-4</v>
      </c>
      <c r="U1384" s="13">
        <v>8.3333333333333339E-4</v>
      </c>
      <c r="V1384" s="13"/>
      <c r="W1384" s="13"/>
    </row>
    <row r="1385" spans="1:23" ht="15" customHeight="1" x14ac:dyDescent="0.25">
      <c r="A1385" s="19">
        <v>46252</v>
      </c>
      <c r="B1385" s="11" t="s">
        <v>643</v>
      </c>
      <c r="C1385" s="12" t="s">
        <v>644</v>
      </c>
      <c r="D1385" s="11" t="s">
        <v>233</v>
      </c>
      <c r="E1385" s="12" t="s">
        <v>32</v>
      </c>
      <c r="F1385" s="12" t="s">
        <v>106</v>
      </c>
      <c r="G1385" s="12">
        <v>13</v>
      </c>
      <c r="H1385" s="13">
        <v>0.26618055555555553</v>
      </c>
      <c r="I1385" s="13">
        <v>0.13306712962962963</v>
      </c>
      <c r="J1385" s="13">
        <v>1.0235933048433048E-2</v>
      </c>
      <c r="K1385" s="13">
        <v>3.4548611111111113E-2</v>
      </c>
      <c r="L1385" s="14">
        <v>0.12979389512131492</v>
      </c>
      <c r="M1385" s="12" t="s">
        <v>334</v>
      </c>
      <c r="N1385" s="13">
        <v>5.4976851851851853E-3</v>
      </c>
      <c r="O1385" s="13">
        <v>2.8182870370370372E-2</v>
      </c>
      <c r="P1385" s="13">
        <v>5.7870370370370373E-5</v>
      </c>
      <c r="Q1385" s="13"/>
      <c r="R1385" s="13"/>
      <c r="S1385" s="13"/>
      <c r="T1385" s="13">
        <v>4.3981481481481481E-4</v>
      </c>
      <c r="U1385" s="13">
        <v>3.5879629629629629E-4</v>
      </c>
      <c r="V1385" s="13"/>
      <c r="W1385" s="13"/>
    </row>
    <row r="1386" spans="1:23" ht="15" customHeight="1" x14ac:dyDescent="0.25">
      <c r="A1386" s="19">
        <v>46252</v>
      </c>
      <c r="B1386" s="11" t="s">
        <v>193</v>
      </c>
      <c r="C1386" s="12" t="s">
        <v>563</v>
      </c>
      <c r="D1386" s="11" t="s">
        <v>274</v>
      </c>
      <c r="E1386" s="12" t="s">
        <v>147</v>
      </c>
      <c r="F1386" s="12" t="s">
        <v>33</v>
      </c>
      <c r="G1386" s="12">
        <v>24</v>
      </c>
      <c r="H1386" s="13">
        <v>0.26418981481481479</v>
      </c>
      <c r="I1386" s="13">
        <v>7.3842592592592599E-2</v>
      </c>
      <c r="J1386" s="13">
        <v>3.0767746913580251E-3</v>
      </c>
      <c r="K1386" s="13">
        <v>2.8159722222222221E-2</v>
      </c>
      <c r="L1386" s="14">
        <v>0.10658897748181899</v>
      </c>
      <c r="M1386" s="12" t="s">
        <v>334</v>
      </c>
      <c r="N1386" s="13"/>
      <c r="O1386" s="13">
        <v>6.9791666666666665E-3</v>
      </c>
      <c r="P1386" s="13"/>
      <c r="Q1386" s="13"/>
      <c r="R1386" s="13">
        <v>7.2106481481481483E-3</v>
      </c>
      <c r="S1386" s="13">
        <v>1.3912037037037037E-2</v>
      </c>
      <c r="T1386" s="13">
        <v>5.7870370370370373E-5</v>
      </c>
      <c r="U1386" s="13"/>
      <c r="V1386" s="13"/>
      <c r="W1386" s="13"/>
    </row>
    <row r="1387" spans="1:23" ht="15" customHeight="1" x14ac:dyDescent="0.25">
      <c r="A1387" s="19">
        <v>46252</v>
      </c>
      <c r="B1387" s="11" t="s">
        <v>231</v>
      </c>
      <c r="C1387" s="12" t="s">
        <v>525</v>
      </c>
      <c r="D1387" s="11" t="s">
        <v>233</v>
      </c>
      <c r="E1387" s="12" t="s">
        <v>32</v>
      </c>
      <c r="F1387" s="12" t="s">
        <v>106</v>
      </c>
      <c r="G1387" s="12">
        <v>42</v>
      </c>
      <c r="H1387" s="13">
        <v>0.25714120370370369</v>
      </c>
      <c r="I1387" s="13">
        <v>0.1270486111111111</v>
      </c>
      <c r="J1387" s="13">
        <v>3.0249669312169308E-3</v>
      </c>
      <c r="K1387" s="13">
        <v>3.8055555555555558E-2</v>
      </c>
      <c r="L1387" s="14">
        <v>0.14799477877301168</v>
      </c>
      <c r="M1387" s="12" t="s">
        <v>334</v>
      </c>
      <c r="N1387" s="13">
        <v>7.4421296296296293E-3</v>
      </c>
      <c r="O1387" s="13">
        <v>1.3622685185185186E-2</v>
      </c>
      <c r="P1387" s="13"/>
      <c r="Q1387" s="13">
        <v>1.3078703703703703E-3</v>
      </c>
      <c r="R1387" s="13"/>
      <c r="S1387" s="13">
        <v>1.369212962962963E-2</v>
      </c>
      <c r="T1387" s="13">
        <v>1.4699074074074074E-3</v>
      </c>
      <c r="U1387" s="13">
        <v>4.9768518518518521E-4</v>
      </c>
      <c r="V1387" s="13"/>
      <c r="W1387" s="13"/>
    </row>
    <row r="1388" spans="1:23" ht="15" customHeight="1" x14ac:dyDescent="0.25">
      <c r="A1388" s="19">
        <v>46252</v>
      </c>
      <c r="B1388" s="11" t="s">
        <v>148</v>
      </c>
      <c r="C1388" s="12" t="s">
        <v>513</v>
      </c>
      <c r="D1388" s="11" t="s">
        <v>104</v>
      </c>
      <c r="E1388" s="12" t="s">
        <v>105</v>
      </c>
      <c r="F1388" s="12" t="s">
        <v>106</v>
      </c>
      <c r="G1388" s="12">
        <v>7</v>
      </c>
      <c r="H1388" s="13">
        <v>0.23429398148148148</v>
      </c>
      <c r="I1388" s="13">
        <v>0.18591435185185184</v>
      </c>
      <c r="J1388" s="13">
        <v>2.6559193121693119E-2</v>
      </c>
      <c r="K1388" s="13">
        <v>0.17737268518518517</v>
      </c>
      <c r="L1388" s="14">
        <v>0.75705182038235441</v>
      </c>
      <c r="M1388" s="12" t="s">
        <v>334</v>
      </c>
      <c r="N1388" s="13"/>
      <c r="O1388" s="13">
        <v>9.5023148148148141E-3</v>
      </c>
      <c r="P1388" s="13"/>
      <c r="Q1388" s="13"/>
      <c r="R1388" s="13"/>
      <c r="S1388" s="13">
        <v>1.4143518518518519E-2</v>
      </c>
      <c r="T1388" s="13">
        <v>1.0162037037037037E-2</v>
      </c>
      <c r="U1388" s="13">
        <v>7.291666666666667E-4</v>
      </c>
      <c r="V1388" s="13"/>
      <c r="W1388" s="13">
        <v>0.14283564814814814</v>
      </c>
    </row>
    <row r="1389" spans="1:23" ht="15" customHeight="1" x14ac:dyDescent="0.25">
      <c r="A1389" s="19">
        <v>46252</v>
      </c>
      <c r="B1389" s="11" t="s">
        <v>82</v>
      </c>
      <c r="C1389" s="12" t="s">
        <v>83</v>
      </c>
      <c r="D1389" s="11" t="s">
        <v>78</v>
      </c>
      <c r="E1389" s="12" t="s">
        <v>80</v>
      </c>
      <c r="F1389" s="12" t="s">
        <v>81</v>
      </c>
      <c r="G1389" s="12">
        <v>0</v>
      </c>
      <c r="H1389" s="13">
        <v>6.1388888888888889E-2</v>
      </c>
      <c r="I1389" s="13">
        <v>0</v>
      </c>
      <c r="J1389" s="13">
        <v>0</v>
      </c>
      <c r="K1389" s="13">
        <v>1.8229166666666668E-2</v>
      </c>
      <c r="L1389" s="14">
        <v>0.29694570135746606</v>
      </c>
      <c r="M1389" s="12" t="s">
        <v>334</v>
      </c>
      <c r="N1389" s="13"/>
      <c r="O1389" s="13"/>
      <c r="P1389" s="13"/>
      <c r="Q1389" s="13"/>
      <c r="R1389" s="13">
        <v>9.2592592592592588E-5</v>
      </c>
      <c r="S1389" s="13"/>
      <c r="T1389" s="13">
        <v>1.8124999999999999E-2</v>
      </c>
      <c r="U1389" s="13"/>
      <c r="V1389" s="13"/>
      <c r="W1389" s="13"/>
    </row>
    <row r="1390" spans="1:23" ht="15" customHeight="1" x14ac:dyDescent="0.25">
      <c r="A1390" s="19">
        <v>46252</v>
      </c>
      <c r="B1390" s="11" t="s">
        <v>234</v>
      </c>
      <c r="C1390" s="12" t="s">
        <v>550</v>
      </c>
      <c r="D1390" s="11" t="s">
        <v>233</v>
      </c>
      <c r="E1390" s="12" t="s">
        <v>32</v>
      </c>
      <c r="F1390" s="12" t="s">
        <v>106</v>
      </c>
      <c r="G1390" s="12">
        <v>49</v>
      </c>
      <c r="H1390" s="13">
        <v>0.34736111111111112</v>
      </c>
      <c r="I1390" s="13">
        <v>0.1761574074074074</v>
      </c>
      <c r="J1390" s="13">
        <v>3.5950491307634165E-3</v>
      </c>
      <c r="K1390" s="13">
        <v>6.4664351851851848E-2</v>
      </c>
      <c r="L1390" s="14">
        <v>0.18615886978541915</v>
      </c>
      <c r="M1390" s="12" t="s">
        <v>334</v>
      </c>
      <c r="N1390" s="13">
        <v>1.0231481481481482E-2</v>
      </c>
      <c r="O1390" s="13">
        <v>1.4502314814814815E-2</v>
      </c>
      <c r="P1390" s="13"/>
      <c r="Q1390" s="13"/>
      <c r="R1390" s="13"/>
      <c r="S1390" s="13">
        <v>1.4594907407407407E-2</v>
      </c>
      <c r="T1390" s="13">
        <v>2.5000000000000001E-2</v>
      </c>
      <c r="U1390" s="13">
        <v>3.2407407407407406E-4</v>
      </c>
      <c r="V1390" s="13"/>
      <c r="W1390" s="13"/>
    </row>
    <row r="1391" spans="1:23" ht="15" customHeight="1" x14ac:dyDescent="0.25">
      <c r="A1391" s="19">
        <v>46252</v>
      </c>
      <c r="B1391" s="11" t="s">
        <v>34</v>
      </c>
      <c r="C1391" s="12" t="s">
        <v>505</v>
      </c>
      <c r="D1391" s="11" t="s">
        <v>233</v>
      </c>
      <c r="E1391" s="12" t="s">
        <v>32</v>
      </c>
      <c r="F1391" s="12" t="s">
        <v>106</v>
      </c>
      <c r="G1391" s="12">
        <v>33</v>
      </c>
      <c r="H1391" s="13">
        <v>0.26200231481481484</v>
      </c>
      <c r="I1391" s="13">
        <v>0.11782407407407407</v>
      </c>
      <c r="J1391" s="13">
        <v>3.5704264870931534E-3</v>
      </c>
      <c r="K1391" s="13">
        <v>4.6377314814814816E-2</v>
      </c>
      <c r="L1391" s="14">
        <v>0.17701108804170163</v>
      </c>
      <c r="M1391" s="12" t="s">
        <v>334</v>
      </c>
      <c r="N1391" s="13">
        <v>6.5740740740740742E-3</v>
      </c>
      <c r="O1391" s="13">
        <v>1.4328703703703703E-2</v>
      </c>
      <c r="P1391" s="13"/>
      <c r="Q1391" s="13"/>
      <c r="R1391" s="13"/>
      <c r="S1391" s="13">
        <v>1.3136574074074075E-2</v>
      </c>
      <c r="T1391" s="13">
        <v>2.0370370370370369E-3</v>
      </c>
      <c r="U1391" s="13">
        <v>9.7453703703703695E-3</v>
      </c>
      <c r="V1391" s="13"/>
      <c r="W1391" s="13"/>
    </row>
    <row r="1392" spans="1:23" ht="15" customHeight="1" x14ac:dyDescent="0.25">
      <c r="A1392" s="19">
        <v>46252</v>
      </c>
      <c r="B1392" s="11" t="s">
        <v>493</v>
      </c>
      <c r="C1392" s="12" t="s">
        <v>569</v>
      </c>
      <c r="D1392" s="11" t="s">
        <v>104</v>
      </c>
      <c r="E1392" s="12" t="s">
        <v>105</v>
      </c>
      <c r="F1392" s="12" t="s">
        <v>106</v>
      </c>
      <c r="G1392" s="12">
        <v>16</v>
      </c>
      <c r="H1392" s="13">
        <v>0.25187500000000002</v>
      </c>
      <c r="I1392" s="13">
        <v>0.10840277777777778</v>
      </c>
      <c r="J1392" s="13">
        <v>6.7751736111111112E-3</v>
      </c>
      <c r="K1392" s="13">
        <v>0.13761574074074073</v>
      </c>
      <c r="L1392" s="14">
        <v>0.54636522378457852</v>
      </c>
      <c r="M1392" s="12" t="s">
        <v>334</v>
      </c>
      <c r="N1392" s="13">
        <v>8.6342592592592599E-3</v>
      </c>
      <c r="O1392" s="13">
        <v>2.4502314814814814E-2</v>
      </c>
      <c r="P1392" s="13"/>
      <c r="Q1392" s="13"/>
      <c r="R1392" s="13"/>
      <c r="S1392" s="13">
        <v>1.3252314814814814E-2</v>
      </c>
      <c r="T1392" s="13">
        <v>1.9675925925925926E-4</v>
      </c>
      <c r="U1392" s="13">
        <v>2.199074074074074E-4</v>
      </c>
      <c r="V1392" s="13"/>
      <c r="W1392" s="13">
        <v>9.0798611111111108E-2</v>
      </c>
    </row>
    <row r="1393" spans="1:23" ht="15" customHeight="1" x14ac:dyDescent="0.25">
      <c r="A1393" s="19">
        <v>46252</v>
      </c>
      <c r="B1393" s="11" t="s">
        <v>236</v>
      </c>
      <c r="C1393" s="12" t="s">
        <v>551</v>
      </c>
      <c r="D1393" s="11" t="s">
        <v>233</v>
      </c>
      <c r="E1393" s="12" t="s">
        <v>32</v>
      </c>
      <c r="F1393" s="12" t="s">
        <v>106</v>
      </c>
      <c r="G1393" s="12">
        <v>0</v>
      </c>
      <c r="H1393" s="13">
        <v>0.13063657407407409</v>
      </c>
      <c r="I1393" s="13">
        <v>0</v>
      </c>
      <c r="J1393" s="13">
        <v>0</v>
      </c>
      <c r="K1393" s="13">
        <v>0.13063657407407409</v>
      </c>
      <c r="L1393" s="14">
        <v>1</v>
      </c>
      <c r="M1393" s="12" t="s">
        <v>334</v>
      </c>
      <c r="N1393" s="13"/>
      <c r="O1393" s="13">
        <v>8.7615740740740744E-3</v>
      </c>
      <c r="P1393" s="13"/>
      <c r="Q1393" s="13"/>
      <c r="R1393" s="13"/>
      <c r="S1393" s="13"/>
      <c r="T1393" s="13">
        <v>2.5462962962962961E-4</v>
      </c>
      <c r="U1393" s="13"/>
      <c r="V1393" s="13"/>
      <c r="W1393" s="13">
        <v>0.12162037037037036</v>
      </c>
    </row>
    <row r="1394" spans="1:23" ht="15" customHeight="1" x14ac:dyDescent="0.25">
      <c r="A1394" s="19">
        <v>46252</v>
      </c>
      <c r="B1394" s="11" t="s">
        <v>238</v>
      </c>
      <c r="C1394" s="12" t="s">
        <v>526</v>
      </c>
      <c r="D1394" s="11" t="s">
        <v>233</v>
      </c>
      <c r="E1394" s="12" t="s">
        <v>32</v>
      </c>
      <c r="F1394" s="12" t="s">
        <v>106</v>
      </c>
      <c r="G1394" s="12">
        <v>0</v>
      </c>
      <c r="H1394" s="13">
        <v>0.22940972222222222</v>
      </c>
      <c r="I1394" s="13">
        <v>0</v>
      </c>
      <c r="J1394" s="13">
        <v>0</v>
      </c>
      <c r="K1394" s="13">
        <v>0.22939814814814816</v>
      </c>
      <c r="L1394" s="14">
        <v>0.99994954845870543</v>
      </c>
      <c r="M1394" s="12" t="s">
        <v>334</v>
      </c>
      <c r="N1394" s="13"/>
      <c r="O1394" s="13">
        <v>7.037037037037037E-3</v>
      </c>
      <c r="P1394" s="13"/>
      <c r="Q1394" s="13"/>
      <c r="R1394" s="13"/>
      <c r="S1394" s="13">
        <v>5.2777777777777779E-3</v>
      </c>
      <c r="T1394" s="13">
        <v>4.7453703703703704E-4</v>
      </c>
      <c r="U1394" s="13"/>
      <c r="V1394" s="13"/>
      <c r="W1394" s="13">
        <v>0.21660879629629629</v>
      </c>
    </row>
    <row r="1395" spans="1:23" ht="15" customHeight="1" x14ac:dyDescent="0.25">
      <c r="A1395" s="19">
        <v>46252</v>
      </c>
      <c r="B1395" s="11" t="s">
        <v>608</v>
      </c>
      <c r="C1395" s="12" t="s">
        <v>631</v>
      </c>
      <c r="D1395" s="11" t="s">
        <v>601</v>
      </c>
      <c r="E1395" s="12" t="s">
        <v>105</v>
      </c>
      <c r="F1395" s="12" t="s">
        <v>33</v>
      </c>
      <c r="G1395" s="12">
        <v>14</v>
      </c>
      <c r="H1395" s="13">
        <v>0.25006944444444446</v>
      </c>
      <c r="I1395" s="13">
        <v>0.11813657407407407</v>
      </c>
      <c r="J1395" s="13">
        <v>8.4383267195767189E-3</v>
      </c>
      <c r="K1395" s="13">
        <v>9.7361111111111107E-2</v>
      </c>
      <c r="L1395" s="14">
        <v>0.38933629547347953</v>
      </c>
      <c r="M1395" s="12" t="s">
        <v>334</v>
      </c>
      <c r="N1395" s="13"/>
      <c r="O1395" s="13">
        <v>1.3564814814814814E-2</v>
      </c>
      <c r="P1395" s="13"/>
      <c r="Q1395" s="13">
        <v>1.019675925925926E-2</v>
      </c>
      <c r="R1395" s="13"/>
      <c r="S1395" s="13">
        <v>1.4085648148148147E-2</v>
      </c>
      <c r="T1395" s="13">
        <v>4.0277777777777777E-3</v>
      </c>
      <c r="U1395" s="13">
        <v>5.5486111111111111E-2</v>
      </c>
      <c r="V1395" s="13"/>
      <c r="W1395" s="13"/>
    </row>
    <row r="1396" spans="1:23" ht="15" customHeight="1" x14ac:dyDescent="0.25">
      <c r="A1396" s="19">
        <v>46252</v>
      </c>
      <c r="B1396" s="11" t="s">
        <v>307</v>
      </c>
      <c r="C1396" s="12" t="s">
        <v>308</v>
      </c>
      <c r="D1396" s="11" t="s">
        <v>78</v>
      </c>
      <c r="E1396" s="12" t="s">
        <v>80</v>
      </c>
      <c r="F1396" s="12" t="s">
        <v>81</v>
      </c>
      <c r="G1396" s="12">
        <v>0</v>
      </c>
      <c r="H1396" s="13">
        <v>0.31814814814814812</v>
      </c>
      <c r="I1396" s="13">
        <v>0</v>
      </c>
      <c r="J1396" s="13">
        <v>0</v>
      </c>
      <c r="K1396" s="13">
        <v>0.2046412037037037</v>
      </c>
      <c r="L1396" s="14">
        <v>0.64322613504074511</v>
      </c>
      <c r="M1396" s="12" t="s">
        <v>334</v>
      </c>
      <c r="N1396" s="13"/>
      <c r="O1396" s="13"/>
      <c r="P1396" s="13"/>
      <c r="Q1396" s="13"/>
      <c r="R1396" s="13">
        <v>7.8009259259259256E-3</v>
      </c>
      <c r="S1396" s="13">
        <v>1.2175925925925925E-2</v>
      </c>
      <c r="T1396" s="13"/>
      <c r="U1396" s="13">
        <v>0.18465277777777778</v>
      </c>
      <c r="V1396" s="13"/>
      <c r="W1396" s="13"/>
    </row>
    <row r="1397" spans="1:23" ht="15" customHeight="1" x14ac:dyDescent="0.25">
      <c r="A1397" s="19">
        <v>46252</v>
      </c>
      <c r="B1397" s="11" t="s">
        <v>197</v>
      </c>
      <c r="C1397" s="12" t="s">
        <v>564</v>
      </c>
      <c r="D1397" s="11" t="s">
        <v>601</v>
      </c>
      <c r="E1397" s="12" t="s">
        <v>105</v>
      </c>
      <c r="F1397" s="12" t="s">
        <v>33</v>
      </c>
      <c r="G1397" s="12">
        <v>10</v>
      </c>
      <c r="H1397" s="13">
        <v>0.23475694444444445</v>
      </c>
      <c r="I1397" s="13">
        <v>0.11768518518518518</v>
      </c>
      <c r="J1397" s="13">
        <v>1.1768518518518518E-2</v>
      </c>
      <c r="K1397" s="13">
        <v>0.12922453703703704</v>
      </c>
      <c r="L1397" s="14">
        <v>0.55046097717300202</v>
      </c>
      <c r="M1397" s="12" t="s">
        <v>334</v>
      </c>
      <c r="N1397" s="13">
        <v>3.5995370370370369E-3</v>
      </c>
      <c r="O1397" s="13">
        <v>1.5520833333333333E-2</v>
      </c>
      <c r="P1397" s="13"/>
      <c r="Q1397" s="13">
        <v>8.9004629629629625E-3</v>
      </c>
      <c r="R1397" s="13"/>
      <c r="S1397" s="13">
        <v>1.681712962962963E-2</v>
      </c>
      <c r="T1397" s="13">
        <v>7.1180555555555554E-3</v>
      </c>
      <c r="U1397" s="13">
        <v>7.7268518518518514E-2</v>
      </c>
      <c r="V1397" s="13"/>
      <c r="W1397" s="13"/>
    </row>
    <row r="1398" spans="1:23" ht="15" customHeight="1" x14ac:dyDescent="0.25">
      <c r="A1398" s="19">
        <v>46252</v>
      </c>
      <c r="B1398" s="11" t="s">
        <v>150</v>
      </c>
      <c r="C1398" s="12" t="s">
        <v>514</v>
      </c>
      <c r="D1398" s="11" t="s">
        <v>146</v>
      </c>
      <c r="E1398" s="12" t="s">
        <v>147</v>
      </c>
      <c r="F1398" s="12" t="s">
        <v>106</v>
      </c>
      <c r="G1398" s="12">
        <v>35</v>
      </c>
      <c r="H1398" s="13">
        <v>0.26621527777777776</v>
      </c>
      <c r="I1398" s="13">
        <v>4.5787037037037036E-2</v>
      </c>
      <c r="J1398" s="13">
        <v>1.3082010582010581E-3</v>
      </c>
      <c r="K1398" s="13">
        <v>3.650462962962963E-2</v>
      </c>
      <c r="L1398" s="14">
        <v>0.13712447284900658</v>
      </c>
      <c r="M1398" s="12" t="s">
        <v>334</v>
      </c>
      <c r="N1398" s="13"/>
      <c r="O1398" s="13">
        <v>1.5983796296296298E-2</v>
      </c>
      <c r="P1398" s="13">
        <v>6.6550925925925927E-3</v>
      </c>
      <c r="Q1398" s="13"/>
      <c r="R1398" s="13"/>
      <c r="S1398" s="13">
        <v>1.361111111111111E-2</v>
      </c>
      <c r="T1398" s="13">
        <v>1.1574074074074075E-4</v>
      </c>
      <c r="U1398" s="13">
        <v>1.3888888888888889E-4</v>
      </c>
      <c r="V1398" s="13"/>
      <c r="W1398" s="13"/>
    </row>
    <row r="1399" spans="1:23" ht="15" customHeight="1" x14ac:dyDescent="0.25">
      <c r="A1399" s="19">
        <v>46252</v>
      </c>
      <c r="B1399" s="11" t="s">
        <v>154</v>
      </c>
      <c r="C1399" s="12" t="s">
        <v>515</v>
      </c>
      <c r="D1399" s="11" t="s">
        <v>146</v>
      </c>
      <c r="E1399" s="12" t="s">
        <v>147</v>
      </c>
      <c r="F1399" s="12" t="s">
        <v>106</v>
      </c>
      <c r="G1399" s="12">
        <v>27</v>
      </c>
      <c r="H1399" s="13">
        <v>0.25840277777777776</v>
      </c>
      <c r="I1399" s="13">
        <v>6.9942129629629632E-2</v>
      </c>
      <c r="J1399" s="13">
        <v>2.590449245541838E-3</v>
      </c>
      <c r="K1399" s="13">
        <v>2.7650462962962963E-2</v>
      </c>
      <c r="L1399" s="14">
        <v>0.10700528531756698</v>
      </c>
      <c r="M1399" s="12" t="s">
        <v>334</v>
      </c>
      <c r="N1399" s="13">
        <v>3.2870370370370371E-3</v>
      </c>
      <c r="O1399" s="13">
        <v>8.1481481481481474E-3</v>
      </c>
      <c r="P1399" s="13"/>
      <c r="Q1399" s="13"/>
      <c r="R1399" s="13"/>
      <c r="S1399" s="13">
        <v>1.2199074074074074E-2</v>
      </c>
      <c r="T1399" s="13">
        <v>2.4189814814814816E-3</v>
      </c>
      <c r="U1399" s="13">
        <v>1.4351851851851852E-3</v>
      </c>
      <c r="V1399" s="13"/>
      <c r="W1399" s="13"/>
    </row>
    <row r="1400" spans="1:23" ht="15" customHeight="1" x14ac:dyDescent="0.25">
      <c r="A1400" s="19">
        <v>46252</v>
      </c>
      <c r="B1400" s="11" t="s">
        <v>112</v>
      </c>
      <c r="C1400" s="12" t="s">
        <v>570</v>
      </c>
      <c r="D1400" s="11" t="s">
        <v>104</v>
      </c>
      <c r="E1400" s="12" t="s">
        <v>105</v>
      </c>
      <c r="F1400" s="12" t="s">
        <v>106</v>
      </c>
      <c r="G1400" s="12">
        <v>6</v>
      </c>
      <c r="H1400" s="13">
        <v>0.23850694444444445</v>
      </c>
      <c r="I1400" s="13">
        <v>0.1491550925925926</v>
      </c>
      <c r="J1400" s="13">
        <v>2.4859182098765434E-2</v>
      </c>
      <c r="K1400" s="13">
        <v>0.17688657407407407</v>
      </c>
      <c r="L1400" s="14">
        <v>0.74164118988693162</v>
      </c>
      <c r="M1400" s="12" t="s">
        <v>334</v>
      </c>
      <c r="N1400" s="13">
        <v>1.1018518518518518E-2</v>
      </c>
      <c r="O1400" s="13">
        <v>2.0185185185185184E-2</v>
      </c>
      <c r="P1400" s="13"/>
      <c r="Q1400" s="13"/>
      <c r="R1400" s="13"/>
      <c r="S1400" s="13">
        <v>1.8298611111111113E-2</v>
      </c>
      <c r="T1400" s="13">
        <v>5.4398148148148144E-4</v>
      </c>
      <c r="U1400" s="13">
        <v>3.3564814814814812E-4</v>
      </c>
      <c r="V1400" s="13"/>
      <c r="W1400" s="13">
        <v>0.12650462962962963</v>
      </c>
    </row>
    <row r="1401" spans="1:23" ht="15" customHeight="1" x14ac:dyDescent="0.25">
      <c r="A1401" s="19">
        <v>46252</v>
      </c>
      <c r="B1401" s="11" t="s">
        <v>42</v>
      </c>
      <c r="C1401" s="12" t="s">
        <v>537</v>
      </c>
      <c r="D1401" s="11" t="s">
        <v>104</v>
      </c>
      <c r="E1401" s="12" t="s">
        <v>105</v>
      </c>
      <c r="F1401" s="12" t="s">
        <v>106</v>
      </c>
      <c r="G1401" s="12">
        <v>15</v>
      </c>
      <c r="H1401" s="13">
        <v>0.26255787037037037</v>
      </c>
      <c r="I1401" s="13">
        <v>0.10099537037037037</v>
      </c>
      <c r="J1401" s="13">
        <v>6.7330246913580253E-3</v>
      </c>
      <c r="K1401" s="13">
        <v>0.14054398148148148</v>
      </c>
      <c r="L1401" s="14">
        <v>0.53528763500110199</v>
      </c>
      <c r="M1401" s="12" t="s">
        <v>334</v>
      </c>
      <c r="N1401" s="13">
        <v>1.5358796296296296E-2</v>
      </c>
      <c r="O1401" s="13">
        <v>1.4502314814814815E-2</v>
      </c>
      <c r="P1401" s="13"/>
      <c r="Q1401" s="13"/>
      <c r="R1401" s="13"/>
      <c r="S1401" s="13">
        <v>1.3935185185185186E-2</v>
      </c>
      <c r="T1401" s="13">
        <v>1.0300925925925926E-3</v>
      </c>
      <c r="U1401" s="13">
        <v>2.1759259259259258E-3</v>
      </c>
      <c r="V1401" s="13"/>
      <c r="W1401" s="13">
        <v>9.3495370370370368E-2</v>
      </c>
    </row>
    <row r="1402" spans="1:23" ht="15" customHeight="1" x14ac:dyDescent="0.25">
      <c r="A1402" s="19">
        <v>46252</v>
      </c>
      <c r="B1402" s="11" t="s">
        <v>156</v>
      </c>
      <c r="C1402" s="12" t="s">
        <v>516</v>
      </c>
      <c r="D1402" s="11" t="s">
        <v>146</v>
      </c>
      <c r="E1402" s="12" t="s">
        <v>147</v>
      </c>
      <c r="F1402" s="12" t="s">
        <v>106</v>
      </c>
      <c r="G1402" s="12">
        <v>26</v>
      </c>
      <c r="H1402" s="13">
        <v>0.27206018518518521</v>
      </c>
      <c r="I1402" s="13">
        <v>7.4027777777777776E-2</v>
      </c>
      <c r="J1402" s="13">
        <v>2.8472222222222223E-3</v>
      </c>
      <c r="K1402" s="13">
        <v>4.9548611111111113E-2</v>
      </c>
      <c r="L1402" s="14">
        <v>0.18212371309452904</v>
      </c>
      <c r="M1402" s="12" t="s">
        <v>334</v>
      </c>
      <c r="N1402" s="13">
        <v>4.8148148148148152E-3</v>
      </c>
      <c r="O1402" s="13">
        <v>2.3553240740740739E-2</v>
      </c>
      <c r="P1402" s="13">
        <v>4.7453703703703704E-4</v>
      </c>
      <c r="Q1402" s="13"/>
      <c r="R1402" s="13"/>
      <c r="S1402" s="13">
        <v>1.3831018518518519E-2</v>
      </c>
      <c r="T1402" s="13">
        <v>5.9375000000000001E-3</v>
      </c>
      <c r="U1402" s="13">
        <v>8.9120370370370373E-4</v>
      </c>
      <c r="V1402" s="13"/>
      <c r="W1402" s="13"/>
    </row>
    <row r="1403" spans="1:23" ht="15" customHeight="1" x14ac:dyDescent="0.25">
      <c r="A1403" s="19">
        <v>46252</v>
      </c>
      <c r="B1403" s="11" t="s">
        <v>114</v>
      </c>
      <c r="C1403" s="12" t="s">
        <v>541</v>
      </c>
      <c r="D1403" s="11" t="s">
        <v>104</v>
      </c>
      <c r="E1403" s="12" t="s">
        <v>105</v>
      </c>
      <c r="F1403" s="12" t="s">
        <v>106</v>
      </c>
      <c r="G1403" s="12">
        <v>9</v>
      </c>
      <c r="H1403" s="13">
        <v>0.25037037037037035</v>
      </c>
      <c r="I1403" s="13">
        <v>0.15942129629629628</v>
      </c>
      <c r="J1403" s="13">
        <v>1.7713477366255143E-2</v>
      </c>
      <c r="K1403" s="13">
        <v>0.15925925925925927</v>
      </c>
      <c r="L1403" s="14">
        <v>0.63609467455621305</v>
      </c>
      <c r="M1403" s="12" t="s">
        <v>334</v>
      </c>
      <c r="N1403" s="13">
        <v>7.5462962962962966E-3</v>
      </c>
      <c r="O1403" s="13">
        <v>2.2418981481481481E-2</v>
      </c>
      <c r="P1403" s="13"/>
      <c r="Q1403" s="13"/>
      <c r="R1403" s="13"/>
      <c r="S1403" s="13">
        <v>1.5173611111111112E-2</v>
      </c>
      <c r="T1403" s="13">
        <v>2.6666666666666668E-2</v>
      </c>
      <c r="U1403" s="13"/>
      <c r="V1403" s="13"/>
      <c r="W1403" s="13">
        <v>8.74537037037037E-2</v>
      </c>
    </row>
    <row r="1404" spans="1:23" ht="15" customHeight="1" x14ac:dyDescent="0.25">
      <c r="A1404" s="19">
        <v>46252</v>
      </c>
      <c r="B1404" s="11" t="s">
        <v>44</v>
      </c>
      <c r="C1404" s="12" t="s">
        <v>506</v>
      </c>
      <c r="D1404" s="11" t="s">
        <v>100</v>
      </c>
      <c r="E1404" s="12" t="s">
        <v>32</v>
      </c>
      <c r="F1404" s="12" t="s">
        <v>33</v>
      </c>
      <c r="G1404" s="12">
        <v>34</v>
      </c>
      <c r="H1404" s="13">
        <v>0.26118055555555558</v>
      </c>
      <c r="I1404" s="13">
        <v>0.16697916666666668</v>
      </c>
      <c r="J1404" s="13">
        <v>4.911151960784314E-3</v>
      </c>
      <c r="K1404" s="13">
        <v>5.1099537037037034E-2</v>
      </c>
      <c r="L1404" s="14">
        <v>0.19564832048214123</v>
      </c>
      <c r="M1404" s="12" t="s">
        <v>334</v>
      </c>
      <c r="N1404" s="13"/>
      <c r="O1404" s="13">
        <v>1.4247685185185184E-2</v>
      </c>
      <c r="P1404" s="13"/>
      <c r="Q1404" s="13">
        <v>2.0277777777777777E-2</v>
      </c>
      <c r="R1404" s="13"/>
      <c r="S1404" s="13">
        <v>1.40625E-2</v>
      </c>
      <c r="T1404" s="13">
        <v>3.2407407407407406E-4</v>
      </c>
      <c r="U1404" s="13">
        <v>2.1180555555555558E-3</v>
      </c>
      <c r="V1404" s="13"/>
      <c r="W1404" s="13"/>
    </row>
    <row r="1405" spans="1:23" ht="15" customHeight="1" x14ac:dyDescent="0.25">
      <c r="A1405" s="19">
        <v>46252</v>
      </c>
      <c r="B1405" s="11" t="s">
        <v>609</v>
      </c>
      <c r="C1405" s="12" t="s">
        <v>632</v>
      </c>
      <c r="D1405" s="11" t="s">
        <v>601</v>
      </c>
      <c r="E1405" s="12" t="s">
        <v>105</v>
      </c>
      <c r="F1405" s="12" t="s">
        <v>33</v>
      </c>
      <c r="G1405" s="12">
        <v>6</v>
      </c>
      <c r="H1405" s="13">
        <v>0.24482638888888889</v>
      </c>
      <c r="I1405" s="13">
        <v>0.13267361111111112</v>
      </c>
      <c r="J1405" s="13">
        <v>2.2112268518518521E-2</v>
      </c>
      <c r="K1405" s="13">
        <v>0.22296296296296297</v>
      </c>
      <c r="L1405" s="14">
        <v>0.91069824611166272</v>
      </c>
      <c r="M1405" s="12" t="s">
        <v>334</v>
      </c>
      <c r="N1405" s="13">
        <v>1.5335648148148149E-2</v>
      </c>
      <c r="O1405" s="13">
        <v>1.6909722222222222E-2</v>
      </c>
      <c r="P1405" s="13"/>
      <c r="Q1405" s="13"/>
      <c r="R1405" s="13"/>
      <c r="S1405" s="13">
        <v>1.6585648148148148E-2</v>
      </c>
      <c r="T1405" s="13">
        <v>3.0092592592592595E-4</v>
      </c>
      <c r="U1405" s="13">
        <v>0.17383101851851851</v>
      </c>
      <c r="V1405" s="13"/>
      <c r="W1405" s="13"/>
    </row>
    <row r="1406" spans="1:23" ht="15" customHeight="1" x14ac:dyDescent="0.25">
      <c r="A1406" s="19">
        <v>46252</v>
      </c>
      <c r="B1406" s="11" t="s">
        <v>240</v>
      </c>
      <c r="C1406" s="12" t="s">
        <v>527</v>
      </c>
      <c r="D1406" s="11" t="s">
        <v>233</v>
      </c>
      <c r="E1406" s="12" t="s">
        <v>32</v>
      </c>
      <c r="F1406" s="12" t="s">
        <v>106</v>
      </c>
      <c r="G1406" s="12">
        <v>0</v>
      </c>
      <c r="H1406" s="13">
        <v>0.2179861111111111</v>
      </c>
      <c r="I1406" s="13">
        <v>0</v>
      </c>
      <c r="J1406" s="13">
        <v>0</v>
      </c>
      <c r="K1406" s="13">
        <v>0.2179861111111111</v>
      </c>
      <c r="L1406" s="14">
        <v>1</v>
      </c>
      <c r="M1406" s="12" t="s">
        <v>334</v>
      </c>
      <c r="N1406" s="13">
        <v>1.8587962962962962E-2</v>
      </c>
      <c r="O1406" s="13">
        <v>1.3587962962962963E-2</v>
      </c>
      <c r="P1406" s="13"/>
      <c r="Q1406" s="13"/>
      <c r="R1406" s="13"/>
      <c r="S1406" s="13">
        <v>1.3912037037037037E-2</v>
      </c>
      <c r="T1406" s="13">
        <v>5.5555555555555556E-4</v>
      </c>
      <c r="U1406" s="13"/>
      <c r="V1406" s="13"/>
      <c r="W1406" s="13">
        <v>0.1713425925925926</v>
      </c>
    </row>
    <row r="1407" spans="1:23" ht="15" customHeight="1" x14ac:dyDescent="0.25">
      <c r="A1407" s="19">
        <v>46252</v>
      </c>
      <c r="B1407" s="11" t="s">
        <v>497</v>
      </c>
      <c r="C1407" s="12" t="s">
        <v>498</v>
      </c>
      <c r="D1407" s="11" t="s">
        <v>78</v>
      </c>
      <c r="E1407" s="12" t="s">
        <v>80</v>
      </c>
      <c r="F1407" s="12" t="s">
        <v>81</v>
      </c>
      <c r="G1407" s="12">
        <v>0</v>
      </c>
      <c r="H1407" s="13">
        <v>0.35146990740740741</v>
      </c>
      <c r="I1407" s="13">
        <v>0</v>
      </c>
      <c r="J1407" s="13">
        <v>0</v>
      </c>
      <c r="K1407" s="13">
        <v>5.7175925925925929E-2</v>
      </c>
      <c r="L1407" s="14">
        <v>0.16267658971910298</v>
      </c>
      <c r="M1407" s="12" t="s">
        <v>334</v>
      </c>
      <c r="N1407" s="13">
        <v>4.8495370370370368E-3</v>
      </c>
      <c r="O1407" s="13">
        <v>1.2500000000000001E-2</v>
      </c>
      <c r="P1407" s="13"/>
      <c r="Q1407" s="13"/>
      <c r="R1407" s="13"/>
      <c r="S1407" s="13">
        <v>3.861111111111111E-2</v>
      </c>
      <c r="T1407" s="13">
        <v>1.1458333333333333E-3</v>
      </c>
      <c r="U1407" s="13"/>
      <c r="V1407" s="13"/>
      <c r="W1407" s="13"/>
    </row>
    <row r="1408" spans="1:23" ht="15" customHeight="1" x14ac:dyDescent="0.25">
      <c r="A1408" s="19">
        <v>46252</v>
      </c>
      <c r="B1408" s="11" t="s">
        <v>309</v>
      </c>
      <c r="C1408" s="12" t="s">
        <v>310</v>
      </c>
      <c r="D1408" s="11" t="s">
        <v>78</v>
      </c>
      <c r="E1408" s="12" t="s">
        <v>80</v>
      </c>
      <c r="F1408" s="12" t="s">
        <v>81</v>
      </c>
      <c r="G1408" s="12">
        <v>1</v>
      </c>
      <c r="H1408" s="13">
        <v>0.34282407407407406</v>
      </c>
      <c r="I1408" s="13">
        <v>8.8888888888888889E-3</v>
      </c>
      <c r="J1408" s="13">
        <v>8.8888888888888889E-3</v>
      </c>
      <c r="K1408" s="13">
        <v>6.1828703703703705E-2</v>
      </c>
      <c r="L1408" s="14">
        <v>0.18035111411208643</v>
      </c>
      <c r="M1408" s="12" t="s">
        <v>334</v>
      </c>
      <c r="N1408" s="13">
        <v>8.9120370370370378E-3</v>
      </c>
      <c r="O1408" s="13">
        <v>4.1655092592592591E-2</v>
      </c>
      <c r="P1408" s="13"/>
      <c r="Q1408" s="13"/>
      <c r="R1408" s="13"/>
      <c r="S1408" s="13">
        <v>7.4074074074074077E-3</v>
      </c>
      <c r="T1408" s="13">
        <v>3.8541666666666668E-3</v>
      </c>
      <c r="U1408" s="13"/>
      <c r="V1408" s="13"/>
      <c r="W1408" s="13"/>
    </row>
    <row r="1409" spans="1:23" ht="15" customHeight="1" x14ac:dyDescent="0.25">
      <c r="A1409" s="19">
        <v>46252</v>
      </c>
      <c r="B1409" s="11" t="s">
        <v>160</v>
      </c>
      <c r="C1409" s="12" t="s">
        <v>544</v>
      </c>
      <c r="D1409" s="11" t="s">
        <v>146</v>
      </c>
      <c r="E1409" s="12" t="s">
        <v>147</v>
      </c>
      <c r="F1409" s="12" t="s">
        <v>106</v>
      </c>
      <c r="G1409" s="12">
        <v>26</v>
      </c>
      <c r="H1409" s="13">
        <v>0.25717592592592592</v>
      </c>
      <c r="I1409" s="13">
        <v>9.9745370370370373E-2</v>
      </c>
      <c r="J1409" s="13">
        <v>3.8363603988603992E-3</v>
      </c>
      <c r="K1409" s="13">
        <v>5.0219907407407408E-2</v>
      </c>
      <c r="L1409" s="14">
        <v>0.19527452745274529</v>
      </c>
      <c r="M1409" s="12" t="s">
        <v>334</v>
      </c>
      <c r="N1409" s="13">
        <v>1.255787037037037E-2</v>
      </c>
      <c r="O1409" s="13">
        <v>1.6226851851851853E-2</v>
      </c>
      <c r="P1409" s="13"/>
      <c r="Q1409" s="13">
        <v>5.5092592592592589E-3</v>
      </c>
      <c r="R1409" s="13"/>
      <c r="S1409" s="13">
        <v>1.5682870370370371E-2</v>
      </c>
      <c r="T1409" s="13">
        <v>1.5046296296296297E-4</v>
      </c>
      <c r="U1409" s="13">
        <v>9.2592592592592588E-5</v>
      </c>
      <c r="V1409" s="13"/>
      <c r="W1409" s="13"/>
    </row>
    <row r="1410" spans="1:23" ht="15" customHeight="1" x14ac:dyDescent="0.25">
      <c r="A1410" s="19">
        <v>46252</v>
      </c>
      <c r="B1410" s="11" t="s">
        <v>645</v>
      </c>
      <c r="C1410" s="12" t="s">
        <v>646</v>
      </c>
      <c r="D1410" s="11" t="s">
        <v>100</v>
      </c>
      <c r="E1410" s="12" t="s">
        <v>32</v>
      </c>
      <c r="F1410" s="12" t="s">
        <v>33</v>
      </c>
      <c r="G1410" s="12">
        <v>37</v>
      </c>
      <c r="H1410" s="13">
        <v>0.26554398148148151</v>
      </c>
      <c r="I1410" s="13">
        <v>0.20971064814814816</v>
      </c>
      <c r="J1410" s="13">
        <v>5.6678553553553557E-3</v>
      </c>
      <c r="K1410" s="13">
        <v>5.1979166666666667E-2</v>
      </c>
      <c r="L1410" s="14">
        <v>0.19574597916575859</v>
      </c>
      <c r="M1410" s="12" t="s">
        <v>334</v>
      </c>
      <c r="N1410" s="13">
        <v>2.7546296296296294E-3</v>
      </c>
      <c r="O1410" s="13">
        <v>1.3530092592592592E-2</v>
      </c>
      <c r="P1410" s="13"/>
      <c r="Q1410" s="13">
        <v>1.863425925925926E-2</v>
      </c>
      <c r="R1410" s="13"/>
      <c r="S1410" s="13">
        <v>1.4155092592592592E-2</v>
      </c>
      <c r="T1410" s="13">
        <v>1.6782407407407408E-3</v>
      </c>
      <c r="U1410" s="13">
        <v>1.1574074074074073E-3</v>
      </c>
      <c r="V1410" s="13"/>
      <c r="W1410" s="13"/>
    </row>
    <row r="1411" spans="1:23" ht="15" customHeight="1" x14ac:dyDescent="0.25">
      <c r="A1411" s="19">
        <v>46252</v>
      </c>
      <c r="B1411" s="11" t="s">
        <v>120</v>
      </c>
      <c r="C1411" s="12" t="s">
        <v>558</v>
      </c>
      <c r="D1411" s="11" t="s">
        <v>233</v>
      </c>
      <c r="E1411" s="12" t="s">
        <v>32</v>
      </c>
      <c r="F1411" s="12" t="s">
        <v>106</v>
      </c>
      <c r="G1411" s="12">
        <v>35</v>
      </c>
      <c r="H1411" s="13">
        <v>0.26567129629629632</v>
      </c>
      <c r="I1411" s="13">
        <v>9.5439814814814811E-2</v>
      </c>
      <c r="J1411" s="13">
        <v>2.7268518518518518E-3</v>
      </c>
      <c r="K1411" s="13">
        <v>6.368055555555556E-2</v>
      </c>
      <c r="L1411" s="14">
        <v>0.23969678487409601</v>
      </c>
      <c r="M1411" s="12" t="s">
        <v>334</v>
      </c>
      <c r="N1411" s="13">
        <v>1.2268518518518519E-2</v>
      </c>
      <c r="O1411" s="13">
        <v>1.412037037037037E-2</v>
      </c>
      <c r="P1411" s="13"/>
      <c r="Q1411" s="13"/>
      <c r="R1411" s="13"/>
      <c r="S1411" s="13">
        <v>1.2233796296296296E-2</v>
      </c>
      <c r="T1411" s="13">
        <v>1.0821759259259258E-2</v>
      </c>
      <c r="U1411" s="13">
        <v>1.4212962962962964E-2</v>
      </c>
      <c r="V1411" s="13"/>
      <c r="W1411" s="13"/>
    </row>
    <row r="1412" spans="1:23" ht="15" customHeight="1" x14ac:dyDescent="0.25">
      <c r="A1412" s="19">
        <v>46252</v>
      </c>
      <c r="B1412" s="11" t="s">
        <v>46</v>
      </c>
      <c r="C1412" s="12" t="s">
        <v>507</v>
      </c>
      <c r="D1412" s="11" t="s">
        <v>100</v>
      </c>
      <c r="E1412" s="12" t="s">
        <v>32</v>
      </c>
      <c r="F1412" s="12" t="s">
        <v>33</v>
      </c>
      <c r="G1412" s="12">
        <v>40</v>
      </c>
      <c r="H1412" s="13">
        <v>0.25780092592592591</v>
      </c>
      <c r="I1412" s="13">
        <v>0.16945601851851852</v>
      </c>
      <c r="J1412" s="13">
        <v>4.2364004629629626E-3</v>
      </c>
      <c r="K1412" s="13">
        <v>4.0162037037037038E-2</v>
      </c>
      <c r="L1412" s="14">
        <v>0.15578701625213254</v>
      </c>
      <c r="M1412" s="12" t="s">
        <v>334</v>
      </c>
      <c r="N1412" s="13">
        <v>2.476851851851852E-3</v>
      </c>
      <c r="O1412" s="13">
        <v>1.4502314814814815E-2</v>
      </c>
      <c r="P1412" s="13"/>
      <c r="Q1412" s="13">
        <v>6.2268518518518515E-3</v>
      </c>
      <c r="R1412" s="13"/>
      <c r="S1412" s="13">
        <v>1.3912037037037037E-2</v>
      </c>
      <c r="T1412" s="13">
        <v>5.7870370370370373E-5</v>
      </c>
      <c r="U1412" s="13">
        <v>2.8472222222222223E-3</v>
      </c>
      <c r="V1412" s="13"/>
      <c r="W1412" s="13"/>
    </row>
    <row r="1413" spans="1:23" ht="15" customHeight="1" x14ac:dyDescent="0.25">
      <c r="A1413" s="19">
        <v>46252</v>
      </c>
      <c r="B1413" s="11" t="s">
        <v>287</v>
      </c>
      <c r="C1413" s="12" t="s">
        <v>542</v>
      </c>
      <c r="D1413" s="11" t="s">
        <v>104</v>
      </c>
      <c r="E1413" s="12" t="s">
        <v>105</v>
      </c>
      <c r="F1413" s="12" t="s">
        <v>106</v>
      </c>
      <c r="G1413" s="12">
        <v>6</v>
      </c>
      <c r="H1413" s="13">
        <v>0.23337962962962963</v>
      </c>
      <c r="I1413" s="13">
        <v>0.12590277777777778</v>
      </c>
      <c r="J1413" s="13">
        <v>2.0983796296296296E-2</v>
      </c>
      <c r="K1413" s="13">
        <v>0.17163194444444443</v>
      </c>
      <c r="L1413" s="14">
        <v>0.73541955961118821</v>
      </c>
      <c r="M1413" s="12" t="s">
        <v>334</v>
      </c>
      <c r="N1413" s="13">
        <v>1.9456018518518518E-2</v>
      </c>
      <c r="O1413" s="13">
        <v>1.7175925925925924E-2</v>
      </c>
      <c r="P1413" s="13"/>
      <c r="Q1413" s="13"/>
      <c r="R1413" s="13"/>
      <c r="S1413" s="13">
        <v>1.525462962962963E-2</v>
      </c>
      <c r="T1413" s="13">
        <v>3.2291666666666666E-3</v>
      </c>
      <c r="U1413" s="13"/>
      <c r="V1413" s="13"/>
      <c r="W1413" s="13">
        <v>0.11651620370370371</v>
      </c>
    </row>
    <row r="1414" spans="1:23" ht="15" customHeight="1" x14ac:dyDescent="0.25">
      <c r="A1414" s="19">
        <v>46252</v>
      </c>
      <c r="B1414" s="11" t="s">
        <v>499</v>
      </c>
      <c r="C1414" s="12" t="s">
        <v>517</v>
      </c>
      <c r="D1414" s="11" t="s">
        <v>146</v>
      </c>
      <c r="E1414" s="12" t="s">
        <v>147</v>
      </c>
      <c r="F1414" s="12" t="s">
        <v>106</v>
      </c>
      <c r="G1414" s="12">
        <v>11</v>
      </c>
      <c r="H1414" s="13">
        <v>0.25658564814814816</v>
      </c>
      <c r="I1414" s="13">
        <v>7.4907407407407409E-2</v>
      </c>
      <c r="J1414" s="13">
        <v>6.80976430976431E-3</v>
      </c>
      <c r="K1414" s="13">
        <v>6.0057870370370373E-2</v>
      </c>
      <c r="L1414" s="14">
        <v>0.23406558708105912</v>
      </c>
      <c r="M1414" s="12" t="s">
        <v>334</v>
      </c>
      <c r="N1414" s="13">
        <v>2.2650462962962963E-2</v>
      </c>
      <c r="O1414" s="13">
        <v>1.5277777777777777E-2</v>
      </c>
      <c r="P1414" s="13">
        <v>7.4999999999999997E-3</v>
      </c>
      <c r="Q1414" s="13"/>
      <c r="R1414" s="13"/>
      <c r="S1414" s="13">
        <v>1.4467592592592593E-2</v>
      </c>
      <c r="T1414" s="13">
        <v>1.6203703703703703E-4</v>
      </c>
      <c r="U1414" s="13"/>
      <c r="V1414" s="13"/>
      <c r="W1414" s="13"/>
    </row>
    <row r="1415" spans="1:23" ht="15" customHeight="1" x14ac:dyDescent="0.25">
      <c r="A1415" s="19">
        <v>46252</v>
      </c>
      <c r="B1415" s="11" t="s">
        <v>647</v>
      </c>
      <c r="C1415" s="12" t="s">
        <v>648</v>
      </c>
      <c r="D1415" s="11" t="s">
        <v>233</v>
      </c>
      <c r="E1415" s="12" t="s">
        <v>32</v>
      </c>
      <c r="F1415" s="12" t="s">
        <v>106</v>
      </c>
      <c r="G1415" s="12">
        <v>36</v>
      </c>
      <c r="H1415" s="13">
        <v>0.25961805555555556</v>
      </c>
      <c r="I1415" s="13">
        <v>0.10160879629629629</v>
      </c>
      <c r="J1415" s="13">
        <v>2.8224665637860084E-3</v>
      </c>
      <c r="K1415" s="13">
        <v>4.5543981481481484E-2</v>
      </c>
      <c r="L1415" s="14">
        <v>0.17542686460701709</v>
      </c>
      <c r="M1415" s="12" t="s">
        <v>334</v>
      </c>
      <c r="N1415" s="13">
        <v>6.9444444444444441E-3</v>
      </c>
      <c r="O1415" s="13">
        <v>1.5162037037037036E-2</v>
      </c>
      <c r="P1415" s="13"/>
      <c r="Q1415" s="13">
        <v>8.1018518518518516E-5</v>
      </c>
      <c r="R1415" s="13"/>
      <c r="S1415" s="13">
        <v>1.3495370370370371E-2</v>
      </c>
      <c r="T1415" s="13">
        <v>9.6527777777777775E-3</v>
      </c>
      <c r="U1415" s="13">
        <v>2.0833333333333335E-4</v>
      </c>
      <c r="V1415" s="13"/>
      <c r="W1415" s="13"/>
    </row>
    <row r="1416" spans="1:23" ht="15" customHeight="1" x14ac:dyDescent="0.25">
      <c r="A1416" s="19">
        <v>46252</v>
      </c>
      <c r="B1416" s="11" t="s">
        <v>649</v>
      </c>
      <c r="C1416" s="12" t="s">
        <v>650</v>
      </c>
      <c r="D1416" s="11" t="s">
        <v>104</v>
      </c>
      <c r="E1416" s="12" t="s">
        <v>105</v>
      </c>
      <c r="F1416" s="12" t="s">
        <v>106</v>
      </c>
      <c r="G1416" s="12">
        <v>8</v>
      </c>
      <c r="H1416" s="13">
        <v>0.26151620370370371</v>
      </c>
      <c r="I1416" s="13">
        <v>0.15563657407407408</v>
      </c>
      <c r="J1416" s="13">
        <v>1.945457175925926E-2</v>
      </c>
      <c r="K1416" s="13">
        <v>0.13744212962962962</v>
      </c>
      <c r="L1416" s="14">
        <v>0.525558751936269</v>
      </c>
      <c r="M1416" s="12" t="s">
        <v>334</v>
      </c>
      <c r="N1416" s="13">
        <v>6.1921296296296299E-3</v>
      </c>
      <c r="O1416" s="13">
        <v>1.5717592592592592E-2</v>
      </c>
      <c r="P1416" s="13"/>
      <c r="Q1416" s="13"/>
      <c r="R1416" s="13"/>
      <c r="S1416" s="13">
        <v>1.4652777777777778E-2</v>
      </c>
      <c r="T1416" s="13">
        <v>6.9444444444444447E-4</v>
      </c>
      <c r="U1416" s="13">
        <v>4.2245370370370371E-3</v>
      </c>
      <c r="V1416" s="13"/>
      <c r="W1416" s="13">
        <v>9.5960648148148142E-2</v>
      </c>
    </row>
    <row r="1417" spans="1:23" ht="15" customHeight="1" x14ac:dyDescent="0.25">
      <c r="A1417" s="19">
        <v>46252</v>
      </c>
      <c r="B1417" s="11" t="s">
        <v>246</v>
      </c>
      <c r="C1417" s="12" t="s">
        <v>568</v>
      </c>
      <c r="D1417" s="11" t="s">
        <v>233</v>
      </c>
      <c r="E1417" s="12" t="s">
        <v>32</v>
      </c>
      <c r="F1417" s="12" t="s">
        <v>106</v>
      </c>
      <c r="G1417" s="12">
        <v>36</v>
      </c>
      <c r="H1417" s="13">
        <v>0.25984953703703706</v>
      </c>
      <c r="I1417" s="13">
        <v>0.1220949074074074</v>
      </c>
      <c r="J1417" s="13">
        <v>3.3915252057613167E-3</v>
      </c>
      <c r="K1417" s="13">
        <v>4.2986111111111114E-2</v>
      </c>
      <c r="L1417" s="14">
        <v>0.16542692975813994</v>
      </c>
      <c r="M1417" s="12" t="s">
        <v>334</v>
      </c>
      <c r="N1417" s="13">
        <v>4.5601851851851853E-3</v>
      </c>
      <c r="O1417" s="13">
        <v>1.3715277777777778E-2</v>
      </c>
      <c r="P1417" s="13"/>
      <c r="Q1417" s="13">
        <v>6.7129629629629625E-4</v>
      </c>
      <c r="R1417" s="13"/>
      <c r="S1417" s="13">
        <v>1.3796296296296296E-2</v>
      </c>
      <c r="T1417" s="13">
        <v>1.005787037037037E-2</v>
      </c>
      <c r="U1417" s="13">
        <v>1.8518518518518518E-4</v>
      </c>
      <c r="V1417" s="13"/>
      <c r="W1417" s="13"/>
    </row>
    <row r="1418" spans="1:23" ht="15" customHeight="1" x14ac:dyDescent="0.25">
      <c r="A1418" s="19">
        <v>46252</v>
      </c>
      <c r="B1418" s="11" t="s">
        <v>48</v>
      </c>
      <c r="C1418" s="12" t="s">
        <v>508</v>
      </c>
      <c r="D1418" s="11" t="s">
        <v>100</v>
      </c>
      <c r="E1418" s="12" t="s">
        <v>32</v>
      </c>
      <c r="F1418" s="12" t="s">
        <v>33</v>
      </c>
      <c r="G1418" s="12">
        <v>38</v>
      </c>
      <c r="H1418" s="13">
        <v>0.25548611111111114</v>
      </c>
      <c r="I1418" s="13">
        <v>0.14937500000000001</v>
      </c>
      <c r="J1418" s="13">
        <v>3.9309210526315792E-3</v>
      </c>
      <c r="K1418" s="13">
        <v>8.1481481481481488E-2</v>
      </c>
      <c r="L1418" s="14">
        <v>0.31892724472229772</v>
      </c>
      <c r="M1418" s="12" t="s">
        <v>334</v>
      </c>
      <c r="N1418" s="13">
        <v>4.5138888888888885E-3</v>
      </c>
      <c r="O1418" s="13">
        <v>1.3935185185185186E-2</v>
      </c>
      <c r="P1418" s="13"/>
      <c r="Q1418" s="13"/>
      <c r="R1418" s="13">
        <v>6.2384259259259259E-3</v>
      </c>
      <c r="S1418" s="13">
        <v>1.3854166666666667E-2</v>
      </c>
      <c r="T1418" s="13">
        <v>3.1250000000000001E-4</v>
      </c>
      <c r="U1418" s="13">
        <v>3.1712962962962962E-3</v>
      </c>
      <c r="V1418" s="13"/>
      <c r="W1418" s="13">
        <v>3.9409722222222221E-2</v>
      </c>
    </row>
    <row r="1419" spans="1:23" ht="15" customHeight="1" x14ac:dyDescent="0.25">
      <c r="A1419" s="19">
        <v>46252</v>
      </c>
      <c r="B1419" s="11" t="s">
        <v>50</v>
      </c>
      <c r="C1419" s="12" t="s">
        <v>538</v>
      </c>
      <c r="D1419" s="11" t="s">
        <v>100</v>
      </c>
      <c r="E1419" s="12" t="s">
        <v>32</v>
      </c>
      <c r="F1419" s="12" t="s">
        <v>33</v>
      </c>
      <c r="G1419" s="12">
        <v>2</v>
      </c>
      <c r="H1419" s="13">
        <v>0.21839120370370371</v>
      </c>
      <c r="I1419" s="13">
        <v>5.2199074074074075E-3</v>
      </c>
      <c r="J1419" s="13">
        <v>2.6099537037037037E-3</v>
      </c>
      <c r="K1419" s="13">
        <v>0.21285879629629631</v>
      </c>
      <c r="L1419" s="14">
        <v>0.9746674439556946</v>
      </c>
      <c r="M1419" s="12" t="s">
        <v>334</v>
      </c>
      <c r="N1419" s="13">
        <v>1.4513888888888889E-2</v>
      </c>
      <c r="O1419" s="13">
        <v>8.3796296296296292E-3</v>
      </c>
      <c r="P1419" s="13"/>
      <c r="Q1419" s="13"/>
      <c r="R1419" s="13"/>
      <c r="S1419" s="13">
        <v>2.1840277777777778E-2</v>
      </c>
      <c r="T1419" s="13">
        <v>4.6296296296296298E-4</v>
      </c>
      <c r="U1419" s="13"/>
      <c r="V1419" s="13"/>
      <c r="W1419" s="13">
        <v>0.16766203703703703</v>
      </c>
    </row>
    <row r="1420" spans="1:23" ht="15" customHeight="1" x14ac:dyDescent="0.25">
      <c r="A1420" s="19">
        <v>46252</v>
      </c>
      <c r="B1420" s="11" t="s">
        <v>242</v>
      </c>
      <c r="C1420" s="12" t="s">
        <v>603</v>
      </c>
      <c r="D1420" s="11" t="s">
        <v>233</v>
      </c>
      <c r="E1420" s="12" t="s">
        <v>32</v>
      </c>
      <c r="F1420" s="12" t="s">
        <v>106</v>
      </c>
      <c r="G1420" s="12">
        <v>17</v>
      </c>
      <c r="H1420" s="13">
        <v>0.19774305555555555</v>
      </c>
      <c r="I1420" s="13">
        <v>0.14156250000000001</v>
      </c>
      <c r="J1420" s="13">
        <v>8.3272058823529414E-3</v>
      </c>
      <c r="K1420" s="13">
        <v>1.1886574074074074E-2</v>
      </c>
      <c r="L1420" s="14">
        <v>6.0111208662569506E-2</v>
      </c>
      <c r="M1420" s="12" t="s">
        <v>334</v>
      </c>
      <c r="N1420" s="13"/>
      <c r="O1420" s="13"/>
      <c r="P1420" s="13"/>
      <c r="Q1420" s="13"/>
      <c r="R1420" s="13"/>
      <c r="S1420" s="13">
        <v>1.019675925925926E-2</v>
      </c>
      <c r="T1420" s="13">
        <v>6.8287037037037036E-4</v>
      </c>
      <c r="U1420" s="13">
        <v>5.9027777777777778E-4</v>
      </c>
      <c r="V1420" s="13"/>
      <c r="W1420" s="13">
        <v>4.0509259259259258E-4</v>
      </c>
    </row>
    <row r="1421" spans="1:23" ht="15" customHeight="1" x14ac:dyDescent="0.25">
      <c r="A1421" s="19">
        <v>46252</v>
      </c>
      <c r="B1421" s="11" t="s">
        <v>248</v>
      </c>
      <c r="C1421" s="12" t="s">
        <v>249</v>
      </c>
      <c r="D1421" s="11" t="s">
        <v>78</v>
      </c>
      <c r="E1421" s="12" t="s">
        <v>80</v>
      </c>
      <c r="F1421" s="12" t="s">
        <v>81</v>
      </c>
      <c r="G1421" s="12">
        <v>0</v>
      </c>
      <c r="H1421" s="13">
        <v>0.34031250000000002</v>
      </c>
      <c r="I1421" s="13">
        <v>0</v>
      </c>
      <c r="J1421" s="13">
        <v>0</v>
      </c>
      <c r="K1421" s="13">
        <v>9.8032407407407408E-3</v>
      </c>
      <c r="L1421" s="14">
        <v>2.8806584362139915E-2</v>
      </c>
      <c r="M1421" s="12" t="s">
        <v>334</v>
      </c>
      <c r="N1421" s="13">
        <v>6.9444444444444444E-5</v>
      </c>
      <c r="O1421" s="13"/>
      <c r="P1421" s="13"/>
      <c r="Q1421" s="13"/>
      <c r="R1421" s="13"/>
      <c r="S1421" s="13"/>
      <c r="T1421" s="13">
        <v>2.4305555555555555E-4</v>
      </c>
      <c r="U1421" s="13">
        <v>9.3402777777777772E-3</v>
      </c>
      <c r="V1421" s="13"/>
      <c r="W1421" s="13">
        <v>8.1018518518518516E-5</v>
      </c>
    </row>
    <row r="1422" spans="1:23" ht="15" customHeight="1" x14ac:dyDescent="0.25">
      <c r="A1422" s="19">
        <v>46252</v>
      </c>
      <c r="B1422" s="11" t="s">
        <v>289</v>
      </c>
      <c r="C1422" s="12" t="s">
        <v>559</v>
      </c>
      <c r="D1422" s="11" t="s">
        <v>104</v>
      </c>
      <c r="E1422" s="12" t="s">
        <v>105</v>
      </c>
      <c r="F1422" s="12" t="s">
        <v>106</v>
      </c>
      <c r="G1422" s="12">
        <v>19</v>
      </c>
      <c r="H1422" s="13">
        <v>0.33309027777777778</v>
      </c>
      <c r="I1422" s="13">
        <v>0.14825231481481482</v>
      </c>
      <c r="J1422" s="13">
        <v>7.802753411306043E-3</v>
      </c>
      <c r="K1422" s="13">
        <v>0.16501157407407407</v>
      </c>
      <c r="L1422" s="14">
        <v>0.49539594843462248</v>
      </c>
      <c r="M1422" s="12" t="s">
        <v>334</v>
      </c>
      <c r="N1422" s="13">
        <v>7.743055555555556E-3</v>
      </c>
      <c r="O1422" s="13"/>
      <c r="P1422" s="13">
        <v>1.0300925925925926E-3</v>
      </c>
      <c r="Q1422" s="13"/>
      <c r="R1422" s="13"/>
      <c r="S1422" s="13">
        <v>1.4953703703703703E-2</v>
      </c>
      <c r="T1422" s="13">
        <v>1.8842592592592591E-2</v>
      </c>
      <c r="U1422" s="13">
        <v>8.4953703703703701E-3</v>
      </c>
      <c r="V1422" s="13"/>
      <c r="W1422" s="13">
        <v>0.11393518518518518</v>
      </c>
    </row>
    <row r="1423" spans="1:23" ht="15" customHeight="1" x14ac:dyDescent="0.25">
      <c r="A1423" s="19">
        <v>46252</v>
      </c>
      <c r="B1423" s="11" t="s">
        <v>252</v>
      </c>
      <c r="C1423" s="12" t="s">
        <v>553</v>
      </c>
      <c r="D1423" s="11" t="s">
        <v>78</v>
      </c>
      <c r="E1423" s="12" t="s">
        <v>80</v>
      </c>
      <c r="F1423" s="12" t="s">
        <v>81</v>
      </c>
      <c r="G1423" s="12">
        <v>1</v>
      </c>
      <c r="H1423" s="13">
        <v>9.9432870370370366E-2</v>
      </c>
      <c r="I1423" s="13">
        <v>6.627314814814815E-2</v>
      </c>
      <c r="J1423" s="13">
        <v>6.627314814814815E-2</v>
      </c>
      <c r="K1423" s="13">
        <v>2.5057870370370369E-2</v>
      </c>
      <c r="L1423" s="14">
        <v>0.25200791526015598</v>
      </c>
      <c r="M1423" s="12" t="s">
        <v>334</v>
      </c>
      <c r="N1423" s="13"/>
      <c r="O1423" s="13"/>
      <c r="P1423" s="13"/>
      <c r="Q1423" s="13"/>
      <c r="R1423" s="13"/>
      <c r="S1423" s="13"/>
      <c r="T1423" s="13">
        <v>1.7939814814814815E-3</v>
      </c>
      <c r="U1423" s="13">
        <v>2.3206018518518518E-2</v>
      </c>
      <c r="V1423" s="13"/>
      <c r="W1423" s="13"/>
    </row>
    <row r="1424" spans="1:23" ht="15" customHeight="1" x14ac:dyDescent="0.25">
      <c r="A1424" s="19">
        <v>46252</v>
      </c>
      <c r="B1424" s="11" t="s">
        <v>500</v>
      </c>
      <c r="C1424" s="12" t="s">
        <v>518</v>
      </c>
      <c r="D1424" s="11" t="s">
        <v>274</v>
      </c>
      <c r="E1424" s="12" t="s">
        <v>147</v>
      </c>
      <c r="F1424" s="12" t="s">
        <v>33</v>
      </c>
      <c r="G1424" s="12">
        <v>23</v>
      </c>
      <c r="H1424" s="13">
        <v>0.26306712962962964</v>
      </c>
      <c r="I1424" s="13">
        <v>9.7129629629629635E-2</v>
      </c>
      <c r="J1424" s="13">
        <v>4.2230273752012883E-3</v>
      </c>
      <c r="K1424" s="13">
        <v>3.0729166666666665E-2</v>
      </c>
      <c r="L1424" s="14">
        <v>0.11681112235470104</v>
      </c>
      <c r="M1424" s="12" t="s">
        <v>334</v>
      </c>
      <c r="N1424" s="13">
        <v>2.0717592592592593E-3</v>
      </c>
      <c r="O1424" s="13">
        <v>1.1909722222222223E-2</v>
      </c>
      <c r="P1424" s="13"/>
      <c r="Q1424" s="13">
        <v>1.2152777777777778E-3</v>
      </c>
      <c r="R1424" s="13"/>
      <c r="S1424" s="13">
        <v>1.443287037037037E-2</v>
      </c>
      <c r="T1424" s="13">
        <v>4.6296296296296298E-4</v>
      </c>
      <c r="U1424" s="13">
        <v>6.018518518518519E-4</v>
      </c>
      <c r="V1424" s="13"/>
      <c r="W1424" s="13"/>
    </row>
    <row r="1425" spans="1:23" ht="15" customHeight="1" x14ac:dyDescent="0.25">
      <c r="A1425" s="19">
        <v>46252</v>
      </c>
      <c r="B1425" s="11" t="s">
        <v>653</v>
      </c>
      <c r="C1425" s="12" t="s">
        <v>654</v>
      </c>
      <c r="D1425" s="11" t="s">
        <v>100</v>
      </c>
      <c r="E1425" s="12" t="s">
        <v>32</v>
      </c>
      <c r="F1425" s="12" t="s">
        <v>33</v>
      </c>
      <c r="G1425" s="12">
        <v>31</v>
      </c>
      <c r="H1425" s="13">
        <v>0.26398148148148148</v>
      </c>
      <c r="I1425" s="13">
        <v>0.19832175925925927</v>
      </c>
      <c r="J1425" s="13">
        <v>6.3974761051373953E-3</v>
      </c>
      <c r="K1425" s="13">
        <v>4.7812500000000001E-2</v>
      </c>
      <c r="L1425" s="14">
        <v>0.18112065941774816</v>
      </c>
      <c r="M1425" s="12" t="s">
        <v>334</v>
      </c>
      <c r="N1425" s="13">
        <v>8.7152777777777784E-3</v>
      </c>
      <c r="O1425" s="13">
        <v>1.4849537037037038E-2</v>
      </c>
      <c r="P1425" s="13"/>
      <c r="Q1425" s="13">
        <v>6.9560185185185185E-3</v>
      </c>
      <c r="R1425" s="13"/>
      <c r="S1425" s="13">
        <v>1.425925925925926E-2</v>
      </c>
      <c r="T1425" s="13">
        <v>1.9212962962962964E-3</v>
      </c>
      <c r="U1425" s="13">
        <v>1.0648148148148149E-3</v>
      </c>
      <c r="V1425" s="13"/>
      <c r="W1425" s="13"/>
    </row>
    <row r="1426" spans="1:23" ht="15" customHeight="1" x14ac:dyDescent="0.25">
      <c r="A1426" s="19">
        <v>46252</v>
      </c>
      <c r="B1426" s="11" t="s">
        <v>52</v>
      </c>
      <c r="C1426" s="12" t="s">
        <v>509</v>
      </c>
      <c r="D1426" s="11" t="s">
        <v>100</v>
      </c>
      <c r="E1426" s="12" t="s">
        <v>32</v>
      </c>
      <c r="F1426" s="12" t="s">
        <v>33</v>
      </c>
      <c r="G1426" s="12">
        <v>2</v>
      </c>
      <c r="H1426" s="13">
        <v>0.2452199074074074</v>
      </c>
      <c r="I1426" s="13">
        <v>8.2754629629629636E-3</v>
      </c>
      <c r="J1426" s="13">
        <v>4.1377314814814818E-3</v>
      </c>
      <c r="K1426" s="13">
        <v>0.23662037037037037</v>
      </c>
      <c r="L1426" s="14">
        <v>0.96493132581299856</v>
      </c>
      <c r="M1426" s="12" t="s">
        <v>334</v>
      </c>
      <c r="N1426" s="13"/>
      <c r="O1426" s="13">
        <v>1.4317129629629629E-2</v>
      </c>
      <c r="P1426" s="13"/>
      <c r="Q1426" s="13">
        <v>5.7291666666666663E-3</v>
      </c>
      <c r="R1426" s="13"/>
      <c r="S1426" s="13">
        <v>1.3726851851851851E-2</v>
      </c>
      <c r="T1426" s="13">
        <v>4.2824074074074075E-4</v>
      </c>
      <c r="U1426" s="13"/>
      <c r="V1426" s="13"/>
      <c r="W1426" s="13">
        <v>0.20241898148148149</v>
      </c>
    </row>
    <row r="1427" spans="1:23" ht="15" customHeight="1" x14ac:dyDescent="0.25">
      <c r="A1427" s="19">
        <v>46252</v>
      </c>
      <c r="B1427" s="11" t="s">
        <v>164</v>
      </c>
      <c r="C1427" s="12" t="s">
        <v>519</v>
      </c>
      <c r="D1427" s="11" t="s">
        <v>146</v>
      </c>
      <c r="E1427" s="12" t="s">
        <v>147</v>
      </c>
      <c r="F1427" s="12" t="s">
        <v>106</v>
      </c>
      <c r="G1427" s="12">
        <v>31</v>
      </c>
      <c r="H1427" s="13">
        <v>0.3190972222222222</v>
      </c>
      <c r="I1427" s="13">
        <v>0.10355324074074074</v>
      </c>
      <c r="J1427" s="13">
        <v>3.3404271206690559E-3</v>
      </c>
      <c r="K1427" s="13">
        <v>2.7893518518518519E-2</v>
      </c>
      <c r="L1427" s="14">
        <v>8.7413855640188623E-2</v>
      </c>
      <c r="M1427" s="12" t="s">
        <v>334</v>
      </c>
      <c r="N1427" s="13">
        <v>4.8379629629629632E-3</v>
      </c>
      <c r="O1427" s="13">
        <v>7.8125E-3</v>
      </c>
      <c r="P1427" s="13"/>
      <c r="Q1427" s="13"/>
      <c r="R1427" s="13">
        <v>4.6296296296296294E-5</v>
      </c>
      <c r="S1427" s="13">
        <v>1.3923611111111111E-2</v>
      </c>
      <c r="T1427" s="13">
        <v>1.2731481481481483E-3</v>
      </c>
      <c r="U1427" s="13"/>
      <c r="V1427" s="13"/>
      <c r="W1427" s="13"/>
    </row>
    <row r="1428" spans="1:23" ht="15" customHeight="1" x14ac:dyDescent="0.25">
      <c r="A1428" s="19">
        <v>46252</v>
      </c>
      <c r="B1428" s="11" t="s">
        <v>655</v>
      </c>
      <c r="C1428" s="12" t="s">
        <v>656</v>
      </c>
      <c r="D1428" s="11" t="s">
        <v>100</v>
      </c>
      <c r="E1428" s="12" t="s">
        <v>32</v>
      </c>
      <c r="F1428" s="12" t="s">
        <v>33</v>
      </c>
      <c r="G1428" s="12">
        <v>21</v>
      </c>
      <c r="H1428" s="13">
        <v>0.24929398148148149</v>
      </c>
      <c r="I1428" s="13">
        <v>0.15135416666666668</v>
      </c>
      <c r="J1428" s="13">
        <v>7.2073412698412708E-3</v>
      </c>
      <c r="K1428" s="13">
        <v>3.8460648148148147E-2</v>
      </c>
      <c r="L1428" s="14">
        <v>0.15427828589999534</v>
      </c>
      <c r="M1428" s="12" t="s">
        <v>334</v>
      </c>
      <c r="N1428" s="13">
        <v>2.9745370370370373E-3</v>
      </c>
      <c r="O1428" s="13">
        <v>1.3773148148148149E-2</v>
      </c>
      <c r="P1428" s="13"/>
      <c r="Q1428" s="13">
        <v>6.875E-3</v>
      </c>
      <c r="R1428" s="13"/>
      <c r="S1428" s="13">
        <v>1.4039351851851851E-2</v>
      </c>
      <c r="T1428" s="13">
        <v>6.9444444444444444E-5</v>
      </c>
      <c r="U1428" s="13">
        <v>6.8287037037037036E-4</v>
      </c>
      <c r="V1428" s="13"/>
      <c r="W1428" s="13"/>
    </row>
    <row r="1429" spans="1:23" ht="15" customHeight="1" x14ac:dyDescent="0.25">
      <c r="A1429" s="19">
        <v>46252</v>
      </c>
      <c r="B1429" s="11" t="s">
        <v>657</v>
      </c>
      <c r="C1429" s="12" t="s">
        <v>658</v>
      </c>
      <c r="D1429" s="11" t="s">
        <v>274</v>
      </c>
      <c r="E1429" s="12" t="s">
        <v>147</v>
      </c>
      <c r="F1429" s="12" t="s">
        <v>33</v>
      </c>
      <c r="G1429" s="12">
        <v>24</v>
      </c>
      <c r="H1429" s="13">
        <v>0.25637731481481479</v>
      </c>
      <c r="I1429" s="13">
        <v>6.9085648148148146E-2</v>
      </c>
      <c r="J1429" s="13">
        <v>2.8785686728395061E-3</v>
      </c>
      <c r="K1429" s="13">
        <v>2.9270833333333333E-2</v>
      </c>
      <c r="L1429" s="14">
        <v>0.11417091779152183</v>
      </c>
      <c r="M1429" s="12" t="s">
        <v>334</v>
      </c>
      <c r="N1429" s="13">
        <v>8.564814814814815E-4</v>
      </c>
      <c r="O1429" s="13">
        <v>8.067129629629629E-3</v>
      </c>
      <c r="P1429" s="13"/>
      <c r="Q1429" s="13"/>
      <c r="R1429" s="13"/>
      <c r="S1429" s="13">
        <v>2.0208333333333332E-2</v>
      </c>
      <c r="T1429" s="13">
        <v>6.9444444444444444E-5</v>
      </c>
      <c r="U1429" s="13">
        <v>6.9444444444444444E-5</v>
      </c>
      <c r="V1429" s="13"/>
      <c r="W1429" s="13"/>
    </row>
    <row r="1430" spans="1:23" ht="15" customHeight="1" x14ac:dyDescent="0.25">
      <c r="A1430" s="19">
        <v>46252</v>
      </c>
      <c r="B1430" s="11" t="s">
        <v>166</v>
      </c>
      <c r="C1430" s="12" t="s">
        <v>167</v>
      </c>
      <c r="D1430" s="11" t="s">
        <v>146</v>
      </c>
      <c r="E1430" s="12" t="s">
        <v>147</v>
      </c>
      <c r="F1430" s="12" t="s">
        <v>106</v>
      </c>
      <c r="G1430" s="12">
        <v>28</v>
      </c>
      <c r="H1430" s="13">
        <v>0.25939814814814816</v>
      </c>
      <c r="I1430" s="13">
        <v>7.2662037037037039E-2</v>
      </c>
      <c r="J1430" s="13">
        <v>2.5950727513227513E-3</v>
      </c>
      <c r="K1430" s="13">
        <v>3.5543981481481482E-2</v>
      </c>
      <c r="L1430" s="14">
        <v>0.13702480813849724</v>
      </c>
      <c r="M1430" s="12" t="s">
        <v>334</v>
      </c>
      <c r="N1430" s="13">
        <v>1.0995370370370371E-3</v>
      </c>
      <c r="O1430" s="13">
        <v>1.3506944444444445E-2</v>
      </c>
      <c r="P1430" s="13"/>
      <c r="Q1430" s="13"/>
      <c r="R1430" s="13"/>
      <c r="S1430" s="13">
        <v>1.4039351851851851E-2</v>
      </c>
      <c r="T1430" s="13">
        <v>8.1018518518518516E-5</v>
      </c>
      <c r="U1430" s="13">
        <v>6.6087962962962966E-3</v>
      </c>
      <c r="V1430" s="13"/>
      <c r="W1430" s="13">
        <v>2.0833333333333335E-4</v>
      </c>
    </row>
    <row r="1431" spans="1:23" ht="15" customHeight="1" x14ac:dyDescent="0.25">
      <c r="A1431" s="19">
        <v>46252</v>
      </c>
      <c r="B1431" s="11" t="s">
        <v>659</v>
      </c>
      <c r="C1431" s="12" t="s">
        <v>660</v>
      </c>
      <c r="D1431" s="11" t="s">
        <v>100</v>
      </c>
      <c r="E1431" s="12" t="s">
        <v>32</v>
      </c>
      <c r="F1431" s="12" t="s">
        <v>33</v>
      </c>
      <c r="G1431" s="12">
        <v>11</v>
      </c>
      <c r="H1431" s="13">
        <v>0.19811342592592593</v>
      </c>
      <c r="I1431" s="13">
        <v>4.4560185185185182E-2</v>
      </c>
      <c r="J1431" s="13">
        <v>4.0509259259259257E-3</v>
      </c>
      <c r="K1431" s="13">
        <v>0.16569444444444445</v>
      </c>
      <c r="L1431" s="14">
        <v>0.836361511947187</v>
      </c>
      <c r="M1431" s="12" t="s">
        <v>334</v>
      </c>
      <c r="N1431" s="13">
        <v>1.425925925925926E-2</v>
      </c>
      <c r="O1431" s="13">
        <v>1.4178240740740741E-2</v>
      </c>
      <c r="P1431" s="13"/>
      <c r="Q1431" s="13"/>
      <c r="R1431" s="13"/>
      <c r="S1431" s="13">
        <v>1.3645833333333333E-2</v>
      </c>
      <c r="T1431" s="13">
        <v>5.3240740740740744E-4</v>
      </c>
      <c r="U1431" s="13">
        <v>8.1018518518518516E-4</v>
      </c>
      <c r="V1431" s="13"/>
      <c r="W1431" s="13">
        <v>0.12225694444444445</v>
      </c>
    </row>
    <row r="1432" spans="1:23" ht="15" customHeight="1" x14ac:dyDescent="0.25">
      <c r="A1432" s="19">
        <v>46252</v>
      </c>
      <c r="B1432" s="11" t="s">
        <v>254</v>
      </c>
      <c r="C1432" s="12" t="s">
        <v>528</v>
      </c>
      <c r="D1432" s="11" t="s">
        <v>233</v>
      </c>
      <c r="E1432" s="12" t="s">
        <v>32</v>
      </c>
      <c r="F1432" s="12" t="s">
        <v>106</v>
      </c>
      <c r="G1432" s="12">
        <v>22</v>
      </c>
      <c r="H1432" s="13">
        <v>0.26283564814814814</v>
      </c>
      <c r="I1432" s="13">
        <v>0.10141203703703704</v>
      </c>
      <c r="J1432" s="13">
        <v>4.609638047138047E-3</v>
      </c>
      <c r="K1432" s="13">
        <v>6.3738425925925921E-2</v>
      </c>
      <c r="L1432" s="14">
        <v>0.2425029723898014</v>
      </c>
      <c r="M1432" s="12" t="s">
        <v>334</v>
      </c>
      <c r="N1432" s="13">
        <v>1.9363425925925926E-2</v>
      </c>
      <c r="O1432" s="13">
        <v>1.3796296296296296E-2</v>
      </c>
      <c r="P1432" s="13"/>
      <c r="Q1432" s="13">
        <v>1.1875E-2</v>
      </c>
      <c r="R1432" s="13"/>
      <c r="S1432" s="13">
        <v>1.4178240740740741E-2</v>
      </c>
      <c r="T1432" s="13">
        <v>4.5254629629629629E-3</v>
      </c>
      <c r="U1432" s="13"/>
      <c r="V1432" s="13"/>
      <c r="W1432" s="13"/>
    </row>
    <row r="1433" spans="1:23" ht="15" customHeight="1" x14ac:dyDescent="0.25">
      <c r="A1433" s="19">
        <v>46252</v>
      </c>
      <c r="B1433" s="11" t="s">
        <v>201</v>
      </c>
      <c r="C1433" s="12" t="s">
        <v>545</v>
      </c>
      <c r="D1433" s="11" t="s">
        <v>601</v>
      </c>
      <c r="E1433" s="12" t="s">
        <v>600</v>
      </c>
      <c r="F1433" s="12" t="s">
        <v>33</v>
      </c>
      <c r="G1433" s="12">
        <v>25</v>
      </c>
      <c r="H1433" s="13">
        <v>0.24802083333333333</v>
      </c>
      <c r="I1433" s="13">
        <v>9.4664351851851847E-2</v>
      </c>
      <c r="J1433" s="13">
        <v>3.7865740740740737E-3</v>
      </c>
      <c r="K1433" s="13">
        <v>5.8113425925925923E-2</v>
      </c>
      <c r="L1433" s="14">
        <v>0.23430864716039013</v>
      </c>
      <c r="M1433" s="12" t="s">
        <v>334</v>
      </c>
      <c r="N1433" s="13">
        <v>7.8356481481481489E-3</v>
      </c>
      <c r="O1433" s="13">
        <v>1.8784722222222223E-2</v>
      </c>
      <c r="P1433" s="13">
        <v>4.2824074074074075E-4</v>
      </c>
      <c r="Q1433" s="13"/>
      <c r="R1433" s="13"/>
      <c r="S1433" s="13">
        <v>1.7916666666666668E-2</v>
      </c>
      <c r="T1433" s="13">
        <v>2.2106481481481482E-3</v>
      </c>
      <c r="U1433" s="13">
        <v>1.0925925925925926E-2</v>
      </c>
      <c r="V1433" s="13"/>
      <c r="W1433" s="13"/>
    </row>
    <row r="1434" spans="1:23" ht="15" customHeight="1" x14ac:dyDescent="0.25">
      <c r="A1434" s="19">
        <v>46252</v>
      </c>
      <c r="B1434" s="11" t="s">
        <v>168</v>
      </c>
      <c r="C1434" s="12" t="s">
        <v>520</v>
      </c>
      <c r="D1434" s="11" t="s">
        <v>274</v>
      </c>
      <c r="E1434" s="12" t="s">
        <v>147</v>
      </c>
      <c r="F1434" s="12" t="s">
        <v>33</v>
      </c>
      <c r="G1434" s="12">
        <v>20</v>
      </c>
      <c r="H1434" s="13">
        <v>0.26399305555555558</v>
      </c>
      <c r="I1434" s="13">
        <v>7.2881944444444444E-2</v>
      </c>
      <c r="J1434" s="13">
        <v>3.6440972222222222E-3</v>
      </c>
      <c r="K1434" s="13">
        <v>3.6585648148148145E-2</v>
      </c>
      <c r="L1434" s="14">
        <v>0.13858564601692311</v>
      </c>
      <c r="M1434" s="12" t="s">
        <v>334</v>
      </c>
      <c r="N1434" s="13">
        <v>6.3888888888888893E-3</v>
      </c>
      <c r="O1434" s="13">
        <v>1.4247685185185184E-2</v>
      </c>
      <c r="P1434" s="13"/>
      <c r="Q1434" s="13"/>
      <c r="R1434" s="13"/>
      <c r="S1434" s="13">
        <v>1.556712962962963E-2</v>
      </c>
      <c r="T1434" s="13">
        <v>2.6620370370370372E-4</v>
      </c>
      <c r="U1434" s="13">
        <v>1.1574074074074075E-4</v>
      </c>
      <c r="V1434" s="13"/>
      <c r="W1434" s="13"/>
    </row>
    <row r="1435" spans="1:23" ht="15" customHeight="1" x14ac:dyDescent="0.25">
      <c r="A1435" s="19">
        <v>46252</v>
      </c>
      <c r="B1435" s="11" t="s">
        <v>170</v>
      </c>
      <c r="C1435" s="12" t="s">
        <v>521</v>
      </c>
      <c r="D1435" s="11" t="s">
        <v>146</v>
      </c>
      <c r="E1435" s="12" t="s">
        <v>147</v>
      </c>
      <c r="F1435" s="12" t="s">
        <v>106</v>
      </c>
      <c r="G1435" s="12">
        <v>20</v>
      </c>
      <c r="H1435" s="13">
        <v>0.26351851851851854</v>
      </c>
      <c r="I1435" s="13">
        <v>0.10995370370370371</v>
      </c>
      <c r="J1435" s="13">
        <v>5.4976851851851853E-3</v>
      </c>
      <c r="K1435" s="13">
        <v>4.7743055555555552E-2</v>
      </c>
      <c r="L1435" s="14">
        <v>0.1811753338018271</v>
      </c>
      <c r="M1435" s="12" t="s">
        <v>334</v>
      </c>
      <c r="N1435" s="13">
        <v>5.8912037037037041E-3</v>
      </c>
      <c r="O1435" s="13">
        <v>1.7210648148148149E-2</v>
      </c>
      <c r="P1435" s="13"/>
      <c r="Q1435" s="13">
        <v>9.6064814814814819E-4</v>
      </c>
      <c r="R1435" s="13"/>
      <c r="S1435" s="13">
        <v>2.087962962962963E-2</v>
      </c>
      <c r="T1435" s="13">
        <v>1.7708333333333332E-3</v>
      </c>
      <c r="U1435" s="13">
        <v>9.837962962962962E-4</v>
      </c>
      <c r="V1435" s="13"/>
      <c r="W1435" s="13"/>
    </row>
    <row r="1436" spans="1:23" ht="15" customHeight="1" x14ac:dyDescent="0.25">
      <c r="A1436" s="19">
        <v>46252</v>
      </c>
      <c r="B1436" s="11" t="s">
        <v>92</v>
      </c>
      <c r="C1436" s="12" t="s">
        <v>93</v>
      </c>
      <c r="D1436" s="11" t="s">
        <v>78</v>
      </c>
      <c r="E1436" s="12" t="s">
        <v>80</v>
      </c>
      <c r="F1436" s="12" t="s">
        <v>81</v>
      </c>
      <c r="G1436" s="12">
        <v>0</v>
      </c>
      <c r="H1436" s="13">
        <v>0.38309027777777777</v>
      </c>
      <c r="I1436" s="13">
        <v>0</v>
      </c>
      <c r="J1436" s="13">
        <v>0</v>
      </c>
      <c r="K1436" s="13">
        <v>0.1948263888888889</v>
      </c>
      <c r="L1436" s="14">
        <v>0.5085652134505575</v>
      </c>
      <c r="M1436" s="12" t="s">
        <v>334</v>
      </c>
      <c r="N1436" s="13"/>
      <c r="O1436" s="13">
        <v>4.1886574074074076E-2</v>
      </c>
      <c r="P1436" s="13"/>
      <c r="Q1436" s="13"/>
      <c r="R1436" s="13">
        <v>2.5763888888888888E-2</v>
      </c>
      <c r="S1436" s="13">
        <v>7.3958333333333333E-3</v>
      </c>
      <c r="T1436" s="13">
        <v>7.2106481481481483E-3</v>
      </c>
      <c r="U1436" s="13">
        <v>0.11243055555555556</v>
      </c>
      <c r="V1436" s="13"/>
      <c r="W1436" s="13"/>
    </row>
    <row r="1437" spans="1:23" ht="15" customHeight="1" x14ac:dyDescent="0.25">
      <c r="A1437" s="19">
        <v>46252</v>
      </c>
      <c r="B1437" s="11" t="s">
        <v>94</v>
      </c>
      <c r="C1437" s="12" t="s">
        <v>95</v>
      </c>
      <c r="D1437" s="11" t="s">
        <v>78</v>
      </c>
      <c r="E1437" s="12" t="s">
        <v>80</v>
      </c>
      <c r="F1437" s="12" t="s">
        <v>81</v>
      </c>
      <c r="G1437" s="12">
        <v>0</v>
      </c>
      <c r="H1437" s="13">
        <v>0.3342013888888889</v>
      </c>
      <c r="I1437" s="13">
        <v>0</v>
      </c>
      <c r="J1437" s="13">
        <v>0</v>
      </c>
      <c r="K1437" s="13">
        <v>0.11364583333333333</v>
      </c>
      <c r="L1437" s="14">
        <v>0.34005194805194805</v>
      </c>
      <c r="M1437" s="12" t="s">
        <v>334</v>
      </c>
      <c r="N1437" s="13">
        <v>1.1574074074074073E-5</v>
      </c>
      <c r="O1437" s="13"/>
      <c r="P1437" s="13"/>
      <c r="Q1437" s="13"/>
      <c r="R1437" s="13">
        <v>8.6620370370370375E-2</v>
      </c>
      <c r="S1437" s="13"/>
      <c r="T1437" s="13"/>
      <c r="U1437" s="13">
        <v>2.6932870370370371E-2</v>
      </c>
      <c r="V1437" s="13"/>
      <c r="W1437" s="13"/>
    </row>
    <row r="1438" spans="1:23" ht="15" customHeight="1" x14ac:dyDescent="0.25">
      <c r="A1438" s="19">
        <v>46252</v>
      </c>
      <c r="B1438" s="11" t="s">
        <v>293</v>
      </c>
      <c r="C1438" s="12" t="s">
        <v>543</v>
      </c>
      <c r="D1438" s="11" t="s">
        <v>104</v>
      </c>
      <c r="E1438" s="12" t="s">
        <v>600</v>
      </c>
      <c r="F1438" s="12" t="s">
        <v>106</v>
      </c>
      <c r="G1438" s="12">
        <v>33</v>
      </c>
      <c r="H1438" s="13">
        <v>0.2697222222222222</v>
      </c>
      <c r="I1438" s="13">
        <v>0.10811342592592593</v>
      </c>
      <c r="J1438" s="13">
        <v>3.2761644219977556E-3</v>
      </c>
      <c r="K1438" s="13">
        <v>0.10071759259259259</v>
      </c>
      <c r="L1438" s="14">
        <v>0.37341228973566776</v>
      </c>
      <c r="M1438" s="12" t="s">
        <v>334</v>
      </c>
      <c r="N1438" s="13">
        <v>1.3229166666666667E-2</v>
      </c>
      <c r="O1438" s="13"/>
      <c r="P1438" s="13"/>
      <c r="Q1438" s="13"/>
      <c r="R1438" s="13">
        <v>7.4999999999999997E-3</v>
      </c>
      <c r="S1438" s="13">
        <v>1.3136574074074075E-2</v>
      </c>
      <c r="T1438" s="13">
        <v>9.2592592592592588E-5</v>
      </c>
      <c r="U1438" s="13"/>
      <c r="V1438" s="13"/>
      <c r="W1438" s="13">
        <v>6.6759259259259254E-2</v>
      </c>
    </row>
    <row r="1439" spans="1:23" ht="15" customHeight="1" x14ac:dyDescent="0.25">
      <c r="A1439" s="19">
        <v>46252</v>
      </c>
      <c r="B1439" s="11" t="s">
        <v>606</v>
      </c>
      <c r="C1439" s="12" t="s">
        <v>633</v>
      </c>
      <c r="D1439" s="11" t="s">
        <v>146</v>
      </c>
      <c r="E1439" s="12" t="s">
        <v>147</v>
      </c>
      <c r="F1439" s="12" t="s">
        <v>106</v>
      </c>
      <c r="G1439" s="12">
        <v>13</v>
      </c>
      <c r="H1439" s="13">
        <v>0.25868055555555558</v>
      </c>
      <c r="I1439" s="13">
        <v>8.6701388888888883E-2</v>
      </c>
      <c r="J1439" s="13">
        <v>6.6693376068376062E-3</v>
      </c>
      <c r="K1439" s="13">
        <v>8.7499999999999994E-2</v>
      </c>
      <c r="L1439" s="14">
        <v>0.33825503355704695</v>
      </c>
      <c r="M1439" s="12" t="s">
        <v>334</v>
      </c>
      <c r="N1439" s="13">
        <v>1.6701388888888891E-2</v>
      </c>
      <c r="O1439" s="13">
        <v>1.3993055555555555E-2</v>
      </c>
      <c r="P1439" s="13"/>
      <c r="Q1439" s="13">
        <v>2.1643518518518518E-3</v>
      </c>
      <c r="R1439" s="13"/>
      <c r="S1439" s="13">
        <v>1.5335648148148149E-2</v>
      </c>
      <c r="T1439" s="13">
        <v>1.5393518518518519E-3</v>
      </c>
      <c r="U1439" s="13">
        <v>2.5312500000000002E-2</v>
      </c>
      <c r="V1439" s="13"/>
      <c r="W1439" s="13">
        <v>1.2442129629629629E-2</v>
      </c>
    </row>
    <row r="1440" spans="1:23" ht="15" customHeight="1" x14ac:dyDescent="0.25">
      <c r="A1440" s="19">
        <v>46252</v>
      </c>
      <c r="B1440" s="11" t="s">
        <v>256</v>
      </c>
      <c r="C1440" s="12" t="s">
        <v>529</v>
      </c>
      <c r="D1440" s="11" t="s">
        <v>233</v>
      </c>
      <c r="E1440" s="12" t="s">
        <v>32</v>
      </c>
      <c r="F1440" s="12" t="s">
        <v>106</v>
      </c>
      <c r="G1440" s="12">
        <v>18</v>
      </c>
      <c r="H1440" s="13">
        <v>0.24166666666666667</v>
      </c>
      <c r="I1440" s="13">
        <v>0.11570601851851851</v>
      </c>
      <c r="J1440" s="13">
        <v>6.4281121399176952E-3</v>
      </c>
      <c r="K1440" s="13">
        <v>5.212962962962963E-2</v>
      </c>
      <c r="L1440" s="14">
        <v>0.2157088122605364</v>
      </c>
      <c r="M1440" s="12" t="s">
        <v>334</v>
      </c>
      <c r="N1440" s="13">
        <v>1.6261574074074074E-2</v>
      </c>
      <c r="O1440" s="13">
        <v>1.726851851851852E-2</v>
      </c>
      <c r="P1440" s="13"/>
      <c r="Q1440" s="13"/>
      <c r="R1440" s="13"/>
      <c r="S1440" s="13">
        <v>1.4780092592592593E-2</v>
      </c>
      <c r="T1440" s="13">
        <v>1.736111111111111E-3</v>
      </c>
      <c r="U1440" s="13">
        <v>2.0486111111111113E-3</v>
      </c>
      <c r="V1440" s="13"/>
      <c r="W1440" s="13"/>
    </row>
    <row r="1441" spans="1:23" ht="15" customHeight="1" x14ac:dyDescent="0.25">
      <c r="A1441" s="19">
        <v>46252</v>
      </c>
      <c r="B1441" s="11" t="s">
        <v>612</v>
      </c>
      <c r="C1441" s="12" t="s">
        <v>634</v>
      </c>
      <c r="D1441" s="11" t="s">
        <v>601</v>
      </c>
      <c r="E1441" s="12" t="s">
        <v>105</v>
      </c>
      <c r="F1441" s="12" t="s">
        <v>33</v>
      </c>
      <c r="G1441" s="12">
        <v>5</v>
      </c>
      <c r="H1441" s="13">
        <v>0.23636574074074074</v>
      </c>
      <c r="I1441" s="13">
        <v>9.4328703703703706E-2</v>
      </c>
      <c r="J1441" s="13">
        <v>1.8865740740740742E-2</v>
      </c>
      <c r="K1441" s="13">
        <v>0.2170138888888889</v>
      </c>
      <c r="L1441" s="14">
        <v>0.91812750954852618</v>
      </c>
      <c r="M1441" s="12" t="s">
        <v>334</v>
      </c>
      <c r="N1441" s="13">
        <v>3.3460648148148149E-2</v>
      </c>
      <c r="O1441" s="13">
        <v>1.7141203703703704E-2</v>
      </c>
      <c r="P1441" s="13"/>
      <c r="Q1441" s="13"/>
      <c r="R1441" s="13"/>
      <c r="S1441" s="13">
        <v>1.4166666666666666E-2</v>
      </c>
      <c r="T1441" s="13">
        <v>4.2164351851851849E-2</v>
      </c>
      <c r="U1441" s="13">
        <v>0.11008101851851852</v>
      </c>
      <c r="V1441" s="13"/>
      <c r="W1441" s="13"/>
    </row>
    <row r="1442" spans="1:23" ht="15" customHeight="1" x14ac:dyDescent="0.25">
      <c r="A1442" s="19">
        <v>46252</v>
      </c>
      <c r="B1442" s="11" t="s">
        <v>258</v>
      </c>
      <c r="C1442" s="12" t="s">
        <v>554</v>
      </c>
      <c r="D1442" s="11" t="s">
        <v>233</v>
      </c>
      <c r="E1442" s="12" t="s">
        <v>32</v>
      </c>
      <c r="F1442" s="12" t="s">
        <v>106</v>
      </c>
      <c r="G1442" s="12">
        <v>0</v>
      </c>
      <c r="H1442" s="13">
        <v>0.21725694444444443</v>
      </c>
      <c r="I1442" s="13">
        <v>0</v>
      </c>
      <c r="J1442" s="13">
        <v>0</v>
      </c>
      <c r="K1442" s="13">
        <v>0.21725694444444443</v>
      </c>
      <c r="L1442" s="14">
        <v>1</v>
      </c>
      <c r="M1442" s="12" t="s">
        <v>334</v>
      </c>
      <c r="N1442" s="13"/>
      <c r="O1442" s="13"/>
      <c r="P1442" s="13"/>
      <c r="Q1442" s="13"/>
      <c r="R1442" s="13"/>
      <c r="S1442" s="13">
        <v>1.3310185185185185E-2</v>
      </c>
      <c r="T1442" s="13">
        <v>1.3680555555555555E-2</v>
      </c>
      <c r="U1442" s="13"/>
      <c r="V1442" s="13"/>
      <c r="W1442" s="13">
        <v>0.1902662037037037</v>
      </c>
    </row>
    <row r="1443" spans="1:23" ht="15" customHeight="1" x14ac:dyDescent="0.25">
      <c r="A1443" s="19">
        <v>46252</v>
      </c>
      <c r="B1443" s="11" t="s">
        <v>661</v>
      </c>
      <c r="C1443" s="12" t="s">
        <v>662</v>
      </c>
      <c r="D1443" s="11" t="s">
        <v>100</v>
      </c>
      <c r="E1443" s="12" t="s">
        <v>32</v>
      </c>
      <c r="F1443" s="12" t="s">
        <v>33</v>
      </c>
      <c r="G1443" s="12">
        <v>27</v>
      </c>
      <c r="H1443" s="13">
        <v>0.26270833333333332</v>
      </c>
      <c r="I1443" s="13">
        <v>0.14656250000000001</v>
      </c>
      <c r="J1443" s="13">
        <v>5.4282407407407413E-3</v>
      </c>
      <c r="K1443" s="13">
        <v>8.9687500000000003E-2</v>
      </c>
      <c r="L1443" s="14">
        <v>0.34139571768437749</v>
      </c>
      <c r="M1443" s="12" t="s">
        <v>334</v>
      </c>
      <c r="N1443" s="13">
        <v>4.1319444444444442E-3</v>
      </c>
      <c r="O1443" s="13">
        <v>7.9166666666666673E-3</v>
      </c>
      <c r="P1443" s="13"/>
      <c r="Q1443" s="13">
        <v>3.9664351851851853E-2</v>
      </c>
      <c r="R1443" s="13">
        <v>5.7870370370370373E-5</v>
      </c>
      <c r="S1443" s="13">
        <v>1.4293981481481482E-2</v>
      </c>
      <c r="T1443" s="13">
        <v>7.4074074074074077E-3</v>
      </c>
      <c r="U1443" s="13">
        <v>6.1342592592592594E-3</v>
      </c>
      <c r="V1443" s="13"/>
      <c r="W1443" s="13">
        <v>1.0046296296296296E-2</v>
      </c>
    </row>
    <row r="1444" spans="1:23" ht="15" customHeight="1" x14ac:dyDescent="0.25">
      <c r="A1444" s="19">
        <v>46252</v>
      </c>
      <c r="B1444" s="11" t="s">
        <v>663</v>
      </c>
      <c r="C1444" s="12" t="s">
        <v>664</v>
      </c>
      <c r="D1444" s="11" t="s">
        <v>233</v>
      </c>
      <c r="E1444" s="12" t="s">
        <v>32</v>
      </c>
      <c r="F1444" s="12" t="s">
        <v>106</v>
      </c>
      <c r="G1444" s="12">
        <v>25</v>
      </c>
      <c r="H1444" s="13">
        <v>0.25890046296296299</v>
      </c>
      <c r="I1444" s="13">
        <v>0.1419212962962963</v>
      </c>
      <c r="J1444" s="13">
        <v>5.6768518518518522E-3</v>
      </c>
      <c r="K1444" s="13">
        <v>3.5787037037037034E-2</v>
      </c>
      <c r="L1444" s="14">
        <v>0.13822701059501988</v>
      </c>
      <c r="M1444" s="12" t="s">
        <v>334</v>
      </c>
      <c r="N1444" s="13">
        <v>4.2939814814814811E-3</v>
      </c>
      <c r="O1444" s="13">
        <v>1.3981481481481482E-2</v>
      </c>
      <c r="P1444" s="13"/>
      <c r="Q1444" s="13">
        <v>1.0185185185185184E-3</v>
      </c>
      <c r="R1444" s="13"/>
      <c r="S1444" s="13">
        <v>1.6423611111111111E-2</v>
      </c>
      <c r="T1444" s="13">
        <v>6.9444444444444444E-5</v>
      </c>
      <c r="U1444" s="13"/>
      <c r="V1444" s="13"/>
      <c r="W1444" s="13"/>
    </row>
    <row r="1445" spans="1:23" ht="15" customHeight="1" x14ac:dyDescent="0.25">
      <c r="A1445" s="19">
        <v>46252</v>
      </c>
      <c r="B1445" s="11" t="s">
        <v>665</v>
      </c>
      <c r="C1445" s="12" t="s">
        <v>666</v>
      </c>
      <c r="D1445" s="11" t="s">
        <v>100</v>
      </c>
      <c r="E1445" s="12" t="s">
        <v>32</v>
      </c>
      <c r="F1445" s="12" t="s">
        <v>33</v>
      </c>
      <c r="G1445" s="12">
        <v>46</v>
      </c>
      <c r="H1445" s="13">
        <v>0.26019675925925928</v>
      </c>
      <c r="I1445" s="13">
        <v>0.19690972222222222</v>
      </c>
      <c r="J1445" s="13">
        <v>4.2806461352657005E-3</v>
      </c>
      <c r="K1445" s="13">
        <v>3.4490740740740738E-2</v>
      </c>
      <c r="L1445" s="14">
        <v>0.13255638094390818</v>
      </c>
      <c r="M1445" s="12" t="s">
        <v>334</v>
      </c>
      <c r="N1445" s="13">
        <v>3.8194444444444446E-4</v>
      </c>
      <c r="O1445" s="13">
        <v>1.4166666666666666E-2</v>
      </c>
      <c r="P1445" s="13"/>
      <c r="Q1445" s="13"/>
      <c r="R1445" s="13">
        <v>6.9444444444444444E-5</v>
      </c>
      <c r="S1445" s="13">
        <v>1.1168981481481481E-2</v>
      </c>
      <c r="T1445" s="13">
        <v>6.0185185185185185E-3</v>
      </c>
      <c r="U1445" s="13">
        <v>2.5694444444444445E-3</v>
      </c>
      <c r="V1445" s="13"/>
      <c r="W1445" s="13"/>
    </row>
    <row r="1446" spans="1:23" ht="15" customHeight="1" x14ac:dyDescent="0.25">
      <c r="A1446" s="19">
        <v>46252</v>
      </c>
      <c r="B1446" s="11" t="s">
        <v>264</v>
      </c>
      <c r="C1446" s="12" t="s">
        <v>530</v>
      </c>
      <c r="D1446" s="11" t="s">
        <v>78</v>
      </c>
      <c r="E1446" s="12" t="s">
        <v>80</v>
      </c>
      <c r="F1446" s="12" t="s">
        <v>106</v>
      </c>
      <c r="G1446" s="12">
        <v>1</v>
      </c>
      <c r="H1446" s="13">
        <v>0.57762731481481477</v>
      </c>
      <c r="I1446" s="13">
        <v>1.2592592592592593E-2</v>
      </c>
      <c r="J1446" s="13">
        <v>1.2592592592592593E-2</v>
      </c>
      <c r="K1446" s="13">
        <v>4.7430555555555552E-2</v>
      </c>
      <c r="L1446" s="14">
        <v>8.2112729677199597E-2</v>
      </c>
      <c r="M1446" s="12" t="s">
        <v>334</v>
      </c>
      <c r="N1446" s="13"/>
      <c r="O1446" s="13"/>
      <c r="P1446" s="13"/>
      <c r="Q1446" s="13"/>
      <c r="R1446" s="13">
        <v>8.1018518518518516E-5</v>
      </c>
      <c r="S1446" s="13">
        <v>4.130787037037037E-2</v>
      </c>
      <c r="T1446" s="13">
        <v>1.1574074074074075E-4</v>
      </c>
      <c r="U1446" s="13">
        <v>6.9444444444444447E-4</v>
      </c>
      <c r="V1446" s="13"/>
      <c r="W1446" s="13">
        <v>5.162037037037037E-3</v>
      </c>
    </row>
    <row r="1447" spans="1:23" ht="15" customHeight="1" x14ac:dyDescent="0.25">
      <c r="A1447" s="19">
        <v>46252</v>
      </c>
      <c r="B1447" s="11" t="s">
        <v>128</v>
      </c>
      <c r="C1447" s="12" t="s">
        <v>555</v>
      </c>
      <c r="D1447" s="11" t="s">
        <v>233</v>
      </c>
      <c r="E1447" s="12" t="s">
        <v>32</v>
      </c>
      <c r="F1447" s="12" t="s">
        <v>106</v>
      </c>
      <c r="G1447" s="12">
        <v>24</v>
      </c>
      <c r="H1447" s="13">
        <v>0.24863425925925925</v>
      </c>
      <c r="I1447" s="13">
        <v>0.12351851851851851</v>
      </c>
      <c r="J1447" s="13">
        <v>5.1466049382716044E-3</v>
      </c>
      <c r="K1447" s="13">
        <v>4.6053240740740742E-2</v>
      </c>
      <c r="L1447" s="14">
        <v>0.18522483940042828</v>
      </c>
      <c r="M1447" s="12" t="s">
        <v>334</v>
      </c>
      <c r="N1447" s="13">
        <v>7.2685185185185188E-3</v>
      </c>
      <c r="O1447" s="13">
        <v>1.4074074074074074E-2</v>
      </c>
      <c r="P1447" s="13"/>
      <c r="Q1447" s="13">
        <v>9.0393518518518522E-3</v>
      </c>
      <c r="R1447" s="13"/>
      <c r="S1447" s="13">
        <v>1.3935185185185186E-2</v>
      </c>
      <c r="T1447" s="13">
        <v>1.0995370370370371E-3</v>
      </c>
      <c r="U1447" s="13">
        <v>6.134259259259259E-4</v>
      </c>
      <c r="V1447" s="13"/>
      <c r="W1447" s="13"/>
    </row>
    <row r="1448" spans="1:23" ht="15" customHeight="1" x14ac:dyDescent="0.25">
      <c r="A1448" s="19">
        <v>46252</v>
      </c>
      <c r="B1448" s="11" t="s">
        <v>178</v>
      </c>
      <c r="C1448" s="12" t="s">
        <v>522</v>
      </c>
      <c r="D1448" s="11" t="s">
        <v>146</v>
      </c>
      <c r="E1448" s="12" t="s">
        <v>147</v>
      </c>
      <c r="F1448" s="12" t="s">
        <v>106</v>
      </c>
      <c r="G1448" s="12">
        <v>22</v>
      </c>
      <c r="H1448" s="13">
        <v>0.25515046296296295</v>
      </c>
      <c r="I1448" s="13">
        <v>8.3645833333333336E-2</v>
      </c>
      <c r="J1448" s="13">
        <v>3.8020833333333335E-3</v>
      </c>
      <c r="K1448" s="13">
        <v>3.1412037037037037E-2</v>
      </c>
      <c r="L1448" s="14">
        <v>0.12311181673848946</v>
      </c>
      <c r="M1448" s="12" t="s">
        <v>334</v>
      </c>
      <c r="N1448" s="13"/>
      <c r="O1448" s="13">
        <v>1.4664351851851852E-2</v>
      </c>
      <c r="P1448" s="13"/>
      <c r="Q1448" s="13">
        <v>1.4004629629629629E-3</v>
      </c>
      <c r="R1448" s="13"/>
      <c r="S1448" s="13">
        <v>1.4212962962962964E-2</v>
      </c>
      <c r="T1448" s="13">
        <v>1.273148148148148E-4</v>
      </c>
      <c r="U1448" s="13">
        <v>9.6064814814814819E-4</v>
      </c>
      <c r="V1448" s="13"/>
      <c r="W1448" s="13"/>
    </row>
    <row r="1449" spans="1:23" ht="15" customHeight="1" x14ac:dyDescent="0.25">
      <c r="A1449" s="19">
        <v>46252</v>
      </c>
      <c r="B1449" s="11" t="s">
        <v>266</v>
      </c>
      <c r="C1449" s="12" t="s">
        <v>531</v>
      </c>
      <c r="D1449" s="11" t="s">
        <v>233</v>
      </c>
      <c r="E1449" s="12" t="s">
        <v>32</v>
      </c>
      <c r="F1449" s="12" t="s">
        <v>106</v>
      </c>
      <c r="G1449" s="12">
        <v>0</v>
      </c>
      <c r="H1449" s="13">
        <v>0.2167013888888889</v>
      </c>
      <c r="I1449" s="13">
        <v>0</v>
      </c>
      <c r="J1449" s="13">
        <v>0</v>
      </c>
      <c r="K1449" s="13">
        <v>0.2167013888888889</v>
      </c>
      <c r="L1449" s="14">
        <v>1</v>
      </c>
      <c r="M1449" s="12" t="s">
        <v>334</v>
      </c>
      <c r="N1449" s="13"/>
      <c r="O1449" s="13">
        <v>1.0937499999999999E-2</v>
      </c>
      <c r="P1449" s="13"/>
      <c r="Q1449" s="13"/>
      <c r="R1449" s="13"/>
      <c r="S1449" s="13">
        <v>1.3854166666666667E-2</v>
      </c>
      <c r="T1449" s="13">
        <v>7.5231481481481482E-4</v>
      </c>
      <c r="U1449" s="13"/>
      <c r="V1449" s="13"/>
      <c r="W1449" s="13">
        <v>0.19115740740740741</v>
      </c>
    </row>
    <row r="1450" spans="1:23" ht="15" customHeight="1" x14ac:dyDescent="0.25">
      <c r="A1450" s="19">
        <v>46252</v>
      </c>
      <c r="B1450" s="11" t="s">
        <v>297</v>
      </c>
      <c r="C1450" s="12" t="s">
        <v>667</v>
      </c>
      <c r="D1450" s="11" t="s">
        <v>104</v>
      </c>
      <c r="E1450" s="12" t="s">
        <v>105</v>
      </c>
      <c r="F1450" s="12" t="s">
        <v>106</v>
      </c>
      <c r="G1450" s="12">
        <v>15</v>
      </c>
      <c r="H1450" s="13">
        <v>0.24082175925925925</v>
      </c>
      <c r="I1450" s="13">
        <v>0.12340277777777778</v>
      </c>
      <c r="J1450" s="13">
        <v>8.2268518518518515E-3</v>
      </c>
      <c r="K1450" s="13">
        <v>0.16762731481481483</v>
      </c>
      <c r="L1450" s="14">
        <v>0.69606382467438854</v>
      </c>
      <c r="M1450" s="12" t="s">
        <v>334</v>
      </c>
      <c r="N1450" s="13">
        <v>1.462962962962963E-2</v>
      </c>
      <c r="O1450" s="13">
        <v>1.6168981481481482E-2</v>
      </c>
      <c r="P1450" s="13"/>
      <c r="Q1450" s="13">
        <v>2.3842592592592591E-3</v>
      </c>
      <c r="R1450" s="13"/>
      <c r="S1450" s="13">
        <v>1.7291666666666667E-2</v>
      </c>
      <c r="T1450" s="13">
        <v>4.2824074074074075E-4</v>
      </c>
      <c r="U1450" s="13">
        <v>1.2962962962962963E-3</v>
      </c>
      <c r="V1450" s="13"/>
      <c r="W1450" s="13">
        <v>0.11538194444444444</v>
      </c>
    </row>
    <row r="1451" spans="1:23" ht="15" customHeight="1" x14ac:dyDescent="0.25">
      <c r="A1451" s="19">
        <v>46252</v>
      </c>
      <c r="B1451" s="11" t="s">
        <v>207</v>
      </c>
      <c r="C1451" s="12" t="s">
        <v>566</v>
      </c>
      <c r="D1451" s="11" t="s">
        <v>274</v>
      </c>
      <c r="E1451" s="12" t="s">
        <v>147</v>
      </c>
      <c r="F1451" s="12" t="s">
        <v>33</v>
      </c>
      <c r="G1451" s="12">
        <v>25</v>
      </c>
      <c r="H1451" s="13">
        <v>0.26549768518518518</v>
      </c>
      <c r="I1451" s="13">
        <v>9.2546296296296293E-2</v>
      </c>
      <c r="J1451" s="13">
        <v>3.7018518518518516E-3</v>
      </c>
      <c r="K1451" s="13">
        <v>3.2650462962962964E-2</v>
      </c>
      <c r="L1451" s="14">
        <v>0.12297833384192861</v>
      </c>
      <c r="M1451" s="12" t="s">
        <v>334</v>
      </c>
      <c r="N1451" s="13">
        <v>1.7592592592592592E-3</v>
      </c>
      <c r="O1451" s="13">
        <v>6.9328703703703705E-3</v>
      </c>
      <c r="P1451" s="13"/>
      <c r="Q1451" s="13"/>
      <c r="R1451" s="13">
        <v>7.4189814814814813E-3</v>
      </c>
      <c r="S1451" s="13">
        <v>1.457175925925926E-2</v>
      </c>
      <c r="T1451" s="13">
        <v>1.6203703703703703E-4</v>
      </c>
      <c r="U1451" s="13">
        <v>1.7824074074074075E-3</v>
      </c>
      <c r="V1451" s="13"/>
      <c r="W1451" s="13"/>
    </row>
    <row r="1452" spans="1:23" ht="15" customHeight="1" x14ac:dyDescent="0.25">
      <c r="A1452" s="19">
        <v>46252</v>
      </c>
      <c r="B1452" s="11" t="s">
        <v>614</v>
      </c>
      <c r="C1452" s="12" t="s">
        <v>635</v>
      </c>
      <c r="D1452" s="11" t="s">
        <v>601</v>
      </c>
      <c r="E1452" s="12" t="s">
        <v>105</v>
      </c>
      <c r="F1452" s="12" t="s">
        <v>33</v>
      </c>
      <c r="G1452" s="12">
        <v>27</v>
      </c>
      <c r="H1452" s="13">
        <v>0.21116898148148147</v>
      </c>
      <c r="I1452" s="13">
        <v>0.10774305555555555</v>
      </c>
      <c r="J1452" s="13">
        <v>3.9904835390946504E-3</v>
      </c>
      <c r="K1452" s="13">
        <v>9.0162037037037041E-2</v>
      </c>
      <c r="L1452" s="14">
        <v>0.4269662921348315</v>
      </c>
      <c r="M1452" s="12" t="s">
        <v>334</v>
      </c>
      <c r="N1452" s="13">
        <v>1.2939814814814815E-2</v>
      </c>
      <c r="O1452" s="13">
        <v>9.5949074074074079E-3</v>
      </c>
      <c r="P1452" s="13"/>
      <c r="Q1452" s="13"/>
      <c r="R1452" s="13"/>
      <c r="S1452" s="13">
        <v>1.7881944444444443E-2</v>
      </c>
      <c r="T1452" s="13">
        <v>1.3935185185185186E-2</v>
      </c>
      <c r="U1452" s="13">
        <v>3.5810185185185188E-2</v>
      </c>
      <c r="V1452" s="13"/>
      <c r="W1452" s="13"/>
    </row>
    <row r="1453" spans="1:23" ht="15" customHeight="1" x14ac:dyDescent="0.25">
      <c r="A1453" s="19">
        <v>46252</v>
      </c>
      <c r="B1453" s="11" t="s">
        <v>96</v>
      </c>
      <c r="C1453" s="12" t="s">
        <v>97</v>
      </c>
      <c r="D1453" s="11" t="s">
        <v>78</v>
      </c>
      <c r="E1453" s="12" t="s">
        <v>80</v>
      </c>
      <c r="F1453" s="12" t="s">
        <v>81</v>
      </c>
      <c r="G1453" s="12">
        <v>0</v>
      </c>
      <c r="H1453" s="13">
        <v>0.33541666666666664</v>
      </c>
      <c r="I1453" s="13">
        <v>0</v>
      </c>
      <c r="J1453" s="13">
        <v>0</v>
      </c>
      <c r="K1453" s="13">
        <v>8.7881944444444443E-2</v>
      </c>
      <c r="L1453" s="14">
        <v>0.26200828157349898</v>
      </c>
      <c r="M1453" s="12" t="s">
        <v>334</v>
      </c>
      <c r="N1453" s="13">
        <v>2.4386574074074074E-2</v>
      </c>
      <c r="O1453" s="13">
        <v>4.3472222222222225E-2</v>
      </c>
      <c r="P1453" s="13"/>
      <c r="Q1453" s="13"/>
      <c r="R1453" s="13"/>
      <c r="S1453" s="13">
        <v>1.5300925925925926E-2</v>
      </c>
      <c r="T1453" s="13">
        <v>5.7870370370370373E-5</v>
      </c>
      <c r="U1453" s="13">
        <v>1.3310185185185185E-3</v>
      </c>
      <c r="V1453" s="13"/>
      <c r="W1453" s="13">
        <v>3.2754629629629631E-3</v>
      </c>
    </row>
    <row r="1454" spans="1:23" ht="15" customHeight="1" x14ac:dyDescent="0.25">
      <c r="A1454" s="19">
        <v>46252</v>
      </c>
      <c r="B1454" s="11" t="s">
        <v>180</v>
      </c>
      <c r="C1454" s="12" t="s">
        <v>523</v>
      </c>
      <c r="D1454" s="11" t="s">
        <v>146</v>
      </c>
      <c r="E1454" s="12" t="s">
        <v>147</v>
      </c>
      <c r="F1454" s="12" t="s">
        <v>106</v>
      </c>
      <c r="G1454" s="12">
        <v>16</v>
      </c>
      <c r="H1454" s="13">
        <v>0.2565277777777778</v>
      </c>
      <c r="I1454" s="13">
        <v>9.4386574074074067E-2</v>
      </c>
      <c r="J1454" s="13">
        <v>5.8991608796296292E-3</v>
      </c>
      <c r="K1454" s="13">
        <v>3.4594907407407408E-2</v>
      </c>
      <c r="L1454" s="14">
        <v>0.13485832882151236</v>
      </c>
      <c r="M1454" s="12" t="s">
        <v>334</v>
      </c>
      <c r="N1454" s="13">
        <v>3.9930555555555552E-3</v>
      </c>
      <c r="O1454" s="13">
        <v>1.4965277777777777E-2</v>
      </c>
      <c r="P1454" s="13"/>
      <c r="Q1454" s="13"/>
      <c r="R1454" s="13"/>
      <c r="S1454" s="13">
        <v>1.3946759259259259E-2</v>
      </c>
      <c r="T1454" s="13">
        <v>1.7361111111111112E-4</v>
      </c>
      <c r="U1454" s="13">
        <v>5.3240740740740744E-4</v>
      </c>
      <c r="V1454" s="13"/>
      <c r="W1454" s="13">
        <v>9.7222222222222219E-4</v>
      </c>
    </row>
    <row r="1455" spans="1:23" ht="15" customHeight="1" x14ac:dyDescent="0.25">
      <c r="A1455" s="19">
        <v>46252</v>
      </c>
      <c r="B1455" s="11" t="s">
        <v>615</v>
      </c>
      <c r="C1455" s="12" t="s">
        <v>636</v>
      </c>
      <c r="D1455" s="11" t="s">
        <v>601</v>
      </c>
      <c r="E1455" s="12" t="s">
        <v>105</v>
      </c>
      <c r="F1455" s="12" t="s">
        <v>33</v>
      </c>
      <c r="G1455" s="12">
        <v>10</v>
      </c>
      <c r="H1455" s="13">
        <v>0.23695601851851852</v>
      </c>
      <c r="I1455" s="13">
        <v>0.14829861111111112</v>
      </c>
      <c r="J1455" s="13">
        <v>1.4829861111111111E-2</v>
      </c>
      <c r="K1455" s="13">
        <v>0.18756944444444446</v>
      </c>
      <c r="L1455" s="14">
        <v>0.79157915303082116</v>
      </c>
      <c r="M1455" s="12" t="s">
        <v>334</v>
      </c>
      <c r="N1455" s="13">
        <v>2.2106481481481482E-3</v>
      </c>
      <c r="O1455" s="13">
        <v>1.0393518518518519E-2</v>
      </c>
      <c r="P1455" s="13"/>
      <c r="Q1455" s="13">
        <v>3.1273148148148147E-2</v>
      </c>
      <c r="R1455" s="13"/>
      <c r="S1455" s="13">
        <v>1.3888888888888888E-2</v>
      </c>
      <c r="T1455" s="13">
        <v>2.3495370370370371E-3</v>
      </c>
      <c r="U1455" s="13">
        <v>0.12745370370370371</v>
      </c>
      <c r="V1455" s="13"/>
      <c r="W1455" s="13"/>
    </row>
    <row r="1456" spans="1:23" ht="15" customHeight="1" x14ac:dyDescent="0.25">
      <c r="A1456" s="19">
        <v>46252</v>
      </c>
      <c r="B1456" s="11" t="s">
        <v>616</v>
      </c>
      <c r="C1456" s="12" t="s">
        <v>637</v>
      </c>
      <c r="D1456" s="11" t="s">
        <v>601</v>
      </c>
      <c r="E1456" s="12" t="s">
        <v>105</v>
      </c>
      <c r="F1456" s="12" t="s">
        <v>33</v>
      </c>
      <c r="G1456" s="12">
        <v>5</v>
      </c>
      <c r="H1456" s="13">
        <v>0.12408564814814815</v>
      </c>
      <c r="I1456" s="13">
        <v>1.9710648148148147E-2</v>
      </c>
      <c r="J1456" s="13">
        <v>3.9421296296296296E-3</v>
      </c>
      <c r="K1456" s="13">
        <v>8.7465277777777781E-2</v>
      </c>
      <c r="L1456" s="14">
        <v>0.70487827628019772</v>
      </c>
      <c r="M1456" s="12" t="s">
        <v>334</v>
      </c>
      <c r="N1456" s="13">
        <v>3.7731481481481483E-3</v>
      </c>
      <c r="O1456" s="13">
        <v>1.5902777777777776E-2</v>
      </c>
      <c r="P1456" s="13"/>
      <c r="Q1456" s="13">
        <v>8.7615740740740744E-3</v>
      </c>
      <c r="R1456" s="13"/>
      <c r="S1456" s="13">
        <v>1.3946759259259259E-2</v>
      </c>
      <c r="T1456" s="13">
        <v>2.627314814814815E-3</v>
      </c>
      <c r="U1456" s="13">
        <v>4.2407407407407408E-2</v>
      </c>
      <c r="V1456" s="13"/>
      <c r="W1456" s="13">
        <v>4.6296296296296294E-5</v>
      </c>
    </row>
    <row r="1457" spans="1:23" ht="15" customHeight="1" x14ac:dyDescent="0.25">
      <c r="A1457" s="19">
        <v>46252</v>
      </c>
      <c r="B1457" s="11" t="s">
        <v>209</v>
      </c>
      <c r="C1457" s="12" t="s">
        <v>567</v>
      </c>
      <c r="D1457" s="11" t="s">
        <v>601</v>
      </c>
      <c r="E1457" s="12" t="s">
        <v>105</v>
      </c>
      <c r="F1457" s="12" t="s">
        <v>33</v>
      </c>
      <c r="G1457" s="12">
        <v>7</v>
      </c>
      <c r="H1457" s="13">
        <v>0.24916666666666668</v>
      </c>
      <c r="I1457" s="13">
        <v>8.790509259259259E-2</v>
      </c>
      <c r="J1457" s="13">
        <v>1.255787037037037E-2</v>
      </c>
      <c r="K1457" s="13">
        <v>0.17927083333333332</v>
      </c>
      <c r="L1457" s="14">
        <v>0.71948160535117045</v>
      </c>
      <c r="M1457" s="12" t="s">
        <v>334</v>
      </c>
      <c r="N1457" s="13"/>
      <c r="O1457" s="13">
        <v>7.1759259259259259E-3</v>
      </c>
      <c r="P1457" s="13"/>
      <c r="Q1457" s="13">
        <v>7.6388888888888886E-3</v>
      </c>
      <c r="R1457" s="13"/>
      <c r="S1457" s="13">
        <v>7.8703703703703696E-3</v>
      </c>
      <c r="T1457" s="13">
        <v>2.7430555555555554E-3</v>
      </c>
      <c r="U1457" s="13">
        <v>0.15384259259259259</v>
      </c>
      <c r="V1457" s="13"/>
      <c r="W1457" s="13"/>
    </row>
    <row r="1458" spans="1:23" ht="15" customHeight="1" x14ac:dyDescent="0.25">
      <c r="A1458" s="19">
        <v>46252</v>
      </c>
      <c r="B1458" s="11" t="s">
        <v>60</v>
      </c>
      <c r="C1458" s="12" t="s">
        <v>510</v>
      </c>
      <c r="D1458" s="11" t="s">
        <v>100</v>
      </c>
      <c r="E1458" s="12" t="s">
        <v>32</v>
      </c>
      <c r="F1458" s="12" t="s">
        <v>33</v>
      </c>
      <c r="G1458" s="12">
        <v>49</v>
      </c>
      <c r="H1458" s="13">
        <v>0.31065972222222221</v>
      </c>
      <c r="I1458" s="13">
        <v>0.22875000000000001</v>
      </c>
      <c r="J1458" s="13">
        <v>4.668367346938776E-3</v>
      </c>
      <c r="K1458" s="13">
        <v>4.0578703703703707E-2</v>
      </c>
      <c r="L1458" s="14">
        <v>0.13062106478894231</v>
      </c>
      <c r="M1458" s="12" t="s">
        <v>334</v>
      </c>
      <c r="N1458" s="13">
        <v>4.9421296296296297E-3</v>
      </c>
      <c r="O1458" s="13">
        <v>1.3275462962962963E-2</v>
      </c>
      <c r="P1458" s="13"/>
      <c r="Q1458" s="13"/>
      <c r="R1458" s="13">
        <v>4.5717592592592589E-3</v>
      </c>
      <c r="S1458" s="13">
        <v>1.494212962962963E-2</v>
      </c>
      <c r="T1458" s="13">
        <v>1.9675925925925926E-4</v>
      </c>
      <c r="U1458" s="13">
        <v>2.5578703703703705E-3</v>
      </c>
      <c r="V1458" s="13"/>
      <c r="W1458" s="13"/>
    </row>
    <row r="1459" spans="1:23" ht="15" customHeight="1" x14ac:dyDescent="0.25">
      <c r="A1459" s="19">
        <v>46252</v>
      </c>
      <c r="B1459" s="11" t="s">
        <v>132</v>
      </c>
      <c r="C1459" s="12" t="s">
        <v>512</v>
      </c>
      <c r="D1459" s="11" t="s">
        <v>104</v>
      </c>
      <c r="E1459" s="12" t="s">
        <v>105</v>
      </c>
      <c r="F1459" s="12" t="s">
        <v>106</v>
      </c>
      <c r="G1459" s="12">
        <v>11</v>
      </c>
      <c r="H1459" s="13">
        <v>0.25962962962962965</v>
      </c>
      <c r="I1459" s="13">
        <v>0.16011574074074075</v>
      </c>
      <c r="J1459" s="13">
        <v>1.4555976430976432E-2</v>
      </c>
      <c r="K1459" s="13">
        <v>0.15005787037037038</v>
      </c>
      <c r="L1459" s="14">
        <v>0.57796897289586302</v>
      </c>
      <c r="M1459" s="12" t="s">
        <v>334</v>
      </c>
      <c r="N1459" s="13">
        <v>2.3379629629629631E-3</v>
      </c>
      <c r="O1459" s="13">
        <v>1.4305555555555556E-2</v>
      </c>
      <c r="P1459" s="13"/>
      <c r="Q1459" s="13"/>
      <c r="R1459" s="13"/>
      <c r="S1459" s="13">
        <v>1.3819444444444445E-2</v>
      </c>
      <c r="T1459" s="13">
        <v>1.7361111111111112E-4</v>
      </c>
      <c r="U1459" s="13">
        <v>5.7870370370370367E-4</v>
      </c>
      <c r="V1459" s="13"/>
      <c r="W1459" s="13">
        <v>0.1188425925925926</v>
      </c>
    </row>
    <row r="1460" spans="1:23" ht="15" customHeight="1" x14ac:dyDescent="0.25">
      <c r="A1460" s="19">
        <v>46252</v>
      </c>
      <c r="B1460" s="11" t="s">
        <v>134</v>
      </c>
      <c r="C1460" s="12" t="s">
        <v>560</v>
      </c>
      <c r="D1460" s="11" t="s">
        <v>104</v>
      </c>
      <c r="E1460" s="12" t="s">
        <v>105</v>
      </c>
      <c r="F1460" s="12" t="s">
        <v>106</v>
      </c>
      <c r="G1460" s="12">
        <v>9</v>
      </c>
      <c r="H1460" s="13">
        <v>0.26287037037037037</v>
      </c>
      <c r="I1460" s="13">
        <v>0.14910879629629631</v>
      </c>
      <c r="J1460" s="13">
        <v>1.6567644032921811E-2</v>
      </c>
      <c r="K1460" s="13">
        <v>0.15902777777777777</v>
      </c>
      <c r="L1460" s="14">
        <v>0.60496653751320884</v>
      </c>
      <c r="M1460" s="12" t="s">
        <v>334</v>
      </c>
      <c r="N1460" s="13">
        <v>4.9189814814814816E-3</v>
      </c>
      <c r="O1460" s="13">
        <v>1.269675925925926E-2</v>
      </c>
      <c r="P1460" s="13"/>
      <c r="Q1460" s="13">
        <v>6.4467592592592588E-3</v>
      </c>
      <c r="R1460" s="13"/>
      <c r="S1460" s="13">
        <v>1.3819444444444445E-2</v>
      </c>
      <c r="T1460" s="13">
        <v>1.1574074074074073E-3</v>
      </c>
      <c r="U1460" s="13">
        <v>1.3078703703703703E-3</v>
      </c>
      <c r="V1460" s="13"/>
      <c r="W1460" s="13">
        <v>0.11868055555555555</v>
      </c>
    </row>
    <row r="1461" spans="1:23" ht="15" customHeight="1" x14ac:dyDescent="0.25">
      <c r="A1461" s="19">
        <v>46252</v>
      </c>
      <c r="B1461" s="11" t="s">
        <v>211</v>
      </c>
      <c r="C1461" s="12" t="s">
        <v>546</v>
      </c>
      <c r="D1461" s="11" t="s">
        <v>104</v>
      </c>
      <c r="E1461" s="12" t="s">
        <v>105</v>
      </c>
      <c r="F1461" s="12" t="s">
        <v>106</v>
      </c>
      <c r="G1461" s="12">
        <v>9</v>
      </c>
      <c r="H1461" s="13">
        <v>0.23879629629629628</v>
      </c>
      <c r="I1461" s="13">
        <v>0.1814236111111111</v>
      </c>
      <c r="J1461" s="13">
        <v>2.0158179012345678E-2</v>
      </c>
      <c r="K1461" s="13">
        <v>0.1373611111111111</v>
      </c>
      <c r="L1461" s="14">
        <v>0.57522295463357886</v>
      </c>
      <c r="M1461" s="12" t="s">
        <v>334</v>
      </c>
      <c r="N1461" s="13">
        <v>3.9120370370370368E-3</v>
      </c>
      <c r="O1461" s="13">
        <v>1.8587962962962962E-2</v>
      </c>
      <c r="P1461" s="13">
        <v>2.4305555555555556E-3</v>
      </c>
      <c r="Q1461" s="13"/>
      <c r="R1461" s="13"/>
      <c r="S1461" s="13">
        <v>1.2199074074074074E-2</v>
      </c>
      <c r="T1461" s="13">
        <v>1.9444444444444444E-3</v>
      </c>
      <c r="U1461" s="13">
        <v>1.9907407407407408E-3</v>
      </c>
      <c r="V1461" s="13"/>
      <c r="W1461" s="13">
        <v>9.6284722222222216E-2</v>
      </c>
    </row>
    <row r="1462" spans="1:23" ht="15" customHeight="1" x14ac:dyDescent="0.25">
      <c r="A1462" s="19">
        <v>46252</v>
      </c>
      <c r="B1462" s="11" t="s">
        <v>617</v>
      </c>
      <c r="C1462" s="12" t="s">
        <v>638</v>
      </c>
      <c r="D1462" s="11" t="s">
        <v>601</v>
      </c>
      <c r="E1462" s="12" t="s">
        <v>105</v>
      </c>
      <c r="F1462" s="12" t="s">
        <v>33</v>
      </c>
      <c r="G1462" s="12">
        <v>9</v>
      </c>
      <c r="H1462" s="13">
        <v>0.23246527777777778</v>
      </c>
      <c r="I1462" s="13">
        <v>9.5659722222222215E-2</v>
      </c>
      <c r="J1462" s="13">
        <v>1.0628858024691358E-2</v>
      </c>
      <c r="K1462" s="13">
        <v>0.16084490740740739</v>
      </c>
      <c r="L1462" s="14">
        <v>0.69190938511326849</v>
      </c>
      <c r="M1462" s="12" t="s">
        <v>334</v>
      </c>
      <c r="N1462" s="13">
        <v>8.8078703703703704E-3</v>
      </c>
      <c r="O1462" s="13">
        <v>1.2337962962962964E-2</v>
      </c>
      <c r="P1462" s="13"/>
      <c r="Q1462" s="13">
        <v>7.1990740740740739E-3</v>
      </c>
      <c r="R1462" s="13"/>
      <c r="S1462" s="13">
        <v>1.5243055555555555E-2</v>
      </c>
      <c r="T1462" s="13">
        <v>6.7592592592592591E-3</v>
      </c>
      <c r="U1462" s="13">
        <v>0.11049768518518518</v>
      </c>
      <c r="V1462" s="13"/>
      <c r="W1462" s="13"/>
    </row>
    <row r="1463" spans="1:23" ht="15" customHeight="1" x14ac:dyDescent="0.25">
      <c r="A1463" s="19">
        <v>46252</v>
      </c>
      <c r="B1463" s="11" t="s">
        <v>136</v>
      </c>
      <c r="C1463" s="12" t="s">
        <v>561</v>
      </c>
      <c r="D1463" s="11" t="s">
        <v>104</v>
      </c>
      <c r="E1463" s="12" t="s">
        <v>105</v>
      </c>
      <c r="F1463" s="12" t="s">
        <v>106</v>
      </c>
      <c r="G1463" s="12">
        <v>7</v>
      </c>
      <c r="H1463" s="13">
        <v>0.2598611111111111</v>
      </c>
      <c r="I1463" s="13">
        <v>0.19372685185185184</v>
      </c>
      <c r="J1463" s="13">
        <v>2.7675264550264551E-2</v>
      </c>
      <c r="K1463" s="13">
        <v>0.18788194444444445</v>
      </c>
      <c r="L1463" s="14">
        <v>0.72300908605024061</v>
      </c>
      <c r="M1463" s="12" t="s">
        <v>334</v>
      </c>
      <c r="N1463" s="13">
        <v>6.3657407407407404E-3</v>
      </c>
      <c r="O1463" s="13">
        <v>2.2719907407407407E-2</v>
      </c>
      <c r="P1463" s="13"/>
      <c r="Q1463" s="13"/>
      <c r="R1463" s="13"/>
      <c r="S1463" s="13">
        <v>1.6898148148148148E-2</v>
      </c>
      <c r="T1463" s="13">
        <v>1.0532407407407407E-3</v>
      </c>
      <c r="U1463" s="13">
        <v>5.4398148148148144E-4</v>
      </c>
      <c r="V1463" s="13"/>
      <c r="W1463" s="13">
        <v>0.14030092592592591</v>
      </c>
    </row>
    <row r="1464" spans="1:23" ht="15" customHeight="1" x14ac:dyDescent="0.25">
      <c r="A1464" s="19">
        <v>46252</v>
      </c>
      <c r="B1464" s="11" t="s">
        <v>618</v>
      </c>
      <c r="C1464" s="12" t="s">
        <v>639</v>
      </c>
      <c r="D1464" s="11" t="s">
        <v>601</v>
      </c>
      <c r="E1464" s="12" t="s">
        <v>105</v>
      </c>
      <c r="F1464" s="12" t="s">
        <v>33</v>
      </c>
      <c r="G1464" s="12">
        <v>6</v>
      </c>
      <c r="H1464" s="13">
        <v>0.23549768518518518</v>
      </c>
      <c r="I1464" s="13">
        <v>0.13030092592592593</v>
      </c>
      <c r="J1464" s="13">
        <v>2.1716820987654321E-2</v>
      </c>
      <c r="K1464" s="13">
        <v>0.17685185185185184</v>
      </c>
      <c r="L1464" s="14">
        <v>0.75097065906521843</v>
      </c>
      <c r="M1464" s="12" t="s">
        <v>334</v>
      </c>
      <c r="N1464" s="13">
        <v>2.4189814814814816E-3</v>
      </c>
      <c r="O1464" s="13">
        <v>2.3425925925925926E-2</v>
      </c>
      <c r="P1464" s="13"/>
      <c r="Q1464" s="13">
        <v>1.050925925925926E-2</v>
      </c>
      <c r="R1464" s="13"/>
      <c r="S1464" s="13">
        <v>1.4363425925925925E-2</v>
      </c>
      <c r="T1464" s="13">
        <v>1.2037037037037037E-2</v>
      </c>
      <c r="U1464" s="13">
        <v>0.11409722222222222</v>
      </c>
      <c r="V1464" s="13"/>
      <c r="W1464" s="13"/>
    </row>
    <row r="1465" spans="1:23" ht="15" customHeight="1" x14ac:dyDescent="0.25">
      <c r="A1465" s="19">
        <v>46252</v>
      </c>
      <c r="B1465" s="11" t="s">
        <v>501</v>
      </c>
      <c r="C1465" s="12" t="s">
        <v>524</v>
      </c>
      <c r="D1465" s="11" t="s">
        <v>274</v>
      </c>
      <c r="E1465" s="12" t="s">
        <v>147</v>
      </c>
      <c r="F1465" s="12" t="s">
        <v>33</v>
      </c>
      <c r="G1465" s="12">
        <v>22</v>
      </c>
      <c r="H1465" s="13">
        <v>0.25600694444444444</v>
      </c>
      <c r="I1465" s="13">
        <v>8.0289351851851848E-2</v>
      </c>
      <c r="J1465" s="13">
        <v>3.6495159932659932E-3</v>
      </c>
      <c r="K1465" s="13">
        <v>3.1805555555555552E-2</v>
      </c>
      <c r="L1465" s="14">
        <v>0.1242370812423708</v>
      </c>
      <c r="M1465" s="12" t="s">
        <v>334</v>
      </c>
      <c r="N1465" s="13">
        <v>1.8518518518518519E-3</v>
      </c>
      <c r="O1465" s="13">
        <v>7.7546296296296295E-3</v>
      </c>
      <c r="P1465" s="13"/>
      <c r="Q1465" s="13"/>
      <c r="R1465" s="13">
        <v>7.3726851851851852E-3</v>
      </c>
      <c r="S1465" s="13">
        <v>1.4479166666666666E-2</v>
      </c>
      <c r="T1465" s="13">
        <v>1.8518518518518518E-4</v>
      </c>
      <c r="U1465" s="13">
        <v>1.5046296296296297E-4</v>
      </c>
      <c r="V1465" s="13"/>
      <c r="W1465" s="13"/>
    </row>
    <row r="1466" spans="1:23" ht="15" customHeight="1" x14ac:dyDescent="0.25">
      <c r="A1466" s="19">
        <v>46252</v>
      </c>
      <c r="B1466" s="11" t="s">
        <v>213</v>
      </c>
      <c r="C1466" s="12" t="s">
        <v>572</v>
      </c>
      <c r="D1466" s="11" t="s">
        <v>601</v>
      </c>
      <c r="E1466" s="12" t="s">
        <v>105</v>
      </c>
      <c r="F1466" s="12" t="s">
        <v>33</v>
      </c>
      <c r="G1466" s="12">
        <v>5</v>
      </c>
      <c r="H1466" s="13">
        <v>0.24024305555555556</v>
      </c>
      <c r="I1466" s="13">
        <v>9.9884259259259256E-2</v>
      </c>
      <c r="J1466" s="13">
        <v>1.997685185185185E-2</v>
      </c>
      <c r="K1466" s="13">
        <v>0.19159722222222222</v>
      </c>
      <c r="L1466" s="14">
        <v>0.7975140916317387</v>
      </c>
      <c r="M1466" s="12" t="s">
        <v>334</v>
      </c>
      <c r="N1466" s="13">
        <v>9.2013888888888892E-3</v>
      </c>
      <c r="O1466" s="13">
        <v>1.5787037037037037E-2</v>
      </c>
      <c r="P1466" s="13"/>
      <c r="Q1466" s="13"/>
      <c r="R1466" s="13"/>
      <c r="S1466" s="13">
        <v>1.4560185185185185E-2</v>
      </c>
      <c r="T1466" s="13">
        <v>1.1296296296296296E-2</v>
      </c>
      <c r="U1466" s="13">
        <v>0.14075231481481482</v>
      </c>
      <c r="V1466" s="13"/>
      <c r="W1466" s="13"/>
    </row>
    <row r="1467" spans="1:23" ht="15" customHeight="1" x14ac:dyDescent="0.25">
      <c r="A1467" s="19">
        <v>46252</v>
      </c>
      <c r="B1467" s="11" t="s">
        <v>668</v>
      </c>
      <c r="C1467" s="12" t="s">
        <v>669</v>
      </c>
      <c r="D1467" s="11" t="s">
        <v>233</v>
      </c>
      <c r="E1467" s="12" t="s">
        <v>32</v>
      </c>
      <c r="F1467" s="12" t="s">
        <v>106</v>
      </c>
      <c r="G1467" s="12">
        <v>44</v>
      </c>
      <c r="H1467" s="13">
        <v>0.2477199074074074</v>
      </c>
      <c r="I1467" s="13">
        <v>0.11648148148148148</v>
      </c>
      <c r="J1467" s="13">
        <v>2.6473063973063973E-3</v>
      </c>
      <c r="K1467" s="13">
        <v>3.8692129629629632E-2</v>
      </c>
      <c r="L1467" s="14">
        <v>0.15619305704807737</v>
      </c>
      <c r="M1467" s="12" t="s">
        <v>334</v>
      </c>
      <c r="N1467" s="13">
        <v>7.5231481481481477E-3</v>
      </c>
      <c r="O1467" s="13">
        <v>1.4907407407407407E-2</v>
      </c>
      <c r="P1467" s="13"/>
      <c r="Q1467" s="13"/>
      <c r="R1467" s="13"/>
      <c r="S1467" s="13">
        <v>1.3449074074074073E-2</v>
      </c>
      <c r="T1467" s="13">
        <v>1.4814814814814814E-3</v>
      </c>
      <c r="U1467" s="13">
        <v>1.2847222222222223E-3</v>
      </c>
      <c r="V1467" s="13"/>
      <c r="W1467" s="13">
        <v>4.6296296296296294E-5</v>
      </c>
    </row>
    <row r="1468" spans="1:23" ht="15" customHeight="1" x14ac:dyDescent="0.25">
      <c r="A1468" s="19">
        <v>46252</v>
      </c>
      <c r="B1468" s="11" t="s">
        <v>233</v>
      </c>
      <c r="C1468" s="12" t="s">
        <v>745</v>
      </c>
      <c r="D1468" s="11" t="s">
        <v>233</v>
      </c>
      <c r="E1468" s="12" t="s">
        <v>32</v>
      </c>
      <c r="F1468" s="12" t="s">
        <v>106</v>
      </c>
      <c r="G1468" s="12">
        <v>0</v>
      </c>
      <c r="H1468" s="13">
        <v>1.6898148148148148E-3</v>
      </c>
      <c r="I1468" s="13">
        <v>0</v>
      </c>
      <c r="J1468" s="13">
        <v>0</v>
      </c>
      <c r="K1468" s="13">
        <v>1.6898148148148148E-3</v>
      </c>
      <c r="L1468" s="14">
        <v>1</v>
      </c>
      <c r="M1468" s="12" t="s">
        <v>334</v>
      </c>
      <c r="N1468" s="13"/>
      <c r="O1468" s="13"/>
      <c r="P1468" s="13"/>
      <c r="Q1468" s="13"/>
      <c r="R1468" s="13"/>
      <c r="S1468" s="13"/>
      <c r="T1468" s="13">
        <v>8.6805555555555551E-4</v>
      </c>
      <c r="U1468" s="13">
        <v>8.2175925925925927E-4</v>
      </c>
      <c r="V1468" s="13"/>
      <c r="W1468" s="13"/>
    </row>
    <row r="1469" spans="1:23" ht="15" customHeight="1" x14ac:dyDescent="0.25">
      <c r="A1469" s="19">
        <v>46252</v>
      </c>
      <c r="B1469" s="11" t="s">
        <v>744</v>
      </c>
      <c r="C1469" s="12" t="s">
        <v>670</v>
      </c>
      <c r="D1469" s="11" t="s">
        <v>100</v>
      </c>
      <c r="E1469" s="12" t="s">
        <v>32</v>
      </c>
      <c r="F1469" s="12" t="s">
        <v>33</v>
      </c>
      <c r="G1469" s="12">
        <v>39</v>
      </c>
      <c r="H1469" s="13">
        <v>0.26023148148148151</v>
      </c>
      <c r="I1469" s="13">
        <v>0.16310185185185186</v>
      </c>
      <c r="J1469" s="13">
        <v>4.1820987654320992E-3</v>
      </c>
      <c r="K1469" s="13">
        <v>7.4293981481481475E-2</v>
      </c>
      <c r="L1469" s="14">
        <v>0.28549190535491897</v>
      </c>
      <c r="M1469" s="12" t="s">
        <v>334</v>
      </c>
      <c r="N1469" s="13">
        <v>2.0509259259259258E-2</v>
      </c>
      <c r="O1469" s="13">
        <v>1.4965277777777777E-2</v>
      </c>
      <c r="P1469" s="13"/>
      <c r="Q1469" s="13">
        <v>1.4247685185185184E-2</v>
      </c>
      <c r="R1469" s="13"/>
      <c r="S1469" s="13">
        <v>1.4224537037037037E-2</v>
      </c>
      <c r="T1469" s="13">
        <v>6.9444444444444444E-5</v>
      </c>
      <c r="U1469" s="13">
        <v>1.0254629629629629E-2</v>
      </c>
      <c r="V1469" s="13"/>
      <c r="W1469" s="13"/>
    </row>
    <row r="1470" spans="1:23" ht="15" customHeight="1" x14ac:dyDescent="0.25">
      <c r="A1470" s="19">
        <v>46252</v>
      </c>
      <c r="B1470" s="11" t="s">
        <v>219</v>
      </c>
      <c r="C1470" s="12" t="s">
        <v>548</v>
      </c>
      <c r="D1470" s="11" t="s">
        <v>104</v>
      </c>
      <c r="E1470" s="12" t="s">
        <v>105</v>
      </c>
      <c r="F1470" s="12" t="s">
        <v>106</v>
      </c>
      <c r="G1470" s="12">
        <v>6</v>
      </c>
      <c r="H1470" s="13">
        <v>0.22593750000000001</v>
      </c>
      <c r="I1470" s="13">
        <v>0.12670138888888888</v>
      </c>
      <c r="J1470" s="13">
        <v>2.1116898148148145E-2</v>
      </c>
      <c r="K1470" s="13">
        <v>0.16271990740740741</v>
      </c>
      <c r="L1470" s="14">
        <v>0.72019876030941032</v>
      </c>
      <c r="M1470" s="12" t="s">
        <v>334</v>
      </c>
      <c r="N1470" s="13">
        <v>1.0694444444444444E-2</v>
      </c>
      <c r="O1470" s="13">
        <v>7.789351851851852E-3</v>
      </c>
      <c r="P1470" s="13">
        <v>1.7488425925925925E-2</v>
      </c>
      <c r="Q1470" s="13"/>
      <c r="R1470" s="13"/>
      <c r="S1470" s="13">
        <v>1.6157407407407409E-2</v>
      </c>
      <c r="T1470" s="13">
        <v>5.3240740740740744E-4</v>
      </c>
      <c r="U1470" s="13">
        <v>3.9351851851851852E-4</v>
      </c>
      <c r="V1470" s="13"/>
      <c r="W1470" s="13">
        <v>0.10966435185185185</v>
      </c>
    </row>
    <row r="1471" spans="1:23" ht="15" customHeight="1" x14ac:dyDescent="0.25">
      <c r="A1471" s="19">
        <v>46252</v>
      </c>
      <c r="B1471" s="11" t="s">
        <v>305</v>
      </c>
      <c r="C1471" s="12" t="s">
        <v>306</v>
      </c>
      <c r="D1471" s="11" t="s">
        <v>100</v>
      </c>
      <c r="E1471" s="12" t="s">
        <v>32</v>
      </c>
      <c r="F1471" s="12" t="s">
        <v>33</v>
      </c>
      <c r="G1471" s="12">
        <v>56</v>
      </c>
      <c r="H1471" s="13">
        <v>0.26025462962962964</v>
      </c>
      <c r="I1471" s="13">
        <v>0.17637731481481481</v>
      </c>
      <c r="J1471" s="13">
        <v>3.1495949074074074E-3</v>
      </c>
      <c r="K1471" s="13">
        <v>6.0925925925925925E-2</v>
      </c>
      <c r="L1471" s="14">
        <v>0.23410121853597793</v>
      </c>
      <c r="M1471" s="12" t="s">
        <v>334</v>
      </c>
      <c r="N1471" s="13">
        <v>1.3078703703703703E-2</v>
      </c>
      <c r="O1471" s="13">
        <v>1.4143518518518519E-2</v>
      </c>
      <c r="P1471" s="13"/>
      <c r="Q1471" s="13">
        <v>1.2465277777777778E-2</v>
      </c>
      <c r="R1471" s="13"/>
      <c r="S1471" s="13">
        <v>1.4965277777777777E-2</v>
      </c>
      <c r="T1471" s="13">
        <v>3.4722222222222224E-4</v>
      </c>
      <c r="U1471" s="13">
        <v>5.5787037037037038E-3</v>
      </c>
      <c r="V1471" s="13"/>
      <c r="W1471" s="13">
        <v>3.4722222222222224E-4</v>
      </c>
    </row>
    <row r="1472" spans="1:23" ht="15" customHeight="1" x14ac:dyDescent="0.25">
      <c r="A1472" s="19">
        <v>46252</v>
      </c>
      <c r="B1472" s="11" t="s">
        <v>620</v>
      </c>
      <c r="C1472" s="12" t="s">
        <v>641</v>
      </c>
      <c r="D1472" s="11" t="s">
        <v>601</v>
      </c>
      <c r="E1472" s="12" t="s">
        <v>105</v>
      </c>
      <c r="F1472" s="12" t="s">
        <v>33</v>
      </c>
      <c r="G1472" s="12">
        <v>10</v>
      </c>
      <c r="H1472" s="13">
        <v>0.23960648148148148</v>
      </c>
      <c r="I1472" s="13">
        <v>8.6087962962962963E-2</v>
      </c>
      <c r="J1472" s="13">
        <v>8.6087962962962967E-3</v>
      </c>
      <c r="K1472" s="13">
        <v>0.16650462962962964</v>
      </c>
      <c r="L1472" s="14">
        <v>0.6949087044729978</v>
      </c>
      <c r="M1472" s="12" t="s">
        <v>334</v>
      </c>
      <c r="N1472" s="13">
        <v>3.6574074074074074E-3</v>
      </c>
      <c r="O1472" s="13">
        <v>1.1354166666666667E-2</v>
      </c>
      <c r="P1472" s="13"/>
      <c r="Q1472" s="13"/>
      <c r="R1472" s="13"/>
      <c r="S1472" s="13">
        <v>1.3969907407407407E-2</v>
      </c>
      <c r="T1472" s="13">
        <v>2.0752314814814814E-2</v>
      </c>
      <c r="U1472" s="13">
        <v>0.11677083333333334</v>
      </c>
      <c r="V1472" s="13"/>
      <c r="W1472" s="13"/>
    </row>
    <row r="1473" spans="1:23" ht="15" customHeight="1" x14ac:dyDescent="0.25">
      <c r="A1473" s="19">
        <v>46252</v>
      </c>
      <c r="B1473" s="11" t="s">
        <v>138</v>
      </c>
      <c r="C1473" s="12" t="s">
        <v>556</v>
      </c>
      <c r="D1473" s="11" t="s">
        <v>104</v>
      </c>
      <c r="E1473" s="12" t="s">
        <v>105</v>
      </c>
      <c r="F1473" s="12" t="s">
        <v>106</v>
      </c>
      <c r="G1473" s="12">
        <v>17</v>
      </c>
      <c r="H1473" s="13">
        <v>0.18796296296296297</v>
      </c>
      <c r="I1473" s="13">
        <v>9.8854166666666674E-2</v>
      </c>
      <c r="J1473" s="13">
        <v>5.8149509803921574E-3</v>
      </c>
      <c r="K1473" s="13">
        <v>8.998842592592593E-2</v>
      </c>
      <c r="L1473" s="14">
        <v>0.47875615763546797</v>
      </c>
      <c r="M1473" s="12" t="s">
        <v>334</v>
      </c>
      <c r="N1473" s="13">
        <v>2.476851851851852E-3</v>
      </c>
      <c r="O1473" s="13">
        <v>1.5011574074074075E-2</v>
      </c>
      <c r="P1473" s="13"/>
      <c r="Q1473" s="13"/>
      <c r="R1473" s="13"/>
      <c r="S1473" s="13">
        <v>1.3680555555555555E-2</v>
      </c>
      <c r="T1473" s="13">
        <v>9.8842592592592593E-3</v>
      </c>
      <c r="U1473" s="13">
        <v>9.7222222222222219E-4</v>
      </c>
      <c r="V1473" s="13"/>
      <c r="W1473" s="13">
        <v>4.7939814814814817E-2</v>
      </c>
    </row>
    <row r="1474" spans="1:23" ht="15" customHeight="1" x14ac:dyDescent="0.25">
      <c r="A1474" s="19">
        <v>46252</v>
      </c>
      <c r="B1474" s="11" t="s">
        <v>276</v>
      </c>
      <c r="C1474" s="12" t="s">
        <v>532</v>
      </c>
      <c r="D1474" s="11" t="s">
        <v>233</v>
      </c>
      <c r="E1474" s="12" t="s">
        <v>32</v>
      </c>
      <c r="F1474" s="12" t="s">
        <v>106</v>
      </c>
      <c r="G1474" s="12">
        <v>35</v>
      </c>
      <c r="H1474" s="13">
        <v>0.26678240740740738</v>
      </c>
      <c r="I1474" s="13">
        <v>0.11486111111111111</v>
      </c>
      <c r="J1474" s="13">
        <v>3.2817460317460315E-3</v>
      </c>
      <c r="K1474" s="13">
        <v>4.7222222222222221E-2</v>
      </c>
      <c r="L1474" s="14">
        <v>0.17700650759219089</v>
      </c>
      <c r="M1474" s="12" t="s">
        <v>334</v>
      </c>
      <c r="N1474" s="13">
        <v>1.8506944444444444E-2</v>
      </c>
      <c r="O1474" s="13">
        <v>7.1296296296296299E-3</v>
      </c>
      <c r="P1474" s="13"/>
      <c r="Q1474" s="13"/>
      <c r="R1474" s="13"/>
      <c r="S1474" s="13">
        <v>1.4340277777777778E-2</v>
      </c>
      <c r="T1474" s="13">
        <v>7.2453703703703708E-3</v>
      </c>
      <c r="U1474" s="13"/>
      <c r="V1474" s="13"/>
      <c r="W1474" s="13"/>
    </row>
    <row r="1475" spans="1:23" ht="15" customHeight="1" x14ac:dyDescent="0.25">
      <c r="A1475" s="19">
        <v>46252</v>
      </c>
      <c r="B1475" s="11" t="s">
        <v>278</v>
      </c>
      <c r="C1475" s="12" t="s">
        <v>533</v>
      </c>
      <c r="D1475" s="11" t="s">
        <v>233</v>
      </c>
      <c r="E1475" s="12" t="s">
        <v>32</v>
      </c>
      <c r="F1475" s="12" t="s">
        <v>106</v>
      </c>
      <c r="G1475" s="12">
        <v>20</v>
      </c>
      <c r="H1475" s="13">
        <v>0.26468750000000002</v>
      </c>
      <c r="I1475" s="13">
        <v>0.14175925925925925</v>
      </c>
      <c r="J1475" s="13">
        <v>7.0879629629629626E-3</v>
      </c>
      <c r="K1475" s="13">
        <v>3.394675925925926E-2</v>
      </c>
      <c r="L1475" s="14">
        <v>0.12825221916131005</v>
      </c>
      <c r="M1475" s="12" t="s">
        <v>334</v>
      </c>
      <c r="N1475" s="13">
        <v>4.340277777777778E-3</v>
      </c>
      <c r="O1475" s="13">
        <v>1.4444444444444444E-2</v>
      </c>
      <c r="P1475" s="13"/>
      <c r="Q1475" s="13"/>
      <c r="R1475" s="13"/>
      <c r="S1475" s="13">
        <v>1.4606481481481481E-2</v>
      </c>
      <c r="T1475" s="13">
        <v>1.3888888888888889E-4</v>
      </c>
      <c r="U1475" s="13">
        <v>4.1666666666666669E-4</v>
      </c>
      <c r="V1475" s="13"/>
      <c r="W1475" s="13"/>
    </row>
    <row r="1476" spans="1:23" ht="15" customHeight="1" x14ac:dyDescent="0.25">
      <c r="A1476" s="19">
        <v>46252</v>
      </c>
      <c r="B1476" s="11" t="s">
        <v>313</v>
      </c>
      <c r="C1476" s="12" t="s">
        <v>511</v>
      </c>
      <c r="D1476" s="11" t="s">
        <v>78</v>
      </c>
      <c r="E1476" s="12" t="s">
        <v>80</v>
      </c>
      <c r="F1476" s="12" t="s">
        <v>81</v>
      </c>
      <c r="G1476" s="12">
        <v>3</v>
      </c>
      <c r="H1476" s="13">
        <v>0.25199074074074074</v>
      </c>
      <c r="I1476" s="13">
        <v>3.9155092592592596E-2</v>
      </c>
      <c r="J1476" s="13">
        <v>1.3051697530864199E-2</v>
      </c>
      <c r="K1476" s="13">
        <v>4.2986111111111114E-2</v>
      </c>
      <c r="L1476" s="14">
        <v>0.17058607385632923</v>
      </c>
      <c r="M1476" s="12" t="s">
        <v>334</v>
      </c>
      <c r="N1476" s="13">
        <v>8.4143518518518517E-3</v>
      </c>
      <c r="O1476" s="13">
        <v>3.4444444444444444E-2</v>
      </c>
      <c r="P1476" s="13"/>
      <c r="Q1476" s="13"/>
      <c r="R1476" s="13"/>
      <c r="S1476" s="13"/>
      <c r="T1476" s="13">
        <v>8.1018518518518516E-5</v>
      </c>
      <c r="U1476" s="13">
        <v>4.6296296296296294E-5</v>
      </c>
      <c r="V1476" s="13"/>
      <c r="W1476" s="13"/>
    </row>
    <row r="1477" spans="1:23" ht="15" customHeight="1" x14ac:dyDescent="0.25">
      <c r="A1477" s="19">
        <v>46252</v>
      </c>
      <c r="B1477" s="11" t="s">
        <v>673</v>
      </c>
      <c r="C1477" s="12" t="s">
        <v>674</v>
      </c>
      <c r="D1477" s="11" t="s">
        <v>104</v>
      </c>
      <c r="E1477" s="12" t="s">
        <v>105</v>
      </c>
      <c r="F1477" s="12" t="s">
        <v>106</v>
      </c>
      <c r="G1477" s="12">
        <v>10</v>
      </c>
      <c r="H1477" s="13">
        <v>0.2479513888888889</v>
      </c>
      <c r="I1477" s="13">
        <v>0.1338425925925926</v>
      </c>
      <c r="J1477" s="13">
        <v>1.3384259259259259E-2</v>
      </c>
      <c r="K1477" s="13">
        <v>0.16212962962962962</v>
      </c>
      <c r="L1477" s="14">
        <v>0.65387667460206311</v>
      </c>
      <c r="M1477" s="12" t="s">
        <v>334</v>
      </c>
      <c r="N1477" s="13">
        <v>2.5462962962962965E-3</v>
      </c>
      <c r="O1477" s="13">
        <v>1.6030092592592592E-2</v>
      </c>
      <c r="P1477" s="13"/>
      <c r="Q1477" s="13"/>
      <c r="R1477" s="13"/>
      <c r="S1477" s="13">
        <v>1.4710648148148148E-2</v>
      </c>
      <c r="T1477" s="13">
        <v>6.3657407407407413E-4</v>
      </c>
      <c r="U1477" s="13">
        <v>1.5856481481481481E-3</v>
      </c>
      <c r="V1477" s="13"/>
      <c r="W1477" s="13">
        <v>0.12662037037037038</v>
      </c>
    </row>
    <row r="1478" spans="1:23" ht="15" customHeight="1" x14ac:dyDescent="0.25">
      <c r="A1478" s="19">
        <v>46252</v>
      </c>
      <c r="B1478" s="11" t="s">
        <v>225</v>
      </c>
      <c r="C1478" s="12" t="s">
        <v>549</v>
      </c>
      <c r="D1478" s="11" t="s">
        <v>601</v>
      </c>
      <c r="E1478" s="12" t="s">
        <v>105</v>
      </c>
      <c r="F1478" s="12" t="s">
        <v>33</v>
      </c>
      <c r="G1478" s="12">
        <v>15</v>
      </c>
      <c r="H1478" s="13">
        <v>0.25597222222222221</v>
      </c>
      <c r="I1478" s="13">
        <v>8.4224537037037042E-2</v>
      </c>
      <c r="J1478" s="13">
        <v>5.6149691358024691E-3</v>
      </c>
      <c r="K1478" s="13">
        <v>0.11072916666666667</v>
      </c>
      <c r="L1478" s="14">
        <v>0.43258274552360287</v>
      </c>
      <c r="M1478" s="12" t="s">
        <v>334</v>
      </c>
      <c r="N1478" s="13">
        <v>3.1597222222222222E-3</v>
      </c>
      <c r="O1478" s="13">
        <v>7.1064814814814819E-3</v>
      </c>
      <c r="P1478" s="13">
        <v>1.4814814814814814E-3</v>
      </c>
      <c r="Q1478" s="13">
        <v>7.1759259259259259E-3</v>
      </c>
      <c r="R1478" s="13">
        <v>5.7870370370370373E-5</v>
      </c>
      <c r="S1478" s="13">
        <v>1.1481481481481481E-2</v>
      </c>
      <c r="T1478" s="13">
        <v>2.0717592592592593E-3</v>
      </c>
      <c r="U1478" s="13">
        <v>7.8159722222222228E-2</v>
      </c>
      <c r="V1478" s="13"/>
      <c r="W1478" s="13"/>
    </row>
    <row r="1479" spans="1:23" ht="15" customHeight="1" x14ac:dyDescent="0.25">
      <c r="A1479" s="19">
        <v>46252</v>
      </c>
      <c r="B1479" s="11" t="s">
        <v>70</v>
      </c>
      <c r="C1479" s="12" t="s">
        <v>71</v>
      </c>
      <c r="D1479" s="11" t="s">
        <v>78</v>
      </c>
      <c r="E1479" s="12" t="s">
        <v>80</v>
      </c>
      <c r="F1479" s="12" t="s">
        <v>33</v>
      </c>
      <c r="G1479" s="12">
        <v>0</v>
      </c>
      <c r="H1479" s="13">
        <v>0.33842592592592591</v>
      </c>
      <c r="I1479" s="13">
        <v>0</v>
      </c>
      <c r="J1479" s="13">
        <v>0</v>
      </c>
      <c r="K1479" s="13">
        <v>8.0868055555555554E-2</v>
      </c>
      <c r="L1479" s="14">
        <v>0.23895348837209304</v>
      </c>
      <c r="M1479" s="12" t="s">
        <v>334</v>
      </c>
      <c r="N1479" s="13"/>
      <c r="O1479" s="13">
        <v>6.1562499999999999E-2</v>
      </c>
      <c r="P1479" s="13"/>
      <c r="Q1479" s="13"/>
      <c r="R1479" s="13"/>
      <c r="S1479" s="13">
        <v>1.8055555555555554E-2</v>
      </c>
      <c r="T1479" s="13">
        <v>3.5879629629629629E-4</v>
      </c>
      <c r="U1479" s="13">
        <v>8.4490740740740739E-4</v>
      </c>
      <c r="V1479" s="13"/>
      <c r="W1479" s="13"/>
    </row>
    <row r="1480" spans="1:23" ht="15" customHeight="1" x14ac:dyDescent="0.25">
      <c r="A1480" s="19">
        <v>46252</v>
      </c>
      <c r="B1480" s="11" t="s">
        <v>280</v>
      </c>
      <c r="C1480" s="12" t="s">
        <v>534</v>
      </c>
      <c r="D1480" s="11" t="s">
        <v>233</v>
      </c>
      <c r="E1480" s="12" t="s">
        <v>32</v>
      </c>
      <c r="F1480" s="12" t="s">
        <v>106</v>
      </c>
      <c r="G1480" s="12">
        <v>41</v>
      </c>
      <c r="H1480" s="13">
        <v>0.26148148148148148</v>
      </c>
      <c r="I1480" s="13">
        <v>0.10310185185185185</v>
      </c>
      <c r="J1480" s="13">
        <v>2.5146793134598012E-3</v>
      </c>
      <c r="K1480" s="13">
        <v>3.784722222222222E-2</v>
      </c>
      <c r="L1480" s="14">
        <v>0.14474150141643058</v>
      </c>
      <c r="M1480" s="12" t="s">
        <v>334</v>
      </c>
      <c r="N1480" s="13">
        <v>3.9583333333333337E-3</v>
      </c>
      <c r="O1480" s="13">
        <v>1.59375E-2</v>
      </c>
      <c r="P1480" s="13"/>
      <c r="Q1480" s="13"/>
      <c r="R1480" s="13"/>
      <c r="S1480" s="13">
        <v>1.3912037037037037E-2</v>
      </c>
      <c r="T1480" s="13">
        <v>2.8240740740740739E-3</v>
      </c>
      <c r="U1480" s="13">
        <v>5.5555555555555556E-4</v>
      </c>
      <c r="V1480" s="13"/>
      <c r="W1480" s="13">
        <v>6.4814814814814813E-4</v>
      </c>
    </row>
    <row r="1481" spans="1:23" ht="15" customHeight="1" x14ac:dyDescent="0.25">
      <c r="A1481" s="19">
        <v>46252</v>
      </c>
      <c r="B1481" s="11" t="s">
        <v>299</v>
      </c>
      <c r="C1481" s="12" t="s">
        <v>571</v>
      </c>
      <c r="D1481" s="11" t="s">
        <v>104</v>
      </c>
      <c r="E1481" s="12" t="s">
        <v>105</v>
      </c>
      <c r="F1481" s="12" t="s">
        <v>106</v>
      </c>
      <c r="G1481" s="12">
        <v>10</v>
      </c>
      <c r="H1481" s="13">
        <v>0.26443287037037039</v>
      </c>
      <c r="I1481" s="13">
        <v>0.21996527777777777</v>
      </c>
      <c r="J1481" s="13">
        <v>2.1996527777777778E-2</v>
      </c>
      <c r="K1481" s="13">
        <v>0.13956018518518518</v>
      </c>
      <c r="L1481" s="14">
        <v>0.52777169869129414</v>
      </c>
      <c r="M1481" s="12" t="s">
        <v>334</v>
      </c>
      <c r="N1481" s="13">
        <v>3.1134259259259257E-3</v>
      </c>
      <c r="O1481" s="13">
        <v>1.3206018518518518E-2</v>
      </c>
      <c r="P1481" s="13"/>
      <c r="Q1481" s="13"/>
      <c r="R1481" s="13"/>
      <c r="S1481" s="13">
        <v>1.1168981481481481E-2</v>
      </c>
      <c r="T1481" s="13">
        <v>8.1018518518518516E-5</v>
      </c>
      <c r="U1481" s="13">
        <v>6.6782407407407407E-3</v>
      </c>
      <c r="V1481" s="13"/>
      <c r="W1481" s="13">
        <v>0.1053125</v>
      </c>
    </row>
    <row r="1482" spans="1:23" ht="15" customHeight="1" x14ac:dyDescent="0.25">
      <c r="A1482" s="19">
        <v>46252</v>
      </c>
      <c r="B1482" s="11" t="s">
        <v>227</v>
      </c>
      <c r="C1482" s="12" t="s">
        <v>557</v>
      </c>
      <c r="D1482" s="11" t="s">
        <v>146</v>
      </c>
      <c r="E1482" s="12" t="s">
        <v>147</v>
      </c>
      <c r="F1482" s="12" t="s">
        <v>106</v>
      </c>
      <c r="G1482" s="12">
        <v>14</v>
      </c>
      <c r="H1482" s="13">
        <v>0.28675925925925927</v>
      </c>
      <c r="I1482" s="13">
        <v>0.12017361111111111</v>
      </c>
      <c r="J1482" s="13">
        <v>8.5838293650793655E-3</v>
      </c>
      <c r="K1482" s="13">
        <v>4.5173611111111109E-2</v>
      </c>
      <c r="L1482" s="14">
        <v>0.15753148207943168</v>
      </c>
      <c r="M1482" s="12" t="s">
        <v>334</v>
      </c>
      <c r="N1482" s="13">
        <v>7.2222222222222219E-3</v>
      </c>
      <c r="O1482" s="13">
        <v>1.292824074074074E-2</v>
      </c>
      <c r="P1482" s="13">
        <v>1.0486111111111111E-2</v>
      </c>
      <c r="Q1482" s="13"/>
      <c r="R1482" s="13"/>
      <c r="S1482" s="13">
        <v>1.369212962962963E-2</v>
      </c>
      <c r="T1482" s="13">
        <v>1.1574074074074075E-4</v>
      </c>
      <c r="U1482" s="13">
        <v>6.8287037037037036E-4</v>
      </c>
      <c r="V1482" s="13"/>
      <c r="W1482" s="13"/>
    </row>
    <row r="1483" spans="1:23" ht="15" customHeight="1" x14ac:dyDescent="0.25">
      <c r="A1483" s="19">
        <v>46252</v>
      </c>
      <c r="B1483" s="11" t="s">
        <v>282</v>
      </c>
      <c r="C1483" s="12" t="s">
        <v>535</v>
      </c>
      <c r="D1483" s="11" t="s">
        <v>233</v>
      </c>
      <c r="E1483" s="12" t="s">
        <v>32</v>
      </c>
      <c r="F1483" s="12" t="s">
        <v>106</v>
      </c>
      <c r="G1483" s="12">
        <v>55</v>
      </c>
      <c r="H1483" s="13">
        <v>0.26019675925925928</v>
      </c>
      <c r="I1483" s="13">
        <v>9.256944444444444E-2</v>
      </c>
      <c r="J1483" s="13">
        <v>1.683080808080808E-3</v>
      </c>
      <c r="K1483" s="13">
        <v>4.597222222222222E-2</v>
      </c>
      <c r="L1483" s="14">
        <v>0.17668253191584002</v>
      </c>
      <c r="M1483" s="12" t="s">
        <v>334</v>
      </c>
      <c r="N1483" s="13">
        <v>8.2060185185185187E-3</v>
      </c>
      <c r="O1483" s="13">
        <v>1.5532407407407408E-2</v>
      </c>
      <c r="P1483" s="13"/>
      <c r="Q1483" s="13">
        <v>4.0856481481481481E-3</v>
      </c>
      <c r="R1483" s="13"/>
      <c r="S1483" s="13">
        <v>1.369212962962963E-2</v>
      </c>
      <c r="T1483" s="13">
        <v>4.4560185185185189E-3</v>
      </c>
      <c r="U1483" s="13"/>
      <c r="V1483" s="13"/>
      <c r="W1483" s="13"/>
    </row>
    <row r="1484" spans="1:23" ht="15" customHeight="1" x14ac:dyDescent="0.25">
      <c r="A1484" s="19">
        <v>46252</v>
      </c>
      <c r="B1484" s="11" t="s">
        <v>675</v>
      </c>
      <c r="C1484" s="12" t="s">
        <v>676</v>
      </c>
      <c r="D1484" s="11" t="s">
        <v>104</v>
      </c>
      <c r="E1484" s="12" t="s">
        <v>105</v>
      </c>
      <c r="F1484" s="12" t="s">
        <v>106</v>
      </c>
      <c r="G1484" s="12">
        <v>12</v>
      </c>
      <c r="H1484" s="13">
        <v>0.25983796296296297</v>
      </c>
      <c r="I1484" s="13">
        <v>0.16908564814814814</v>
      </c>
      <c r="J1484" s="13">
        <v>1.4090470679012345E-2</v>
      </c>
      <c r="K1484" s="13">
        <v>9.8194444444444445E-2</v>
      </c>
      <c r="L1484" s="14">
        <v>0.37790645879732737</v>
      </c>
      <c r="M1484" s="12" t="s">
        <v>334</v>
      </c>
      <c r="N1484" s="13">
        <v>5.9953703703703705E-3</v>
      </c>
      <c r="O1484" s="13">
        <v>1.5081018518518518E-2</v>
      </c>
      <c r="P1484" s="13"/>
      <c r="Q1484" s="13"/>
      <c r="R1484" s="13"/>
      <c r="S1484" s="13">
        <v>1.4317129629629629E-2</v>
      </c>
      <c r="T1484" s="13">
        <v>1.0416666666666667E-3</v>
      </c>
      <c r="U1484" s="13">
        <v>1.5740740740740741E-3</v>
      </c>
      <c r="V1484" s="13"/>
      <c r="W1484" s="13">
        <v>6.0185185185185182E-2</v>
      </c>
    </row>
    <row r="1485" spans="1:23" ht="15" customHeight="1" x14ac:dyDescent="0.25">
      <c r="A1485" s="19">
        <v>46252</v>
      </c>
      <c r="B1485" s="11" t="s">
        <v>677</v>
      </c>
      <c r="C1485" s="12" t="s">
        <v>678</v>
      </c>
      <c r="D1485" s="11" t="s">
        <v>274</v>
      </c>
      <c r="E1485" s="12" t="s">
        <v>147</v>
      </c>
      <c r="F1485" s="12" t="s">
        <v>33</v>
      </c>
      <c r="G1485" s="12">
        <v>25</v>
      </c>
      <c r="H1485" s="13">
        <v>0.26087962962962963</v>
      </c>
      <c r="I1485" s="13">
        <v>8.0810185185185179E-2</v>
      </c>
      <c r="J1485" s="13">
        <v>3.2324074074074074E-3</v>
      </c>
      <c r="K1485" s="13">
        <v>2.8634259259259259E-2</v>
      </c>
      <c r="L1485" s="14">
        <v>0.10976042590949422</v>
      </c>
      <c r="M1485" s="12" t="s">
        <v>334</v>
      </c>
      <c r="N1485" s="13"/>
      <c r="O1485" s="13">
        <v>1.4328703703703703E-2</v>
      </c>
      <c r="P1485" s="13"/>
      <c r="Q1485" s="13"/>
      <c r="R1485" s="13"/>
      <c r="S1485" s="13">
        <v>1.3969907407407407E-2</v>
      </c>
      <c r="T1485" s="13">
        <v>9.2592592592592588E-5</v>
      </c>
      <c r="U1485" s="13">
        <v>2.3148148148148149E-4</v>
      </c>
      <c r="V1485" s="13"/>
      <c r="W1485" s="13"/>
    </row>
    <row r="1486" spans="1:23" ht="15" customHeight="1" x14ac:dyDescent="0.25">
      <c r="A1486" s="19">
        <v>46253</v>
      </c>
      <c r="B1486" s="11" t="s">
        <v>186</v>
      </c>
      <c r="C1486" s="12" t="s">
        <v>562</v>
      </c>
      <c r="D1486" s="11" t="s">
        <v>78</v>
      </c>
      <c r="E1486" s="12" t="s">
        <v>80</v>
      </c>
      <c r="F1486" s="12" t="s">
        <v>33</v>
      </c>
      <c r="G1486" s="12">
        <v>0</v>
      </c>
      <c r="H1486" s="13">
        <v>0.27533564814814815</v>
      </c>
      <c r="I1486" s="13">
        <v>0</v>
      </c>
      <c r="J1486" s="13">
        <v>0</v>
      </c>
      <c r="K1486" s="13">
        <v>4.3124999999999997E-2</v>
      </c>
      <c r="L1486" s="14">
        <v>0.15662701248476185</v>
      </c>
      <c r="M1486" s="12" t="s">
        <v>334</v>
      </c>
      <c r="N1486" s="13">
        <v>7.7314814814814815E-3</v>
      </c>
      <c r="O1486" s="13">
        <v>1.4270833333333333E-2</v>
      </c>
      <c r="P1486" s="13"/>
      <c r="Q1486" s="13"/>
      <c r="R1486" s="13"/>
      <c r="S1486" s="13">
        <v>1.8368055555555554E-2</v>
      </c>
      <c r="T1486" s="13">
        <v>1.736111111111111E-3</v>
      </c>
      <c r="U1486" s="13">
        <v>9.1435185185185185E-4</v>
      </c>
      <c r="V1486" s="13"/>
      <c r="W1486" s="13"/>
    </row>
    <row r="1487" spans="1:23" ht="15" customHeight="1" x14ac:dyDescent="0.25">
      <c r="A1487" s="19">
        <v>46253</v>
      </c>
      <c r="B1487" s="11" t="s">
        <v>643</v>
      </c>
      <c r="C1487" s="12" t="s">
        <v>644</v>
      </c>
      <c r="D1487" s="11" t="s">
        <v>233</v>
      </c>
      <c r="E1487" s="12" t="s">
        <v>32</v>
      </c>
      <c r="F1487" s="12" t="s">
        <v>106</v>
      </c>
      <c r="G1487" s="12">
        <v>19</v>
      </c>
      <c r="H1487" s="13">
        <v>0.25679398148148147</v>
      </c>
      <c r="I1487" s="13">
        <v>0.15188657407407408</v>
      </c>
      <c r="J1487" s="13">
        <v>7.9940302144249509E-3</v>
      </c>
      <c r="K1487" s="13">
        <v>4.1192129629629627E-2</v>
      </c>
      <c r="L1487" s="14">
        <v>0.1604092486591247</v>
      </c>
      <c r="M1487" s="12" t="s">
        <v>334</v>
      </c>
      <c r="N1487" s="13">
        <v>3.1481481481481482E-3</v>
      </c>
      <c r="O1487" s="13">
        <v>1.5150462962962963E-2</v>
      </c>
      <c r="P1487" s="13"/>
      <c r="Q1487" s="13">
        <v>5.1967592592592595E-3</v>
      </c>
      <c r="R1487" s="13">
        <v>1.3773148148148149E-2</v>
      </c>
      <c r="S1487" s="13"/>
      <c r="T1487" s="13">
        <v>1.8634259259259259E-3</v>
      </c>
      <c r="U1487" s="13">
        <v>2.0370370370370369E-3</v>
      </c>
      <c r="V1487" s="13"/>
      <c r="W1487" s="13"/>
    </row>
    <row r="1488" spans="1:23" ht="15" customHeight="1" x14ac:dyDescent="0.25">
      <c r="A1488" s="19">
        <v>46253</v>
      </c>
      <c r="B1488" s="11" t="s">
        <v>193</v>
      </c>
      <c r="C1488" s="12" t="s">
        <v>563</v>
      </c>
      <c r="D1488" s="11" t="s">
        <v>274</v>
      </c>
      <c r="E1488" s="12" t="s">
        <v>147</v>
      </c>
      <c r="F1488" s="12" t="s">
        <v>33</v>
      </c>
      <c r="G1488" s="12">
        <v>21</v>
      </c>
      <c r="H1488" s="13">
        <v>0.26135416666666667</v>
      </c>
      <c r="I1488" s="13">
        <v>6.9108796296296293E-2</v>
      </c>
      <c r="J1488" s="13">
        <v>3.2908950617283948E-3</v>
      </c>
      <c r="K1488" s="13">
        <v>3.7997685185185183E-2</v>
      </c>
      <c r="L1488" s="14">
        <v>0.14538771533590186</v>
      </c>
      <c r="M1488" s="12" t="s">
        <v>334</v>
      </c>
      <c r="N1488" s="13">
        <v>1.8287037037037037E-3</v>
      </c>
      <c r="O1488" s="13">
        <v>1.7974537037037035E-2</v>
      </c>
      <c r="P1488" s="13"/>
      <c r="Q1488" s="13">
        <v>3.5069444444444445E-3</v>
      </c>
      <c r="R1488" s="13"/>
      <c r="S1488" s="13">
        <v>1.4398148148148148E-2</v>
      </c>
      <c r="T1488" s="13">
        <v>1.5046296296296297E-4</v>
      </c>
      <c r="U1488" s="13">
        <v>1.3888888888888889E-4</v>
      </c>
      <c r="V1488" s="13"/>
      <c r="W1488" s="13"/>
    </row>
    <row r="1489" spans="1:23" ht="15" customHeight="1" x14ac:dyDescent="0.25">
      <c r="A1489" s="19">
        <v>46253</v>
      </c>
      <c r="B1489" s="11" t="s">
        <v>148</v>
      </c>
      <c r="C1489" s="12" t="s">
        <v>513</v>
      </c>
      <c r="D1489" s="11" t="s">
        <v>104</v>
      </c>
      <c r="E1489" s="12" t="s">
        <v>105</v>
      </c>
      <c r="F1489" s="12" t="s">
        <v>106</v>
      </c>
      <c r="G1489" s="12">
        <v>12</v>
      </c>
      <c r="H1489" s="13">
        <v>0.24925925925925926</v>
      </c>
      <c r="I1489" s="13">
        <v>0.11123842592592592</v>
      </c>
      <c r="J1489" s="13">
        <v>9.2698688271604934E-3</v>
      </c>
      <c r="K1489" s="13">
        <v>0.10504629629629629</v>
      </c>
      <c r="L1489" s="14">
        <v>0.42143387815750366</v>
      </c>
      <c r="M1489" s="12" t="s">
        <v>334</v>
      </c>
      <c r="N1489" s="13">
        <v>7.8935185185185185E-3</v>
      </c>
      <c r="O1489" s="13">
        <v>1.4756944444444444E-2</v>
      </c>
      <c r="P1489" s="13"/>
      <c r="Q1489" s="13"/>
      <c r="R1489" s="13"/>
      <c r="S1489" s="13">
        <v>1.4166666666666666E-2</v>
      </c>
      <c r="T1489" s="13">
        <v>6.7013888888888887E-3</v>
      </c>
      <c r="U1489" s="13">
        <v>6.3657407407407413E-4</v>
      </c>
      <c r="V1489" s="13"/>
      <c r="W1489" s="13">
        <v>6.0891203703703704E-2</v>
      </c>
    </row>
    <row r="1490" spans="1:23" ht="15" customHeight="1" x14ac:dyDescent="0.25">
      <c r="A1490" s="19">
        <v>46253</v>
      </c>
      <c r="B1490" s="11" t="s">
        <v>82</v>
      </c>
      <c r="C1490" s="12" t="s">
        <v>83</v>
      </c>
      <c r="D1490" s="11" t="s">
        <v>78</v>
      </c>
      <c r="E1490" s="12" t="s">
        <v>80</v>
      </c>
      <c r="F1490" s="12" t="s">
        <v>81</v>
      </c>
      <c r="G1490" s="12">
        <v>0</v>
      </c>
      <c r="H1490" s="13">
        <v>5.5023148148148147E-2</v>
      </c>
      <c r="I1490" s="13">
        <v>0</v>
      </c>
      <c r="J1490" s="13">
        <v>0</v>
      </c>
      <c r="K1490" s="13">
        <v>1.4155092592592592E-2</v>
      </c>
      <c r="L1490" s="14">
        <v>0.25725704669751787</v>
      </c>
      <c r="M1490" s="12" t="s">
        <v>334</v>
      </c>
      <c r="N1490" s="13"/>
      <c r="O1490" s="13"/>
      <c r="P1490" s="13"/>
      <c r="Q1490" s="13"/>
      <c r="R1490" s="13"/>
      <c r="S1490" s="13"/>
      <c r="T1490" s="13">
        <v>1.4155092592592592E-2</v>
      </c>
      <c r="U1490" s="13"/>
      <c r="V1490" s="13"/>
      <c r="W1490" s="13"/>
    </row>
    <row r="1491" spans="1:23" ht="15" customHeight="1" x14ac:dyDescent="0.25">
      <c r="A1491" s="19">
        <v>46253</v>
      </c>
      <c r="B1491" s="11" t="s">
        <v>234</v>
      </c>
      <c r="C1491" s="12" t="s">
        <v>550</v>
      </c>
      <c r="D1491" s="11" t="s">
        <v>233</v>
      </c>
      <c r="E1491" s="12" t="s">
        <v>32</v>
      </c>
      <c r="F1491" s="12" t="s">
        <v>106</v>
      </c>
      <c r="G1491" s="12">
        <v>42</v>
      </c>
      <c r="H1491" s="13">
        <v>0.34537037037037038</v>
      </c>
      <c r="I1491" s="13">
        <v>0.1819675925925926</v>
      </c>
      <c r="J1491" s="13">
        <v>4.3325617283950617E-3</v>
      </c>
      <c r="K1491" s="13">
        <v>8.2361111111111107E-2</v>
      </c>
      <c r="L1491" s="14">
        <v>0.23847184986595171</v>
      </c>
      <c r="M1491" s="12" t="s">
        <v>334</v>
      </c>
      <c r="N1491" s="13">
        <v>1.4201388888888888E-2</v>
      </c>
      <c r="O1491" s="13">
        <v>2.0335648148148148E-2</v>
      </c>
      <c r="P1491" s="13"/>
      <c r="Q1491" s="13">
        <v>7.858796296296296E-3</v>
      </c>
      <c r="R1491" s="13"/>
      <c r="S1491" s="13">
        <v>1.3923611111111111E-2</v>
      </c>
      <c r="T1491" s="13">
        <v>1.667824074074074E-2</v>
      </c>
      <c r="U1491" s="13">
        <v>1.1574074074074075E-4</v>
      </c>
      <c r="V1491" s="13"/>
      <c r="W1491" s="13">
        <v>9.2476851851851852E-3</v>
      </c>
    </row>
    <row r="1492" spans="1:23" ht="15" customHeight="1" x14ac:dyDescent="0.25">
      <c r="A1492" s="19">
        <v>46253</v>
      </c>
      <c r="B1492" s="11" t="s">
        <v>34</v>
      </c>
      <c r="C1492" s="12" t="s">
        <v>505</v>
      </c>
      <c r="D1492" s="11" t="s">
        <v>233</v>
      </c>
      <c r="E1492" s="12" t="s">
        <v>32</v>
      </c>
      <c r="F1492" s="12" t="s">
        <v>106</v>
      </c>
      <c r="G1492" s="12">
        <v>33</v>
      </c>
      <c r="H1492" s="13">
        <v>0.26069444444444445</v>
      </c>
      <c r="I1492" s="13">
        <v>0.1302662037037037</v>
      </c>
      <c r="J1492" s="13">
        <v>3.9474607182940517E-3</v>
      </c>
      <c r="K1492" s="13">
        <v>4.7256944444444442E-2</v>
      </c>
      <c r="L1492" s="14">
        <v>0.18127330847096429</v>
      </c>
      <c r="M1492" s="12" t="s">
        <v>334</v>
      </c>
      <c r="N1492" s="13">
        <v>6.6666666666666671E-3</v>
      </c>
      <c r="O1492" s="13">
        <v>1.4282407407407407E-2</v>
      </c>
      <c r="P1492" s="13"/>
      <c r="Q1492" s="13">
        <v>5.208333333333333E-3</v>
      </c>
      <c r="R1492" s="13"/>
      <c r="S1492" s="13">
        <v>1.34375E-2</v>
      </c>
      <c r="T1492" s="13">
        <v>5.7870370370370373E-5</v>
      </c>
      <c r="U1492" s="13">
        <v>6.9675925925925929E-3</v>
      </c>
      <c r="V1492" s="13"/>
      <c r="W1492" s="13"/>
    </row>
    <row r="1493" spans="1:23" ht="15" customHeight="1" x14ac:dyDescent="0.25">
      <c r="A1493" s="19">
        <v>46253</v>
      </c>
      <c r="B1493" s="11" t="s">
        <v>236</v>
      </c>
      <c r="C1493" s="12" t="s">
        <v>551</v>
      </c>
      <c r="D1493" s="11" t="s">
        <v>233</v>
      </c>
      <c r="E1493" s="12" t="s">
        <v>32</v>
      </c>
      <c r="F1493" s="12" t="s">
        <v>106</v>
      </c>
      <c r="G1493" s="12">
        <v>6</v>
      </c>
      <c r="H1493" s="13">
        <v>0.19988425925925926</v>
      </c>
      <c r="I1493" s="13">
        <v>2.0254629629629629E-2</v>
      </c>
      <c r="J1493" s="13">
        <v>3.3757716049382714E-3</v>
      </c>
      <c r="K1493" s="13">
        <v>0.18265046296296297</v>
      </c>
      <c r="L1493" s="14">
        <v>0.91378112333526351</v>
      </c>
      <c r="M1493" s="12" t="s">
        <v>334</v>
      </c>
      <c r="N1493" s="13">
        <v>4.4675925925925924E-3</v>
      </c>
      <c r="O1493" s="13"/>
      <c r="P1493" s="13"/>
      <c r="Q1493" s="13"/>
      <c r="R1493" s="13"/>
      <c r="S1493" s="13"/>
      <c r="T1493" s="13">
        <v>1.5057870370370371E-2</v>
      </c>
      <c r="U1493" s="13">
        <v>8.3333333333333339E-4</v>
      </c>
      <c r="V1493" s="13"/>
      <c r="W1493" s="13">
        <v>0.16226851851851851</v>
      </c>
    </row>
    <row r="1494" spans="1:23" ht="15" customHeight="1" x14ac:dyDescent="0.25">
      <c r="A1494" s="19">
        <v>46253</v>
      </c>
      <c r="B1494" s="11" t="s">
        <v>238</v>
      </c>
      <c r="C1494" s="12" t="s">
        <v>526</v>
      </c>
      <c r="D1494" s="11" t="s">
        <v>233</v>
      </c>
      <c r="E1494" s="12" t="s">
        <v>32</v>
      </c>
      <c r="F1494" s="12" t="s">
        <v>106</v>
      </c>
      <c r="G1494" s="12">
        <v>0</v>
      </c>
      <c r="H1494" s="13">
        <v>0.25604166666666667</v>
      </c>
      <c r="I1494" s="13">
        <v>0</v>
      </c>
      <c r="J1494" s="13">
        <v>0</v>
      </c>
      <c r="K1494" s="13">
        <v>0.25593749999999998</v>
      </c>
      <c r="L1494" s="14">
        <v>0.9995931651749389</v>
      </c>
      <c r="M1494" s="12" t="s">
        <v>334</v>
      </c>
      <c r="N1494" s="13"/>
      <c r="O1494" s="13">
        <v>1.4930555555555556E-2</v>
      </c>
      <c r="P1494" s="13"/>
      <c r="Q1494" s="13"/>
      <c r="R1494" s="13"/>
      <c r="S1494" s="13">
        <v>1.0115740740740741E-2</v>
      </c>
      <c r="T1494" s="13">
        <v>4.2824074074074075E-4</v>
      </c>
      <c r="U1494" s="13"/>
      <c r="V1494" s="13"/>
      <c r="W1494" s="13">
        <v>0.23046296296296295</v>
      </c>
    </row>
    <row r="1495" spans="1:23" ht="15" customHeight="1" x14ac:dyDescent="0.25">
      <c r="A1495" s="19">
        <v>46253</v>
      </c>
      <c r="B1495" s="11" t="s">
        <v>608</v>
      </c>
      <c r="C1495" s="12" t="s">
        <v>631</v>
      </c>
      <c r="D1495" s="11" t="s">
        <v>601</v>
      </c>
      <c r="E1495" s="12" t="s">
        <v>105</v>
      </c>
      <c r="F1495" s="12" t="s">
        <v>33</v>
      </c>
      <c r="G1495" s="12">
        <v>10</v>
      </c>
      <c r="H1495" s="13">
        <v>0.22412037037037036</v>
      </c>
      <c r="I1495" s="13">
        <v>0.11974537037037038</v>
      </c>
      <c r="J1495" s="13">
        <v>1.1974537037037037E-2</v>
      </c>
      <c r="K1495" s="13">
        <v>0.10903935185185185</v>
      </c>
      <c r="L1495" s="14">
        <v>0.48652137988019006</v>
      </c>
      <c r="M1495" s="12" t="s">
        <v>334</v>
      </c>
      <c r="N1495" s="13"/>
      <c r="O1495" s="13">
        <v>1.3668981481481482E-2</v>
      </c>
      <c r="P1495" s="13"/>
      <c r="Q1495" s="13"/>
      <c r="R1495" s="13"/>
      <c r="S1495" s="13">
        <v>1.4594907407407407E-2</v>
      </c>
      <c r="T1495" s="13">
        <v>1.1226851851851851E-3</v>
      </c>
      <c r="U1495" s="13">
        <v>7.9652777777777781E-2</v>
      </c>
      <c r="V1495" s="13"/>
      <c r="W1495" s="13"/>
    </row>
    <row r="1496" spans="1:23" ht="15" customHeight="1" x14ac:dyDescent="0.25">
      <c r="A1496" s="19">
        <v>46253</v>
      </c>
      <c r="B1496" s="11" t="s">
        <v>307</v>
      </c>
      <c r="C1496" s="12" t="s">
        <v>308</v>
      </c>
      <c r="D1496" s="11" t="s">
        <v>78</v>
      </c>
      <c r="E1496" s="12" t="s">
        <v>80</v>
      </c>
      <c r="F1496" s="12" t="s">
        <v>81</v>
      </c>
      <c r="G1496" s="12">
        <v>0</v>
      </c>
      <c r="H1496" s="13">
        <v>0.34005787037037039</v>
      </c>
      <c r="I1496" s="13">
        <v>0</v>
      </c>
      <c r="J1496" s="13">
        <v>0</v>
      </c>
      <c r="K1496" s="13">
        <v>5.6458333333333333E-2</v>
      </c>
      <c r="L1496" s="14">
        <v>0.16602566284333412</v>
      </c>
      <c r="M1496" s="12" t="s">
        <v>334</v>
      </c>
      <c r="N1496" s="13"/>
      <c r="O1496" s="13"/>
      <c r="P1496" s="13"/>
      <c r="Q1496" s="13"/>
      <c r="R1496" s="13">
        <v>1.7164351851851851E-2</v>
      </c>
      <c r="S1496" s="13"/>
      <c r="T1496" s="13"/>
      <c r="U1496" s="13">
        <v>8.7962962962962962E-4</v>
      </c>
      <c r="V1496" s="13"/>
      <c r="W1496" s="13"/>
    </row>
    <row r="1497" spans="1:23" ht="15" customHeight="1" x14ac:dyDescent="0.25">
      <c r="A1497" s="19">
        <v>46253</v>
      </c>
      <c r="B1497" s="11" t="s">
        <v>197</v>
      </c>
      <c r="C1497" s="12" t="s">
        <v>564</v>
      </c>
      <c r="D1497" s="11" t="s">
        <v>601</v>
      </c>
      <c r="E1497" s="12" t="s">
        <v>105</v>
      </c>
      <c r="F1497" s="12" t="s">
        <v>33</v>
      </c>
      <c r="G1497" s="12">
        <v>5</v>
      </c>
      <c r="H1497" s="13">
        <v>0.23778935185185185</v>
      </c>
      <c r="I1497" s="13">
        <v>8.5682870370370368E-2</v>
      </c>
      <c r="J1497" s="13">
        <v>1.7136574074074075E-2</v>
      </c>
      <c r="K1497" s="13">
        <v>0.16009259259259259</v>
      </c>
      <c r="L1497" s="14">
        <v>0.67325383304940378</v>
      </c>
      <c r="M1497" s="12" t="s">
        <v>334</v>
      </c>
      <c r="N1497" s="13">
        <v>1.4421296296296297E-2</v>
      </c>
      <c r="O1497" s="13">
        <v>8.2870370370370372E-3</v>
      </c>
      <c r="P1497" s="13"/>
      <c r="Q1497" s="13">
        <v>1.4699074074074074E-3</v>
      </c>
      <c r="R1497" s="13"/>
      <c r="S1497" s="13">
        <v>1.7326388888888888E-2</v>
      </c>
      <c r="T1497" s="13">
        <v>5.3240740740740744E-4</v>
      </c>
      <c r="U1497" s="13">
        <v>0.11805555555555555</v>
      </c>
      <c r="V1497" s="13"/>
      <c r="W1497" s="13"/>
    </row>
    <row r="1498" spans="1:23" ht="15" customHeight="1" x14ac:dyDescent="0.25">
      <c r="A1498" s="19">
        <v>46253</v>
      </c>
      <c r="B1498" s="11" t="s">
        <v>150</v>
      </c>
      <c r="C1498" s="12" t="s">
        <v>514</v>
      </c>
      <c r="D1498" s="11" t="s">
        <v>146</v>
      </c>
      <c r="E1498" s="12" t="s">
        <v>147</v>
      </c>
      <c r="F1498" s="12" t="s">
        <v>106</v>
      </c>
      <c r="G1498" s="12">
        <v>26</v>
      </c>
      <c r="H1498" s="13">
        <v>0.26569444444444446</v>
      </c>
      <c r="I1498" s="13">
        <v>5.212962962962963E-2</v>
      </c>
      <c r="J1498" s="13">
        <v>2.0049857549857548E-3</v>
      </c>
      <c r="K1498" s="13">
        <v>2.8252314814814813E-2</v>
      </c>
      <c r="L1498" s="14">
        <v>0.10633385607248648</v>
      </c>
      <c r="M1498" s="12" t="s">
        <v>334</v>
      </c>
      <c r="N1498" s="13"/>
      <c r="O1498" s="13">
        <v>1.3761574074074074E-2</v>
      </c>
      <c r="P1498" s="13"/>
      <c r="Q1498" s="13"/>
      <c r="R1498" s="13"/>
      <c r="S1498" s="13">
        <v>1.4212962962962964E-2</v>
      </c>
      <c r="T1498" s="13">
        <v>8.1018518518518516E-5</v>
      </c>
      <c r="U1498" s="13">
        <v>1.8518518518518518E-4</v>
      </c>
      <c r="V1498" s="13"/>
      <c r="W1498" s="13"/>
    </row>
    <row r="1499" spans="1:23" ht="15" customHeight="1" x14ac:dyDescent="0.25">
      <c r="A1499" s="19">
        <v>46253</v>
      </c>
      <c r="B1499" s="11" t="s">
        <v>154</v>
      </c>
      <c r="C1499" s="12" t="s">
        <v>515</v>
      </c>
      <c r="D1499" s="11" t="s">
        <v>146</v>
      </c>
      <c r="E1499" s="12" t="s">
        <v>147</v>
      </c>
      <c r="F1499" s="12" t="s">
        <v>106</v>
      </c>
      <c r="G1499" s="12">
        <v>20</v>
      </c>
      <c r="H1499" s="13">
        <v>0.26059027777777777</v>
      </c>
      <c r="I1499" s="13">
        <v>7.9722222222222222E-2</v>
      </c>
      <c r="J1499" s="13">
        <v>3.9861111111111113E-3</v>
      </c>
      <c r="K1499" s="13">
        <v>2.9953703703703705E-2</v>
      </c>
      <c r="L1499" s="14">
        <v>0.11494559182767045</v>
      </c>
      <c r="M1499" s="12" t="s">
        <v>334</v>
      </c>
      <c r="N1499" s="13">
        <v>1.8865740740740742E-3</v>
      </c>
      <c r="O1499" s="13">
        <v>1.1273148148148148E-2</v>
      </c>
      <c r="P1499" s="13"/>
      <c r="Q1499" s="13"/>
      <c r="R1499" s="13"/>
      <c r="S1499" s="13">
        <v>1.4641203703703703E-2</v>
      </c>
      <c r="T1499" s="13">
        <v>5.7870370370370373E-5</v>
      </c>
      <c r="U1499" s="13">
        <v>1.9444444444444444E-3</v>
      </c>
      <c r="V1499" s="13"/>
      <c r="W1499" s="13"/>
    </row>
    <row r="1500" spans="1:23" ht="15" customHeight="1" x14ac:dyDescent="0.25">
      <c r="A1500" s="19">
        <v>46253</v>
      </c>
      <c r="B1500" s="11" t="s">
        <v>112</v>
      </c>
      <c r="C1500" s="12" t="s">
        <v>570</v>
      </c>
      <c r="D1500" s="11" t="s">
        <v>104</v>
      </c>
      <c r="E1500" s="12" t="s">
        <v>105</v>
      </c>
      <c r="F1500" s="12" t="s">
        <v>106</v>
      </c>
      <c r="G1500" s="12">
        <v>3</v>
      </c>
      <c r="H1500" s="13">
        <v>0.22173611111111111</v>
      </c>
      <c r="I1500" s="13">
        <v>0.13758101851851851</v>
      </c>
      <c r="J1500" s="13">
        <v>4.5860339506172833E-2</v>
      </c>
      <c r="K1500" s="13">
        <v>0.10945601851851852</v>
      </c>
      <c r="L1500" s="14">
        <v>0.49363190312141147</v>
      </c>
      <c r="M1500" s="12" t="s">
        <v>334</v>
      </c>
      <c r="N1500" s="13">
        <v>1.8634259259259259E-3</v>
      </c>
      <c r="O1500" s="13">
        <v>1.5868055555555555E-2</v>
      </c>
      <c r="P1500" s="13">
        <v>2.0833333333333333E-3</v>
      </c>
      <c r="Q1500" s="13"/>
      <c r="R1500" s="13"/>
      <c r="S1500" s="13">
        <v>1.4386574074074074E-2</v>
      </c>
      <c r="T1500" s="13">
        <v>5.7870370370370367E-4</v>
      </c>
      <c r="U1500" s="13">
        <v>1.9675925925925926E-4</v>
      </c>
      <c r="V1500" s="13"/>
      <c r="W1500" s="13">
        <v>7.4479166666666666E-2</v>
      </c>
    </row>
    <row r="1501" spans="1:23" ht="15" customHeight="1" x14ac:dyDescent="0.25">
      <c r="A1501" s="19">
        <v>46253</v>
      </c>
      <c r="B1501" s="11" t="s">
        <v>42</v>
      </c>
      <c r="C1501" s="12" t="s">
        <v>537</v>
      </c>
      <c r="D1501" s="11" t="s">
        <v>104</v>
      </c>
      <c r="E1501" s="12" t="s">
        <v>105</v>
      </c>
      <c r="F1501" s="12" t="s">
        <v>106</v>
      </c>
      <c r="G1501" s="12">
        <v>16</v>
      </c>
      <c r="H1501" s="13">
        <v>0.25865740740740739</v>
      </c>
      <c r="I1501" s="13">
        <v>9.5393518518518516E-2</v>
      </c>
      <c r="J1501" s="13">
        <v>5.9620949074074073E-3</v>
      </c>
      <c r="K1501" s="13">
        <v>0.12989583333333332</v>
      </c>
      <c r="L1501" s="14">
        <v>0.5021925899409343</v>
      </c>
      <c r="M1501" s="12" t="s">
        <v>334</v>
      </c>
      <c r="N1501" s="13">
        <v>1.5925925925925927E-2</v>
      </c>
      <c r="O1501" s="13">
        <v>1.4548611111111111E-2</v>
      </c>
      <c r="P1501" s="13"/>
      <c r="Q1501" s="13">
        <v>4.9652777777777777E-3</v>
      </c>
      <c r="R1501" s="13"/>
      <c r="S1501" s="13">
        <v>1.3645833333333333E-2</v>
      </c>
      <c r="T1501" s="13">
        <v>7.407407407407407E-4</v>
      </c>
      <c r="U1501" s="13">
        <v>9.2592592592592596E-4</v>
      </c>
      <c r="V1501" s="13"/>
      <c r="W1501" s="13">
        <v>7.9143518518518516E-2</v>
      </c>
    </row>
    <row r="1502" spans="1:23" ht="15" customHeight="1" x14ac:dyDescent="0.25">
      <c r="A1502" s="19">
        <v>46253</v>
      </c>
      <c r="B1502" s="11" t="s">
        <v>156</v>
      </c>
      <c r="C1502" s="12" t="s">
        <v>516</v>
      </c>
      <c r="D1502" s="11" t="s">
        <v>146</v>
      </c>
      <c r="E1502" s="12" t="s">
        <v>147</v>
      </c>
      <c r="F1502" s="12" t="s">
        <v>106</v>
      </c>
      <c r="G1502" s="12">
        <v>19</v>
      </c>
      <c r="H1502" s="13">
        <v>0.263125</v>
      </c>
      <c r="I1502" s="13">
        <v>6.9629629629629625E-2</v>
      </c>
      <c r="J1502" s="13">
        <v>3.6647173489278749E-3</v>
      </c>
      <c r="K1502" s="13">
        <v>3.7766203703703705E-2</v>
      </c>
      <c r="L1502" s="14">
        <v>0.14352951526348201</v>
      </c>
      <c r="M1502" s="12" t="s">
        <v>334</v>
      </c>
      <c r="N1502" s="13"/>
      <c r="O1502" s="13">
        <v>1.7673611111111112E-2</v>
      </c>
      <c r="P1502" s="13"/>
      <c r="Q1502" s="13">
        <v>4.9305555555555552E-3</v>
      </c>
      <c r="R1502" s="13"/>
      <c r="S1502" s="13">
        <v>1.4224537037037037E-2</v>
      </c>
      <c r="T1502" s="13">
        <v>5.7870370370370373E-5</v>
      </c>
      <c r="U1502" s="13">
        <v>8.3333333333333339E-4</v>
      </c>
      <c r="V1502" s="13"/>
      <c r="W1502" s="13"/>
    </row>
    <row r="1503" spans="1:23" ht="15" customHeight="1" x14ac:dyDescent="0.25">
      <c r="A1503" s="19">
        <v>46253</v>
      </c>
      <c r="B1503" s="11" t="s">
        <v>114</v>
      </c>
      <c r="C1503" s="12" t="s">
        <v>541</v>
      </c>
      <c r="D1503" s="11" t="s">
        <v>104</v>
      </c>
      <c r="E1503" s="12" t="s">
        <v>105</v>
      </c>
      <c r="F1503" s="12" t="s">
        <v>106</v>
      </c>
      <c r="G1503" s="12">
        <v>19</v>
      </c>
      <c r="H1503" s="13">
        <v>0.25621527777777775</v>
      </c>
      <c r="I1503" s="13">
        <v>8.5138888888888889E-2</v>
      </c>
      <c r="J1503" s="13">
        <v>4.4809941520467834E-3</v>
      </c>
      <c r="K1503" s="13">
        <v>0.14030092592592591</v>
      </c>
      <c r="L1503" s="14">
        <v>0.54759000767945065</v>
      </c>
      <c r="M1503" s="12" t="s">
        <v>334</v>
      </c>
      <c r="N1503" s="13">
        <v>6.3888888888888893E-3</v>
      </c>
      <c r="O1503" s="13">
        <v>1.5601851851851851E-2</v>
      </c>
      <c r="P1503" s="13"/>
      <c r="Q1503" s="13">
        <v>8.9699074074074073E-3</v>
      </c>
      <c r="R1503" s="13"/>
      <c r="S1503" s="13">
        <v>1.6898148148148148E-2</v>
      </c>
      <c r="T1503" s="13">
        <v>2.1319444444444443E-2</v>
      </c>
      <c r="U1503" s="13">
        <v>1.0069444444444444E-3</v>
      </c>
      <c r="V1503" s="13"/>
      <c r="W1503" s="13">
        <v>7.0115740740740742E-2</v>
      </c>
    </row>
    <row r="1504" spans="1:23" ht="15" customHeight="1" x14ac:dyDescent="0.25">
      <c r="A1504" s="19">
        <v>46253</v>
      </c>
      <c r="B1504" s="11" t="s">
        <v>44</v>
      </c>
      <c r="C1504" s="12" t="s">
        <v>506</v>
      </c>
      <c r="D1504" s="11" t="s">
        <v>100</v>
      </c>
      <c r="E1504" s="12" t="s">
        <v>32</v>
      </c>
      <c r="F1504" s="12" t="s">
        <v>33</v>
      </c>
      <c r="G1504" s="12">
        <v>29</v>
      </c>
      <c r="H1504" s="13">
        <v>0.26055555555555554</v>
      </c>
      <c r="I1504" s="13">
        <v>0.14633101851851851</v>
      </c>
      <c r="J1504" s="13">
        <v>5.0458971902937414E-3</v>
      </c>
      <c r="K1504" s="13">
        <v>3.5624999999999997E-2</v>
      </c>
      <c r="L1504" s="14">
        <v>0.13672707889125799</v>
      </c>
      <c r="M1504" s="12" t="s">
        <v>334</v>
      </c>
      <c r="N1504" s="13">
        <v>3.9004629629629628E-3</v>
      </c>
      <c r="O1504" s="13">
        <v>1.3969907407407407E-2</v>
      </c>
      <c r="P1504" s="13"/>
      <c r="Q1504" s="13"/>
      <c r="R1504" s="13"/>
      <c r="S1504" s="13">
        <v>1.4583333333333334E-2</v>
      </c>
      <c r="T1504" s="13">
        <v>6.018518518518519E-4</v>
      </c>
      <c r="U1504" s="13">
        <v>2.5115740740740741E-3</v>
      </c>
      <c r="V1504" s="13"/>
      <c r="W1504" s="13"/>
    </row>
    <row r="1505" spans="1:23" ht="15" customHeight="1" x14ac:dyDescent="0.25">
      <c r="A1505" s="19">
        <v>46253</v>
      </c>
      <c r="B1505" s="11" t="s">
        <v>609</v>
      </c>
      <c r="C1505" s="12" t="s">
        <v>632</v>
      </c>
      <c r="D1505" s="11" t="s">
        <v>601</v>
      </c>
      <c r="E1505" s="12" t="s">
        <v>105</v>
      </c>
      <c r="F1505" s="12" t="s">
        <v>33</v>
      </c>
      <c r="G1505" s="12">
        <v>5</v>
      </c>
      <c r="H1505" s="13">
        <v>7.2488425925925928E-2</v>
      </c>
      <c r="I1505" s="13">
        <v>0.12490740740740741</v>
      </c>
      <c r="J1505" s="13">
        <v>2.4981481481481483E-2</v>
      </c>
      <c r="K1505" s="13">
        <v>4.2534722222222224E-2</v>
      </c>
      <c r="L1505" s="14">
        <v>0.58677949864282297</v>
      </c>
      <c r="M1505" s="12" t="s">
        <v>334</v>
      </c>
      <c r="N1505" s="13">
        <v>2.1064814814814813E-3</v>
      </c>
      <c r="O1505" s="13"/>
      <c r="P1505" s="13"/>
      <c r="Q1505" s="13"/>
      <c r="R1505" s="13"/>
      <c r="S1505" s="13"/>
      <c r="T1505" s="13">
        <v>6.9444444444444444E-5</v>
      </c>
      <c r="U1505" s="13">
        <v>4.0358796296296295E-2</v>
      </c>
      <c r="V1505" s="13"/>
      <c r="W1505" s="13"/>
    </row>
    <row r="1506" spans="1:23" ht="15" customHeight="1" x14ac:dyDescent="0.25">
      <c r="A1506" s="19">
        <v>46253</v>
      </c>
      <c r="B1506" s="11" t="s">
        <v>240</v>
      </c>
      <c r="C1506" s="12" t="s">
        <v>527</v>
      </c>
      <c r="D1506" s="11" t="s">
        <v>233</v>
      </c>
      <c r="E1506" s="12" t="s">
        <v>32</v>
      </c>
      <c r="F1506" s="12" t="s">
        <v>106</v>
      </c>
      <c r="G1506" s="12">
        <v>5</v>
      </c>
      <c r="H1506" s="13">
        <v>0.23859953703703704</v>
      </c>
      <c r="I1506" s="13">
        <v>3.8854166666666669E-2</v>
      </c>
      <c r="J1506" s="13">
        <v>7.7708333333333336E-3</v>
      </c>
      <c r="K1506" s="13">
        <v>0.19814814814814816</v>
      </c>
      <c r="L1506" s="14">
        <v>0.83046325491147222</v>
      </c>
      <c r="M1506" s="12" t="s">
        <v>334</v>
      </c>
      <c r="N1506" s="13">
        <v>1.5428240740740741E-2</v>
      </c>
      <c r="O1506" s="13">
        <v>9.7222222222222224E-3</v>
      </c>
      <c r="P1506" s="13"/>
      <c r="Q1506" s="13"/>
      <c r="R1506" s="13"/>
      <c r="S1506" s="13">
        <v>1.3900462962962963E-2</v>
      </c>
      <c r="T1506" s="13">
        <v>2.0023148148148148E-3</v>
      </c>
      <c r="U1506" s="13">
        <v>1.0416666666666667E-4</v>
      </c>
      <c r="V1506" s="13"/>
      <c r="W1506" s="13">
        <v>0.15699074074074074</v>
      </c>
    </row>
    <row r="1507" spans="1:23" ht="15" customHeight="1" x14ac:dyDescent="0.25">
      <c r="A1507" s="19">
        <v>46253</v>
      </c>
      <c r="B1507" s="11" t="s">
        <v>497</v>
      </c>
      <c r="C1507" s="12" t="s">
        <v>498</v>
      </c>
      <c r="D1507" s="11" t="s">
        <v>78</v>
      </c>
      <c r="E1507" s="12" t="s">
        <v>80</v>
      </c>
      <c r="F1507" s="12" t="s">
        <v>81</v>
      </c>
      <c r="G1507" s="12">
        <v>0</v>
      </c>
      <c r="H1507" s="13">
        <v>0.34468749999999998</v>
      </c>
      <c r="I1507" s="13">
        <v>0</v>
      </c>
      <c r="J1507" s="13">
        <v>0</v>
      </c>
      <c r="K1507" s="13">
        <v>5.7581018518518517E-2</v>
      </c>
      <c r="L1507" s="14">
        <v>0.16705281891138646</v>
      </c>
      <c r="M1507" s="12" t="s">
        <v>334</v>
      </c>
      <c r="N1507" s="13"/>
      <c r="O1507" s="13">
        <v>1.3726851851851851E-2</v>
      </c>
      <c r="P1507" s="13"/>
      <c r="Q1507" s="13"/>
      <c r="R1507" s="13"/>
      <c r="S1507" s="13">
        <v>4.2476851851851849E-2</v>
      </c>
      <c r="T1507" s="13">
        <v>1.3194444444444445E-3</v>
      </c>
      <c r="U1507" s="13"/>
      <c r="V1507" s="13"/>
      <c r="W1507" s="13"/>
    </row>
    <row r="1508" spans="1:23" ht="15" customHeight="1" x14ac:dyDescent="0.25">
      <c r="A1508" s="19">
        <v>46253</v>
      </c>
      <c r="B1508" s="11" t="s">
        <v>309</v>
      </c>
      <c r="C1508" s="12" t="s">
        <v>310</v>
      </c>
      <c r="D1508" s="11" t="s">
        <v>78</v>
      </c>
      <c r="E1508" s="12" t="s">
        <v>80</v>
      </c>
      <c r="F1508" s="12" t="s">
        <v>81</v>
      </c>
      <c r="G1508" s="12">
        <v>0</v>
      </c>
      <c r="H1508" s="13">
        <v>0.3527777777777778</v>
      </c>
      <c r="I1508" s="13">
        <v>0</v>
      </c>
      <c r="J1508" s="13">
        <v>0</v>
      </c>
      <c r="K1508" s="13">
        <v>6.8842592592592594E-2</v>
      </c>
      <c r="L1508" s="14">
        <v>0.19514435695538057</v>
      </c>
      <c r="M1508" s="12" t="s">
        <v>334</v>
      </c>
      <c r="N1508" s="13">
        <v>8.1481481481481474E-3</v>
      </c>
      <c r="O1508" s="13">
        <v>5.1655092592592593E-2</v>
      </c>
      <c r="P1508" s="13"/>
      <c r="Q1508" s="13"/>
      <c r="R1508" s="13"/>
      <c r="S1508" s="13">
        <v>6.9097222222222225E-3</v>
      </c>
      <c r="T1508" s="13">
        <v>1.8287037037037037E-3</v>
      </c>
      <c r="U1508" s="13">
        <v>2.7777777777777778E-4</v>
      </c>
      <c r="V1508" s="13"/>
      <c r="W1508" s="13"/>
    </row>
    <row r="1509" spans="1:23" ht="15" customHeight="1" x14ac:dyDescent="0.25">
      <c r="A1509" s="19">
        <v>46253</v>
      </c>
      <c r="B1509" s="11" t="s">
        <v>160</v>
      </c>
      <c r="C1509" s="12" t="s">
        <v>544</v>
      </c>
      <c r="D1509" s="11" t="s">
        <v>146</v>
      </c>
      <c r="E1509" s="12" t="s">
        <v>147</v>
      </c>
      <c r="F1509" s="12" t="s">
        <v>106</v>
      </c>
      <c r="G1509" s="12">
        <v>22</v>
      </c>
      <c r="H1509" s="13">
        <v>0.26478009259259261</v>
      </c>
      <c r="I1509" s="13">
        <v>5.3240740740740741E-2</v>
      </c>
      <c r="J1509" s="13">
        <v>2.4200336700336699E-3</v>
      </c>
      <c r="K1509" s="13">
        <v>4.5324074074074072E-2</v>
      </c>
      <c r="L1509" s="14">
        <v>0.17117629059754336</v>
      </c>
      <c r="M1509" s="12" t="s">
        <v>334</v>
      </c>
      <c r="N1509" s="13">
        <v>1.457175925925926E-2</v>
      </c>
      <c r="O1509" s="13">
        <v>1.5648148148148147E-2</v>
      </c>
      <c r="P1509" s="13"/>
      <c r="Q1509" s="13"/>
      <c r="R1509" s="13"/>
      <c r="S1509" s="13">
        <v>1.4641203703703703E-2</v>
      </c>
      <c r="T1509" s="13">
        <v>8.1018518518518516E-5</v>
      </c>
      <c r="U1509" s="13">
        <v>3.4722222222222224E-4</v>
      </c>
      <c r="V1509" s="13"/>
      <c r="W1509" s="13"/>
    </row>
    <row r="1510" spans="1:23" ht="15" customHeight="1" x14ac:dyDescent="0.25">
      <c r="A1510" s="19">
        <v>46253</v>
      </c>
      <c r="B1510" s="11" t="s">
        <v>645</v>
      </c>
      <c r="C1510" s="12" t="s">
        <v>646</v>
      </c>
      <c r="D1510" s="11" t="s">
        <v>100</v>
      </c>
      <c r="E1510" s="12" t="s">
        <v>32</v>
      </c>
      <c r="F1510" s="12" t="s">
        <v>33</v>
      </c>
      <c r="G1510" s="12">
        <v>39</v>
      </c>
      <c r="H1510" s="13">
        <v>0.26685185185185184</v>
      </c>
      <c r="I1510" s="13">
        <v>0.16285879629629629</v>
      </c>
      <c r="J1510" s="13">
        <v>4.1758665716999047E-3</v>
      </c>
      <c r="K1510" s="13">
        <v>3.9166666666666669E-2</v>
      </c>
      <c r="L1510" s="14">
        <v>0.1467730742539903</v>
      </c>
      <c r="M1510" s="12" t="s">
        <v>334</v>
      </c>
      <c r="N1510" s="13">
        <v>6.4467592592592588E-3</v>
      </c>
      <c r="O1510" s="13">
        <v>1.361111111111111E-2</v>
      </c>
      <c r="P1510" s="13"/>
      <c r="Q1510" s="13">
        <v>5.4398148148148144E-4</v>
      </c>
      <c r="R1510" s="13"/>
      <c r="S1510" s="13">
        <v>1.3981481481481482E-2</v>
      </c>
      <c r="T1510" s="13">
        <v>3.2986111111111111E-3</v>
      </c>
      <c r="U1510" s="13">
        <v>1.1921296296296296E-3</v>
      </c>
      <c r="V1510" s="13"/>
      <c r="W1510" s="13"/>
    </row>
    <row r="1511" spans="1:23" ht="15" customHeight="1" x14ac:dyDescent="0.25">
      <c r="A1511" s="19">
        <v>46253</v>
      </c>
      <c r="B1511" s="11" t="s">
        <v>120</v>
      </c>
      <c r="C1511" s="12" t="s">
        <v>558</v>
      </c>
      <c r="D1511" s="11" t="s">
        <v>233</v>
      </c>
      <c r="E1511" s="12" t="s">
        <v>32</v>
      </c>
      <c r="F1511" s="12" t="s">
        <v>106</v>
      </c>
      <c r="G1511" s="12">
        <v>43</v>
      </c>
      <c r="H1511" s="13">
        <v>0.25107638888888889</v>
      </c>
      <c r="I1511" s="13">
        <v>0.10592592592592592</v>
      </c>
      <c r="J1511" s="13">
        <v>2.4633936261843239E-3</v>
      </c>
      <c r="K1511" s="13">
        <v>7.1516203703703707E-2</v>
      </c>
      <c r="L1511" s="14">
        <v>0.28483842714239616</v>
      </c>
      <c r="M1511" s="12" t="s">
        <v>334</v>
      </c>
      <c r="N1511" s="13">
        <v>1.7824074074074076E-2</v>
      </c>
      <c r="O1511" s="13">
        <v>1.4247685185185184E-2</v>
      </c>
      <c r="P1511" s="13"/>
      <c r="Q1511" s="13">
        <v>5.37037037037037E-3</v>
      </c>
      <c r="R1511" s="13"/>
      <c r="S1511" s="13">
        <v>1.2951388888888889E-2</v>
      </c>
      <c r="T1511" s="13">
        <v>4.4907407407407405E-3</v>
      </c>
      <c r="U1511" s="13">
        <v>3.1597222222222222E-3</v>
      </c>
      <c r="V1511" s="13"/>
      <c r="W1511" s="13">
        <v>1.3472222222222222E-2</v>
      </c>
    </row>
    <row r="1512" spans="1:23" ht="15" customHeight="1" x14ac:dyDescent="0.25">
      <c r="A1512" s="19">
        <v>46253</v>
      </c>
      <c r="B1512" s="11" t="s">
        <v>46</v>
      </c>
      <c r="C1512" s="12" t="s">
        <v>507</v>
      </c>
      <c r="D1512" s="11" t="s">
        <v>100</v>
      </c>
      <c r="E1512" s="12" t="s">
        <v>32</v>
      </c>
      <c r="F1512" s="12" t="s">
        <v>33</v>
      </c>
      <c r="G1512" s="12">
        <v>31</v>
      </c>
      <c r="H1512" s="13">
        <v>0.26424768518518521</v>
      </c>
      <c r="I1512" s="13">
        <v>0.14576388888888889</v>
      </c>
      <c r="J1512" s="13">
        <v>4.7020609318996417E-3</v>
      </c>
      <c r="K1512" s="13">
        <v>4.8067129629629626E-2</v>
      </c>
      <c r="L1512" s="14">
        <v>0.18190180018396038</v>
      </c>
      <c r="M1512" s="12" t="s">
        <v>334</v>
      </c>
      <c r="N1512" s="13">
        <v>5.8680555555555552E-3</v>
      </c>
      <c r="O1512" s="13">
        <v>1.4143518518518519E-2</v>
      </c>
      <c r="P1512" s="13"/>
      <c r="Q1512" s="13">
        <v>1.1678240740740741E-2</v>
      </c>
      <c r="R1512" s="13"/>
      <c r="S1512" s="13">
        <v>1.3923611111111111E-2</v>
      </c>
      <c r="T1512" s="13">
        <v>5.4398148148148144E-4</v>
      </c>
      <c r="U1512" s="13">
        <v>1.8402777777777777E-3</v>
      </c>
      <c r="V1512" s="13"/>
      <c r="W1512" s="13"/>
    </row>
    <row r="1513" spans="1:23" ht="15" customHeight="1" x14ac:dyDescent="0.25">
      <c r="A1513" s="19">
        <v>46253</v>
      </c>
      <c r="B1513" s="11" t="s">
        <v>499</v>
      </c>
      <c r="C1513" s="12" t="s">
        <v>517</v>
      </c>
      <c r="D1513" s="11" t="s">
        <v>146</v>
      </c>
      <c r="E1513" s="12" t="s">
        <v>147</v>
      </c>
      <c r="F1513" s="12" t="s">
        <v>106</v>
      </c>
      <c r="G1513" s="12">
        <v>2</v>
      </c>
      <c r="H1513" s="13">
        <v>6.3692129629629626E-2</v>
      </c>
      <c r="I1513" s="13">
        <v>1.4918981481481481E-2</v>
      </c>
      <c r="J1513" s="13">
        <v>7.4594907407407405E-3</v>
      </c>
      <c r="K1513" s="13">
        <v>1.3391203703703704E-2</v>
      </c>
      <c r="L1513" s="14">
        <v>0.21024895511539163</v>
      </c>
      <c r="M1513" s="12" t="s">
        <v>334</v>
      </c>
      <c r="N1513" s="13">
        <v>2.0949074074074073E-3</v>
      </c>
      <c r="O1513" s="13">
        <v>1.1168981481481481E-2</v>
      </c>
      <c r="P1513" s="13"/>
      <c r="Q1513" s="13"/>
      <c r="R1513" s="13"/>
      <c r="S1513" s="13"/>
      <c r="T1513" s="13">
        <v>1.273148148148148E-4</v>
      </c>
      <c r="U1513" s="13"/>
      <c r="V1513" s="13"/>
      <c r="W1513" s="13"/>
    </row>
    <row r="1514" spans="1:23" ht="15" customHeight="1" x14ac:dyDescent="0.25">
      <c r="A1514" s="19">
        <v>46253</v>
      </c>
      <c r="B1514" s="11" t="s">
        <v>647</v>
      </c>
      <c r="C1514" s="12" t="s">
        <v>648</v>
      </c>
      <c r="D1514" s="11" t="s">
        <v>233</v>
      </c>
      <c r="E1514" s="12" t="s">
        <v>32</v>
      </c>
      <c r="F1514" s="12" t="s">
        <v>106</v>
      </c>
      <c r="G1514" s="12">
        <v>32</v>
      </c>
      <c r="H1514" s="13">
        <v>0.26407407407407407</v>
      </c>
      <c r="I1514" s="13">
        <v>0.11604166666666667</v>
      </c>
      <c r="J1514" s="13">
        <v>3.6263020833333334E-3</v>
      </c>
      <c r="K1514" s="13">
        <v>5.6608796296296296E-2</v>
      </c>
      <c r="L1514" s="14">
        <v>0.21436711079943899</v>
      </c>
      <c r="M1514" s="12" t="s">
        <v>334</v>
      </c>
      <c r="N1514" s="13">
        <v>1.3888888888888888E-2</v>
      </c>
      <c r="O1514" s="13">
        <v>1.5555555555555555E-2</v>
      </c>
      <c r="P1514" s="13"/>
      <c r="Q1514" s="13">
        <v>5.324074074074074E-3</v>
      </c>
      <c r="R1514" s="13"/>
      <c r="S1514" s="13">
        <v>1.2997685185185185E-2</v>
      </c>
      <c r="T1514" s="13">
        <v>8.5763888888888886E-3</v>
      </c>
      <c r="U1514" s="13">
        <v>2.5462962962962961E-4</v>
      </c>
      <c r="V1514" s="13"/>
      <c r="W1514" s="13"/>
    </row>
    <row r="1515" spans="1:23" ht="15" customHeight="1" x14ac:dyDescent="0.25">
      <c r="A1515" s="19">
        <v>46253</v>
      </c>
      <c r="B1515" s="11" t="s">
        <v>649</v>
      </c>
      <c r="C1515" s="12" t="s">
        <v>650</v>
      </c>
      <c r="D1515" s="11" t="s">
        <v>104</v>
      </c>
      <c r="E1515" s="12" t="s">
        <v>105</v>
      </c>
      <c r="F1515" s="12" t="s">
        <v>106</v>
      </c>
      <c r="G1515" s="12">
        <v>10</v>
      </c>
      <c r="H1515" s="13">
        <v>0.25773148148148151</v>
      </c>
      <c r="I1515" s="13">
        <v>6.7349537037037041E-2</v>
      </c>
      <c r="J1515" s="13">
        <v>6.7349537037037039E-3</v>
      </c>
      <c r="K1515" s="13">
        <v>0.13054398148148147</v>
      </c>
      <c r="L1515" s="14">
        <v>0.50651158613256686</v>
      </c>
      <c r="M1515" s="12" t="s">
        <v>334</v>
      </c>
      <c r="N1515" s="13">
        <v>5.3009259259259259E-3</v>
      </c>
      <c r="O1515" s="13">
        <v>1.3877314814814815E-2</v>
      </c>
      <c r="P1515" s="13"/>
      <c r="Q1515" s="13">
        <v>5.7986111111111112E-3</v>
      </c>
      <c r="R1515" s="13"/>
      <c r="S1515" s="13">
        <v>1.357638888888889E-2</v>
      </c>
      <c r="T1515" s="13">
        <v>2.3032407407407407E-3</v>
      </c>
      <c r="U1515" s="13">
        <v>2.5196759259259259E-2</v>
      </c>
      <c r="V1515" s="13"/>
      <c r="W1515" s="13">
        <v>6.4490740740740737E-2</v>
      </c>
    </row>
    <row r="1516" spans="1:23" ht="15" customHeight="1" x14ac:dyDescent="0.25">
      <c r="A1516" s="19">
        <v>46253</v>
      </c>
      <c r="B1516" s="11" t="s">
        <v>651</v>
      </c>
      <c r="C1516" s="12" t="s">
        <v>652</v>
      </c>
      <c r="D1516" s="11" t="s">
        <v>100</v>
      </c>
      <c r="E1516" s="12" t="s">
        <v>32</v>
      </c>
      <c r="F1516" s="12" t="s">
        <v>33</v>
      </c>
      <c r="G1516" s="12">
        <v>17</v>
      </c>
      <c r="H1516" s="13">
        <v>0.26481481481481484</v>
      </c>
      <c r="I1516" s="13">
        <v>0.14930555555555555</v>
      </c>
      <c r="J1516" s="13">
        <v>8.7826797385620915E-3</v>
      </c>
      <c r="K1516" s="13">
        <v>6.9803240740740735E-2</v>
      </c>
      <c r="L1516" s="14">
        <v>0.2635926573426573</v>
      </c>
      <c r="M1516" s="12" t="s">
        <v>334</v>
      </c>
      <c r="N1516" s="13">
        <v>5.2777777777777779E-3</v>
      </c>
      <c r="O1516" s="13">
        <v>1.3900462962962963E-2</v>
      </c>
      <c r="P1516" s="13"/>
      <c r="Q1516" s="13">
        <v>3.7152777777777778E-2</v>
      </c>
      <c r="R1516" s="13"/>
      <c r="S1516" s="13">
        <v>1.3391203703703704E-2</v>
      </c>
      <c r="T1516" s="13">
        <v>8.1018518518518516E-5</v>
      </c>
      <c r="U1516" s="13"/>
      <c r="V1516" s="13"/>
      <c r="W1516" s="13"/>
    </row>
    <row r="1517" spans="1:23" ht="15" customHeight="1" x14ac:dyDescent="0.25">
      <c r="A1517" s="19">
        <v>46253</v>
      </c>
      <c r="B1517" s="11" t="s">
        <v>246</v>
      </c>
      <c r="C1517" s="12" t="s">
        <v>568</v>
      </c>
      <c r="D1517" s="11" t="s">
        <v>233</v>
      </c>
      <c r="E1517" s="12" t="s">
        <v>32</v>
      </c>
      <c r="F1517" s="12" t="s">
        <v>106</v>
      </c>
      <c r="G1517" s="12">
        <v>50</v>
      </c>
      <c r="H1517" s="13">
        <v>0.35240740740740739</v>
      </c>
      <c r="I1517" s="13">
        <v>0.15627314814814816</v>
      </c>
      <c r="J1517" s="13">
        <v>3.1254629629629631E-3</v>
      </c>
      <c r="K1517" s="13">
        <v>7.5798611111111108E-2</v>
      </c>
      <c r="L1517" s="14">
        <v>0.21508801891749868</v>
      </c>
      <c r="M1517" s="12" t="s">
        <v>334</v>
      </c>
      <c r="N1517" s="13">
        <v>7.5231481481481477E-3</v>
      </c>
      <c r="O1517" s="13">
        <v>2.0370370370370372E-2</v>
      </c>
      <c r="P1517" s="13">
        <v>3.2754629629629631E-3</v>
      </c>
      <c r="Q1517" s="13">
        <v>1.1793981481481482E-2</v>
      </c>
      <c r="R1517" s="13"/>
      <c r="S1517" s="13">
        <v>1.3680555555555555E-2</v>
      </c>
      <c r="T1517" s="13">
        <v>9.1898148148148156E-3</v>
      </c>
      <c r="U1517" s="13">
        <v>3.3564814814814812E-4</v>
      </c>
      <c r="V1517" s="13"/>
      <c r="W1517" s="13">
        <v>9.618055555555555E-3</v>
      </c>
    </row>
    <row r="1518" spans="1:23" ht="15" customHeight="1" x14ac:dyDescent="0.25">
      <c r="A1518" s="19">
        <v>46253</v>
      </c>
      <c r="B1518" s="11" t="s">
        <v>48</v>
      </c>
      <c r="C1518" s="12" t="s">
        <v>508</v>
      </c>
      <c r="D1518" s="11" t="s">
        <v>100</v>
      </c>
      <c r="E1518" s="12" t="s">
        <v>32</v>
      </c>
      <c r="F1518" s="12" t="s">
        <v>33</v>
      </c>
      <c r="G1518" s="12">
        <v>31</v>
      </c>
      <c r="H1518" s="13">
        <v>0.26287037037037037</v>
      </c>
      <c r="I1518" s="13">
        <v>0.10167824074074074</v>
      </c>
      <c r="J1518" s="13">
        <v>3.2799432497013139E-3</v>
      </c>
      <c r="K1518" s="13">
        <v>4.4884259259259263E-2</v>
      </c>
      <c r="L1518" s="14">
        <v>0.17074674181049668</v>
      </c>
      <c r="M1518" s="12" t="s">
        <v>334</v>
      </c>
      <c r="N1518" s="13">
        <v>4.0740740740740737E-3</v>
      </c>
      <c r="O1518" s="13">
        <v>1.4108796296296296E-2</v>
      </c>
      <c r="P1518" s="13"/>
      <c r="Q1518" s="13">
        <v>3.3101851851851851E-3</v>
      </c>
      <c r="R1518" s="13"/>
      <c r="S1518" s="13">
        <v>1.3912037037037037E-2</v>
      </c>
      <c r="T1518" s="13">
        <v>4.9768518518518521E-4</v>
      </c>
      <c r="U1518" s="13">
        <v>1.2152777777777778E-3</v>
      </c>
      <c r="V1518" s="13"/>
      <c r="W1518" s="13">
        <v>7.6736111111111111E-3</v>
      </c>
    </row>
    <row r="1519" spans="1:23" ht="15" customHeight="1" x14ac:dyDescent="0.25">
      <c r="A1519" s="19">
        <v>46253</v>
      </c>
      <c r="B1519" s="11" t="s">
        <v>50</v>
      </c>
      <c r="C1519" s="12" t="s">
        <v>538</v>
      </c>
      <c r="D1519" s="11" t="s">
        <v>100</v>
      </c>
      <c r="E1519" s="12" t="s">
        <v>32</v>
      </c>
      <c r="F1519" s="12" t="s">
        <v>33</v>
      </c>
      <c r="G1519" s="12">
        <v>0</v>
      </c>
      <c r="H1519" s="13">
        <v>0.24535879629629628</v>
      </c>
      <c r="I1519" s="13">
        <v>0</v>
      </c>
      <c r="J1519" s="13">
        <v>0</v>
      </c>
      <c r="K1519" s="13">
        <v>0.24535879629629628</v>
      </c>
      <c r="L1519" s="14">
        <v>1</v>
      </c>
      <c r="M1519" s="12" t="s">
        <v>334</v>
      </c>
      <c r="N1519" s="13">
        <v>8.7962962962962968E-3</v>
      </c>
      <c r="O1519" s="13">
        <v>1.5196759259259259E-2</v>
      </c>
      <c r="P1519" s="13"/>
      <c r="Q1519" s="13"/>
      <c r="R1519" s="13"/>
      <c r="S1519" s="13">
        <v>1.3263888888888889E-2</v>
      </c>
      <c r="T1519" s="13">
        <v>4.6412037037037038E-3</v>
      </c>
      <c r="U1519" s="13"/>
      <c r="V1519" s="13"/>
      <c r="W1519" s="13">
        <v>0.20346064814814815</v>
      </c>
    </row>
    <row r="1520" spans="1:23" ht="15" customHeight="1" x14ac:dyDescent="0.25">
      <c r="A1520" s="19">
        <v>46253</v>
      </c>
      <c r="B1520" s="11" t="s">
        <v>242</v>
      </c>
      <c r="C1520" s="12" t="s">
        <v>603</v>
      </c>
      <c r="D1520" s="11" t="s">
        <v>233</v>
      </c>
      <c r="E1520" s="12" t="s">
        <v>32</v>
      </c>
      <c r="F1520" s="12" t="s">
        <v>106</v>
      </c>
      <c r="G1520" s="12">
        <v>27</v>
      </c>
      <c r="H1520" s="13">
        <v>0.26204861111111111</v>
      </c>
      <c r="I1520" s="13">
        <v>0.17060185185185187</v>
      </c>
      <c r="J1520" s="13">
        <v>6.3185871056241428E-3</v>
      </c>
      <c r="K1520" s="13">
        <v>4.1666666666666664E-2</v>
      </c>
      <c r="L1520" s="14">
        <v>0.15900357758049555</v>
      </c>
      <c r="M1520" s="12" t="s">
        <v>334</v>
      </c>
      <c r="N1520" s="13"/>
      <c r="O1520" s="13">
        <v>1.2094907407407407E-2</v>
      </c>
      <c r="P1520" s="13"/>
      <c r="Q1520" s="13">
        <v>1.6006944444444445E-2</v>
      </c>
      <c r="R1520" s="13"/>
      <c r="S1520" s="13">
        <v>1.170138888888889E-2</v>
      </c>
      <c r="T1520" s="13">
        <v>5.7870370370370373E-5</v>
      </c>
      <c r="U1520" s="13">
        <v>1.724537037037037E-3</v>
      </c>
      <c r="V1520" s="13"/>
      <c r="W1520" s="13">
        <v>2.3148148148148147E-5</v>
      </c>
    </row>
    <row r="1521" spans="1:23" ht="15" customHeight="1" x14ac:dyDescent="0.25">
      <c r="A1521" s="19">
        <v>46253</v>
      </c>
      <c r="B1521" s="11" t="s">
        <v>248</v>
      </c>
      <c r="C1521" s="12" t="s">
        <v>249</v>
      </c>
      <c r="D1521" s="11" t="s">
        <v>78</v>
      </c>
      <c r="E1521" s="12" t="s">
        <v>80</v>
      </c>
      <c r="F1521" s="12" t="s">
        <v>81</v>
      </c>
      <c r="G1521" s="12">
        <v>0</v>
      </c>
      <c r="H1521" s="13">
        <v>0.34129629629629632</v>
      </c>
      <c r="I1521" s="13">
        <v>0</v>
      </c>
      <c r="J1521" s="13">
        <v>0</v>
      </c>
      <c r="K1521" s="13">
        <v>8.2523148148148148E-3</v>
      </c>
      <c r="L1521" s="14">
        <v>2.4179327183939229E-2</v>
      </c>
      <c r="M1521" s="12" t="s">
        <v>334</v>
      </c>
      <c r="N1521" s="13"/>
      <c r="O1521" s="13"/>
      <c r="P1521" s="13"/>
      <c r="Q1521" s="13"/>
      <c r="R1521" s="13"/>
      <c r="S1521" s="13"/>
      <c r="T1521" s="13">
        <v>9.2592592592592588E-5</v>
      </c>
      <c r="U1521" s="13">
        <v>8.0902777777777778E-3</v>
      </c>
      <c r="V1521" s="13"/>
      <c r="W1521" s="13"/>
    </row>
    <row r="1522" spans="1:23" ht="15" customHeight="1" x14ac:dyDescent="0.25">
      <c r="A1522" s="19">
        <v>46253</v>
      </c>
      <c r="B1522" s="11" t="s">
        <v>289</v>
      </c>
      <c r="C1522" s="12" t="s">
        <v>559</v>
      </c>
      <c r="D1522" s="11" t="s">
        <v>104</v>
      </c>
      <c r="E1522" s="12" t="s">
        <v>105</v>
      </c>
      <c r="F1522" s="12" t="s">
        <v>106</v>
      </c>
      <c r="G1522" s="12">
        <v>11</v>
      </c>
      <c r="H1522" s="13">
        <v>0.32288194444444446</v>
      </c>
      <c r="I1522" s="13">
        <v>8.8472222222222216E-2</v>
      </c>
      <c r="J1522" s="13">
        <v>8.0429292929292927E-3</v>
      </c>
      <c r="K1522" s="13">
        <v>0.21273148148148149</v>
      </c>
      <c r="L1522" s="14">
        <v>0.65885220633042985</v>
      </c>
      <c r="M1522" s="12" t="s">
        <v>334</v>
      </c>
      <c r="N1522" s="13">
        <v>6.2384259259259259E-3</v>
      </c>
      <c r="O1522" s="13">
        <v>1.9872685185185184E-2</v>
      </c>
      <c r="P1522" s="13"/>
      <c r="Q1522" s="13"/>
      <c r="R1522" s="13"/>
      <c r="S1522" s="13">
        <v>1.5682870370370371E-2</v>
      </c>
      <c r="T1522" s="13">
        <v>1.6006944444444445E-2</v>
      </c>
      <c r="U1522" s="13">
        <v>9.0624999999999994E-3</v>
      </c>
      <c r="V1522" s="13"/>
      <c r="W1522" s="13">
        <v>0.14585648148148148</v>
      </c>
    </row>
    <row r="1523" spans="1:23" ht="15" customHeight="1" x14ac:dyDescent="0.25">
      <c r="A1523" s="19">
        <v>46253</v>
      </c>
      <c r="B1523" s="11" t="s">
        <v>252</v>
      </c>
      <c r="C1523" s="12" t="s">
        <v>553</v>
      </c>
      <c r="D1523" s="11" t="s">
        <v>78</v>
      </c>
      <c r="E1523" s="12" t="s">
        <v>80</v>
      </c>
      <c r="F1523" s="12" t="s">
        <v>81</v>
      </c>
      <c r="G1523" s="12">
        <v>0</v>
      </c>
      <c r="H1523" s="13">
        <v>0.40313657407407405</v>
      </c>
      <c r="I1523" s="13">
        <v>0</v>
      </c>
      <c r="J1523" s="13">
        <v>0</v>
      </c>
      <c r="K1523" s="13">
        <v>9.3749999999999997E-4</v>
      </c>
      <c r="L1523" s="14">
        <v>2.3255146277741095E-3</v>
      </c>
      <c r="M1523" s="12" t="s">
        <v>334</v>
      </c>
      <c r="N1523" s="13"/>
      <c r="O1523" s="13"/>
      <c r="P1523" s="13"/>
      <c r="Q1523" s="13"/>
      <c r="R1523" s="13"/>
      <c r="S1523" s="13"/>
      <c r="T1523" s="13">
        <v>1.6203703703703703E-4</v>
      </c>
      <c r="U1523" s="13">
        <v>7.291666666666667E-4</v>
      </c>
      <c r="V1523" s="13"/>
      <c r="W1523" s="13"/>
    </row>
    <row r="1524" spans="1:23" ht="15" customHeight="1" x14ac:dyDescent="0.25">
      <c r="A1524" s="19">
        <v>46253</v>
      </c>
      <c r="B1524" s="11" t="s">
        <v>500</v>
      </c>
      <c r="C1524" s="12" t="s">
        <v>518</v>
      </c>
      <c r="D1524" s="11" t="s">
        <v>274</v>
      </c>
      <c r="E1524" s="12" t="s">
        <v>147</v>
      </c>
      <c r="F1524" s="12" t="s">
        <v>33</v>
      </c>
      <c r="G1524" s="12">
        <v>20</v>
      </c>
      <c r="H1524" s="13">
        <v>0.26373842592592595</v>
      </c>
      <c r="I1524" s="13">
        <v>7.0787037037037037E-2</v>
      </c>
      <c r="J1524" s="13">
        <v>3.5393518518518517E-3</v>
      </c>
      <c r="K1524" s="13">
        <v>3.3402777777777781E-2</v>
      </c>
      <c r="L1524" s="14">
        <v>0.12665116074955018</v>
      </c>
      <c r="M1524" s="12" t="s">
        <v>334</v>
      </c>
      <c r="N1524" s="13"/>
      <c r="O1524" s="13">
        <v>1.3553240740740741E-2</v>
      </c>
      <c r="P1524" s="13"/>
      <c r="Q1524" s="13">
        <v>6.053240740740741E-3</v>
      </c>
      <c r="R1524" s="13"/>
      <c r="S1524" s="13">
        <v>1.3668981481481482E-2</v>
      </c>
      <c r="T1524" s="13">
        <v>1.273148148148148E-4</v>
      </c>
      <c r="U1524" s="13"/>
      <c r="V1524" s="13"/>
      <c r="W1524" s="13"/>
    </row>
    <row r="1525" spans="1:23" ht="15" customHeight="1" x14ac:dyDescent="0.25">
      <c r="A1525" s="19">
        <v>46253</v>
      </c>
      <c r="B1525" s="11" t="s">
        <v>683</v>
      </c>
      <c r="C1525" s="12" t="s">
        <v>684</v>
      </c>
      <c r="D1525" s="11" t="s">
        <v>233</v>
      </c>
      <c r="E1525" s="12" t="s">
        <v>32</v>
      </c>
      <c r="F1525" s="12" t="s">
        <v>106</v>
      </c>
      <c r="G1525" s="12">
        <v>31</v>
      </c>
      <c r="H1525" s="13">
        <v>0.2582638888888889</v>
      </c>
      <c r="I1525" s="13">
        <v>0.12128472222222222</v>
      </c>
      <c r="J1525" s="13">
        <v>3.9124103942652332E-3</v>
      </c>
      <c r="K1525" s="13">
        <v>6.0520833333333336E-2</v>
      </c>
      <c r="L1525" s="14">
        <v>0.23433718741597204</v>
      </c>
      <c r="M1525" s="12" t="s">
        <v>334</v>
      </c>
      <c r="N1525" s="13">
        <v>5.9722222222222225E-3</v>
      </c>
      <c r="O1525" s="13">
        <v>1.800925925925926E-2</v>
      </c>
      <c r="P1525" s="13"/>
      <c r="Q1525" s="13">
        <v>5.5092592592592589E-3</v>
      </c>
      <c r="R1525" s="13"/>
      <c r="S1525" s="13">
        <v>1.4293981481481482E-2</v>
      </c>
      <c r="T1525" s="13">
        <v>4.2592592592592595E-3</v>
      </c>
      <c r="U1525" s="13">
        <v>1.2476851851851852E-2</v>
      </c>
      <c r="V1525" s="13"/>
      <c r="W1525" s="13"/>
    </row>
    <row r="1526" spans="1:23" ht="15" customHeight="1" x14ac:dyDescent="0.25">
      <c r="A1526" s="19">
        <v>46253</v>
      </c>
      <c r="B1526" s="11" t="s">
        <v>653</v>
      </c>
      <c r="C1526" s="12" t="s">
        <v>654</v>
      </c>
      <c r="D1526" s="11" t="s">
        <v>100</v>
      </c>
      <c r="E1526" s="12" t="s">
        <v>32</v>
      </c>
      <c r="F1526" s="12" t="s">
        <v>33</v>
      </c>
      <c r="G1526" s="12">
        <v>31</v>
      </c>
      <c r="H1526" s="13">
        <v>0.25197916666666664</v>
      </c>
      <c r="I1526" s="13">
        <v>0.16087962962962962</v>
      </c>
      <c r="J1526" s="13">
        <v>5.1896654719235363E-3</v>
      </c>
      <c r="K1526" s="13">
        <v>3.5578703703703703E-2</v>
      </c>
      <c r="L1526" s="14">
        <v>0.14119700519039088</v>
      </c>
      <c r="M1526" s="12" t="s">
        <v>334</v>
      </c>
      <c r="N1526" s="13">
        <v>6.7361111111111111E-3</v>
      </c>
      <c r="O1526" s="13">
        <v>1.361111111111111E-2</v>
      </c>
      <c r="P1526" s="13"/>
      <c r="Q1526" s="13"/>
      <c r="R1526" s="13"/>
      <c r="S1526" s="13">
        <v>1.4143518518518519E-2</v>
      </c>
      <c r="T1526" s="13">
        <v>5.7870370370370373E-5</v>
      </c>
      <c r="U1526" s="13">
        <v>9.837962962962962E-4</v>
      </c>
      <c r="V1526" s="13"/>
      <c r="W1526" s="13"/>
    </row>
    <row r="1527" spans="1:23" ht="15" customHeight="1" x14ac:dyDescent="0.25">
      <c r="A1527" s="19">
        <v>46253</v>
      </c>
      <c r="B1527" s="11" t="s">
        <v>52</v>
      </c>
      <c r="C1527" s="12" t="s">
        <v>509</v>
      </c>
      <c r="D1527" s="11" t="s">
        <v>100</v>
      </c>
      <c r="E1527" s="12" t="s">
        <v>32</v>
      </c>
      <c r="F1527" s="12" t="s">
        <v>33</v>
      </c>
      <c r="G1527" s="12">
        <v>0</v>
      </c>
      <c r="H1527" s="13">
        <v>0.20814814814814814</v>
      </c>
      <c r="I1527" s="13">
        <v>0</v>
      </c>
      <c r="J1527" s="13">
        <v>0</v>
      </c>
      <c r="K1527" s="13">
        <v>0.20814814814814814</v>
      </c>
      <c r="L1527" s="14">
        <v>1</v>
      </c>
      <c r="M1527" s="12" t="s">
        <v>334</v>
      </c>
      <c r="N1527" s="13"/>
      <c r="O1527" s="13">
        <v>1.3958333333333333E-2</v>
      </c>
      <c r="P1527" s="13"/>
      <c r="Q1527" s="13"/>
      <c r="R1527" s="13"/>
      <c r="S1527" s="13">
        <v>1.425925925925926E-2</v>
      </c>
      <c r="T1527" s="13">
        <v>3.8194444444444446E-4</v>
      </c>
      <c r="U1527" s="13"/>
      <c r="V1527" s="13"/>
      <c r="W1527" s="13">
        <v>0.17954861111111112</v>
      </c>
    </row>
    <row r="1528" spans="1:23" ht="15" customHeight="1" x14ac:dyDescent="0.25">
      <c r="A1528" s="19">
        <v>46253</v>
      </c>
      <c r="B1528" s="11" t="s">
        <v>164</v>
      </c>
      <c r="C1528" s="12" t="s">
        <v>519</v>
      </c>
      <c r="D1528" s="11" t="s">
        <v>146</v>
      </c>
      <c r="E1528" s="12" t="s">
        <v>147</v>
      </c>
      <c r="F1528" s="12" t="s">
        <v>106</v>
      </c>
      <c r="G1528" s="12">
        <v>23</v>
      </c>
      <c r="H1528" s="13">
        <v>0.30957175925925928</v>
      </c>
      <c r="I1528" s="13">
        <v>0.10685185185185185</v>
      </c>
      <c r="J1528" s="13">
        <v>4.6457326892109501E-3</v>
      </c>
      <c r="K1528" s="13">
        <v>3.425925925925926E-2</v>
      </c>
      <c r="L1528" s="14">
        <v>0.11066661681683927</v>
      </c>
      <c r="M1528" s="12" t="s">
        <v>334</v>
      </c>
      <c r="N1528" s="13">
        <v>2.662037037037037E-3</v>
      </c>
      <c r="O1528" s="13">
        <v>1.650462962962963E-2</v>
      </c>
      <c r="P1528" s="13"/>
      <c r="Q1528" s="13"/>
      <c r="R1528" s="13"/>
      <c r="S1528" s="13">
        <v>1.4375000000000001E-2</v>
      </c>
      <c r="T1528" s="13">
        <v>5.4398148148148144E-4</v>
      </c>
      <c r="U1528" s="13">
        <v>1.6203703703703703E-4</v>
      </c>
      <c r="V1528" s="13"/>
      <c r="W1528" s="13"/>
    </row>
    <row r="1529" spans="1:23" ht="15" customHeight="1" x14ac:dyDescent="0.25">
      <c r="A1529" s="19">
        <v>46253</v>
      </c>
      <c r="B1529" s="11" t="s">
        <v>655</v>
      </c>
      <c r="C1529" s="12" t="s">
        <v>656</v>
      </c>
      <c r="D1529" s="11" t="s">
        <v>100</v>
      </c>
      <c r="E1529" s="12" t="s">
        <v>32</v>
      </c>
      <c r="F1529" s="12" t="s">
        <v>33</v>
      </c>
      <c r="G1529" s="12">
        <v>25</v>
      </c>
      <c r="H1529" s="13">
        <v>0.26300925925925928</v>
      </c>
      <c r="I1529" s="13">
        <v>0.1506712962962963</v>
      </c>
      <c r="J1529" s="13">
        <v>6.0268518518518518E-3</v>
      </c>
      <c r="K1529" s="13">
        <v>3.9583333333333331E-2</v>
      </c>
      <c r="L1529" s="14">
        <v>0.15050167224080266</v>
      </c>
      <c r="M1529" s="12" t="s">
        <v>334</v>
      </c>
      <c r="N1529" s="13">
        <v>8.2175925925925923E-3</v>
      </c>
      <c r="O1529" s="13">
        <v>1.4293981481481482E-2</v>
      </c>
      <c r="P1529" s="13"/>
      <c r="Q1529" s="13"/>
      <c r="R1529" s="13"/>
      <c r="S1529" s="13">
        <v>1.4467592592592593E-2</v>
      </c>
      <c r="T1529" s="13">
        <v>8.1018518518518516E-5</v>
      </c>
      <c r="U1529" s="13">
        <v>2.5115740740740741E-3</v>
      </c>
      <c r="V1529" s="13"/>
      <c r="W1529" s="13"/>
    </row>
    <row r="1530" spans="1:23" ht="15" customHeight="1" x14ac:dyDescent="0.25">
      <c r="A1530" s="19">
        <v>46253</v>
      </c>
      <c r="B1530" s="11" t="s">
        <v>657</v>
      </c>
      <c r="C1530" s="12" t="s">
        <v>658</v>
      </c>
      <c r="D1530" s="11" t="s">
        <v>274</v>
      </c>
      <c r="E1530" s="12" t="s">
        <v>147</v>
      </c>
      <c r="F1530" s="12" t="s">
        <v>33</v>
      </c>
      <c r="G1530" s="12">
        <v>18</v>
      </c>
      <c r="H1530" s="13">
        <v>0.26421296296296298</v>
      </c>
      <c r="I1530" s="13">
        <v>6.1076388888888888E-2</v>
      </c>
      <c r="J1530" s="13">
        <v>3.3931327160493826E-3</v>
      </c>
      <c r="K1530" s="13">
        <v>4.3888888888888887E-2</v>
      </c>
      <c r="L1530" s="14">
        <v>0.16611179253548272</v>
      </c>
      <c r="M1530" s="12" t="s">
        <v>334</v>
      </c>
      <c r="N1530" s="13">
        <v>4.9074074074074072E-3</v>
      </c>
      <c r="O1530" s="13">
        <v>1.5775462962962963E-2</v>
      </c>
      <c r="P1530" s="13"/>
      <c r="Q1530" s="13">
        <v>4.363425925925926E-3</v>
      </c>
      <c r="R1530" s="13">
        <v>3.0439814814814813E-3</v>
      </c>
      <c r="S1530" s="13">
        <v>1.5543981481481482E-2</v>
      </c>
      <c r="T1530" s="13">
        <v>1.5046296296296297E-4</v>
      </c>
      <c r="U1530" s="13">
        <v>9.2592592592592588E-5</v>
      </c>
      <c r="V1530" s="13"/>
      <c r="W1530" s="13"/>
    </row>
    <row r="1531" spans="1:23" ht="15" customHeight="1" x14ac:dyDescent="0.25">
      <c r="A1531" s="19">
        <v>46253</v>
      </c>
      <c r="B1531" s="11" t="s">
        <v>166</v>
      </c>
      <c r="C1531" s="12" t="s">
        <v>167</v>
      </c>
      <c r="D1531" s="11" t="s">
        <v>146</v>
      </c>
      <c r="E1531" s="12" t="s">
        <v>147</v>
      </c>
      <c r="F1531" s="12" t="s">
        <v>106</v>
      </c>
      <c r="G1531" s="12">
        <v>16</v>
      </c>
      <c r="H1531" s="13">
        <v>0.25318287037037035</v>
      </c>
      <c r="I1531" s="13">
        <v>5.5497685185185185E-2</v>
      </c>
      <c r="J1531" s="13">
        <v>3.468605324074074E-3</v>
      </c>
      <c r="K1531" s="13">
        <v>3.5092592592592592E-2</v>
      </c>
      <c r="L1531" s="14">
        <v>0.1386057142857143</v>
      </c>
      <c r="M1531" s="12" t="s">
        <v>334</v>
      </c>
      <c r="N1531" s="13">
        <v>8.2175925925925923E-3</v>
      </c>
      <c r="O1531" s="13">
        <v>1.2523148148148148E-2</v>
      </c>
      <c r="P1531" s="13"/>
      <c r="Q1531" s="13"/>
      <c r="R1531" s="13"/>
      <c r="S1531" s="13">
        <v>1.3900462962962963E-2</v>
      </c>
      <c r="T1531" s="13">
        <v>1.3888888888888889E-4</v>
      </c>
      <c r="U1531" s="13">
        <v>3.1250000000000001E-4</v>
      </c>
      <c r="V1531" s="13"/>
      <c r="W1531" s="13"/>
    </row>
    <row r="1532" spans="1:23" ht="15" customHeight="1" x14ac:dyDescent="0.25">
      <c r="A1532" s="19">
        <v>46253</v>
      </c>
      <c r="B1532" s="11" t="s">
        <v>659</v>
      </c>
      <c r="C1532" s="12" t="s">
        <v>660</v>
      </c>
      <c r="D1532" s="11" t="s">
        <v>100</v>
      </c>
      <c r="E1532" s="12" t="s">
        <v>32</v>
      </c>
      <c r="F1532" s="12" t="s">
        <v>33</v>
      </c>
      <c r="G1532" s="12">
        <v>0</v>
      </c>
      <c r="H1532" s="13">
        <v>0.18765046296296295</v>
      </c>
      <c r="I1532" s="13">
        <v>0</v>
      </c>
      <c r="J1532" s="13">
        <v>0</v>
      </c>
      <c r="K1532" s="13">
        <v>0.17710648148148148</v>
      </c>
      <c r="L1532" s="14">
        <v>0.94381052242028007</v>
      </c>
      <c r="M1532" s="12" t="s">
        <v>334</v>
      </c>
      <c r="N1532" s="13">
        <v>1.0092592592592592E-2</v>
      </c>
      <c r="O1532" s="13">
        <v>1.2893518518518518E-2</v>
      </c>
      <c r="P1532" s="13"/>
      <c r="Q1532" s="13"/>
      <c r="R1532" s="13">
        <v>8.1018518518518516E-5</v>
      </c>
      <c r="S1532" s="13">
        <v>1.4386574074074074E-2</v>
      </c>
      <c r="T1532" s="13">
        <v>3.8194444444444446E-4</v>
      </c>
      <c r="U1532" s="13"/>
      <c r="V1532" s="13"/>
      <c r="W1532" s="13">
        <v>0.13927083333333334</v>
      </c>
    </row>
    <row r="1533" spans="1:23" ht="15" customHeight="1" x14ac:dyDescent="0.25">
      <c r="A1533" s="19">
        <v>46253</v>
      </c>
      <c r="B1533" s="11" t="s">
        <v>254</v>
      </c>
      <c r="C1533" s="12" t="s">
        <v>528</v>
      </c>
      <c r="D1533" s="11" t="s">
        <v>233</v>
      </c>
      <c r="E1533" s="12" t="s">
        <v>32</v>
      </c>
      <c r="F1533" s="12" t="s">
        <v>106</v>
      </c>
      <c r="G1533" s="12">
        <v>18</v>
      </c>
      <c r="H1533" s="13">
        <v>0.26600694444444445</v>
      </c>
      <c r="I1533" s="13">
        <v>0.10266203703703704</v>
      </c>
      <c r="J1533" s="13">
        <v>5.7034465020576134E-3</v>
      </c>
      <c r="K1533" s="13">
        <v>8.5277777777777772E-2</v>
      </c>
      <c r="L1533" s="14">
        <v>0.3205847800548231</v>
      </c>
      <c r="M1533" s="12" t="s">
        <v>334</v>
      </c>
      <c r="N1533" s="13">
        <v>1.5497685185185186E-2</v>
      </c>
      <c r="O1533" s="13">
        <v>2.0150462962962964E-2</v>
      </c>
      <c r="P1533" s="13"/>
      <c r="Q1533" s="13">
        <v>2.5578703703703704E-2</v>
      </c>
      <c r="R1533" s="13"/>
      <c r="S1533" s="13">
        <v>1.3599537037037037E-2</v>
      </c>
      <c r="T1533" s="13">
        <v>1.0324074074074074E-2</v>
      </c>
      <c r="U1533" s="13">
        <v>1.273148148148148E-4</v>
      </c>
      <c r="V1533" s="13"/>
      <c r="W1533" s="13"/>
    </row>
    <row r="1534" spans="1:23" ht="15" customHeight="1" x14ac:dyDescent="0.25">
      <c r="A1534" s="19">
        <v>46253</v>
      </c>
      <c r="B1534" s="11" t="s">
        <v>201</v>
      </c>
      <c r="C1534" s="12" t="s">
        <v>545</v>
      </c>
      <c r="D1534" s="11" t="s">
        <v>601</v>
      </c>
      <c r="E1534" s="12" t="s">
        <v>600</v>
      </c>
      <c r="F1534" s="12" t="s">
        <v>33</v>
      </c>
      <c r="G1534" s="12">
        <v>25</v>
      </c>
      <c r="H1534" s="13">
        <v>0.25343749999999998</v>
      </c>
      <c r="I1534" s="13">
        <v>9.0613425925925931E-2</v>
      </c>
      <c r="J1534" s="13">
        <v>3.6245370370370372E-3</v>
      </c>
      <c r="K1534" s="13">
        <v>5.0381944444444444E-2</v>
      </c>
      <c r="L1534" s="14">
        <v>0.19879435539114948</v>
      </c>
      <c r="M1534" s="12" t="s">
        <v>334</v>
      </c>
      <c r="N1534" s="13">
        <v>6.5277777777777782E-3</v>
      </c>
      <c r="O1534" s="13">
        <v>1.9467592592592592E-2</v>
      </c>
      <c r="P1534" s="13">
        <v>7.9861111111111116E-4</v>
      </c>
      <c r="Q1534" s="13"/>
      <c r="R1534" s="13"/>
      <c r="S1534" s="13">
        <v>1.5752314814814816E-2</v>
      </c>
      <c r="T1534" s="13">
        <v>1.7708333333333332E-3</v>
      </c>
      <c r="U1534" s="13">
        <v>6.0648148148148145E-3</v>
      </c>
      <c r="V1534" s="13"/>
      <c r="W1534" s="13"/>
    </row>
    <row r="1535" spans="1:23" ht="15" customHeight="1" x14ac:dyDescent="0.25">
      <c r="A1535" s="19">
        <v>46253</v>
      </c>
      <c r="B1535" s="11" t="s">
        <v>168</v>
      </c>
      <c r="C1535" s="12" t="s">
        <v>520</v>
      </c>
      <c r="D1535" s="11" t="s">
        <v>274</v>
      </c>
      <c r="E1535" s="12" t="s">
        <v>147</v>
      </c>
      <c r="F1535" s="12" t="s">
        <v>33</v>
      </c>
      <c r="G1535" s="12">
        <v>15</v>
      </c>
      <c r="H1535" s="13">
        <v>0.25293981481481481</v>
      </c>
      <c r="I1535" s="13">
        <v>3.8622685185185184E-2</v>
      </c>
      <c r="J1535" s="13">
        <v>2.5748456790123456E-3</v>
      </c>
      <c r="K1535" s="13">
        <v>5.3495370370370374E-2</v>
      </c>
      <c r="L1535" s="14">
        <v>0.21149446325615451</v>
      </c>
      <c r="M1535" s="12" t="s">
        <v>334</v>
      </c>
      <c r="N1535" s="13">
        <v>9.432870370370371E-3</v>
      </c>
      <c r="O1535" s="13">
        <v>1.5023148148148148E-2</v>
      </c>
      <c r="P1535" s="13"/>
      <c r="Q1535" s="13">
        <v>1.0891203703703703E-2</v>
      </c>
      <c r="R1535" s="13"/>
      <c r="S1535" s="13">
        <v>1.8090277777777778E-2</v>
      </c>
      <c r="T1535" s="13">
        <v>5.7870370370370373E-5</v>
      </c>
      <c r="U1535" s="13"/>
      <c r="V1535" s="13"/>
      <c r="W1535" s="13"/>
    </row>
    <row r="1536" spans="1:23" ht="15" customHeight="1" x14ac:dyDescent="0.25">
      <c r="A1536" s="19">
        <v>46253</v>
      </c>
      <c r="B1536" s="11" t="s">
        <v>170</v>
      </c>
      <c r="C1536" s="12" t="s">
        <v>521</v>
      </c>
      <c r="D1536" s="11" t="s">
        <v>146</v>
      </c>
      <c r="E1536" s="12" t="s">
        <v>147</v>
      </c>
      <c r="F1536" s="12" t="s">
        <v>106</v>
      </c>
      <c r="G1536" s="12">
        <v>14</v>
      </c>
      <c r="H1536" s="13">
        <v>0.22743055555555555</v>
      </c>
      <c r="I1536" s="13">
        <v>5.167824074074074E-2</v>
      </c>
      <c r="J1536" s="13">
        <v>3.6913029100529098E-3</v>
      </c>
      <c r="K1536" s="13">
        <v>3.8993055555555559E-2</v>
      </c>
      <c r="L1536" s="14">
        <v>0.17145038167938934</v>
      </c>
      <c r="M1536" s="12" t="s">
        <v>334</v>
      </c>
      <c r="N1536" s="13">
        <v>5.3009259259259259E-3</v>
      </c>
      <c r="O1536" s="13">
        <v>1.7592592592592594E-2</v>
      </c>
      <c r="P1536" s="13"/>
      <c r="Q1536" s="13">
        <v>1.1226851851851851E-3</v>
      </c>
      <c r="R1536" s="13"/>
      <c r="S1536" s="13">
        <v>1.4398148148148148E-2</v>
      </c>
      <c r="T1536" s="13">
        <v>1.273148148148148E-4</v>
      </c>
      <c r="U1536" s="13">
        <v>4.3981481481481481E-4</v>
      </c>
      <c r="V1536" s="13"/>
      <c r="W1536" s="13"/>
    </row>
    <row r="1537" spans="1:23" ht="15" customHeight="1" x14ac:dyDescent="0.25">
      <c r="A1537" s="19">
        <v>46253</v>
      </c>
      <c r="B1537" s="11" t="s">
        <v>92</v>
      </c>
      <c r="C1537" s="12" t="s">
        <v>93</v>
      </c>
      <c r="D1537" s="11" t="s">
        <v>78</v>
      </c>
      <c r="E1537" s="12" t="s">
        <v>80</v>
      </c>
      <c r="F1537" s="12" t="s">
        <v>81</v>
      </c>
      <c r="G1537" s="12">
        <v>0</v>
      </c>
      <c r="H1537" s="13">
        <v>0.29024305555555557</v>
      </c>
      <c r="I1537" s="13">
        <v>0</v>
      </c>
      <c r="J1537" s="13">
        <v>0</v>
      </c>
      <c r="K1537" s="13">
        <v>0.10526620370370371</v>
      </c>
      <c r="L1537" s="14">
        <v>0.36268293655540934</v>
      </c>
      <c r="M1537" s="12" t="s">
        <v>334</v>
      </c>
      <c r="N1537" s="13"/>
      <c r="O1537" s="13">
        <v>7.3668981481481488E-2</v>
      </c>
      <c r="P1537" s="13"/>
      <c r="Q1537" s="13"/>
      <c r="R1537" s="13"/>
      <c r="S1537" s="13">
        <v>6.851851851851852E-3</v>
      </c>
      <c r="T1537" s="13">
        <v>2.3958333333333335E-2</v>
      </c>
      <c r="U1537" s="13">
        <v>7.1759259259259259E-4</v>
      </c>
      <c r="V1537" s="13"/>
      <c r="W1537" s="13"/>
    </row>
    <row r="1538" spans="1:23" ht="15" customHeight="1" x14ac:dyDescent="0.25">
      <c r="A1538" s="19">
        <v>46253</v>
      </c>
      <c r="B1538" s="11" t="s">
        <v>94</v>
      </c>
      <c r="C1538" s="12" t="s">
        <v>95</v>
      </c>
      <c r="D1538" s="11" t="s">
        <v>78</v>
      </c>
      <c r="E1538" s="12" t="s">
        <v>80</v>
      </c>
      <c r="F1538" s="12" t="s">
        <v>81</v>
      </c>
      <c r="G1538" s="12">
        <v>0</v>
      </c>
      <c r="H1538" s="13">
        <v>0.42016203703703703</v>
      </c>
      <c r="I1538" s="13">
        <v>0</v>
      </c>
      <c r="J1538" s="13">
        <v>0</v>
      </c>
      <c r="K1538" s="13">
        <v>8.7430555555555553E-2</v>
      </c>
      <c r="L1538" s="14">
        <v>0.2080877086661892</v>
      </c>
      <c r="M1538" s="12" t="s">
        <v>334</v>
      </c>
      <c r="N1538" s="13"/>
      <c r="O1538" s="13"/>
      <c r="P1538" s="13"/>
      <c r="Q1538" s="13"/>
      <c r="R1538" s="13">
        <v>8.7048611111111104E-2</v>
      </c>
      <c r="S1538" s="13"/>
      <c r="T1538" s="13"/>
      <c r="U1538" s="13">
        <v>3.7037037037037035E-4</v>
      </c>
      <c r="V1538" s="13"/>
      <c r="W1538" s="13"/>
    </row>
    <row r="1539" spans="1:23" ht="15" customHeight="1" x14ac:dyDescent="0.25">
      <c r="A1539" s="19">
        <v>46253</v>
      </c>
      <c r="B1539" s="11" t="s">
        <v>293</v>
      </c>
      <c r="C1539" s="12" t="s">
        <v>543</v>
      </c>
      <c r="D1539" s="11" t="s">
        <v>104</v>
      </c>
      <c r="E1539" s="12" t="s">
        <v>600</v>
      </c>
      <c r="F1539" s="12" t="s">
        <v>106</v>
      </c>
      <c r="G1539" s="12">
        <v>45</v>
      </c>
      <c r="H1539" s="13">
        <v>0.24478009259259259</v>
      </c>
      <c r="I1539" s="13">
        <v>7.7430555555555558E-2</v>
      </c>
      <c r="J1539" s="13">
        <v>1.7206790123456791E-3</v>
      </c>
      <c r="K1539" s="13">
        <v>0.10929398148148148</v>
      </c>
      <c r="L1539" s="14">
        <v>0.44649865241855408</v>
      </c>
      <c r="M1539" s="12" t="s">
        <v>334</v>
      </c>
      <c r="N1539" s="13">
        <v>5.2893518518518515E-3</v>
      </c>
      <c r="O1539" s="13">
        <v>1.4930555555555556E-2</v>
      </c>
      <c r="P1539" s="13"/>
      <c r="Q1539" s="13"/>
      <c r="R1539" s="13"/>
      <c r="S1539" s="13">
        <v>1.6157407407407409E-2</v>
      </c>
      <c r="T1539" s="13">
        <v>4.1203703703703706E-3</v>
      </c>
      <c r="U1539" s="13">
        <v>4.6296296296296298E-4</v>
      </c>
      <c r="V1539" s="13"/>
      <c r="W1539" s="13">
        <v>6.8298611111111115E-2</v>
      </c>
    </row>
    <row r="1540" spans="1:23" ht="15" customHeight="1" x14ac:dyDescent="0.25">
      <c r="A1540" s="19">
        <v>46253</v>
      </c>
      <c r="B1540" s="11" t="s">
        <v>606</v>
      </c>
      <c r="C1540" s="12" t="s">
        <v>633</v>
      </c>
      <c r="D1540" s="11" t="s">
        <v>146</v>
      </c>
      <c r="E1540" s="12" t="s">
        <v>147</v>
      </c>
      <c r="F1540" s="12" t="s">
        <v>106</v>
      </c>
      <c r="G1540" s="12">
        <v>8</v>
      </c>
      <c r="H1540" s="13">
        <v>0.26327546296296295</v>
      </c>
      <c r="I1540" s="13">
        <v>6.7280092592592586E-2</v>
      </c>
      <c r="J1540" s="13">
        <v>8.4100115740740732E-3</v>
      </c>
      <c r="K1540" s="13">
        <v>6.7476851851851857E-2</v>
      </c>
      <c r="L1540" s="14">
        <v>0.25629753374071312</v>
      </c>
      <c r="M1540" s="12" t="s">
        <v>334</v>
      </c>
      <c r="N1540" s="13">
        <v>1.4317129629629629E-2</v>
      </c>
      <c r="O1540" s="13">
        <v>1.412037037037037E-2</v>
      </c>
      <c r="P1540" s="13"/>
      <c r="Q1540" s="13"/>
      <c r="R1540" s="13"/>
      <c r="S1540" s="13">
        <v>1.4027777777777778E-2</v>
      </c>
      <c r="T1540" s="13">
        <v>1.9328703703703704E-3</v>
      </c>
      <c r="U1540" s="13">
        <v>2.1585648148148149E-2</v>
      </c>
      <c r="V1540" s="13"/>
      <c r="W1540" s="13">
        <v>1.4699074074074074E-3</v>
      </c>
    </row>
    <row r="1541" spans="1:23" ht="15" customHeight="1" x14ac:dyDescent="0.25">
      <c r="A1541" s="19">
        <v>46253</v>
      </c>
      <c r="B1541" s="11" t="s">
        <v>256</v>
      </c>
      <c r="C1541" s="12" t="s">
        <v>529</v>
      </c>
      <c r="D1541" s="11" t="s">
        <v>233</v>
      </c>
      <c r="E1541" s="12" t="s">
        <v>32</v>
      </c>
      <c r="F1541" s="12" t="s">
        <v>106</v>
      </c>
      <c r="G1541" s="12">
        <v>23</v>
      </c>
      <c r="H1541" s="13">
        <v>0.25230324074074073</v>
      </c>
      <c r="I1541" s="13">
        <v>0.14369212962962963</v>
      </c>
      <c r="J1541" s="13">
        <v>6.2474838969404185E-3</v>
      </c>
      <c r="K1541" s="13">
        <v>3.847222222222222E-2</v>
      </c>
      <c r="L1541" s="14">
        <v>0.15248405890178449</v>
      </c>
      <c r="M1541" s="12" t="s">
        <v>334</v>
      </c>
      <c r="N1541" s="13"/>
      <c r="O1541" s="13">
        <v>1.4456018518518519E-2</v>
      </c>
      <c r="P1541" s="13"/>
      <c r="Q1541" s="13"/>
      <c r="R1541" s="13"/>
      <c r="S1541" s="13">
        <v>1.8715277777777779E-2</v>
      </c>
      <c r="T1541" s="13">
        <v>2.7777777777777778E-4</v>
      </c>
      <c r="U1541" s="13">
        <v>4.9884259259259257E-3</v>
      </c>
      <c r="V1541" s="13"/>
      <c r="W1541" s="13"/>
    </row>
    <row r="1542" spans="1:23" ht="15" customHeight="1" x14ac:dyDescent="0.25">
      <c r="A1542" s="19">
        <v>46253</v>
      </c>
      <c r="B1542" s="11" t="s">
        <v>612</v>
      </c>
      <c r="C1542" s="12" t="s">
        <v>634</v>
      </c>
      <c r="D1542" s="11" t="s">
        <v>601</v>
      </c>
      <c r="E1542" s="12" t="s">
        <v>105</v>
      </c>
      <c r="F1542" s="12" t="s">
        <v>33</v>
      </c>
      <c r="G1542" s="12">
        <v>1</v>
      </c>
      <c r="H1542" s="13">
        <v>2.1296296296296296E-2</v>
      </c>
      <c r="I1542" s="13">
        <v>2.792824074074074E-2</v>
      </c>
      <c r="J1542" s="13">
        <v>2.792824074074074E-2</v>
      </c>
      <c r="K1542" s="13">
        <v>1.3020833333333334E-2</v>
      </c>
      <c r="L1542" s="14">
        <v>0.61141304347826086</v>
      </c>
      <c r="M1542" s="12" t="s">
        <v>334</v>
      </c>
      <c r="N1542" s="13"/>
      <c r="O1542" s="13"/>
      <c r="P1542" s="13"/>
      <c r="Q1542" s="13"/>
      <c r="R1542" s="13"/>
      <c r="S1542" s="13"/>
      <c r="T1542" s="13">
        <v>1.6550925925925926E-3</v>
      </c>
      <c r="U1542" s="13">
        <v>1.136574074074074E-2</v>
      </c>
      <c r="V1542" s="13"/>
      <c r="W1542" s="13"/>
    </row>
    <row r="1543" spans="1:23" ht="15" customHeight="1" x14ac:dyDescent="0.25">
      <c r="A1543" s="19">
        <v>46253</v>
      </c>
      <c r="B1543" s="11" t="s">
        <v>661</v>
      </c>
      <c r="C1543" s="12" t="s">
        <v>662</v>
      </c>
      <c r="D1543" s="11" t="s">
        <v>100</v>
      </c>
      <c r="E1543" s="12" t="s">
        <v>32</v>
      </c>
      <c r="F1543" s="12" t="s">
        <v>33</v>
      </c>
      <c r="G1543" s="12">
        <v>20</v>
      </c>
      <c r="H1543" s="13">
        <v>0.26015046296296296</v>
      </c>
      <c r="I1543" s="13">
        <v>0.15082175925925925</v>
      </c>
      <c r="J1543" s="13">
        <v>7.541087962962963E-3</v>
      </c>
      <c r="K1543" s="13">
        <v>4.8414351851851854E-2</v>
      </c>
      <c r="L1543" s="14">
        <v>0.18610134804466791</v>
      </c>
      <c r="M1543" s="12" t="s">
        <v>334</v>
      </c>
      <c r="N1543" s="13">
        <v>1.0659722222222221E-2</v>
      </c>
      <c r="O1543" s="13">
        <v>1.3425925925925926E-2</v>
      </c>
      <c r="P1543" s="13"/>
      <c r="Q1543" s="13"/>
      <c r="R1543" s="13"/>
      <c r="S1543" s="13">
        <v>1.4537037037037038E-2</v>
      </c>
      <c r="T1543" s="13">
        <v>6.1574074074074074E-3</v>
      </c>
      <c r="U1543" s="13">
        <v>3.5879629629629629E-3</v>
      </c>
      <c r="V1543" s="13"/>
      <c r="W1543" s="13"/>
    </row>
    <row r="1544" spans="1:23" ht="15" customHeight="1" x14ac:dyDescent="0.25">
      <c r="A1544" s="19">
        <v>46253</v>
      </c>
      <c r="B1544" s="11" t="s">
        <v>665</v>
      </c>
      <c r="C1544" s="12" t="s">
        <v>666</v>
      </c>
      <c r="D1544" s="11" t="s">
        <v>100</v>
      </c>
      <c r="E1544" s="12" t="s">
        <v>32</v>
      </c>
      <c r="F1544" s="12" t="s">
        <v>33</v>
      </c>
      <c r="G1544" s="12">
        <v>38</v>
      </c>
      <c r="H1544" s="13">
        <v>0.26243055555555556</v>
      </c>
      <c r="I1544" s="13">
        <v>0.13447916666666668</v>
      </c>
      <c r="J1544" s="13">
        <v>3.5389254385964916E-3</v>
      </c>
      <c r="K1544" s="13">
        <v>3.1550925925925927E-2</v>
      </c>
      <c r="L1544" s="14">
        <v>0.12022580929699216</v>
      </c>
      <c r="M1544" s="12" t="s">
        <v>334</v>
      </c>
      <c r="N1544" s="13"/>
      <c r="O1544" s="13">
        <v>1.380787037037037E-2</v>
      </c>
      <c r="P1544" s="13"/>
      <c r="Q1544" s="13"/>
      <c r="R1544" s="13"/>
      <c r="S1544" s="13">
        <v>1.3912037037037037E-2</v>
      </c>
      <c r="T1544" s="13">
        <v>2.8935185185185184E-4</v>
      </c>
      <c r="U1544" s="13">
        <v>3.414351851851852E-3</v>
      </c>
      <c r="V1544" s="13"/>
      <c r="W1544" s="13"/>
    </row>
    <row r="1545" spans="1:23" ht="15" customHeight="1" x14ac:dyDescent="0.25">
      <c r="A1545" s="19">
        <v>46253</v>
      </c>
      <c r="B1545" s="11" t="s">
        <v>264</v>
      </c>
      <c r="C1545" s="12" t="s">
        <v>530</v>
      </c>
      <c r="D1545" s="11" t="s">
        <v>78</v>
      </c>
      <c r="E1545" s="12" t="s">
        <v>80</v>
      </c>
      <c r="F1545" s="12" t="s">
        <v>106</v>
      </c>
      <c r="G1545" s="12">
        <v>1</v>
      </c>
      <c r="H1545" s="13">
        <v>0.9994791666666667</v>
      </c>
      <c r="I1545" s="13">
        <v>7.1180555555555554E-3</v>
      </c>
      <c r="J1545" s="13">
        <v>7.1180555555555554E-3</v>
      </c>
      <c r="K1545" s="13">
        <v>0.42890046296296297</v>
      </c>
      <c r="L1545" s="14">
        <v>0.42912396502808176</v>
      </c>
      <c r="M1545" s="12" t="s">
        <v>334</v>
      </c>
      <c r="N1545" s="13"/>
      <c r="O1545" s="13">
        <v>9.3287037037037036E-3</v>
      </c>
      <c r="P1545" s="13"/>
      <c r="Q1545" s="13"/>
      <c r="R1545" s="13">
        <v>6.9444444444444444E-5</v>
      </c>
      <c r="S1545" s="13"/>
      <c r="T1545" s="13">
        <v>1.0208333333333333E-2</v>
      </c>
      <c r="U1545" s="13">
        <v>5.6712962962962967E-4</v>
      </c>
      <c r="V1545" s="13"/>
      <c r="W1545" s="13"/>
    </row>
    <row r="1546" spans="1:23" ht="15" customHeight="1" x14ac:dyDescent="0.25">
      <c r="A1546" s="19">
        <v>46253</v>
      </c>
      <c r="B1546" s="11" t="s">
        <v>128</v>
      </c>
      <c r="C1546" s="12" t="s">
        <v>555</v>
      </c>
      <c r="D1546" s="11" t="s">
        <v>233</v>
      </c>
      <c r="E1546" s="12" t="s">
        <v>32</v>
      </c>
      <c r="F1546" s="12" t="s">
        <v>106</v>
      </c>
      <c r="G1546" s="12">
        <v>34</v>
      </c>
      <c r="H1546" s="13">
        <v>0.23962962962962964</v>
      </c>
      <c r="I1546" s="13">
        <v>0.10659722222222222</v>
      </c>
      <c r="J1546" s="13">
        <v>3.1352124183006533E-3</v>
      </c>
      <c r="K1546" s="13">
        <v>6.8368055555555557E-2</v>
      </c>
      <c r="L1546" s="14">
        <v>0.28530718701700153</v>
      </c>
      <c r="M1546" s="12" t="s">
        <v>334</v>
      </c>
      <c r="N1546" s="13">
        <v>1.2916666666666667E-2</v>
      </c>
      <c r="O1546" s="13">
        <v>1.5578703703703704E-2</v>
      </c>
      <c r="P1546" s="13"/>
      <c r="Q1546" s="13">
        <v>1.5613425925925926E-2</v>
      </c>
      <c r="R1546" s="13"/>
      <c r="S1546" s="13">
        <v>1.7094907407407406E-2</v>
      </c>
      <c r="T1546" s="13">
        <v>6.1574074074074074E-3</v>
      </c>
      <c r="U1546" s="13">
        <v>9.4907407407407408E-4</v>
      </c>
      <c r="V1546" s="13"/>
      <c r="W1546" s="13"/>
    </row>
    <row r="1547" spans="1:23" ht="15" customHeight="1" x14ac:dyDescent="0.25">
      <c r="A1547" s="19">
        <v>46253</v>
      </c>
      <c r="B1547" s="11" t="s">
        <v>178</v>
      </c>
      <c r="C1547" s="12" t="s">
        <v>522</v>
      </c>
      <c r="D1547" s="11" t="s">
        <v>146</v>
      </c>
      <c r="E1547" s="12" t="s">
        <v>147</v>
      </c>
      <c r="F1547" s="12" t="s">
        <v>106</v>
      </c>
      <c r="G1547" s="12">
        <v>18</v>
      </c>
      <c r="H1547" s="13">
        <v>0.26614583333333336</v>
      </c>
      <c r="I1547" s="13">
        <v>0.10400462962962963</v>
      </c>
      <c r="J1547" s="13">
        <v>5.778034979423868E-3</v>
      </c>
      <c r="K1547" s="13">
        <v>3.2025462962962964E-2</v>
      </c>
      <c r="L1547" s="14">
        <v>0.12033050663187649</v>
      </c>
      <c r="M1547" s="12" t="s">
        <v>334</v>
      </c>
      <c r="N1547" s="13">
        <v>4.6759259259259263E-3</v>
      </c>
      <c r="O1547" s="13">
        <v>1.050925925925926E-2</v>
      </c>
      <c r="P1547" s="13"/>
      <c r="Q1547" s="13"/>
      <c r="R1547" s="13">
        <v>1.3888888888888889E-4</v>
      </c>
      <c r="S1547" s="13">
        <v>1.6099537037037037E-2</v>
      </c>
      <c r="T1547" s="13">
        <v>6.9444444444444444E-5</v>
      </c>
      <c r="U1547" s="13">
        <v>5.0925925925925921E-4</v>
      </c>
      <c r="V1547" s="13"/>
      <c r="W1547" s="13"/>
    </row>
    <row r="1548" spans="1:23" ht="15" customHeight="1" x14ac:dyDescent="0.25">
      <c r="A1548" s="19">
        <v>46253</v>
      </c>
      <c r="B1548" s="11" t="s">
        <v>266</v>
      </c>
      <c r="C1548" s="12" t="s">
        <v>531</v>
      </c>
      <c r="D1548" s="11" t="s">
        <v>233</v>
      </c>
      <c r="E1548" s="12" t="s">
        <v>32</v>
      </c>
      <c r="F1548" s="12" t="s">
        <v>106</v>
      </c>
      <c r="G1548" s="12">
        <v>2</v>
      </c>
      <c r="H1548" s="13">
        <v>0.21628472222222223</v>
      </c>
      <c r="I1548" s="13">
        <v>7.6504629629629631E-3</v>
      </c>
      <c r="J1548" s="13">
        <v>3.8252314814814815E-3</v>
      </c>
      <c r="K1548" s="13">
        <v>0.20795138888888889</v>
      </c>
      <c r="L1548" s="14">
        <v>0.96147054101781992</v>
      </c>
      <c r="M1548" s="12" t="s">
        <v>334</v>
      </c>
      <c r="N1548" s="13"/>
      <c r="O1548" s="13">
        <v>1.2418981481481482E-2</v>
      </c>
      <c r="P1548" s="13"/>
      <c r="Q1548" s="13"/>
      <c r="R1548" s="13"/>
      <c r="S1548" s="13">
        <v>1.1145833333333334E-2</v>
      </c>
      <c r="T1548" s="13">
        <v>3.7037037037037035E-4</v>
      </c>
      <c r="U1548" s="13">
        <v>6.9444444444444444E-5</v>
      </c>
      <c r="V1548" s="13"/>
      <c r="W1548" s="13">
        <v>0.18394675925925927</v>
      </c>
    </row>
    <row r="1549" spans="1:23" ht="15" customHeight="1" x14ac:dyDescent="0.25">
      <c r="A1549" s="19">
        <v>46253</v>
      </c>
      <c r="B1549" s="11" t="s">
        <v>297</v>
      </c>
      <c r="C1549" s="12" t="s">
        <v>667</v>
      </c>
      <c r="D1549" s="11" t="s">
        <v>104</v>
      </c>
      <c r="E1549" s="12" t="s">
        <v>105</v>
      </c>
      <c r="F1549" s="12" t="s">
        <v>106</v>
      </c>
      <c r="G1549" s="12">
        <v>4</v>
      </c>
      <c r="H1549" s="13">
        <v>0.21861111111111112</v>
      </c>
      <c r="I1549" s="13">
        <v>7.4062500000000003E-2</v>
      </c>
      <c r="J1549" s="13">
        <v>1.8515625000000001E-2</v>
      </c>
      <c r="K1549" s="13">
        <v>0.18164351851851851</v>
      </c>
      <c r="L1549" s="14">
        <v>0.83089792460821676</v>
      </c>
      <c r="M1549" s="12" t="s">
        <v>334</v>
      </c>
      <c r="N1549" s="13">
        <v>2.642361111111111E-2</v>
      </c>
      <c r="O1549" s="13">
        <v>7.3842592592592597E-3</v>
      </c>
      <c r="P1549" s="13"/>
      <c r="Q1549" s="13"/>
      <c r="R1549" s="13"/>
      <c r="S1549" s="13">
        <v>1.4085648148148147E-2</v>
      </c>
      <c r="T1549" s="13">
        <v>8.6805555555555551E-4</v>
      </c>
      <c r="U1549" s="13"/>
      <c r="V1549" s="13"/>
      <c r="W1549" s="13">
        <v>0.13288194444444446</v>
      </c>
    </row>
    <row r="1550" spans="1:23" ht="15" customHeight="1" x14ac:dyDescent="0.25">
      <c r="A1550" s="19">
        <v>46253</v>
      </c>
      <c r="B1550" s="11" t="s">
        <v>207</v>
      </c>
      <c r="C1550" s="12" t="s">
        <v>566</v>
      </c>
      <c r="D1550" s="11" t="s">
        <v>274</v>
      </c>
      <c r="E1550" s="12" t="s">
        <v>147</v>
      </c>
      <c r="F1550" s="12" t="s">
        <v>33</v>
      </c>
      <c r="G1550" s="12">
        <v>22</v>
      </c>
      <c r="H1550" s="13">
        <v>0.26204861111111111</v>
      </c>
      <c r="I1550" s="13">
        <v>5.6099537037037038E-2</v>
      </c>
      <c r="J1550" s="13">
        <v>2.5499789562289563E-3</v>
      </c>
      <c r="K1550" s="13">
        <v>3.5300925925925923E-2</v>
      </c>
      <c r="L1550" s="14">
        <v>0.13471136433903094</v>
      </c>
      <c r="M1550" s="12" t="s">
        <v>334</v>
      </c>
      <c r="N1550" s="13">
        <v>3.4027777777777776E-3</v>
      </c>
      <c r="O1550" s="13">
        <v>6.875E-3</v>
      </c>
      <c r="P1550" s="13"/>
      <c r="Q1550" s="13">
        <v>1.4004629629629629E-3</v>
      </c>
      <c r="R1550" s="13">
        <v>8.4259259259259253E-3</v>
      </c>
      <c r="S1550" s="13">
        <v>1.3657407407407408E-2</v>
      </c>
      <c r="T1550" s="13">
        <v>6.9444444444444444E-5</v>
      </c>
      <c r="U1550" s="13">
        <v>1.4236111111111112E-3</v>
      </c>
      <c r="V1550" s="13"/>
      <c r="W1550" s="13"/>
    </row>
    <row r="1551" spans="1:23" ht="15" customHeight="1" x14ac:dyDescent="0.25">
      <c r="A1551" s="19">
        <v>46253</v>
      </c>
      <c r="B1551" s="11" t="s">
        <v>96</v>
      </c>
      <c r="C1551" s="12" t="s">
        <v>97</v>
      </c>
      <c r="D1551" s="11" t="s">
        <v>78</v>
      </c>
      <c r="E1551" s="12" t="s">
        <v>80</v>
      </c>
      <c r="F1551" s="12" t="s">
        <v>81</v>
      </c>
      <c r="G1551" s="12">
        <v>1</v>
      </c>
      <c r="H1551" s="13">
        <v>0.34288194444444442</v>
      </c>
      <c r="I1551" s="13">
        <v>1.9155092592592592E-2</v>
      </c>
      <c r="J1551" s="13">
        <v>1.9155092592592592E-2</v>
      </c>
      <c r="K1551" s="13">
        <v>0.14186342592592593</v>
      </c>
      <c r="L1551" s="14">
        <v>0.41373839662447265</v>
      </c>
      <c r="M1551" s="12" t="s">
        <v>334</v>
      </c>
      <c r="N1551" s="13">
        <v>6.8194444444444446E-2</v>
      </c>
      <c r="O1551" s="13"/>
      <c r="P1551" s="13"/>
      <c r="Q1551" s="13"/>
      <c r="R1551" s="13"/>
      <c r="S1551" s="13">
        <v>1.0162037037037037E-2</v>
      </c>
      <c r="T1551" s="13">
        <v>5.7870370370370373E-5</v>
      </c>
      <c r="U1551" s="13">
        <v>2.4398148148148148E-2</v>
      </c>
      <c r="V1551" s="13"/>
      <c r="W1551" s="13">
        <v>3.8993055555555559E-2</v>
      </c>
    </row>
    <row r="1552" spans="1:23" ht="15" customHeight="1" x14ac:dyDescent="0.25">
      <c r="A1552" s="19">
        <v>46253</v>
      </c>
      <c r="B1552" s="11" t="s">
        <v>180</v>
      </c>
      <c r="C1552" s="12" t="s">
        <v>523</v>
      </c>
      <c r="D1552" s="11" t="s">
        <v>146</v>
      </c>
      <c r="E1552" s="12" t="s">
        <v>147</v>
      </c>
      <c r="F1552" s="12" t="s">
        <v>106</v>
      </c>
      <c r="G1552" s="12">
        <v>17</v>
      </c>
      <c r="H1552" s="13">
        <v>0.26244212962962965</v>
      </c>
      <c r="I1552" s="13">
        <v>5.2986111111111109E-2</v>
      </c>
      <c r="J1552" s="13">
        <v>3.1168300653594771E-3</v>
      </c>
      <c r="K1552" s="13">
        <v>4.0034722222222222E-2</v>
      </c>
      <c r="L1552" s="14">
        <v>0.1525468577728776</v>
      </c>
      <c r="M1552" s="12" t="s">
        <v>334</v>
      </c>
      <c r="N1552" s="13">
        <v>7.1180555555555554E-3</v>
      </c>
      <c r="O1552" s="13">
        <v>1.5590277777777778E-2</v>
      </c>
      <c r="P1552" s="13"/>
      <c r="Q1552" s="13">
        <v>3.6342592592592594E-3</v>
      </c>
      <c r="R1552" s="13"/>
      <c r="S1552" s="13">
        <v>1.3125E-2</v>
      </c>
      <c r="T1552" s="13">
        <v>3.3564814814814812E-4</v>
      </c>
      <c r="U1552" s="13">
        <v>1.9675925925925926E-4</v>
      </c>
      <c r="V1552" s="13"/>
      <c r="W1552" s="13"/>
    </row>
    <row r="1553" spans="1:23" ht="15" customHeight="1" x14ac:dyDescent="0.25">
      <c r="A1553" s="19">
        <v>46253</v>
      </c>
      <c r="B1553" s="11" t="s">
        <v>616</v>
      </c>
      <c r="C1553" s="12" t="s">
        <v>637</v>
      </c>
      <c r="D1553" s="11" t="s">
        <v>601</v>
      </c>
      <c r="E1553" s="12" t="s">
        <v>105</v>
      </c>
      <c r="F1553" s="12" t="s">
        <v>33</v>
      </c>
      <c r="G1553" s="12">
        <v>9</v>
      </c>
      <c r="H1553" s="13">
        <v>0.18019675925925926</v>
      </c>
      <c r="I1553" s="13">
        <v>7.1296296296296302E-2</v>
      </c>
      <c r="J1553" s="13">
        <v>7.9218106995884788E-3</v>
      </c>
      <c r="K1553" s="13">
        <v>0.10601851851851851</v>
      </c>
      <c r="L1553" s="14">
        <v>0.58834864153124788</v>
      </c>
      <c r="M1553" s="12" t="s">
        <v>334</v>
      </c>
      <c r="N1553" s="13">
        <v>4.31712962962963E-3</v>
      </c>
      <c r="O1553" s="13">
        <v>1.4861111111111111E-2</v>
      </c>
      <c r="P1553" s="13"/>
      <c r="Q1553" s="13"/>
      <c r="R1553" s="13"/>
      <c r="S1553" s="13">
        <v>1.4166666666666666E-2</v>
      </c>
      <c r="T1553" s="13">
        <v>2.2800925925925927E-3</v>
      </c>
      <c r="U1553" s="13">
        <v>7.0358796296296294E-2</v>
      </c>
      <c r="V1553" s="13"/>
      <c r="W1553" s="13">
        <v>2.3148148148148147E-5</v>
      </c>
    </row>
    <row r="1554" spans="1:23" ht="15" customHeight="1" x14ac:dyDescent="0.25">
      <c r="A1554" s="19">
        <v>46253</v>
      </c>
      <c r="B1554" s="11" t="s">
        <v>209</v>
      </c>
      <c r="C1554" s="12" t="s">
        <v>567</v>
      </c>
      <c r="D1554" s="11" t="s">
        <v>601</v>
      </c>
      <c r="E1554" s="12" t="s">
        <v>105</v>
      </c>
      <c r="F1554" s="12" t="s">
        <v>33</v>
      </c>
      <c r="G1554" s="12">
        <v>12</v>
      </c>
      <c r="H1554" s="13">
        <v>0.24523148148148149</v>
      </c>
      <c r="I1554" s="13">
        <v>0.1330787037037037</v>
      </c>
      <c r="J1554" s="13">
        <v>1.1089891975308642E-2</v>
      </c>
      <c r="K1554" s="13">
        <v>0.1401388888888889</v>
      </c>
      <c r="L1554" s="14">
        <v>0.57145554087219186</v>
      </c>
      <c r="M1554" s="12" t="s">
        <v>334</v>
      </c>
      <c r="N1554" s="13">
        <v>4.1898148148148146E-3</v>
      </c>
      <c r="O1554" s="13">
        <v>1.3877314814814815E-2</v>
      </c>
      <c r="P1554" s="13"/>
      <c r="Q1554" s="13"/>
      <c r="R1554" s="13"/>
      <c r="S1554" s="13">
        <v>1.3391203703703704E-2</v>
      </c>
      <c r="T1554" s="13">
        <v>1.5324074074074073E-2</v>
      </c>
      <c r="U1554" s="13">
        <v>9.3356481481481485E-2</v>
      </c>
      <c r="V1554" s="13"/>
      <c r="W1554" s="13"/>
    </row>
    <row r="1555" spans="1:23" ht="15" customHeight="1" x14ac:dyDescent="0.25">
      <c r="A1555" s="19">
        <v>46253</v>
      </c>
      <c r="B1555" s="11" t="s">
        <v>60</v>
      </c>
      <c r="C1555" s="12" t="s">
        <v>510</v>
      </c>
      <c r="D1555" s="11" t="s">
        <v>100</v>
      </c>
      <c r="E1555" s="12" t="s">
        <v>32</v>
      </c>
      <c r="F1555" s="12" t="s">
        <v>33</v>
      </c>
      <c r="G1555" s="12">
        <v>48</v>
      </c>
      <c r="H1555" s="13">
        <v>0.33231481481481484</v>
      </c>
      <c r="I1555" s="13">
        <v>0.17064814814814816</v>
      </c>
      <c r="J1555" s="13">
        <v>3.55516975308642E-3</v>
      </c>
      <c r="K1555" s="13">
        <v>3.4861111111111114E-2</v>
      </c>
      <c r="L1555" s="14">
        <v>0.10490387294511005</v>
      </c>
      <c r="M1555" s="12" t="s">
        <v>334</v>
      </c>
      <c r="N1555" s="13">
        <v>3.0092592592592593E-3</v>
      </c>
      <c r="O1555" s="13">
        <v>1.4178240740740741E-2</v>
      </c>
      <c r="P1555" s="13"/>
      <c r="Q1555" s="13"/>
      <c r="R1555" s="13">
        <v>1.9675925925925926E-4</v>
      </c>
      <c r="S1555" s="13">
        <v>1.4525462962962962E-2</v>
      </c>
      <c r="T1555" s="13">
        <v>2.8935185185185184E-4</v>
      </c>
      <c r="U1555" s="13">
        <v>2.5810185185185185E-3</v>
      </c>
      <c r="V1555" s="13"/>
      <c r="W1555" s="13"/>
    </row>
    <row r="1556" spans="1:23" ht="15" customHeight="1" x14ac:dyDescent="0.25">
      <c r="A1556" s="19">
        <v>46253</v>
      </c>
      <c r="B1556" s="11" t="s">
        <v>132</v>
      </c>
      <c r="C1556" s="12" t="s">
        <v>512</v>
      </c>
      <c r="D1556" s="11" t="s">
        <v>104</v>
      </c>
      <c r="E1556" s="12" t="s">
        <v>105</v>
      </c>
      <c r="F1556" s="12" t="s">
        <v>106</v>
      </c>
      <c r="G1556" s="12">
        <v>12</v>
      </c>
      <c r="H1556" s="13">
        <v>0.2542476851851852</v>
      </c>
      <c r="I1556" s="13">
        <v>9.4375000000000001E-2</v>
      </c>
      <c r="J1556" s="13">
        <v>7.8645833333333328E-3</v>
      </c>
      <c r="K1556" s="13">
        <v>0.11395833333333333</v>
      </c>
      <c r="L1556" s="14">
        <v>0.4482177812172804</v>
      </c>
      <c r="M1556" s="12" t="s">
        <v>334</v>
      </c>
      <c r="N1556" s="13">
        <v>1.8240740740740741E-2</v>
      </c>
      <c r="O1556" s="13">
        <v>1.5833333333333335E-2</v>
      </c>
      <c r="P1556" s="13"/>
      <c r="Q1556" s="13">
        <v>4.5486111111111109E-3</v>
      </c>
      <c r="R1556" s="13"/>
      <c r="S1556" s="13">
        <v>1.3993055555555555E-2</v>
      </c>
      <c r="T1556" s="13">
        <v>7.7546296296296293E-4</v>
      </c>
      <c r="U1556" s="13">
        <v>1.5162037037037036E-3</v>
      </c>
      <c r="V1556" s="13"/>
      <c r="W1556" s="13">
        <v>5.9016203703703703E-2</v>
      </c>
    </row>
    <row r="1557" spans="1:23" ht="15" customHeight="1" x14ac:dyDescent="0.25">
      <c r="A1557" s="19">
        <v>46253</v>
      </c>
      <c r="B1557" s="11" t="s">
        <v>134</v>
      </c>
      <c r="C1557" s="12" t="s">
        <v>560</v>
      </c>
      <c r="D1557" s="11" t="s">
        <v>104</v>
      </c>
      <c r="E1557" s="12" t="s">
        <v>105</v>
      </c>
      <c r="F1557" s="12" t="s">
        <v>106</v>
      </c>
      <c r="G1557" s="12">
        <v>7</v>
      </c>
      <c r="H1557" s="13">
        <v>0.15552083333333333</v>
      </c>
      <c r="I1557" s="13">
        <v>3.8541666666666669E-2</v>
      </c>
      <c r="J1557" s="13">
        <v>5.5059523809523813E-3</v>
      </c>
      <c r="K1557" s="13">
        <v>5.4120370370370367E-2</v>
      </c>
      <c r="L1557" s="14">
        <v>0.34799434397558976</v>
      </c>
      <c r="M1557" s="12" t="s">
        <v>334</v>
      </c>
      <c r="N1557" s="13"/>
      <c r="O1557" s="13">
        <v>5.9259259259259256E-3</v>
      </c>
      <c r="P1557" s="13"/>
      <c r="Q1557" s="13">
        <v>9.7453703703703695E-3</v>
      </c>
      <c r="R1557" s="13"/>
      <c r="S1557" s="13">
        <v>1.3541666666666667E-2</v>
      </c>
      <c r="T1557" s="13">
        <v>4.8032407407407407E-3</v>
      </c>
      <c r="U1557" s="13">
        <v>5.7870370370370367E-4</v>
      </c>
      <c r="V1557" s="13"/>
      <c r="W1557" s="13">
        <v>1.9525462962962963E-2</v>
      </c>
    </row>
    <row r="1558" spans="1:23" ht="15" customHeight="1" x14ac:dyDescent="0.25">
      <c r="A1558" s="19">
        <v>46253</v>
      </c>
      <c r="B1558" s="11" t="s">
        <v>211</v>
      </c>
      <c r="C1558" s="12" t="s">
        <v>546</v>
      </c>
      <c r="D1558" s="11" t="s">
        <v>104</v>
      </c>
      <c r="E1558" s="12" t="s">
        <v>105</v>
      </c>
      <c r="F1558" s="12" t="s">
        <v>106</v>
      </c>
      <c r="G1558" s="12">
        <v>3</v>
      </c>
      <c r="H1558" s="13">
        <v>0.18202546296296296</v>
      </c>
      <c r="I1558" s="13">
        <v>9.0011574074074077E-2</v>
      </c>
      <c r="J1558" s="13">
        <v>3.0003858024691358E-2</v>
      </c>
      <c r="K1558" s="13">
        <v>0.12922453703703704</v>
      </c>
      <c r="L1558" s="14">
        <v>0.70992560564634077</v>
      </c>
      <c r="M1558" s="12" t="s">
        <v>334</v>
      </c>
      <c r="N1558" s="13">
        <v>7.3611111111111108E-3</v>
      </c>
      <c r="O1558" s="13">
        <v>2.1805555555555557E-2</v>
      </c>
      <c r="P1558" s="13"/>
      <c r="Q1558" s="13"/>
      <c r="R1558" s="13"/>
      <c r="S1558" s="13">
        <v>1.4999999999999999E-2</v>
      </c>
      <c r="T1558" s="13">
        <v>3.3564814814814812E-4</v>
      </c>
      <c r="U1558" s="13">
        <v>3.9351851851851852E-4</v>
      </c>
      <c r="V1558" s="13"/>
      <c r="W1558" s="13">
        <v>8.4328703703703697E-2</v>
      </c>
    </row>
    <row r="1559" spans="1:23" ht="15" customHeight="1" x14ac:dyDescent="0.25">
      <c r="A1559" s="19">
        <v>46253</v>
      </c>
      <c r="B1559" s="11" t="s">
        <v>617</v>
      </c>
      <c r="C1559" s="12" t="s">
        <v>638</v>
      </c>
      <c r="D1559" s="11" t="s">
        <v>601</v>
      </c>
      <c r="E1559" s="12" t="s">
        <v>105</v>
      </c>
      <c r="F1559" s="12" t="s">
        <v>33</v>
      </c>
      <c r="G1559" s="12">
        <v>13</v>
      </c>
      <c r="H1559" s="13">
        <v>0.22498842592592594</v>
      </c>
      <c r="I1559" s="13">
        <v>9.7881944444444438E-2</v>
      </c>
      <c r="J1559" s="13">
        <v>7.5293803418803413E-3</v>
      </c>
      <c r="K1559" s="13">
        <v>0.11540509259259259</v>
      </c>
      <c r="L1559" s="14">
        <v>0.51293790832861763</v>
      </c>
      <c r="M1559" s="12" t="s">
        <v>334</v>
      </c>
      <c r="N1559" s="13">
        <v>1.5023148148148148E-2</v>
      </c>
      <c r="O1559" s="13">
        <v>1.5914351851851853E-2</v>
      </c>
      <c r="P1559" s="13"/>
      <c r="Q1559" s="13">
        <v>1.8287037037037037E-3</v>
      </c>
      <c r="R1559" s="13"/>
      <c r="S1559" s="13">
        <v>1.4583333333333334E-2</v>
      </c>
      <c r="T1559" s="13">
        <v>4.1550925925925922E-3</v>
      </c>
      <c r="U1559" s="13">
        <v>6.3900462962962964E-2</v>
      </c>
      <c r="V1559" s="13"/>
      <c r="W1559" s="13"/>
    </row>
    <row r="1560" spans="1:23" ht="15" customHeight="1" x14ac:dyDescent="0.25">
      <c r="A1560" s="19">
        <v>46253</v>
      </c>
      <c r="B1560" s="11" t="s">
        <v>136</v>
      </c>
      <c r="C1560" s="12" t="s">
        <v>561</v>
      </c>
      <c r="D1560" s="11" t="s">
        <v>104</v>
      </c>
      <c r="E1560" s="12" t="s">
        <v>105</v>
      </c>
      <c r="F1560" s="12" t="s">
        <v>106</v>
      </c>
      <c r="G1560" s="12">
        <v>11</v>
      </c>
      <c r="H1560" s="13">
        <v>0.25858796296296294</v>
      </c>
      <c r="I1560" s="13">
        <v>7.18287037037037E-2</v>
      </c>
      <c r="J1560" s="13">
        <v>6.5298821548821547E-3</v>
      </c>
      <c r="K1560" s="13">
        <v>0.18502314814814816</v>
      </c>
      <c r="L1560" s="14">
        <v>0.71551338286635047</v>
      </c>
      <c r="M1560" s="12" t="s">
        <v>334</v>
      </c>
      <c r="N1560" s="13">
        <v>3.1666666666666669E-2</v>
      </c>
      <c r="O1560" s="13">
        <v>1.6157407407407409E-2</v>
      </c>
      <c r="P1560" s="13"/>
      <c r="Q1560" s="13"/>
      <c r="R1560" s="13"/>
      <c r="S1560" s="13">
        <v>1.4965277777777777E-2</v>
      </c>
      <c r="T1560" s="13">
        <v>1.25E-3</v>
      </c>
      <c r="U1560" s="13">
        <v>1.3078703703703703E-3</v>
      </c>
      <c r="V1560" s="13"/>
      <c r="W1560" s="13">
        <v>0.11966435185185186</v>
      </c>
    </row>
    <row r="1561" spans="1:23" ht="15" customHeight="1" x14ac:dyDescent="0.25">
      <c r="A1561" s="19">
        <v>46253</v>
      </c>
      <c r="B1561" s="11" t="s">
        <v>618</v>
      </c>
      <c r="C1561" s="12" t="s">
        <v>639</v>
      </c>
      <c r="D1561" s="11" t="s">
        <v>601</v>
      </c>
      <c r="E1561" s="12" t="s">
        <v>105</v>
      </c>
      <c r="F1561" s="12" t="s">
        <v>33</v>
      </c>
      <c r="G1561" s="12">
        <v>14</v>
      </c>
      <c r="H1561" s="13">
        <v>0.23927083333333332</v>
      </c>
      <c r="I1561" s="13">
        <v>0.11814814814814815</v>
      </c>
      <c r="J1561" s="13">
        <v>8.4391534391534389E-3</v>
      </c>
      <c r="K1561" s="13">
        <v>9.2175925925925925E-2</v>
      </c>
      <c r="L1561" s="14">
        <v>0.38523678227639918</v>
      </c>
      <c r="M1561" s="12" t="s">
        <v>334</v>
      </c>
      <c r="N1561" s="13">
        <v>7.8125E-3</v>
      </c>
      <c r="O1561" s="13">
        <v>1.5543981481481482E-2</v>
      </c>
      <c r="P1561" s="13"/>
      <c r="Q1561" s="13"/>
      <c r="R1561" s="13"/>
      <c r="S1561" s="13">
        <v>1.4409722222222223E-2</v>
      </c>
      <c r="T1561" s="13">
        <v>2.1296296296296298E-3</v>
      </c>
      <c r="U1561" s="13">
        <v>5.2280092592592593E-2</v>
      </c>
      <c r="V1561" s="13"/>
      <c r="W1561" s="13"/>
    </row>
    <row r="1562" spans="1:23" ht="15" customHeight="1" x14ac:dyDescent="0.25">
      <c r="A1562" s="19">
        <v>46253</v>
      </c>
      <c r="B1562" s="11" t="s">
        <v>501</v>
      </c>
      <c r="C1562" s="12" t="s">
        <v>524</v>
      </c>
      <c r="D1562" s="11" t="s">
        <v>274</v>
      </c>
      <c r="E1562" s="12" t="s">
        <v>147</v>
      </c>
      <c r="F1562" s="12" t="s">
        <v>33</v>
      </c>
      <c r="G1562" s="12">
        <v>17</v>
      </c>
      <c r="H1562" s="13">
        <v>0.26416666666666666</v>
      </c>
      <c r="I1562" s="13">
        <v>7.0532407407407405E-2</v>
      </c>
      <c r="J1562" s="13">
        <v>4.1489651416122004E-3</v>
      </c>
      <c r="K1562" s="13">
        <v>3.6377314814814814E-2</v>
      </c>
      <c r="L1562" s="14">
        <v>0.13770592358920433</v>
      </c>
      <c r="M1562" s="12" t="s">
        <v>334</v>
      </c>
      <c r="N1562" s="13">
        <v>5.0810185185185186E-3</v>
      </c>
      <c r="O1562" s="13">
        <v>1.6030092592592592E-2</v>
      </c>
      <c r="P1562" s="13"/>
      <c r="Q1562" s="13">
        <v>1.0300925925925926E-3</v>
      </c>
      <c r="R1562" s="13"/>
      <c r="S1562" s="13">
        <v>1.4097222222222223E-2</v>
      </c>
      <c r="T1562" s="13">
        <v>6.9444444444444444E-5</v>
      </c>
      <c r="U1562" s="13">
        <v>5.7870370370370373E-5</v>
      </c>
      <c r="V1562" s="13"/>
      <c r="W1562" s="13"/>
    </row>
    <row r="1563" spans="1:23" ht="15" customHeight="1" x14ac:dyDescent="0.25">
      <c r="A1563" s="19">
        <v>46253</v>
      </c>
      <c r="B1563" s="11" t="s">
        <v>213</v>
      </c>
      <c r="C1563" s="12" t="s">
        <v>572</v>
      </c>
      <c r="D1563" s="11" t="s">
        <v>601</v>
      </c>
      <c r="E1563" s="12" t="s">
        <v>105</v>
      </c>
      <c r="F1563" s="12" t="s">
        <v>33</v>
      </c>
      <c r="G1563" s="12">
        <v>6</v>
      </c>
      <c r="H1563" s="13">
        <v>0.23623842592592592</v>
      </c>
      <c r="I1563" s="13">
        <v>0.16121527777777778</v>
      </c>
      <c r="J1563" s="13">
        <v>2.6869212962962963E-2</v>
      </c>
      <c r="K1563" s="13">
        <v>0.17280092592592591</v>
      </c>
      <c r="L1563" s="14">
        <v>0.7314683259026995</v>
      </c>
      <c r="M1563" s="12" t="s">
        <v>334</v>
      </c>
      <c r="N1563" s="13">
        <v>1.6180555555555556E-2</v>
      </c>
      <c r="O1563" s="13">
        <v>1.5243055555555555E-2</v>
      </c>
      <c r="P1563" s="13"/>
      <c r="Q1563" s="13"/>
      <c r="R1563" s="13"/>
      <c r="S1563" s="13"/>
      <c r="T1563" s="13">
        <v>9.6064814814814815E-3</v>
      </c>
      <c r="U1563" s="13">
        <v>0.13177083333333334</v>
      </c>
      <c r="V1563" s="13"/>
      <c r="W1563" s="13"/>
    </row>
    <row r="1564" spans="1:23" ht="15" customHeight="1" x14ac:dyDescent="0.25">
      <c r="A1564" s="19">
        <v>46253</v>
      </c>
      <c r="B1564" s="11" t="s">
        <v>668</v>
      </c>
      <c r="C1564" s="12" t="s">
        <v>669</v>
      </c>
      <c r="D1564" s="11" t="s">
        <v>233</v>
      </c>
      <c r="E1564" s="12" t="s">
        <v>32</v>
      </c>
      <c r="F1564" s="12" t="s">
        <v>106</v>
      </c>
      <c r="G1564" s="12">
        <v>39</v>
      </c>
      <c r="H1564" s="13">
        <v>0.25267361111111108</v>
      </c>
      <c r="I1564" s="13">
        <v>0.13195601851851851</v>
      </c>
      <c r="J1564" s="13">
        <v>3.3834876543209877E-3</v>
      </c>
      <c r="K1564" s="13">
        <v>5.9930555555555556E-2</v>
      </c>
      <c r="L1564" s="14">
        <v>0.23718565342861073</v>
      </c>
      <c r="M1564" s="12" t="s">
        <v>334</v>
      </c>
      <c r="N1564" s="13">
        <v>3.9004629629629628E-3</v>
      </c>
      <c r="O1564" s="13">
        <v>1.6284722222222221E-2</v>
      </c>
      <c r="P1564" s="13"/>
      <c r="Q1564" s="13"/>
      <c r="R1564" s="13"/>
      <c r="S1564" s="13">
        <v>1.4143518518518519E-2</v>
      </c>
      <c r="T1564" s="13">
        <v>1.238425925925926E-2</v>
      </c>
      <c r="U1564" s="13">
        <v>1.2986111111111111E-2</v>
      </c>
      <c r="V1564" s="13"/>
      <c r="W1564" s="13">
        <v>2.0833333333333335E-4</v>
      </c>
    </row>
    <row r="1565" spans="1:23" ht="15" customHeight="1" x14ac:dyDescent="0.25">
      <c r="A1565" s="19">
        <v>46253</v>
      </c>
      <c r="B1565" s="11" t="s">
        <v>744</v>
      </c>
      <c r="C1565" s="12" t="s">
        <v>670</v>
      </c>
      <c r="D1565" s="11" t="s">
        <v>100</v>
      </c>
      <c r="E1565" s="12" t="s">
        <v>32</v>
      </c>
      <c r="F1565" s="12" t="s">
        <v>33</v>
      </c>
      <c r="G1565" s="12">
        <v>28</v>
      </c>
      <c r="H1565" s="13">
        <v>0.25528935185185186</v>
      </c>
      <c r="I1565" s="13">
        <v>0.10797453703703704</v>
      </c>
      <c r="J1565" s="13">
        <v>3.8562334656084656E-3</v>
      </c>
      <c r="K1565" s="13">
        <v>5.9027777777777776E-2</v>
      </c>
      <c r="L1565" s="14">
        <v>0.23121911411343335</v>
      </c>
      <c r="M1565" s="12" t="s">
        <v>334</v>
      </c>
      <c r="N1565" s="13">
        <v>2.732638888888889E-2</v>
      </c>
      <c r="O1565" s="13">
        <v>1.4317129629629629E-2</v>
      </c>
      <c r="P1565" s="13"/>
      <c r="Q1565" s="13"/>
      <c r="R1565" s="13"/>
      <c r="S1565" s="13">
        <v>1.3935185185185186E-2</v>
      </c>
      <c r="T1565" s="13">
        <v>1.7361111111111112E-4</v>
      </c>
      <c r="U1565" s="13">
        <v>3.2060185185185186E-3</v>
      </c>
      <c r="V1565" s="13"/>
      <c r="W1565" s="13"/>
    </row>
    <row r="1566" spans="1:23" ht="15" customHeight="1" x14ac:dyDescent="0.25">
      <c r="A1566" s="19">
        <v>46253</v>
      </c>
      <c r="B1566" s="11" t="s">
        <v>219</v>
      </c>
      <c r="C1566" s="12" t="s">
        <v>548</v>
      </c>
      <c r="D1566" s="11" t="s">
        <v>104</v>
      </c>
      <c r="E1566" s="12" t="s">
        <v>105</v>
      </c>
      <c r="F1566" s="12" t="s">
        <v>106</v>
      </c>
      <c r="G1566" s="12">
        <v>4</v>
      </c>
      <c r="H1566" s="13">
        <v>0.22462962962962962</v>
      </c>
      <c r="I1566" s="13">
        <v>5.2962962962962962E-2</v>
      </c>
      <c r="J1566" s="13">
        <v>1.324074074074074E-2</v>
      </c>
      <c r="K1566" s="13">
        <v>0.19626157407407407</v>
      </c>
      <c r="L1566" s="14">
        <v>0.87371187139323991</v>
      </c>
      <c r="M1566" s="12" t="s">
        <v>334</v>
      </c>
      <c r="N1566" s="13"/>
      <c r="O1566" s="13">
        <v>2.0405092592592593E-2</v>
      </c>
      <c r="P1566" s="13">
        <v>1.6099537037037037E-2</v>
      </c>
      <c r="Q1566" s="13"/>
      <c r="R1566" s="13"/>
      <c r="S1566" s="13">
        <v>1.3958333333333333E-2</v>
      </c>
      <c r="T1566" s="13">
        <v>1.1168981481481481E-2</v>
      </c>
      <c r="U1566" s="13">
        <v>1.2962962962962963E-2</v>
      </c>
      <c r="V1566" s="13"/>
      <c r="W1566" s="13">
        <v>0.12166666666666667</v>
      </c>
    </row>
    <row r="1567" spans="1:23" ht="15" customHeight="1" x14ac:dyDescent="0.25">
      <c r="A1567" s="19">
        <v>46253</v>
      </c>
      <c r="B1567" s="11" t="s">
        <v>305</v>
      </c>
      <c r="C1567" s="12" t="s">
        <v>306</v>
      </c>
      <c r="D1567" s="11" t="s">
        <v>100</v>
      </c>
      <c r="E1567" s="12" t="s">
        <v>32</v>
      </c>
      <c r="F1567" s="12" t="s">
        <v>33</v>
      </c>
      <c r="G1567" s="12">
        <v>45</v>
      </c>
      <c r="H1567" s="13">
        <v>0.26153935185185184</v>
      </c>
      <c r="I1567" s="13">
        <v>0.1097337962962963</v>
      </c>
      <c r="J1567" s="13">
        <v>2.4385288065843624E-3</v>
      </c>
      <c r="K1567" s="13">
        <v>4.3969907407407409E-2</v>
      </c>
      <c r="L1567" s="14">
        <v>0.1681196619020224</v>
      </c>
      <c r="M1567" s="12" t="s">
        <v>334</v>
      </c>
      <c r="N1567" s="13">
        <v>1.3287037037037036E-2</v>
      </c>
      <c r="O1567" s="13">
        <v>1.4965277777777777E-2</v>
      </c>
      <c r="P1567" s="13"/>
      <c r="Q1567" s="13"/>
      <c r="R1567" s="13"/>
      <c r="S1567" s="13">
        <v>1.5208333333333334E-2</v>
      </c>
      <c r="T1567" s="13">
        <v>2.0833333333333335E-4</v>
      </c>
      <c r="U1567" s="13"/>
      <c r="V1567" s="13"/>
      <c r="W1567" s="13">
        <v>3.0092592592592595E-4</v>
      </c>
    </row>
    <row r="1568" spans="1:23" ht="15" customHeight="1" x14ac:dyDescent="0.25">
      <c r="A1568" s="19">
        <v>46253</v>
      </c>
      <c r="B1568" s="11" t="s">
        <v>620</v>
      </c>
      <c r="C1568" s="12" t="s">
        <v>641</v>
      </c>
      <c r="D1568" s="11" t="s">
        <v>601</v>
      </c>
      <c r="E1568" s="12" t="s">
        <v>105</v>
      </c>
      <c r="F1568" s="12" t="s">
        <v>33</v>
      </c>
      <c r="G1568" s="12">
        <v>7</v>
      </c>
      <c r="H1568" s="13">
        <v>0.24355324074074075</v>
      </c>
      <c r="I1568" s="13">
        <v>0.1723611111111111</v>
      </c>
      <c r="J1568" s="13">
        <v>2.4623015873015873E-2</v>
      </c>
      <c r="K1568" s="13">
        <v>0.18274305555555556</v>
      </c>
      <c r="L1568" s="14">
        <v>0.75032077175307699</v>
      </c>
      <c r="M1568" s="12" t="s">
        <v>334</v>
      </c>
      <c r="N1568" s="13">
        <v>1.0902777777777779E-2</v>
      </c>
      <c r="O1568" s="13">
        <v>1.4421296296296297E-2</v>
      </c>
      <c r="P1568" s="13"/>
      <c r="Q1568" s="13"/>
      <c r="R1568" s="13"/>
      <c r="S1568" s="13">
        <v>1.0752314814814815E-2</v>
      </c>
      <c r="T1568" s="13">
        <v>1.0034722222222223E-2</v>
      </c>
      <c r="U1568" s="13">
        <v>0.13663194444444443</v>
      </c>
      <c r="V1568" s="13"/>
      <c r="W1568" s="13"/>
    </row>
    <row r="1569" spans="1:23" ht="15" customHeight="1" x14ac:dyDescent="0.25">
      <c r="A1569" s="19">
        <v>46253</v>
      </c>
      <c r="B1569" s="11" t="s">
        <v>138</v>
      </c>
      <c r="C1569" s="12" t="s">
        <v>556</v>
      </c>
      <c r="D1569" s="11" t="s">
        <v>104</v>
      </c>
      <c r="E1569" s="12" t="s">
        <v>105</v>
      </c>
      <c r="F1569" s="12" t="s">
        <v>106</v>
      </c>
      <c r="G1569" s="12">
        <v>15</v>
      </c>
      <c r="H1569" s="13">
        <v>0.24621527777777777</v>
      </c>
      <c r="I1569" s="13">
        <v>0.11665509259259259</v>
      </c>
      <c r="J1569" s="13">
        <v>7.7770061728395061E-3</v>
      </c>
      <c r="K1569" s="13">
        <v>0.10739583333333333</v>
      </c>
      <c r="L1569" s="14">
        <v>0.43618671555492877</v>
      </c>
      <c r="M1569" s="12" t="s">
        <v>334</v>
      </c>
      <c r="N1569" s="13">
        <v>1.2465277777777778E-2</v>
      </c>
      <c r="O1569" s="13">
        <v>1.6921296296296295E-2</v>
      </c>
      <c r="P1569" s="13"/>
      <c r="Q1569" s="13">
        <v>4.8842592592592592E-3</v>
      </c>
      <c r="R1569" s="13"/>
      <c r="S1569" s="13">
        <v>1.5497685185185186E-2</v>
      </c>
      <c r="T1569" s="13">
        <v>4.3518518518518515E-3</v>
      </c>
      <c r="U1569" s="13">
        <v>2.638888888888889E-3</v>
      </c>
      <c r="V1569" s="13"/>
      <c r="W1569" s="13">
        <v>5.0578703703703702E-2</v>
      </c>
    </row>
    <row r="1570" spans="1:23" ht="15" customHeight="1" x14ac:dyDescent="0.25">
      <c r="A1570" s="19">
        <v>46253</v>
      </c>
      <c r="B1570" s="11" t="s">
        <v>276</v>
      </c>
      <c r="C1570" s="12" t="s">
        <v>532</v>
      </c>
      <c r="D1570" s="11" t="s">
        <v>233</v>
      </c>
      <c r="E1570" s="12" t="s">
        <v>32</v>
      </c>
      <c r="F1570" s="12" t="s">
        <v>106</v>
      </c>
      <c r="G1570" s="12">
        <v>50</v>
      </c>
      <c r="H1570" s="13">
        <v>0.30656250000000002</v>
      </c>
      <c r="I1570" s="13">
        <v>0.14245370370370369</v>
      </c>
      <c r="J1570" s="13">
        <v>2.8490740740740737E-3</v>
      </c>
      <c r="K1570" s="13">
        <v>6.9814814814814816E-2</v>
      </c>
      <c r="L1570" s="14">
        <v>0.22773436025219918</v>
      </c>
      <c r="M1570" s="12" t="s">
        <v>334</v>
      </c>
      <c r="N1570" s="13">
        <v>1.894675925925926E-2</v>
      </c>
      <c r="O1570" s="13">
        <v>9.3518518518518525E-3</v>
      </c>
      <c r="P1570" s="13"/>
      <c r="Q1570" s="13">
        <v>5.4513888888888893E-3</v>
      </c>
      <c r="R1570" s="13"/>
      <c r="S1570" s="13">
        <v>1.4097222222222223E-2</v>
      </c>
      <c r="T1570" s="13">
        <v>1.7858796296296296E-2</v>
      </c>
      <c r="U1570" s="13">
        <v>4.0740740740740737E-3</v>
      </c>
      <c r="V1570" s="13"/>
      <c r="W1570" s="13"/>
    </row>
    <row r="1571" spans="1:23" ht="15" customHeight="1" x14ac:dyDescent="0.25">
      <c r="A1571" s="19">
        <v>46253</v>
      </c>
      <c r="B1571" s="11" t="s">
        <v>278</v>
      </c>
      <c r="C1571" s="12" t="s">
        <v>533</v>
      </c>
      <c r="D1571" s="11" t="s">
        <v>233</v>
      </c>
      <c r="E1571" s="12" t="s">
        <v>32</v>
      </c>
      <c r="F1571" s="12" t="s">
        <v>106</v>
      </c>
      <c r="G1571" s="12">
        <v>25</v>
      </c>
      <c r="H1571" s="13">
        <v>0.26606481481481481</v>
      </c>
      <c r="I1571" s="13">
        <v>0.14674768518518519</v>
      </c>
      <c r="J1571" s="13">
        <v>5.8699074074074079E-3</v>
      </c>
      <c r="K1571" s="13">
        <v>4.2638888888888886E-2</v>
      </c>
      <c r="L1571" s="14">
        <v>0.16025752566556464</v>
      </c>
      <c r="M1571" s="12" t="s">
        <v>334</v>
      </c>
      <c r="N1571" s="13">
        <v>5.3009259259259259E-3</v>
      </c>
      <c r="O1571" s="13">
        <v>1.4328703703703703E-2</v>
      </c>
      <c r="P1571" s="13"/>
      <c r="Q1571" s="13">
        <v>7.2106481481481483E-3</v>
      </c>
      <c r="R1571" s="13"/>
      <c r="S1571" s="13">
        <v>1.3900462962962963E-2</v>
      </c>
      <c r="T1571" s="13">
        <v>1.3541666666666667E-3</v>
      </c>
      <c r="U1571" s="13">
        <v>5.2083333333333333E-4</v>
      </c>
      <c r="V1571" s="13"/>
      <c r="W1571" s="13"/>
    </row>
    <row r="1572" spans="1:23" ht="15" customHeight="1" x14ac:dyDescent="0.25">
      <c r="A1572" s="19">
        <v>46253</v>
      </c>
      <c r="B1572" s="11" t="s">
        <v>313</v>
      </c>
      <c r="C1572" s="12" t="s">
        <v>511</v>
      </c>
      <c r="D1572" s="11" t="s">
        <v>78</v>
      </c>
      <c r="E1572" s="12" t="s">
        <v>80</v>
      </c>
      <c r="F1572" s="12" t="s">
        <v>81</v>
      </c>
      <c r="G1572" s="12">
        <v>1</v>
      </c>
      <c r="H1572" s="13">
        <v>0.2505324074074074</v>
      </c>
      <c r="I1572" s="13">
        <v>1.5740740740740741E-3</v>
      </c>
      <c r="J1572" s="13">
        <v>1.5740740740740741E-3</v>
      </c>
      <c r="K1572" s="13">
        <v>4.6493055555555558E-2</v>
      </c>
      <c r="L1572" s="14">
        <v>0.18557701191906129</v>
      </c>
      <c r="M1572" s="12" t="s">
        <v>334</v>
      </c>
      <c r="N1572" s="13">
        <v>2.2025462962962962E-2</v>
      </c>
      <c r="O1572" s="13">
        <v>2.435185185185185E-2</v>
      </c>
      <c r="P1572" s="13"/>
      <c r="Q1572" s="13"/>
      <c r="R1572" s="13"/>
      <c r="S1572" s="13"/>
      <c r="T1572" s="13">
        <v>1.1574074074074075E-4</v>
      </c>
      <c r="U1572" s="13"/>
      <c r="V1572" s="13"/>
      <c r="W1572" s="13"/>
    </row>
    <row r="1573" spans="1:23" ht="15" customHeight="1" x14ac:dyDescent="0.25">
      <c r="A1573" s="19">
        <v>46253</v>
      </c>
      <c r="B1573" s="11" t="s">
        <v>673</v>
      </c>
      <c r="C1573" s="12" t="s">
        <v>674</v>
      </c>
      <c r="D1573" s="11" t="s">
        <v>104</v>
      </c>
      <c r="E1573" s="12" t="s">
        <v>105</v>
      </c>
      <c r="F1573" s="12" t="s">
        <v>106</v>
      </c>
      <c r="G1573" s="12">
        <v>12</v>
      </c>
      <c r="H1573" s="13">
        <v>0.25526620370370373</v>
      </c>
      <c r="I1573" s="13">
        <v>9.8472222222222225E-2</v>
      </c>
      <c r="J1573" s="13">
        <v>8.2060185185185187E-3</v>
      </c>
      <c r="K1573" s="13">
        <v>0.12863425925925925</v>
      </c>
      <c r="L1573" s="14">
        <v>0.50392201314894569</v>
      </c>
      <c r="M1573" s="12" t="s">
        <v>334</v>
      </c>
      <c r="N1573" s="13"/>
      <c r="O1573" s="13">
        <v>1.4270833333333333E-2</v>
      </c>
      <c r="P1573" s="13"/>
      <c r="Q1573" s="13">
        <v>5.4629629629629629E-3</v>
      </c>
      <c r="R1573" s="13"/>
      <c r="S1573" s="13">
        <v>1.357638888888889E-2</v>
      </c>
      <c r="T1573" s="13">
        <v>1.2962962962962963E-3</v>
      </c>
      <c r="U1573" s="13">
        <v>6.134259259259259E-4</v>
      </c>
      <c r="V1573" s="13"/>
      <c r="W1573" s="13">
        <v>9.3414351851851846E-2</v>
      </c>
    </row>
    <row r="1574" spans="1:23" ht="15" customHeight="1" x14ac:dyDescent="0.25">
      <c r="A1574" s="19">
        <v>46253</v>
      </c>
      <c r="B1574" s="11" t="s">
        <v>225</v>
      </c>
      <c r="C1574" s="12" t="s">
        <v>549</v>
      </c>
      <c r="D1574" s="11" t="s">
        <v>601</v>
      </c>
      <c r="E1574" s="12" t="s">
        <v>105</v>
      </c>
      <c r="F1574" s="12" t="s">
        <v>33</v>
      </c>
      <c r="G1574" s="12">
        <v>7</v>
      </c>
      <c r="H1574" s="13">
        <v>0.23064814814814816</v>
      </c>
      <c r="I1574" s="13">
        <v>0.17462962962962963</v>
      </c>
      <c r="J1574" s="13">
        <v>2.4947089947089947E-2</v>
      </c>
      <c r="K1574" s="13">
        <v>0.15004629629629629</v>
      </c>
      <c r="L1574" s="14">
        <v>0.65054195102368517</v>
      </c>
      <c r="M1574" s="12" t="s">
        <v>334</v>
      </c>
      <c r="N1574" s="13"/>
      <c r="O1574" s="13">
        <v>7.8009259259259256E-3</v>
      </c>
      <c r="P1574" s="13"/>
      <c r="Q1574" s="13"/>
      <c r="R1574" s="13"/>
      <c r="S1574" s="13">
        <v>1.3263888888888889E-2</v>
      </c>
      <c r="T1574" s="13">
        <v>1.5162037037037036E-3</v>
      </c>
      <c r="U1574" s="13">
        <v>0.12745370370370371</v>
      </c>
      <c r="V1574" s="13"/>
      <c r="W1574" s="13"/>
    </row>
    <row r="1575" spans="1:23" ht="15" customHeight="1" x14ac:dyDescent="0.25">
      <c r="A1575" s="19">
        <v>46253</v>
      </c>
      <c r="B1575" s="11" t="s">
        <v>70</v>
      </c>
      <c r="C1575" s="12" t="s">
        <v>71</v>
      </c>
      <c r="D1575" s="11" t="s">
        <v>78</v>
      </c>
      <c r="E1575" s="12" t="s">
        <v>80</v>
      </c>
      <c r="F1575" s="12" t="s">
        <v>33</v>
      </c>
      <c r="G1575" s="12">
        <v>1</v>
      </c>
      <c r="H1575" s="13">
        <v>0.34310185185185182</v>
      </c>
      <c r="I1575" s="13">
        <v>4.6481481481481485E-2</v>
      </c>
      <c r="J1575" s="13">
        <v>4.6481481481481485E-2</v>
      </c>
      <c r="K1575" s="13">
        <v>0.11596064814814815</v>
      </c>
      <c r="L1575" s="14">
        <v>0.3379773309944677</v>
      </c>
      <c r="M1575" s="12" t="s">
        <v>334</v>
      </c>
      <c r="N1575" s="13">
        <v>1.6203703703703703E-3</v>
      </c>
      <c r="O1575" s="13">
        <v>4.5462962962962962E-2</v>
      </c>
      <c r="P1575" s="13"/>
      <c r="Q1575" s="13">
        <v>4.0219907407407406E-2</v>
      </c>
      <c r="R1575" s="13"/>
      <c r="S1575" s="13">
        <v>1.0092592592592592E-2</v>
      </c>
      <c r="T1575" s="13">
        <v>1.7939814814814815E-2</v>
      </c>
      <c r="U1575" s="13">
        <v>6.018518518518519E-4</v>
      </c>
      <c r="V1575" s="13"/>
      <c r="W1575" s="13"/>
    </row>
    <row r="1576" spans="1:23" ht="15" customHeight="1" x14ac:dyDescent="0.25">
      <c r="A1576" s="19">
        <v>46253</v>
      </c>
      <c r="B1576" s="11" t="s">
        <v>280</v>
      </c>
      <c r="C1576" s="12" t="s">
        <v>534</v>
      </c>
      <c r="D1576" s="11" t="s">
        <v>233</v>
      </c>
      <c r="E1576" s="12" t="s">
        <v>32</v>
      </c>
      <c r="F1576" s="12" t="s">
        <v>106</v>
      </c>
      <c r="G1576" s="12">
        <v>5</v>
      </c>
      <c r="H1576" s="13">
        <v>0.1019212962962963</v>
      </c>
      <c r="I1576" s="13">
        <v>2.599537037037037E-2</v>
      </c>
      <c r="J1576" s="13">
        <v>5.1990740740740738E-3</v>
      </c>
      <c r="K1576" s="13">
        <v>4.207175925925926E-2</v>
      </c>
      <c r="L1576" s="14">
        <v>0.4127867363161481</v>
      </c>
      <c r="M1576" s="12" t="s">
        <v>334</v>
      </c>
      <c r="N1576" s="13">
        <v>1.9907407407407408E-3</v>
      </c>
      <c r="O1576" s="13">
        <v>1.3055555555555556E-2</v>
      </c>
      <c r="P1576" s="13"/>
      <c r="Q1576" s="13">
        <v>2.1678240740740741E-2</v>
      </c>
      <c r="R1576" s="13"/>
      <c r="S1576" s="13"/>
      <c r="T1576" s="13">
        <v>3.3564814814814812E-4</v>
      </c>
      <c r="U1576" s="13"/>
      <c r="V1576" s="13"/>
      <c r="W1576" s="13">
        <v>5.0115740740740737E-3</v>
      </c>
    </row>
    <row r="1577" spans="1:23" ht="15" customHeight="1" x14ac:dyDescent="0.25">
      <c r="A1577" s="19">
        <v>46253</v>
      </c>
      <c r="B1577" s="11" t="s">
        <v>299</v>
      </c>
      <c r="C1577" s="12" t="s">
        <v>571</v>
      </c>
      <c r="D1577" s="11" t="s">
        <v>104</v>
      </c>
      <c r="E1577" s="12" t="s">
        <v>105</v>
      </c>
      <c r="F1577" s="12" t="s">
        <v>106</v>
      </c>
      <c r="G1577" s="12">
        <v>6</v>
      </c>
      <c r="H1577" s="13">
        <v>0.25849537037037035</v>
      </c>
      <c r="I1577" s="13">
        <v>9.2835648148148153E-2</v>
      </c>
      <c r="J1577" s="13">
        <v>1.5472608024691359E-2</v>
      </c>
      <c r="K1577" s="13">
        <v>0.15738425925925925</v>
      </c>
      <c r="L1577" s="14">
        <v>0.60884749708963914</v>
      </c>
      <c r="M1577" s="12" t="s">
        <v>334</v>
      </c>
      <c r="N1577" s="13">
        <v>3.1597222222222222E-3</v>
      </c>
      <c r="O1577" s="13">
        <v>1.3831018518518519E-2</v>
      </c>
      <c r="P1577" s="13"/>
      <c r="Q1577" s="13"/>
      <c r="R1577" s="13"/>
      <c r="S1577" s="13">
        <v>1.3368055555555555E-2</v>
      </c>
      <c r="T1577" s="13">
        <v>1.1689814814814816E-3</v>
      </c>
      <c r="U1577" s="13">
        <v>4.5023148148148149E-3</v>
      </c>
      <c r="V1577" s="13"/>
      <c r="W1577" s="13">
        <v>0.12135416666666667</v>
      </c>
    </row>
    <row r="1578" spans="1:23" ht="15" customHeight="1" x14ac:dyDescent="0.25">
      <c r="A1578" s="20">
        <v>46253</v>
      </c>
      <c r="B1578" s="15" t="s">
        <v>598</v>
      </c>
      <c r="C1578" s="16" t="s">
        <v>598</v>
      </c>
      <c r="D1578" s="15" t="s">
        <v>284</v>
      </c>
      <c r="E1578" s="16"/>
      <c r="F1578" s="16"/>
      <c r="G1578" s="16">
        <v>1</v>
      </c>
      <c r="H1578" s="17">
        <v>0</v>
      </c>
      <c r="I1578" s="17">
        <v>1.1574074074074073E-5</v>
      </c>
      <c r="J1578" s="17">
        <v>1.1574074074074073E-5</v>
      </c>
      <c r="K1578" s="17">
        <v>0</v>
      </c>
      <c r="L1578" s="18">
        <v>0</v>
      </c>
      <c r="M1578" s="16" t="s">
        <v>333</v>
      </c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</row>
    <row r="1579" spans="1:23" ht="15" customHeight="1" x14ac:dyDescent="0.25">
      <c r="A1579" s="19">
        <v>46253</v>
      </c>
      <c r="B1579" s="11" t="s">
        <v>227</v>
      </c>
      <c r="C1579" s="12" t="s">
        <v>557</v>
      </c>
      <c r="D1579" s="11" t="s">
        <v>146</v>
      </c>
      <c r="E1579" s="12" t="s">
        <v>147</v>
      </c>
      <c r="F1579" s="12" t="s">
        <v>106</v>
      </c>
      <c r="G1579" s="12">
        <v>13</v>
      </c>
      <c r="H1579" s="13">
        <v>0.26535879629629627</v>
      </c>
      <c r="I1579" s="13">
        <v>7.2511574074074076E-2</v>
      </c>
      <c r="J1579" s="13">
        <v>5.5778133903133902E-3</v>
      </c>
      <c r="K1579" s="13">
        <v>4.4340277777777777E-2</v>
      </c>
      <c r="L1579" s="14">
        <v>0.16709556418196886</v>
      </c>
      <c r="M1579" s="12" t="s">
        <v>334</v>
      </c>
      <c r="N1579" s="13">
        <v>6.2615740740740739E-3</v>
      </c>
      <c r="O1579" s="13">
        <v>1.4050925925925927E-2</v>
      </c>
      <c r="P1579" s="13">
        <v>9.2939814814814812E-3</v>
      </c>
      <c r="Q1579" s="13"/>
      <c r="R1579" s="13"/>
      <c r="S1579" s="13">
        <v>1.4143518518518519E-2</v>
      </c>
      <c r="T1579" s="13">
        <v>1.5046296296296297E-4</v>
      </c>
      <c r="U1579" s="13">
        <v>4.1666666666666669E-4</v>
      </c>
      <c r="V1579" s="13"/>
      <c r="W1579" s="13"/>
    </row>
    <row r="1580" spans="1:23" ht="15" customHeight="1" x14ac:dyDescent="0.25">
      <c r="A1580" s="19">
        <v>46253</v>
      </c>
      <c r="B1580" s="11" t="s">
        <v>282</v>
      </c>
      <c r="C1580" s="12" t="s">
        <v>535</v>
      </c>
      <c r="D1580" s="11" t="s">
        <v>233</v>
      </c>
      <c r="E1580" s="12" t="s">
        <v>32</v>
      </c>
      <c r="F1580" s="12" t="s">
        <v>106</v>
      </c>
      <c r="G1580" s="12">
        <v>43</v>
      </c>
      <c r="H1580" s="13">
        <v>0.26181712962962961</v>
      </c>
      <c r="I1580" s="13">
        <v>0.13877314814814815</v>
      </c>
      <c r="J1580" s="13">
        <v>3.2272825150732125E-3</v>
      </c>
      <c r="K1580" s="13">
        <v>4.7129629629629632E-2</v>
      </c>
      <c r="L1580" s="14">
        <v>0.18000972547632732</v>
      </c>
      <c r="M1580" s="12" t="s">
        <v>334</v>
      </c>
      <c r="N1580" s="13">
        <v>4.1550925925925922E-3</v>
      </c>
      <c r="O1580" s="13">
        <v>1.8206018518518517E-2</v>
      </c>
      <c r="P1580" s="13"/>
      <c r="Q1580" s="13">
        <v>6.3310185185185188E-3</v>
      </c>
      <c r="R1580" s="13"/>
      <c r="S1580" s="13">
        <v>1.800925925925926E-2</v>
      </c>
      <c r="T1580" s="13">
        <v>4.2824074074074075E-4</v>
      </c>
      <c r="U1580" s="13"/>
      <c r="V1580" s="13"/>
      <c r="W1580" s="13"/>
    </row>
    <row r="1581" spans="1:23" ht="15" customHeight="1" x14ac:dyDescent="0.25">
      <c r="A1581" s="19">
        <v>46253</v>
      </c>
      <c r="B1581" s="11" t="s">
        <v>675</v>
      </c>
      <c r="C1581" s="12" t="s">
        <v>676</v>
      </c>
      <c r="D1581" s="11" t="s">
        <v>104</v>
      </c>
      <c r="E1581" s="12" t="s">
        <v>105</v>
      </c>
      <c r="F1581" s="12" t="s">
        <v>106</v>
      </c>
      <c r="G1581" s="12">
        <v>13</v>
      </c>
      <c r="H1581" s="13">
        <v>0.25984953703703706</v>
      </c>
      <c r="I1581" s="13">
        <v>0.14560185185185184</v>
      </c>
      <c r="J1581" s="13">
        <v>1.1200142450142449E-2</v>
      </c>
      <c r="K1581" s="13">
        <v>7.9942129629629627E-2</v>
      </c>
      <c r="L1581" s="14">
        <v>0.30764776624649232</v>
      </c>
      <c r="M1581" s="12" t="s">
        <v>334</v>
      </c>
      <c r="N1581" s="13"/>
      <c r="O1581" s="13">
        <v>1.4375000000000001E-2</v>
      </c>
      <c r="P1581" s="13"/>
      <c r="Q1581" s="13">
        <v>5.3935185185185188E-3</v>
      </c>
      <c r="R1581" s="13"/>
      <c r="S1581" s="13">
        <v>1.4444444444444444E-2</v>
      </c>
      <c r="T1581" s="13">
        <v>1.0243055555555556E-2</v>
      </c>
      <c r="U1581" s="13">
        <v>1.4351851851851852E-3</v>
      </c>
      <c r="V1581" s="13"/>
      <c r="W1581" s="13">
        <v>3.4050925925925929E-2</v>
      </c>
    </row>
    <row r="1582" spans="1:23" ht="15" customHeight="1" x14ac:dyDescent="0.25">
      <c r="A1582" s="19">
        <v>46253</v>
      </c>
      <c r="B1582" s="11" t="s">
        <v>677</v>
      </c>
      <c r="C1582" s="12" t="s">
        <v>678</v>
      </c>
      <c r="D1582" s="11" t="s">
        <v>274</v>
      </c>
      <c r="E1582" s="12" t="s">
        <v>147</v>
      </c>
      <c r="F1582" s="12" t="s">
        <v>33</v>
      </c>
      <c r="G1582" s="12">
        <v>22</v>
      </c>
      <c r="H1582" s="13">
        <v>0.26034722222222223</v>
      </c>
      <c r="I1582" s="13">
        <v>4.8483796296296296E-2</v>
      </c>
      <c r="J1582" s="13">
        <v>2.2038089225589227E-3</v>
      </c>
      <c r="K1582" s="13">
        <v>3.6701388888888888E-2</v>
      </c>
      <c r="L1582" s="14">
        <v>0.1409709255801547</v>
      </c>
      <c r="M1582" s="12" t="s">
        <v>334</v>
      </c>
      <c r="N1582" s="13">
        <v>3.9004629629629628E-3</v>
      </c>
      <c r="O1582" s="13">
        <v>1.5046296296296295E-2</v>
      </c>
      <c r="P1582" s="13"/>
      <c r="Q1582" s="13">
        <v>3.472222222222222E-3</v>
      </c>
      <c r="R1582" s="13"/>
      <c r="S1582" s="13">
        <v>1.4155092592592592E-2</v>
      </c>
      <c r="T1582" s="13">
        <v>6.9444444444444444E-5</v>
      </c>
      <c r="U1582" s="13">
        <v>5.7870370370370373E-5</v>
      </c>
      <c r="V1582" s="13"/>
      <c r="W1582" s="13"/>
    </row>
  </sheetData>
  <autoFilter ref="A2:W303" xr:uid="{00000000-0009-0000-0000-000002000000}"/>
  <mergeCells count="1">
    <mergeCell ref="A1:G1"/>
  </mergeCells>
  <conditionalFormatting sqref="O3:O1317">
    <cfRule type="cellIs" dxfId="5" priority="1" operator="greaterThan">
      <formula>0.0152777777777777</formula>
    </cfRule>
    <cfRule type="cellIs" dxfId="4" priority="2" operator="between">
      <formula>0.0138888888888888</formula>
      <formula>0.0152777777777777</formula>
    </cfRule>
    <cfRule type="cellIs" dxfId="3" priority="3" operator="lessThanOrEqual">
      <formula>0.0138888888888888</formula>
    </cfRule>
  </conditionalFormatting>
  <conditionalFormatting sqref="S3:S1317">
    <cfRule type="cellIs" dxfId="2" priority="4" operator="greaterThan">
      <formula>0.0152777777777777</formula>
    </cfRule>
    <cfRule type="cellIs" dxfId="1" priority="5" operator="between">
      <formula>0.0138888888888888</formula>
      <formula>0.0152777777777777</formula>
    </cfRule>
    <cfRule type="cellIs" dxfId="0" priority="6" operator="lessThanOrEqual">
      <formula>0.0138888888888888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2677-2928-4264-BDA9-21204F3249CC}">
  <dimension ref="A1:V11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8.7109375" defaultRowHeight="15" x14ac:dyDescent="0.25"/>
  <cols>
    <col min="1" max="1" width="35" style="4" customWidth="1"/>
    <col min="2" max="2" width="26.7109375" style="4" bestFit="1" customWidth="1"/>
    <col min="3" max="3" width="9.85546875" style="4" bestFit="1" customWidth="1"/>
    <col min="4" max="4" width="10.5703125" style="4" bestFit="1" customWidth="1"/>
    <col min="5" max="5" width="14.85546875" style="4" bestFit="1" customWidth="1"/>
    <col min="6" max="6" width="14.28515625" style="4" bestFit="1" customWidth="1"/>
    <col min="7" max="7" width="7.140625" style="4" bestFit="1" customWidth="1"/>
    <col min="8" max="8" width="15.85546875" style="4" bestFit="1" customWidth="1"/>
    <col min="9" max="9" width="14.42578125" style="4" bestFit="1" customWidth="1"/>
    <col min="10" max="10" width="8.140625" style="4" bestFit="1" customWidth="1"/>
    <col min="11" max="11" width="8.5703125" style="4" bestFit="1" customWidth="1"/>
    <col min="12" max="12" width="8.140625" style="4" bestFit="1" customWidth="1"/>
    <col min="13" max="13" width="8.28515625" style="4" bestFit="1" customWidth="1"/>
    <col min="14" max="14" width="8.7109375" style="4" bestFit="1" customWidth="1"/>
    <col min="15" max="15" width="8.42578125" style="4" bestFit="1" customWidth="1"/>
    <col min="16" max="16" width="8.140625" style="4" bestFit="1" customWidth="1"/>
    <col min="17" max="17" width="8.85546875" style="4" bestFit="1" customWidth="1"/>
    <col min="18" max="18" width="8.140625" style="4" bestFit="1" customWidth="1"/>
    <col min="19" max="19" width="9.140625" style="4" bestFit="1" customWidth="1"/>
    <col min="20" max="20" width="15" style="4" bestFit="1" customWidth="1"/>
    <col min="21" max="21" width="14.42578125" style="4" bestFit="1" customWidth="1"/>
    <col min="22" max="22" width="16" style="4" bestFit="1" customWidth="1"/>
    <col min="23" max="16384" width="8.7109375" style="4"/>
  </cols>
  <sheetData>
    <row r="1" spans="1:22" ht="21.75" customHeight="1" x14ac:dyDescent="0.25">
      <c r="A1" s="97" t="s">
        <v>319</v>
      </c>
      <c r="B1" s="97"/>
      <c r="C1" s="97"/>
      <c r="D1" s="98" t="s">
        <v>335</v>
      </c>
      <c r="E1" s="98"/>
      <c r="F1" s="98"/>
      <c r="G1" s="98"/>
      <c r="H1" s="98"/>
      <c r="I1" s="98"/>
      <c r="J1" s="99" t="s">
        <v>321</v>
      </c>
      <c r="K1" s="99"/>
      <c r="L1" s="99"/>
      <c r="M1" s="99"/>
      <c r="N1" s="99"/>
      <c r="O1" s="99"/>
      <c r="P1" s="99"/>
      <c r="Q1" s="99"/>
      <c r="R1" s="99"/>
      <c r="S1" s="99"/>
      <c r="T1" s="99" t="s">
        <v>592</v>
      </c>
      <c r="U1" s="99"/>
      <c r="V1" s="99"/>
    </row>
    <row r="2" spans="1:22" ht="30" customHeight="1" x14ac:dyDescent="0.25">
      <c r="A2" s="8" t="s">
        <v>11</v>
      </c>
      <c r="B2" s="8" t="s">
        <v>12</v>
      </c>
      <c r="C2" s="8" t="s">
        <v>336</v>
      </c>
      <c r="D2" s="9" t="s">
        <v>3</v>
      </c>
      <c r="E2" s="9" t="s">
        <v>15</v>
      </c>
      <c r="F2" s="9" t="s">
        <v>16</v>
      </c>
      <c r="G2" s="9" t="s">
        <v>17</v>
      </c>
      <c r="H2" s="9" t="s">
        <v>5</v>
      </c>
      <c r="I2" s="9" t="s">
        <v>6</v>
      </c>
      <c r="J2" s="10" t="s">
        <v>18</v>
      </c>
      <c r="K2" s="10" t="s">
        <v>19</v>
      </c>
      <c r="L2" s="10" t="s">
        <v>20</v>
      </c>
      <c r="M2" s="10" t="s">
        <v>21</v>
      </c>
      <c r="N2" s="10" t="s">
        <v>22</v>
      </c>
      <c r="O2" s="10" t="s">
        <v>23</v>
      </c>
      <c r="P2" s="10" t="s">
        <v>24</v>
      </c>
      <c r="Q2" s="10" t="s">
        <v>25</v>
      </c>
      <c r="R2" s="10" t="s">
        <v>26</v>
      </c>
      <c r="S2" s="10" t="s">
        <v>27</v>
      </c>
      <c r="T2" s="10" t="s">
        <v>576</v>
      </c>
      <c r="U2" s="10" t="s">
        <v>577</v>
      </c>
      <c r="V2" s="10" t="s">
        <v>578</v>
      </c>
    </row>
    <row r="3" spans="1:22" ht="15" customHeight="1" x14ac:dyDescent="0.25">
      <c r="A3" s="12" t="s">
        <v>100</v>
      </c>
      <c r="B3" s="12" t="s">
        <v>31</v>
      </c>
      <c r="C3" s="12">
        <v>16</v>
      </c>
      <c r="D3" s="12">
        <v>5927</v>
      </c>
      <c r="E3" s="47">
        <v>56.102384259259253</v>
      </c>
      <c r="F3" s="47">
        <v>31.958738425925926</v>
      </c>
      <c r="G3" s="47">
        <f t="shared" ref="G3:G11" si="0">IFERROR(F3/D3,0)</f>
        <v>5.3920601851851855E-3</v>
      </c>
      <c r="H3" s="47">
        <v>17.641030092592594</v>
      </c>
      <c r="I3" s="48">
        <f t="shared" ref="I3:I11" si="1">IFERROR(H3/E3,0)</f>
        <v>0.31444350049491998</v>
      </c>
      <c r="J3" s="47">
        <v>1.684386574074074</v>
      </c>
      <c r="K3" s="47">
        <v>2.9700810185185182</v>
      </c>
      <c r="L3" s="47"/>
      <c r="M3" s="47">
        <v>0.48081018518518515</v>
      </c>
      <c r="N3" s="47">
        <v>0.19620370370370371</v>
      </c>
      <c r="O3" s="47">
        <v>3.0174074074074078</v>
      </c>
      <c r="P3" s="47">
        <v>0.35826388888888888</v>
      </c>
      <c r="Q3" s="47">
        <v>0.4168055555555556</v>
      </c>
      <c r="R3" s="47"/>
      <c r="S3" s="47">
        <v>8.5039930555555561</v>
      </c>
      <c r="T3" s="47">
        <f t="shared" ref="T3:T11" si="2">IFERROR(E3/C3,0)</f>
        <v>3.5063990162037038</v>
      </c>
      <c r="U3" s="47">
        <f t="shared" ref="U3:U11" si="3">IFERROR(F3/C3,0)</f>
        <v>1.9974211574074074</v>
      </c>
      <c r="V3" s="47">
        <f t="shared" ref="V3:V11" si="4">IFERROR(H3/C3,0)</f>
        <v>1.102564375</v>
      </c>
    </row>
    <row r="4" spans="1:22" ht="15" customHeight="1" x14ac:dyDescent="0.25">
      <c r="A4" s="16" t="s">
        <v>78</v>
      </c>
      <c r="B4" s="16" t="s">
        <v>79</v>
      </c>
      <c r="C4" s="16">
        <v>14</v>
      </c>
      <c r="D4" s="16">
        <v>83</v>
      </c>
      <c r="E4" s="49">
        <v>49.18637731481482</v>
      </c>
      <c r="F4" s="49">
        <v>0.91131944444444446</v>
      </c>
      <c r="G4" s="49">
        <f t="shared" si="0"/>
        <v>1.0979756944444445E-2</v>
      </c>
      <c r="H4" s="49">
        <v>13.525439814814815</v>
      </c>
      <c r="I4" s="50">
        <f t="shared" si="1"/>
        <v>0.27498345178474798</v>
      </c>
      <c r="J4" s="49">
        <v>0.85015046296296315</v>
      </c>
      <c r="K4" s="49">
        <v>3.3662152777777776</v>
      </c>
      <c r="L4" s="49"/>
      <c r="M4" s="49">
        <v>5.3032407407407403E-2</v>
      </c>
      <c r="N4" s="49">
        <v>1.9313657407407407</v>
      </c>
      <c r="O4" s="49">
        <v>2.0304050925925923</v>
      </c>
      <c r="P4" s="49">
        <v>1.914398148148148</v>
      </c>
      <c r="Q4" s="49">
        <v>1.5494560185185184</v>
      </c>
      <c r="R4" s="49"/>
      <c r="S4" s="49">
        <v>0.99984953703703694</v>
      </c>
      <c r="T4" s="49">
        <f t="shared" si="2"/>
        <v>3.5133126620370367</v>
      </c>
      <c r="U4" s="49">
        <f t="shared" si="3"/>
        <v>6.509424768518518E-2</v>
      </c>
      <c r="V4" s="49">
        <f t="shared" si="4"/>
        <v>0.96610284722222217</v>
      </c>
    </row>
    <row r="5" spans="1:22" ht="15" customHeight="1" x14ac:dyDescent="0.25">
      <c r="A5" s="12" t="s">
        <v>104</v>
      </c>
      <c r="B5" s="12" t="s">
        <v>31</v>
      </c>
      <c r="C5" s="12">
        <v>19</v>
      </c>
      <c r="D5" s="12">
        <v>3019</v>
      </c>
      <c r="E5" s="47">
        <v>63.281273148148159</v>
      </c>
      <c r="F5" s="47">
        <v>38.927025462962966</v>
      </c>
      <c r="G5" s="47">
        <f t="shared" si="0"/>
        <v>1.2894016203703703E-2</v>
      </c>
      <c r="H5" s="47">
        <v>33.659421296296301</v>
      </c>
      <c r="I5" s="48">
        <f t="shared" si="1"/>
        <v>0.53190177159514496</v>
      </c>
      <c r="J5" s="47">
        <v>2.3864467592592589</v>
      </c>
      <c r="K5" s="47">
        <v>3.9370370370370376</v>
      </c>
      <c r="L5" s="47">
        <v>0.41453703703703709</v>
      </c>
      <c r="M5" s="47">
        <v>0.33793981481481489</v>
      </c>
      <c r="N5" s="47">
        <v>0.12063657407407408</v>
      </c>
      <c r="O5" s="47">
        <v>3.470115740740741</v>
      </c>
      <c r="P5" s="47">
        <v>1.911111111111111</v>
      </c>
      <c r="Q5" s="47">
        <v>1.0478240740740741</v>
      </c>
      <c r="R5" s="47"/>
      <c r="S5" s="47">
        <v>20.018599537037041</v>
      </c>
      <c r="T5" s="47">
        <f t="shared" si="2"/>
        <v>3.3305933217592592</v>
      </c>
      <c r="U5" s="47">
        <f t="shared" si="3"/>
        <v>2.0487908101851855</v>
      </c>
      <c r="V5" s="47">
        <f t="shared" si="4"/>
        <v>1.7715484837962963</v>
      </c>
    </row>
    <row r="6" spans="1:22" ht="15" customHeight="1" x14ac:dyDescent="0.25">
      <c r="A6" s="16" t="s">
        <v>146</v>
      </c>
      <c r="B6" s="16" t="s">
        <v>79</v>
      </c>
      <c r="C6" s="16">
        <v>13</v>
      </c>
      <c r="D6" s="16">
        <v>2871</v>
      </c>
      <c r="E6" s="49">
        <v>43.5374074074074</v>
      </c>
      <c r="F6" s="49">
        <v>10.29204861111111</v>
      </c>
      <c r="G6" s="49">
        <f t="shared" si="0"/>
        <v>3.5848263888888887E-3</v>
      </c>
      <c r="H6" s="49">
        <v>7.9218518518518515</v>
      </c>
      <c r="I6" s="50">
        <f t="shared" si="1"/>
        <v>0.18195506631164399</v>
      </c>
      <c r="J6" s="49">
        <v>1.0038194444444444</v>
      </c>
      <c r="K6" s="49">
        <v>2.2700694444444447</v>
      </c>
      <c r="L6" s="49">
        <v>0.18357638888888891</v>
      </c>
      <c r="M6" s="49">
        <v>1.0641898148148148</v>
      </c>
      <c r="N6" s="49">
        <v>2.462962962962963E-2</v>
      </c>
      <c r="O6" s="49">
        <v>2.3175810185185188</v>
      </c>
      <c r="P6" s="49">
        <v>0.21012731481481481</v>
      </c>
      <c r="Q6" s="49">
        <v>0.5008217592592592</v>
      </c>
      <c r="R6" s="49"/>
      <c r="S6" s="49">
        <v>0.33692129629629636</v>
      </c>
      <c r="T6" s="49">
        <f t="shared" si="2"/>
        <v>3.3490313425925926</v>
      </c>
      <c r="U6" s="49">
        <f t="shared" si="3"/>
        <v>0.79169604166666663</v>
      </c>
      <c r="V6" s="49">
        <f t="shared" si="4"/>
        <v>0.60937321759259255</v>
      </c>
    </row>
    <row r="7" spans="1:22" ht="15" customHeight="1" x14ac:dyDescent="0.25">
      <c r="A7" s="12" t="s">
        <v>274</v>
      </c>
      <c r="B7" s="12" t="s">
        <v>31</v>
      </c>
      <c r="C7" s="12">
        <v>8</v>
      </c>
      <c r="D7" s="12">
        <v>2023</v>
      </c>
      <c r="E7" s="47">
        <v>28.522407407407407</v>
      </c>
      <c r="F7" s="47">
        <v>7.1378819444444455</v>
      </c>
      <c r="G7" s="47">
        <f t="shared" si="0"/>
        <v>3.5283680555555554E-3</v>
      </c>
      <c r="H7" s="47">
        <v>4.1538425925925919</v>
      </c>
      <c r="I7" s="48">
        <f t="shared" si="1"/>
        <v>0.145634361548101</v>
      </c>
      <c r="J7" s="47">
        <v>0.41152777777777766</v>
      </c>
      <c r="K7" s="47">
        <v>1.4370023148148148</v>
      </c>
      <c r="L7" s="47">
        <v>1.7928240740740741E-2</v>
      </c>
      <c r="M7" s="47">
        <v>0.39748842592592598</v>
      </c>
      <c r="N7" s="47">
        <v>0.25704861111111116</v>
      </c>
      <c r="O7" s="47">
        <v>1.4990277777777776</v>
      </c>
      <c r="P7" s="47">
        <v>3.800925925925925E-2</v>
      </c>
      <c r="Q7" s="47">
        <v>7.3576388888888899E-2</v>
      </c>
      <c r="R7" s="47"/>
      <c r="S7" s="47">
        <v>4.0972222222222226E-3</v>
      </c>
      <c r="T7" s="47">
        <f t="shared" si="2"/>
        <v>3.5653009259259258</v>
      </c>
      <c r="U7" s="47">
        <f t="shared" si="3"/>
        <v>0.89223524305555557</v>
      </c>
      <c r="V7" s="47">
        <f t="shared" si="4"/>
        <v>0.5192303240740741</v>
      </c>
    </row>
    <row r="8" spans="1:22" ht="15" customHeight="1" x14ac:dyDescent="0.25">
      <c r="A8" s="16" t="s">
        <v>233</v>
      </c>
      <c r="B8" s="16" t="s">
        <v>31</v>
      </c>
      <c r="C8" s="16">
        <v>24</v>
      </c>
      <c r="D8" s="16">
        <v>7723</v>
      </c>
      <c r="E8" s="49">
        <v>78.998506944444443</v>
      </c>
      <c r="F8" s="49">
        <v>32.03346064814815</v>
      </c>
      <c r="G8" s="49">
        <f t="shared" si="0"/>
        <v>4.1478009259259263E-3</v>
      </c>
      <c r="H8" s="49">
        <v>26.154363425925929</v>
      </c>
      <c r="I8" s="50">
        <f t="shared" si="1"/>
        <v>0.33107414858256701</v>
      </c>
      <c r="J8" s="49">
        <v>2.3181712962962964</v>
      </c>
      <c r="K8" s="49">
        <v>3.9776388888888885</v>
      </c>
      <c r="L8" s="49">
        <v>3.875E-2</v>
      </c>
      <c r="M8" s="49">
        <v>0.61059027777777786</v>
      </c>
      <c r="N8" s="49">
        <v>6.3541666666666677E-2</v>
      </c>
      <c r="O8" s="49">
        <v>3.9123842592592601</v>
      </c>
      <c r="P8" s="49">
        <v>1.8563194444444449</v>
      </c>
      <c r="Q8" s="49">
        <v>0.51671296296296299</v>
      </c>
      <c r="R8" s="49"/>
      <c r="S8" s="49">
        <v>12.846921296296296</v>
      </c>
      <c r="T8" s="49">
        <f t="shared" si="2"/>
        <v>3.2916044560185185</v>
      </c>
      <c r="U8" s="49">
        <f t="shared" si="3"/>
        <v>1.3347275231481481</v>
      </c>
      <c r="V8" s="49">
        <f t="shared" si="4"/>
        <v>1.0897651388888889</v>
      </c>
    </row>
    <row r="9" spans="1:22" ht="15" customHeight="1" x14ac:dyDescent="0.25">
      <c r="A9" s="12" t="s">
        <v>601</v>
      </c>
      <c r="B9" s="12" t="s">
        <v>31</v>
      </c>
      <c r="C9" s="12">
        <v>19</v>
      </c>
      <c r="D9" s="12">
        <v>1758</v>
      </c>
      <c r="E9" s="12">
        <v>51.445555555555558</v>
      </c>
      <c r="F9" s="12">
        <v>22.507881944444438</v>
      </c>
      <c r="G9" s="12">
        <f t="shared" si="0"/>
        <v>1.28031182846669E-2</v>
      </c>
      <c r="H9" s="12">
        <v>36.400844907407411</v>
      </c>
      <c r="I9" s="12">
        <f t="shared" si="1"/>
        <v>0.70756053684945597</v>
      </c>
      <c r="J9" s="12">
        <v>1.5849074074074077</v>
      </c>
      <c r="K9" s="12">
        <v>3.3193634259259261</v>
      </c>
      <c r="L9" s="12">
        <v>0.18087962962962961</v>
      </c>
      <c r="M9" s="12">
        <v>0.61204861111111108</v>
      </c>
      <c r="N9" s="12">
        <v>1.2962962962962961E-2</v>
      </c>
      <c r="O9" s="12">
        <v>2.9854861111111108</v>
      </c>
      <c r="P9" s="12">
        <v>1.3376967592592592</v>
      </c>
      <c r="Q9" s="12">
        <v>19.741076388888885</v>
      </c>
      <c r="R9" s="12"/>
      <c r="S9" s="12">
        <v>6.6260300925925915</v>
      </c>
      <c r="T9" s="12">
        <f t="shared" si="2"/>
        <v>2.7076608187134501</v>
      </c>
      <c r="U9" s="12">
        <f t="shared" si="3"/>
        <v>1.18462536549708</v>
      </c>
      <c r="V9" s="12">
        <f t="shared" si="4"/>
        <v>1.9158339424951301</v>
      </c>
    </row>
    <row r="10" spans="1:22" ht="15" customHeight="1" x14ac:dyDescent="0.25">
      <c r="A10" s="12" t="s">
        <v>284</v>
      </c>
      <c r="B10" s="12"/>
      <c r="C10" s="12">
        <v>0</v>
      </c>
      <c r="D10" s="12">
        <v>89</v>
      </c>
      <c r="E10" s="47"/>
      <c r="F10" s="47">
        <v>1.0300925925925924E-3</v>
      </c>
      <c r="G10" s="47">
        <f t="shared" si="0"/>
        <v>1.1574074074074073E-5</v>
      </c>
      <c r="H10" s="47"/>
      <c r="I10" s="48">
        <f t="shared" si="1"/>
        <v>0</v>
      </c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>
        <f t="shared" si="2"/>
        <v>0</v>
      </c>
      <c r="U10" s="47">
        <f t="shared" si="3"/>
        <v>0</v>
      </c>
      <c r="V10" s="47">
        <f t="shared" si="4"/>
        <v>0</v>
      </c>
    </row>
    <row r="11" spans="1:22" ht="15" customHeight="1" x14ac:dyDescent="0.25">
      <c r="A11" s="8" t="s">
        <v>337</v>
      </c>
      <c r="B11" s="51"/>
      <c r="C11" s="21">
        <f>SUM(C3:C10)</f>
        <v>113</v>
      </c>
      <c r="D11" s="21">
        <f>SUM(D3:D10)</f>
        <v>23493</v>
      </c>
      <c r="E11" s="52">
        <f>SUM(E3:E10)</f>
        <v>371.07391203703702</v>
      </c>
      <c r="F11" s="52">
        <f>SUM(F3:F10)</f>
        <v>143.76938657407408</v>
      </c>
      <c r="G11" s="52">
        <f t="shared" si="0"/>
        <v>6.1196643518518518E-3</v>
      </c>
      <c r="H11" s="52">
        <f>SUM(H3:H10)</f>
        <v>139.45679398148147</v>
      </c>
      <c r="I11" s="53">
        <f t="shared" si="1"/>
        <v>0.37581945121370403</v>
      </c>
      <c r="J11" s="52">
        <f t="shared" ref="J11:S11" si="5">SUM(J3:J10)</f>
        <v>10.239409722222222</v>
      </c>
      <c r="K11" s="52">
        <f t="shared" si="5"/>
        <v>21.277407407407406</v>
      </c>
      <c r="L11" s="52">
        <f t="shared" si="5"/>
        <v>0.83567129629629633</v>
      </c>
      <c r="M11" s="52">
        <f t="shared" si="5"/>
        <v>3.5560995370370372</v>
      </c>
      <c r="N11" s="52">
        <f t="shared" si="5"/>
        <v>2.6063888888888891</v>
      </c>
      <c r="O11" s="52">
        <f t="shared" si="5"/>
        <v>19.232407407407408</v>
      </c>
      <c r="P11" s="52">
        <f t="shared" si="5"/>
        <v>7.6259259259259258</v>
      </c>
      <c r="Q11" s="52">
        <f t="shared" si="5"/>
        <v>23.84627314814815</v>
      </c>
      <c r="R11" s="52">
        <f t="shared" si="5"/>
        <v>0</v>
      </c>
      <c r="S11" s="52">
        <f t="shared" si="5"/>
        <v>49.336412037037036</v>
      </c>
      <c r="T11" s="52">
        <f t="shared" si="2"/>
        <v>3.2838399305555557</v>
      </c>
      <c r="U11" s="52">
        <f t="shared" si="3"/>
        <v>1.2722954513888889</v>
      </c>
      <c r="V11" s="52">
        <f t="shared" si="4"/>
        <v>1.2341309259259259</v>
      </c>
    </row>
  </sheetData>
  <mergeCells count="4">
    <mergeCell ref="A1:C1"/>
    <mergeCell ref="D1:I1"/>
    <mergeCell ref="J1:S1"/>
    <mergeCell ref="T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21E6-4F80-472E-9742-7B52D49A32EC}">
  <dimension ref="A1:J20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32" customWidth="1"/>
    <col min="3" max="3" width="22" customWidth="1"/>
    <col min="4" max="4" width="35" customWidth="1"/>
    <col min="5" max="5" width="30" customWidth="1"/>
    <col min="6" max="6" width="25" customWidth="1"/>
    <col min="7" max="7" width="13" customWidth="1"/>
    <col min="8" max="8" width="12" customWidth="1"/>
    <col min="9" max="9" width="30" customWidth="1"/>
    <col min="10" max="10" width="18" customWidth="1"/>
  </cols>
  <sheetData>
    <row r="1" spans="1:10" ht="15" customHeight="1" x14ac:dyDescent="0.25">
      <c r="A1" s="8" t="s">
        <v>323</v>
      </c>
      <c r="B1" s="8" t="s">
        <v>338</v>
      </c>
      <c r="C1" s="8" t="s">
        <v>339</v>
      </c>
      <c r="D1" s="8" t="s">
        <v>340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325</v>
      </c>
      <c r="J1" s="8" t="s">
        <v>324</v>
      </c>
    </row>
    <row r="2" spans="1:10" x14ac:dyDescent="0.25">
      <c r="A2" s="12" t="s">
        <v>149</v>
      </c>
      <c r="B2" s="11" t="s">
        <v>148</v>
      </c>
      <c r="C2" s="22" t="s">
        <v>341</v>
      </c>
      <c r="D2" s="11" t="s">
        <v>148</v>
      </c>
      <c r="E2" s="11" t="s">
        <v>104</v>
      </c>
      <c r="F2" s="11" t="s">
        <v>31</v>
      </c>
      <c r="G2" s="12" t="s">
        <v>105</v>
      </c>
      <c r="H2" s="12" t="s">
        <v>106</v>
      </c>
      <c r="I2" s="11" t="s">
        <v>328</v>
      </c>
      <c r="J2" s="12" t="s">
        <v>327</v>
      </c>
    </row>
    <row r="3" spans="1:10" x14ac:dyDescent="0.25">
      <c r="A3" s="12" t="s">
        <v>151</v>
      </c>
      <c r="B3" s="11" t="s">
        <v>357</v>
      </c>
      <c r="C3" s="22" t="s">
        <v>341</v>
      </c>
      <c r="D3" s="11" t="s">
        <v>150</v>
      </c>
      <c r="E3" s="11" t="s">
        <v>146</v>
      </c>
      <c r="F3" s="11" t="s">
        <v>79</v>
      </c>
      <c r="G3" s="12" t="s">
        <v>147</v>
      </c>
      <c r="H3" s="12" t="s">
        <v>106</v>
      </c>
      <c r="I3" s="11" t="s">
        <v>328</v>
      </c>
      <c r="J3" s="12" t="s">
        <v>327</v>
      </c>
    </row>
    <row r="4" spans="1:10" x14ac:dyDescent="0.25">
      <c r="A4" s="12" t="s">
        <v>155</v>
      </c>
      <c r="B4" s="11" t="s">
        <v>154</v>
      </c>
      <c r="C4" s="22" t="s">
        <v>341</v>
      </c>
      <c r="D4" s="11" t="s">
        <v>154</v>
      </c>
      <c r="E4" s="11" t="s">
        <v>146</v>
      </c>
      <c r="F4" s="11" t="s">
        <v>79</v>
      </c>
      <c r="G4" s="12" t="s">
        <v>147</v>
      </c>
      <c r="H4" s="12" t="s">
        <v>106</v>
      </c>
      <c r="I4" s="11" t="s">
        <v>328</v>
      </c>
      <c r="J4" s="12" t="s">
        <v>327</v>
      </c>
    </row>
    <row r="5" spans="1:10" x14ac:dyDescent="0.25">
      <c r="A5" s="12" t="s">
        <v>157</v>
      </c>
      <c r="B5" s="11" t="s">
        <v>359</v>
      </c>
      <c r="C5" s="22" t="s">
        <v>341</v>
      </c>
      <c r="D5" s="11" t="s">
        <v>156</v>
      </c>
      <c r="E5" s="11" t="s">
        <v>146</v>
      </c>
      <c r="F5" s="11" t="s">
        <v>79</v>
      </c>
      <c r="G5" s="12" t="s">
        <v>147</v>
      </c>
      <c r="H5" s="12" t="s">
        <v>106</v>
      </c>
      <c r="I5" s="11" t="s">
        <v>328</v>
      </c>
      <c r="J5" s="12" t="s">
        <v>327</v>
      </c>
    </row>
    <row r="6" spans="1:10" x14ac:dyDescent="0.25">
      <c r="A6" s="12" t="s">
        <v>159</v>
      </c>
      <c r="B6" s="11" t="s">
        <v>158</v>
      </c>
      <c r="C6" s="22" t="s">
        <v>341</v>
      </c>
      <c r="D6" s="11" t="s">
        <v>158</v>
      </c>
      <c r="E6" s="11" t="s">
        <v>146</v>
      </c>
      <c r="F6" s="11" t="s">
        <v>79</v>
      </c>
      <c r="G6" s="12" t="s">
        <v>147</v>
      </c>
      <c r="H6" s="12" t="s">
        <v>106</v>
      </c>
      <c r="I6" s="11" t="s">
        <v>328</v>
      </c>
      <c r="J6" s="12" t="s">
        <v>504</v>
      </c>
    </row>
    <row r="7" spans="1:10" x14ac:dyDescent="0.25">
      <c r="A7" s="12" t="s">
        <v>161</v>
      </c>
      <c r="B7" s="11" t="s">
        <v>160</v>
      </c>
      <c r="C7" s="22" t="s">
        <v>341</v>
      </c>
      <c r="D7" s="11" t="s">
        <v>160</v>
      </c>
      <c r="E7" s="11" t="s">
        <v>146</v>
      </c>
      <c r="F7" s="11" t="s">
        <v>79</v>
      </c>
      <c r="G7" s="12" t="s">
        <v>147</v>
      </c>
      <c r="H7" s="12" t="s">
        <v>106</v>
      </c>
      <c r="I7" s="11" t="s">
        <v>328</v>
      </c>
      <c r="J7" s="12" t="s">
        <v>327</v>
      </c>
    </row>
    <row r="8" spans="1:10" x14ac:dyDescent="0.25">
      <c r="A8" s="12" t="s">
        <v>165</v>
      </c>
      <c r="B8" s="11" t="s">
        <v>164</v>
      </c>
      <c r="C8" s="22" t="s">
        <v>341</v>
      </c>
      <c r="D8" s="11" t="s">
        <v>164</v>
      </c>
      <c r="E8" s="11" t="s">
        <v>146</v>
      </c>
      <c r="F8" s="11" t="s">
        <v>79</v>
      </c>
      <c r="G8" s="12" t="s">
        <v>147</v>
      </c>
      <c r="H8" s="12" t="s">
        <v>106</v>
      </c>
      <c r="I8" s="11" t="s">
        <v>328</v>
      </c>
      <c r="J8" s="12" t="s">
        <v>327</v>
      </c>
    </row>
    <row r="9" spans="1:10" x14ac:dyDescent="0.25">
      <c r="A9" s="12" t="s">
        <v>167</v>
      </c>
      <c r="B9" s="11" t="s">
        <v>166</v>
      </c>
      <c r="C9" s="22" t="s">
        <v>341</v>
      </c>
      <c r="D9" s="11" t="s">
        <v>166</v>
      </c>
      <c r="E9" s="11" t="s">
        <v>146</v>
      </c>
      <c r="F9" s="11" t="s">
        <v>79</v>
      </c>
      <c r="G9" s="12" t="s">
        <v>147</v>
      </c>
      <c r="H9" s="12" t="s">
        <v>106</v>
      </c>
      <c r="I9" s="11" t="s">
        <v>328</v>
      </c>
      <c r="J9" s="12" t="s">
        <v>327</v>
      </c>
    </row>
    <row r="10" spans="1:10" x14ac:dyDescent="0.25">
      <c r="A10" s="12" t="s">
        <v>169</v>
      </c>
      <c r="B10" s="11" t="s">
        <v>168</v>
      </c>
      <c r="C10" s="22" t="s">
        <v>341</v>
      </c>
      <c r="D10" s="11" t="s">
        <v>168</v>
      </c>
      <c r="E10" s="11" t="s">
        <v>274</v>
      </c>
      <c r="F10" s="11" t="s">
        <v>79</v>
      </c>
      <c r="G10" s="12" t="s">
        <v>147</v>
      </c>
      <c r="H10" s="12" t="s">
        <v>33</v>
      </c>
      <c r="I10" s="11" t="s">
        <v>328</v>
      </c>
      <c r="J10" s="12" t="s">
        <v>327</v>
      </c>
    </row>
    <row r="11" spans="1:10" x14ac:dyDescent="0.25">
      <c r="A11" s="12" t="s">
        <v>171</v>
      </c>
      <c r="B11" s="11" t="s">
        <v>374</v>
      </c>
      <c r="C11" s="22" t="s">
        <v>341</v>
      </c>
      <c r="D11" s="11" t="s">
        <v>170</v>
      </c>
      <c r="E11" s="11" t="s">
        <v>146</v>
      </c>
      <c r="F11" s="11" t="s">
        <v>79</v>
      </c>
      <c r="G11" s="12" t="s">
        <v>147</v>
      </c>
      <c r="H11" s="12" t="s">
        <v>106</v>
      </c>
      <c r="I11" s="11" t="s">
        <v>328</v>
      </c>
      <c r="J11" s="12" t="s">
        <v>327</v>
      </c>
    </row>
    <row r="12" spans="1:10" x14ac:dyDescent="0.25">
      <c r="A12" s="12" t="s">
        <v>175</v>
      </c>
      <c r="B12" s="11" t="s">
        <v>382</v>
      </c>
      <c r="C12" s="22" t="s">
        <v>341</v>
      </c>
      <c r="D12" s="11" t="s">
        <v>174</v>
      </c>
      <c r="E12" s="11" t="s">
        <v>146</v>
      </c>
      <c r="F12" s="11" t="s">
        <v>79</v>
      </c>
      <c r="G12" s="12" t="s">
        <v>147</v>
      </c>
      <c r="H12" s="12" t="s">
        <v>33</v>
      </c>
      <c r="I12" s="11" t="s">
        <v>328</v>
      </c>
      <c r="J12" s="12" t="s">
        <v>504</v>
      </c>
    </row>
    <row r="13" spans="1:10" x14ac:dyDescent="0.25">
      <c r="A13" s="12" t="s">
        <v>179</v>
      </c>
      <c r="B13" s="11" t="s">
        <v>178</v>
      </c>
      <c r="C13" s="22" t="s">
        <v>341</v>
      </c>
      <c r="D13" s="11" t="s">
        <v>178</v>
      </c>
      <c r="E13" s="11" t="s">
        <v>146</v>
      </c>
      <c r="F13" s="11" t="s">
        <v>79</v>
      </c>
      <c r="G13" s="12" t="s">
        <v>147</v>
      </c>
      <c r="H13" s="12" t="s">
        <v>106</v>
      </c>
      <c r="I13" s="11" t="s">
        <v>328</v>
      </c>
      <c r="J13" s="12" t="s">
        <v>327</v>
      </c>
    </row>
    <row r="14" spans="1:10" x14ac:dyDescent="0.25">
      <c r="A14" s="12" t="s">
        <v>181</v>
      </c>
      <c r="B14" s="11" t="s">
        <v>180</v>
      </c>
      <c r="C14" s="22" t="s">
        <v>341</v>
      </c>
      <c r="D14" s="11" t="s">
        <v>180</v>
      </c>
      <c r="E14" s="11" t="s">
        <v>146</v>
      </c>
      <c r="F14" s="11" t="s">
        <v>79</v>
      </c>
      <c r="G14" s="12" t="s">
        <v>147</v>
      </c>
      <c r="H14" s="12" t="s">
        <v>106</v>
      </c>
      <c r="I14" s="11" t="s">
        <v>328</v>
      </c>
      <c r="J14" s="12" t="s">
        <v>327</v>
      </c>
    </row>
    <row r="15" spans="1:10" x14ac:dyDescent="0.25">
      <c r="A15" s="12"/>
      <c r="B15" s="11" t="s">
        <v>421</v>
      </c>
      <c r="C15" s="22" t="s">
        <v>605</v>
      </c>
      <c r="D15" s="11" t="s">
        <v>421</v>
      </c>
      <c r="E15" s="11" t="s">
        <v>146</v>
      </c>
      <c r="F15" s="11" t="s">
        <v>79</v>
      </c>
      <c r="G15" s="12" t="s">
        <v>147</v>
      </c>
      <c r="H15" s="12" t="s">
        <v>33</v>
      </c>
      <c r="I15" s="11" t="s">
        <v>328</v>
      </c>
      <c r="J15" s="12" t="s">
        <v>504</v>
      </c>
    </row>
    <row r="16" spans="1:10" x14ac:dyDescent="0.25">
      <c r="A16" s="12" t="s">
        <v>185</v>
      </c>
      <c r="B16" s="11" t="s">
        <v>404</v>
      </c>
      <c r="C16" s="22" t="s">
        <v>341</v>
      </c>
      <c r="D16" s="11" t="s">
        <v>184</v>
      </c>
      <c r="E16" s="11" t="s">
        <v>146</v>
      </c>
      <c r="F16" s="11" t="s">
        <v>79</v>
      </c>
      <c r="G16" s="12" t="s">
        <v>147</v>
      </c>
      <c r="H16" s="12" t="s">
        <v>33</v>
      </c>
      <c r="I16" s="11" t="s">
        <v>328</v>
      </c>
      <c r="J16" s="12" t="s">
        <v>504</v>
      </c>
    </row>
    <row r="17" spans="1:10" x14ac:dyDescent="0.25">
      <c r="A17" s="12" t="s">
        <v>593</v>
      </c>
      <c r="B17" s="11" t="s">
        <v>414</v>
      </c>
      <c r="C17" s="22" t="s">
        <v>341</v>
      </c>
      <c r="D17" s="11" t="s">
        <v>414</v>
      </c>
      <c r="E17" s="11" t="s">
        <v>78</v>
      </c>
      <c r="F17" s="11" t="s">
        <v>79</v>
      </c>
      <c r="G17" s="12" t="s">
        <v>80</v>
      </c>
      <c r="H17" s="12" t="s">
        <v>33</v>
      </c>
      <c r="I17" s="11" t="s">
        <v>330</v>
      </c>
      <c r="J17" s="12" t="s">
        <v>504</v>
      </c>
    </row>
    <row r="18" spans="1:10" x14ac:dyDescent="0.25">
      <c r="A18" s="12" t="s">
        <v>77</v>
      </c>
      <c r="B18" s="11" t="s">
        <v>344</v>
      </c>
      <c r="C18" s="22" t="s">
        <v>341</v>
      </c>
      <c r="D18" s="11" t="s">
        <v>76</v>
      </c>
      <c r="E18" s="11" t="s">
        <v>78</v>
      </c>
      <c r="F18" s="11" t="s">
        <v>79</v>
      </c>
      <c r="G18" s="12" t="s">
        <v>80</v>
      </c>
      <c r="H18" s="12" t="s">
        <v>81</v>
      </c>
      <c r="I18" s="11" t="s">
        <v>330</v>
      </c>
      <c r="J18" s="12" t="s">
        <v>494</v>
      </c>
    </row>
    <row r="19" spans="1:10" x14ac:dyDescent="0.25">
      <c r="A19" s="12" t="s">
        <v>83</v>
      </c>
      <c r="B19" s="11" t="s">
        <v>348</v>
      </c>
      <c r="C19" s="22" t="s">
        <v>341</v>
      </c>
      <c r="D19" s="11" t="s">
        <v>82</v>
      </c>
      <c r="E19" s="11" t="s">
        <v>78</v>
      </c>
      <c r="F19" s="11" t="s">
        <v>79</v>
      </c>
      <c r="G19" s="12" t="s">
        <v>80</v>
      </c>
      <c r="H19" s="12" t="s">
        <v>81</v>
      </c>
      <c r="I19" s="11" t="s">
        <v>330</v>
      </c>
      <c r="J19" s="12" t="s">
        <v>327</v>
      </c>
    </row>
    <row r="20" spans="1:10" x14ac:dyDescent="0.25">
      <c r="A20" s="12" t="s">
        <v>308</v>
      </c>
      <c r="B20" s="11" t="s">
        <v>307</v>
      </c>
      <c r="C20" s="22" t="s">
        <v>341</v>
      </c>
      <c r="D20" s="11" t="s">
        <v>307</v>
      </c>
      <c r="E20" s="11" t="s">
        <v>78</v>
      </c>
      <c r="F20" s="11" t="s">
        <v>79</v>
      </c>
      <c r="G20" s="12" t="s">
        <v>80</v>
      </c>
      <c r="H20" s="12" t="s">
        <v>81</v>
      </c>
      <c r="I20" s="11" t="s">
        <v>330</v>
      </c>
      <c r="J20" s="12" t="s">
        <v>327</v>
      </c>
    </row>
    <row r="21" spans="1:10" x14ac:dyDescent="0.25">
      <c r="A21" s="12" t="s">
        <v>85</v>
      </c>
      <c r="B21" s="11" t="s">
        <v>84</v>
      </c>
      <c r="C21" s="22" t="s">
        <v>341</v>
      </c>
      <c r="D21" s="11" t="s">
        <v>84</v>
      </c>
      <c r="E21" s="11" t="s">
        <v>78</v>
      </c>
      <c r="F21" s="11" t="s">
        <v>79</v>
      </c>
      <c r="G21" s="12" t="s">
        <v>80</v>
      </c>
      <c r="H21" s="12" t="s">
        <v>81</v>
      </c>
      <c r="I21" s="11" t="s">
        <v>330</v>
      </c>
      <c r="J21" s="12" t="s">
        <v>504</v>
      </c>
    </row>
    <row r="22" spans="1:10" x14ac:dyDescent="0.25">
      <c r="A22" s="12" t="s">
        <v>498</v>
      </c>
      <c r="B22" s="11" t="s">
        <v>497</v>
      </c>
      <c r="C22" s="22" t="s">
        <v>341</v>
      </c>
      <c r="D22" s="11" t="s">
        <v>497</v>
      </c>
      <c r="E22" s="11" t="s">
        <v>78</v>
      </c>
      <c r="F22" s="11" t="s">
        <v>79</v>
      </c>
      <c r="G22" s="12" t="s">
        <v>80</v>
      </c>
      <c r="H22" s="12" t="s">
        <v>81</v>
      </c>
      <c r="I22" s="11" t="s">
        <v>330</v>
      </c>
      <c r="J22" s="12" t="s">
        <v>327</v>
      </c>
    </row>
    <row r="23" spans="1:10" x14ac:dyDescent="0.25">
      <c r="A23" s="12" t="s">
        <v>310</v>
      </c>
      <c r="B23" s="11" t="s">
        <v>309</v>
      </c>
      <c r="C23" s="22" t="s">
        <v>341</v>
      </c>
      <c r="D23" s="11" t="s">
        <v>309</v>
      </c>
      <c r="E23" s="11" t="s">
        <v>78</v>
      </c>
      <c r="F23" s="11" t="s">
        <v>79</v>
      </c>
      <c r="G23" s="12" t="s">
        <v>80</v>
      </c>
      <c r="H23" s="12" t="s">
        <v>81</v>
      </c>
      <c r="I23" s="11" t="s">
        <v>330</v>
      </c>
      <c r="J23" s="12" t="s">
        <v>327</v>
      </c>
    </row>
    <row r="24" spans="1:10" x14ac:dyDescent="0.25">
      <c r="A24" s="12" t="s">
        <v>87</v>
      </c>
      <c r="B24" s="11" t="s">
        <v>86</v>
      </c>
      <c r="C24" s="22" t="s">
        <v>341</v>
      </c>
      <c r="D24" s="11" t="s">
        <v>86</v>
      </c>
      <c r="E24" s="11" t="s">
        <v>78</v>
      </c>
      <c r="F24" s="11" t="s">
        <v>79</v>
      </c>
      <c r="G24" s="12" t="s">
        <v>80</v>
      </c>
      <c r="H24" s="12" t="s">
        <v>81</v>
      </c>
      <c r="I24" s="11" t="s">
        <v>330</v>
      </c>
      <c r="J24" s="12" t="s">
        <v>494</v>
      </c>
    </row>
    <row r="25" spans="1:10" x14ac:dyDescent="0.25">
      <c r="A25" s="12" t="s">
        <v>89</v>
      </c>
      <c r="B25" s="11" t="s">
        <v>88</v>
      </c>
      <c r="C25" s="22" t="s">
        <v>341</v>
      </c>
      <c r="D25" s="11" t="s">
        <v>88</v>
      </c>
      <c r="E25" s="11" t="s">
        <v>78</v>
      </c>
      <c r="F25" s="11" t="s">
        <v>79</v>
      </c>
      <c r="G25" s="12" t="s">
        <v>80</v>
      </c>
      <c r="H25" s="12" t="s">
        <v>81</v>
      </c>
      <c r="I25" s="11" t="s">
        <v>330</v>
      </c>
      <c r="J25" s="12" t="s">
        <v>329</v>
      </c>
    </row>
    <row r="26" spans="1:10" x14ac:dyDescent="0.25">
      <c r="A26" s="12" t="s">
        <v>312</v>
      </c>
      <c r="B26" s="11" t="s">
        <v>311</v>
      </c>
      <c r="C26" s="22" t="s">
        <v>341</v>
      </c>
      <c r="D26" s="11" t="s">
        <v>311</v>
      </c>
      <c r="E26" s="11" t="s">
        <v>78</v>
      </c>
      <c r="F26" s="11" t="s">
        <v>79</v>
      </c>
      <c r="G26" s="12" t="s">
        <v>80</v>
      </c>
      <c r="H26" s="12" t="s">
        <v>81</v>
      </c>
      <c r="I26" s="11" t="s">
        <v>330</v>
      </c>
      <c r="J26" s="12" t="s">
        <v>494</v>
      </c>
    </row>
    <row r="27" spans="1:10" x14ac:dyDescent="0.25">
      <c r="A27" s="12" t="s">
        <v>91</v>
      </c>
      <c r="B27" s="11" t="s">
        <v>90</v>
      </c>
      <c r="C27" s="22" t="s">
        <v>341</v>
      </c>
      <c r="D27" s="11" t="s">
        <v>90</v>
      </c>
      <c r="E27" s="11" t="s">
        <v>78</v>
      </c>
      <c r="F27" s="11" t="s">
        <v>79</v>
      </c>
      <c r="G27" s="12" t="s">
        <v>80</v>
      </c>
      <c r="H27" s="12" t="s">
        <v>81</v>
      </c>
      <c r="I27" s="11" t="s">
        <v>330</v>
      </c>
      <c r="J27" s="12" t="s">
        <v>327</v>
      </c>
    </row>
    <row r="28" spans="1:10" x14ac:dyDescent="0.25">
      <c r="A28" s="12" t="s">
        <v>93</v>
      </c>
      <c r="B28" s="11" t="s">
        <v>375</v>
      </c>
      <c r="C28" s="22" t="s">
        <v>341</v>
      </c>
      <c r="D28" s="11" t="s">
        <v>92</v>
      </c>
      <c r="E28" s="11" t="s">
        <v>78</v>
      </c>
      <c r="F28" s="11" t="s">
        <v>79</v>
      </c>
      <c r="G28" s="12" t="s">
        <v>80</v>
      </c>
      <c r="H28" s="12" t="s">
        <v>81</v>
      </c>
      <c r="I28" s="11" t="s">
        <v>330</v>
      </c>
      <c r="J28" s="12" t="s">
        <v>327</v>
      </c>
    </row>
    <row r="29" spans="1:10" x14ac:dyDescent="0.25">
      <c r="A29" s="12" t="s">
        <v>95</v>
      </c>
      <c r="B29" s="11" t="s">
        <v>94</v>
      </c>
      <c r="C29" s="22" t="s">
        <v>341</v>
      </c>
      <c r="D29" s="11" t="s">
        <v>94</v>
      </c>
      <c r="E29" s="11" t="s">
        <v>78</v>
      </c>
      <c r="F29" s="11" t="s">
        <v>79</v>
      </c>
      <c r="G29" s="12" t="s">
        <v>80</v>
      </c>
      <c r="H29" s="12" t="s">
        <v>81</v>
      </c>
      <c r="I29" s="11" t="s">
        <v>330</v>
      </c>
      <c r="J29" s="12" t="s">
        <v>327</v>
      </c>
    </row>
    <row r="30" spans="1:10" x14ac:dyDescent="0.25">
      <c r="A30" s="12" t="s">
        <v>97</v>
      </c>
      <c r="B30" s="11" t="s">
        <v>387</v>
      </c>
      <c r="C30" s="22" t="s">
        <v>341</v>
      </c>
      <c r="D30" s="11" t="s">
        <v>96</v>
      </c>
      <c r="E30" s="11" t="s">
        <v>78</v>
      </c>
      <c r="F30" s="11" t="s">
        <v>79</v>
      </c>
      <c r="G30" s="12" t="s">
        <v>80</v>
      </c>
      <c r="H30" s="12" t="s">
        <v>81</v>
      </c>
      <c r="I30" s="11" t="s">
        <v>330</v>
      </c>
      <c r="J30" s="12" t="s">
        <v>327</v>
      </c>
    </row>
    <row r="31" spans="1:10" x14ac:dyDescent="0.25">
      <c r="A31" s="12" t="s">
        <v>99</v>
      </c>
      <c r="B31" s="11" t="s">
        <v>98</v>
      </c>
      <c r="C31" s="22" t="s">
        <v>341</v>
      </c>
      <c r="D31" s="11" t="s">
        <v>98</v>
      </c>
      <c r="E31" s="11" t="s">
        <v>78</v>
      </c>
      <c r="F31" s="11" t="s">
        <v>79</v>
      </c>
      <c r="G31" s="12" t="s">
        <v>80</v>
      </c>
      <c r="H31" s="12" t="s">
        <v>81</v>
      </c>
      <c r="I31" s="11" t="s">
        <v>330</v>
      </c>
      <c r="J31" s="12" t="s">
        <v>494</v>
      </c>
    </row>
    <row r="32" spans="1:10" x14ac:dyDescent="0.25">
      <c r="A32" s="12" t="s">
        <v>101</v>
      </c>
      <c r="B32" s="11" t="s">
        <v>399</v>
      </c>
      <c r="C32" s="22" t="s">
        <v>341</v>
      </c>
      <c r="D32" s="11" t="s">
        <v>100</v>
      </c>
      <c r="E32" s="11" t="s">
        <v>78</v>
      </c>
      <c r="F32" s="11" t="s">
        <v>79</v>
      </c>
      <c r="G32" s="12" t="s">
        <v>80</v>
      </c>
      <c r="H32" s="12" t="s">
        <v>81</v>
      </c>
      <c r="I32" s="11" t="s">
        <v>330</v>
      </c>
      <c r="J32" s="12" t="s">
        <v>327</v>
      </c>
    </row>
    <row r="33" spans="1:10" x14ac:dyDescent="0.25">
      <c r="A33" s="12" t="s">
        <v>314</v>
      </c>
      <c r="B33" s="11" t="s">
        <v>313</v>
      </c>
      <c r="C33" s="22" t="s">
        <v>341</v>
      </c>
      <c r="D33" s="11" t="s">
        <v>313</v>
      </c>
      <c r="E33" s="11" t="s">
        <v>78</v>
      </c>
      <c r="F33" s="11" t="s">
        <v>79</v>
      </c>
      <c r="G33" s="12" t="s">
        <v>80</v>
      </c>
      <c r="H33" s="12" t="s">
        <v>81</v>
      </c>
      <c r="I33" s="11" t="s">
        <v>330</v>
      </c>
      <c r="J33" s="12" t="s">
        <v>327</v>
      </c>
    </row>
    <row r="34" spans="1:10" x14ac:dyDescent="0.25">
      <c r="A34" s="12" t="s">
        <v>145</v>
      </c>
      <c r="B34" s="11" t="s">
        <v>347</v>
      </c>
      <c r="C34" s="22" t="s">
        <v>341</v>
      </c>
      <c r="D34" s="11" t="s">
        <v>144</v>
      </c>
      <c r="E34" s="11" t="s">
        <v>146</v>
      </c>
      <c r="F34" s="11" t="s">
        <v>79</v>
      </c>
      <c r="G34" s="12" t="s">
        <v>147</v>
      </c>
      <c r="H34" s="12" t="s">
        <v>106</v>
      </c>
      <c r="I34" s="11" t="s">
        <v>328</v>
      </c>
      <c r="J34" s="12" t="s">
        <v>329</v>
      </c>
    </row>
    <row r="35" spans="1:10" x14ac:dyDescent="0.25">
      <c r="A35" s="12"/>
      <c r="B35" s="11" t="s">
        <v>502</v>
      </c>
      <c r="C35" s="22" t="s">
        <v>605</v>
      </c>
      <c r="D35" s="11" t="s">
        <v>502</v>
      </c>
      <c r="E35" s="11" t="s">
        <v>146</v>
      </c>
      <c r="F35" s="11" t="s">
        <v>79</v>
      </c>
      <c r="G35" s="12" t="s">
        <v>147</v>
      </c>
      <c r="H35" s="12" t="s">
        <v>106</v>
      </c>
      <c r="I35" s="11" t="s">
        <v>328</v>
      </c>
      <c r="J35" s="12" t="s">
        <v>504</v>
      </c>
    </row>
    <row r="36" spans="1:10" x14ac:dyDescent="0.25">
      <c r="A36" s="12" t="s">
        <v>37</v>
      </c>
      <c r="B36" s="11" t="s">
        <v>36</v>
      </c>
      <c r="C36" s="22" t="s">
        <v>341</v>
      </c>
      <c r="D36" s="11" t="s">
        <v>36</v>
      </c>
      <c r="E36" s="11" t="s">
        <v>146</v>
      </c>
      <c r="F36" s="11" t="s">
        <v>79</v>
      </c>
      <c r="G36" s="12" t="s">
        <v>147</v>
      </c>
      <c r="H36" s="12" t="s">
        <v>33</v>
      </c>
      <c r="I36" s="11" t="s">
        <v>328</v>
      </c>
      <c r="J36" s="12" t="s">
        <v>494</v>
      </c>
    </row>
    <row r="37" spans="1:10" x14ac:dyDescent="0.25">
      <c r="A37" s="12" t="s">
        <v>153</v>
      </c>
      <c r="B37" s="11" t="s">
        <v>152</v>
      </c>
      <c r="C37" s="22" t="s">
        <v>341</v>
      </c>
      <c r="D37" s="11" t="s">
        <v>152</v>
      </c>
      <c r="E37" s="11" t="s">
        <v>146</v>
      </c>
      <c r="F37" s="11" t="s">
        <v>79</v>
      </c>
      <c r="G37" s="12" t="s">
        <v>147</v>
      </c>
      <c r="H37" s="12" t="s">
        <v>33</v>
      </c>
      <c r="I37" s="11" t="s">
        <v>328</v>
      </c>
      <c r="J37" s="12" t="s">
        <v>504</v>
      </c>
    </row>
    <row r="38" spans="1:10" x14ac:dyDescent="0.25">
      <c r="A38" s="12" t="s">
        <v>595</v>
      </c>
      <c r="B38" s="11" t="s">
        <v>499</v>
      </c>
      <c r="C38" s="22" t="s">
        <v>341</v>
      </c>
      <c r="D38" s="11" t="s">
        <v>499</v>
      </c>
      <c r="E38" s="11" t="s">
        <v>146</v>
      </c>
      <c r="F38" s="11" t="s">
        <v>79</v>
      </c>
      <c r="G38" s="12" t="s">
        <v>147</v>
      </c>
      <c r="H38" s="12" t="s">
        <v>106</v>
      </c>
      <c r="I38" s="11" t="s">
        <v>328</v>
      </c>
      <c r="J38" s="12" t="s">
        <v>327</v>
      </c>
    </row>
    <row r="39" spans="1:10" x14ac:dyDescent="0.25">
      <c r="A39" s="12" t="s">
        <v>163</v>
      </c>
      <c r="B39" s="11" t="s">
        <v>368</v>
      </c>
      <c r="C39" s="22" t="s">
        <v>341</v>
      </c>
      <c r="D39" s="11" t="s">
        <v>162</v>
      </c>
      <c r="E39" s="11" t="s">
        <v>146</v>
      </c>
      <c r="F39" s="11" t="s">
        <v>79</v>
      </c>
      <c r="G39" s="12" t="s">
        <v>147</v>
      </c>
      <c r="H39" s="12" t="s">
        <v>106</v>
      </c>
      <c r="I39" s="11" t="s">
        <v>328</v>
      </c>
      <c r="J39" s="12" t="s">
        <v>329</v>
      </c>
    </row>
    <row r="40" spans="1:10" x14ac:dyDescent="0.25">
      <c r="A40" s="12" t="s">
        <v>596</v>
      </c>
      <c r="B40" s="11" t="s">
        <v>500</v>
      </c>
      <c r="C40" s="22" t="s">
        <v>341</v>
      </c>
      <c r="D40" s="11" t="s">
        <v>500</v>
      </c>
      <c r="E40" s="11" t="s">
        <v>274</v>
      </c>
      <c r="F40" s="11" t="s">
        <v>79</v>
      </c>
      <c r="G40" s="12" t="s">
        <v>147</v>
      </c>
      <c r="H40" s="12" t="s">
        <v>33</v>
      </c>
      <c r="I40" s="11" t="s">
        <v>328</v>
      </c>
      <c r="J40" s="12" t="s">
        <v>327</v>
      </c>
    </row>
    <row r="41" spans="1:10" x14ac:dyDescent="0.25">
      <c r="A41" s="12" t="s">
        <v>173</v>
      </c>
      <c r="B41" s="11" t="s">
        <v>380</v>
      </c>
      <c r="C41" s="22" t="s">
        <v>341</v>
      </c>
      <c r="D41" s="11" t="s">
        <v>172</v>
      </c>
      <c r="E41" s="11" t="s">
        <v>146</v>
      </c>
      <c r="F41" s="11" t="s">
        <v>79</v>
      </c>
      <c r="G41" s="12" t="s">
        <v>147</v>
      </c>
      <c r="H41" s="12" t="s">
        <v>33</v>
      </c>
      <c r="I41" s="11" t="s">
        <v>328</v>
      </c>
      <c r="J41" s="12" t="s">
        <v>494</v>
      </c>
    </row>
    <row r="42" spans="1:10" x14ac:dyDescent="0.25">
      <c r="A42" s="12"/>
      <c r="B42" s="11" t="s">
        <v>417</v>
      </c>
      <c r="C42" s="22" t="s">
        <v>605</v>
      </c>
      <c r="D42" s="11" t="s">
        <v>417</v>
      </c>
      <c r="E42" s="11" t="s">
        <v>146</v>
      </c>
      <c r="F42" s="11" t="s">
        <v>79</v>
      </c>
      <c r="G42" s="12" t="s">
        <v>147</v>
      </c>
      <c r="H42" s="12" t="s">
        <v>33</v>
      </c>
      <c r="I42" s="11" t="s">
        <v>328</v>
      </c>
      <c r="J42" s="12" t="s">
        <v>329</v>
      </c>
    </row>
    <row r="43" spans="1:10" x14ac:dyDescent="0.25">
      <c r="A43" s="12" t="s">
        <v>177</v>
      </c>
      <c r="B43" s="11" t="s">
        <v>176</v>
      </c>
      <c r="C43" s="22" t="s">
        <v>341</v>
      </c>
      <c r="D43" s="11" t="s">
        <v>176</v>
      </c>
      <c r="E43" s="11" t="s">
        <v>146</v>
      </c>
      <c r="F43" s="11" t="s">
        <v>79</v>
      </c>
      <c r="G43" s="12" t="s">
        <v>147</v>
      </c>
      <c r="H43" s="12" t="s">
        <v>33</v>
      </c>
      <c r="I43" s="11" t="s">
        <v>328</v>
      </c>
      <c r="J43" s="12" t="s">
        <v>494</v>
      </c>
    </row>
    <row r="44" spans="1:10" x14ac:dyDescent="0.25">
      <c r="A44" s="12" t="s">
        <v>597</v>
      </c>
      <c r="B44" s="11" t="s">
        <v>501</v>
      </c>
      <c r="C44" s="22" t="s">
        <v>341</v>
      </c>
      <c r="D44" s="11" t="s">
        <v>501</v>
      </c>
      <c r="E44" s="11" t="s">
        <v>274</v>
      </c>
      <c r="F44" s="11" t="s">
        <v>79</v>
      </c>
      <c r="G44" s="12" t="s">
        <v>147</v>
      </c>
      <c r="H44" s="12" t="s">
        <v>33</v>
      </c>
      <c r="I44" s="11" t="s">
        <v>328</v>
      </c>
      <c r="J44" s="12" t="s">
        <v>327</v>
      </c>
    </row>
    <row r="45" spans="1:10" x14ac:dyDescent="0.25">
      <c r="A45" s="12" t="s">
        <v>183</v>
      </c>
      <c r="B45" s="11" t="s">
        <v>395</v>
      </c>
      <c r="C45" s="22" t="s">
        <v>341</v>
      </c>
      <c r="D45" s="11" t="s">
        <v>182</v>
      </c>
      <c r="E45" s="11" t="s">
        <v>146</v>
      </c>
      <c r="F45" s="11" t="s">
        <v>79</v>
      </c>
      <c r="G45" s="12" t="s">
        <v>147</v>
      </c>
      <c r="H45" s="12" t="s">
        <v>33</v>
      </c>
      <c r="I45" s="11" t="s">
        <v>328</v>
      </c>
      <c r="J45" s="12" t="s">
        <v>504</v>
      </c>
    </row>
    <row r="46" spans="1:10" x14ac:dyDescent="0.25">
      <c r="A46" s="12" t="s">
        <v>594</v>
      </c>
      <c r="B46" s="11" t="s">
        <v>422</v>
      </c>
      <c r="C46" s="22" t="s">
        <v>341</v>
      </c>
      <c r="D46" s="11" t="s">
        <v>422</v>
      </c>
      <c r="E46" s="11" t="s">
        <v>146</v>
      </c>
      <c r="F46" s="11" t="s">
        <v>79</v>
      </c>
      <c r="G46" s="12" t="s">
        <v>147</v>
      </c>
      <c r="H46" s="12" t="s">
        <v>33</v>
      </c>
      <c r="I46" s="11" t="s">
        <v>328</v>
      </c>
      <c r="J46" s="12" t="s">
        <v>494</v>
      </c>
    </row>
    <row r="47" spans="1:10" x14ac:dyDescent="0.25">
      <c r="A47" s="12"/>
      <c r="B47" s="11" t="s">
        <v>424</v>
      </c>
      <c r="C47" s="22" t="s">
        <v>605</v>
      </c>
      <c r="D47" s="11" t="s">
        <v>424</v>
      </c>
      <c r="E47" s="11" t="s">
        <v>146</v>
      </c>
      <c r="F47" s="11" t="s">
        <v>79</v>
      </c>
      <c r="G47" s="12" t="s">
        <v>147</v>
      </c>
      <c r="H47" s="12" t="s">
        <v>33</v>
      </c>
      <c r="I47" s="11" t="s">
        <v>328</v>
      </c>
      <c r="J47" s="12" t="s">
        <v>329</v>
      </c>
    </row>
    <row r="48" spans="1:10" x14ac:dyDescent="0.25">
      <c r="A48" s="12" t="s">
        <v>194</v>
      </c>
      <c r="B48" s="11" t="s">
        <v>343</v>
      </c>
      <c r="C48" s="22" t="s">
        <v>341</v>
      </c>
      <c r="D48" s="11" t="s">
        <v>193</v>
      </c>
      <c r="E48" s="11" t="s">
        <v>274</v>
      </c>
      <c r="F48" s="11" t="s">
        <v>79</v>
      </c>
      <c r="G48" s="12" t="s">
        <v>147</v>
      </c>
      <c r="H48" s="12" t="s">
        <v>33</v>
      </c>
      <c r="I48" s="11" t="s">
        <v>328</v>
      </c>
      <c r="J48" s="12" t="s">
        <v>327</v>
      </c>
    </row>
    <row r="49" spans="1:10" x14ac:dyDescent="0.25">
      <c r="A49" s="12" t="s">
        <v>208</v>
      </c>
      <c r="B49" s="11" t="s">
        <v>386</v>
      </c>
      <c r="C49" s="22" t="s">
        <v>341</v>
      </c>
      <c r="D49" s="11" t="s">
        <v>207</v>
      </c>
      <c r="E49" s="11" t="s">
        <v>274</v>
      </c>
      <c r="F49" s="11" t="s">
        <v>79</v>
      </c>
      <c r="G49" s="12" t="s">
        <v>147</v>
      </c>
      <c r="H49" s="12" t="s">
        <v>33</v>
      </c>
      <c r="I49" s="11" t="s">
        <v>328</v>
      </c>
      <c r="J49" s="12" t="s">
        <v>327</v>
      </c>
    </row>
    <row r="50" spans="1:10" x14ac:dyDescent="0.25">
      <c r="A50" s="12" t="s">
        <v>228</v>
      </c>
      <c r="B50" s="11" t="s">
        <v>227</v>
      </c>
      <c r="C50" s="22" t="s">
        <v>341</v>
      </c>
      <c r="D50" s="11" t="s">
        <v>227</v>
      </c>
      <c r="E50" s="11" t="s">
        <v>146</v>
      </c>
      <c r="F50" s="11" t="s">
        <v>79</v>
      </c>
      <c r="G50" s="12" t="s">
        <v>147</v>
      </c>
      <c r="H50" s="12" t="s">
        <v>106</v>
      </c>
      <c r="I50" s="11" t="s">
        <v>328</v>
      </c>
      <c r="J50" s="12" t="s">
        <v>327</v>
      </c>
    </row>
    <row r="51" spans="1:10" x14ac:dyDescent="0.25">
      <c r="A51" s="12"/>
      <c r="B51" s="11" t="s">
        <v>606</v>
      </c>
      <c r="C51" s="22" t="s">
        <v>605</v>
      </c>
      <c r="D51" s="11" t="s">
        <v>606</v>
      </c>
      <c r="E51" s="11" t="s">
        <v>146</v>
      </c>
      <c r="F51" s="11" t="s">
        <v>79</v>
      </c>
      <c r="G51" s="12" t="s">
        <v>147</v>
      </c>
      <c r="H51" s="12" t="s">
        <v>106</v>
      </c>
      <c r="I51" s="11" t="s">
        <v>328</v>
      </c>
      <c r="J51" s="12" t="s">
        <v>327</v>
      </c>
    </row>
    <row r="52" spans="1:10" x14ac:dyDescent="0.25">
      <c r="A52" s="12"/>
      <c r="B52" s="11" t="s">
        <v>503</v>
      </c>
      <c r="C52" s="22" t="s">
        <v>605</v>
      </c>
      <c r="D52" s="11" t="s">
        <v>503</v>
      </c>
      <c r="E52" s="11" t="s">
        <v>78</v>
      </c>
      <c r="F52" s="11" t="s">
        <v>79</v>
      </c>
      <c r="G52" s="12" t="s">
        <v>496</v>
      </c>
      <c r="H52" s="12" t="s">
        <v>106</v>
      </c>
      <c r="I52" s="11" t="s">
        <v>495</v>
      </c>
      <c r="J52" s="12" t="s">
        <v>327</v>
      </c>
    </row>
    <row r="53" spans="1:10" x14ac:dyDescent="0.25">
      <c r="A53" s="12" t="s">
        <v>190</v>
      </c>
      <c r="B53" s="11" t="s">
        <v>413</v>
      </c>
      <c r="C53" s="22" t="s">
        <v>341</v>
      </c>
      <c r="D53" s="11" t="s">
        <v>413</v>
      </c>
      <c r="E53" s="11" t="s">
        <v>104</v>
      </c>
      <c r="F53" s="11" t="s">
        <v>31</v>
      </c>
      <c r="G53" s="12" t="s">
        <v>105</v>
      </c>
      <c r="H53" s="12" t="s">
        <v>106</v>
      </c>
      <c r="I53" s="11" t="s">
        <v>328</v>
      </c>
      <c r="J53" s="12" t="s">
        <v>504</v>
      </c>
    </row>
    <row r="54" spans="1:10" x14ac:dyDescent="0.25">
      <c r="A54" s="12" t="s">
        <v>103</v>
      </c>
      <c r="B54" s="11" t="s">
        <v>345</v>
      </c>
      <c r="C54" s="22" t="s">
        <v>341</v>
      </c>
      <c r="D54" s="11" t="s">
        <v>102</v>
      </c>
      <c r="E54" s="11" t="s">
        <v>104</v>
      </c>
      <c r="F54" s="11" t="s">
        <v>31</v>
      </c>
      <c r="G54" s="12" t="s">
        <v>105</v>
      </c>
      <c r="H54" s="12" t="s">
        <v>106</v>
      </c>
      <c r="I54" s="11" t="s">
        <v>328</v>
      </c>
      <c r="J54" s="12" t="s">
        <v>504</v>
      </c>
    </row>
    <row r="55" spans="1:10" x14ac:dyDescent="0.25">
      <c r="A55" s="12" t="s">
        <v>107</v>
      </c>
      <c r="B55" s="11" t="s">
        <v>350</v>
      </c>
      <c r="C55" s="22" t="s">
        <v>341</v>
      </c>
      <c r="D55" s="11" t="s">
        <v>493</v>
      </c>
      <c r="E55" s="11" t="s">
        <v>104</v>
      </c>
      <c r="F55" s="11" t="s">
        <v>31</v>
      </c>
      <c r="G55" s="12" t="s">
        <v>105</v>
      </c>
      <c r="H55" s="12" t="s">
        <v>106</v>
      </c>
      <c r="I55" s="11" t="s">
        <v>328</v>
      </c>
      <c r="J55" s="12" t="s">
        <v>327</v>
      </c>
    </row>
    <row r="56" spans="1:10" x14ac:dyDescent="0.25">
      <c r="A56" s="12" t="s">
        <v>109</v>
      </c>
      <c r="B56" s="11" t="s">
        <v>351</v>
      </c>
      <c r="C56" s="22" t="s">
        <v>341</v>
      </c>
      <c r="D56" s="11" t="s">
        <v>108</v>
      </c>
      <c r="E56" s="11" t="s">
        <v>104</v>
      </c>
      <c r="F56" s="11" t="s">
        <v>31</v>
      </c>
      <c r="G56" s="12" t="s">
        <v>105</v>
      </c>
      <c r="H56" s="12" t="s">
        <v>106</v>
      </c>
      <c r="I56" s="11" t="s">
        <v>328</v>
      </c>
      <c r="J56" s="12" t="s">
        <v>327</v>
      </c>
    </row>
    <row r="57" spans="1:10" x14ac:dyDescent="0.25">
      <c r="A57" s="12" t="s">
        <v>111</v>
      </c>
      <c r="B57" s="11" t="s">
        <v>354</v>
      </c>
      <c r="C57" s="22" t="s">
        <v>341</v>
      </c>
      <c r="D57" s="11" t="s">
        <v>110</v>
      </c>
      <c r="E57" s="11" t="s">
        <v>104</v>
      </c>
      <c r="F57" s="11" t="s">
        <v>31</v>
      </c>
      <c r="G57" s="12" t="s">
        <v>105</v>
      </c>
      <c r="H57" s="12" t="s">
        <v>106</v>
      </c>
      <c r="I57" s="11" t="s">
        <v>328</v>
      </c>
      <c r="J57" s="12" t="s">
        <v>494</v>
      </c>
    </row>
    <row r="58" spans="1:10" x14ac:dyDescent="0.25">
      <c r="A58" s="12" t="s">
        <v>113</v>
      </c>
      <c r="B58" s="11" t="s">
        <v>112</v>
      </c>
      <c r="C58" s="22" t="s">
        <v>341</v>
      </c>
      <c r="D58" s="11" t="s">
        <v>112</v>
      </c>
      <c r="E58" s="11" t="s">
        <v>104</v>
      </c>
      <c r="F58" s="11" t="s">
        <v>31</v>
      </c>
      <c r="G58" s="12" t="s">
        <v>105</v>
      </c>
      <c r="H58" s="12" t="s">
        <v>106</v>
      </c>
      <c r="I58" s="11" t="s">
        <v>328</v>
      </c>
      <c r="J58" s="12" t="s">
        <v>327</v>
      </c>
    </row>
    <row r="59" spans="1:10" x14ac:dyDescent="0.25">
      <c r="A59" s="12" t="s">
        <v>115</v>
      </c>
      <c r="B59" s="11" t="s">
        <v>360</v>
      </c>
      <c r="C59" s="22" t="s">
        <v>341</v>
      </c>
      <c r="D59" s="11" t="s">
        <v>114</v>
      </c>
      <c r="E59" s="11" t="s">
        <v>104</v>
      </c>
      <c r="F59" s="11" t="s">
        <v>31</v>
      </c>
      <c r="G59" s="12" t="s">
        <v>105</v>
      </c>
      <c r="H59" s="12" t="s">
        <v>106</v>
      </c>
      <c r="I59" s="11" t="s">
        <v>328</v>
      </c>
      <c r="J59" s="12" t="s">
        <v>327</v>
      </c>
    </row>
    <row r="60" spans="1:10" x14ac:dyDescent="0.25">
      <c r="A60" s="12" t="s">
        <v>117</v>
      </c>
      <c r="B60" s="11" t="s">
        <v>361</v>
      </c>
      <c r="C60" s="22" t="s">
        <v>341</v>
      </c>
      <c r="D60" s="11" t="s">
        <v>116</v>
      </c>
      <c r="E60" s="11" t="s">
        <v>104</v>
      </c>
      <c r="F60" s="11" t="s">
        <v>31</v>
      </c>
      <c r="G60" s="12" t="s">
        <v>105</v>
      </c>
      <c r="H60" s="12" t="s">
        <v>106</v>
      </c>
      <c r="I60" s="11" t="s">
        <v>328</v>
      </c>
      <c r="J60" s="12" t="s">
        <v>329</v>
      </c>
    </row>
    <row r="61" spans="1:10" x14ac:dyDescent="0.25">
      <c r="A61" s="12" t="s">
        <v>119</v>
      </c>
      <c r="B61" s="11" t="s">
        <v>362</v>
      </c>
      <c r="C61" s="22" t="s">
        <v>341</v>
      </c>
      <c r="D61" s="11" t="s">
        <v>118</v>
      </c>
      <c r="E61" s="11" t="s">
        <v>104</v>
      </c>
      <c r="F61" s="11" t="s">
        <v>31</v>
      </c>
      <c r="G61" s="12" t="s">
        <v>105</v>
      </c>
      <c r="H61" s="12" t="s">
        <v>106</v>
      </c>
      <c r="I61" s="11" t="s">
        <v>328</v>
      </c>
      <c r="J61" s="12" t="s">
        <v>504</v>
      </c>
    </row>
    <row r="62" spans="1:10" x14ac:dyDescent="0.25">
      <c r="A62" s="12" t="s">
        <v>121</v>
      </c>
      <c r="B62" s="11" t="s">
        <v>120</v>
      </c>
      <c r="C62" s="22" t="s">
        <v>341</v>
      </c>
      <c r="D62" s="11" t="s">
        <v>120</v>
      </c>
      <c r="E62" s="11" t="s">
        <v>233</v>
      </c>
      <c r="F62" s="11" t="s">
        <v>31</v>
      </c>
      <c r="G62" s="12" t="s">
        <v>32</v>
      </c>
      <c r="H62" s="12" t="s">
        <v>106</v>
      </c>
      <c r="I62" s="11" t="s">
        <v>328</v>
      </c>
      <c r="J62" s="12" t="s">
        <v>327</v>
      </c>
    </row>
    <row r="63" spans="1:10" x14ac:dyDescent="0.25">
      <c r="A63" s="12" t="s">
        <v>123</v>
      </c>
      <c r="B63" s="11" t="s">
        <v>365</v>
      </c>
      <c r="C63" s="22" t="s">
        <v>341</v>
      </c>
      <c r="D63" s="11" t="s">
        <v>122</v>
      </c>
      <c r="E63" s="11" t="s">
        <v>104</v>
      </c>
      <c r="F63" s="11" t="s">
        <v>31</v>
      </c>
      <c r="G63" s="12" t="s">
        <v>105</v>
      </c>
      <c r="H63" s="12" t="s">
        <v>106</v>
      </c>
      <c r="I63" s="11" t="s">
        <v>328</v>
      </c>
      <c r="J63" s="12" t="s">
        <v>504</v>
      </c>
    </row>
    <row r="64" spans="1:10" x14ac:dyDescent="0.25">
      <c r="A64" s="12" t="s">
        <v>288</v>
      </c>
      <c r="B64" s="11" t="s">
        <v>366</v>
      </c>
      <c r="C64" s="22" t="s">
        <v>341</v>
      </c>
      <c r="D64" s="11" t="s">
        <v>287</v>
      </c>
      <c r="E64" s="11" t="s">
        <v>104</v>
      </c>
      <c r="F64" s="11" t="s">
        <v>31</v>
      </c>
      <c r="G64" s="12" t="s">
        <v>105</v>
      </c>
      <c r="H64" s="12" t="s">
        <v>106</v>
      </c>
      <c r="I64" s="11" t="s">
        <v>328</v>
      </c>
      <c r="J64" s="12" t="s">
        <v>327</v>
      </c>
    </row>
    <row r="65" spans="1:10" x14ac:dyDescent="0.25">
      <c r="A65" s="12" t="s">
        <v>290</v>
      </c>
      <c r="B65" s="11" t="s">
        <v>289</v>
      </c>
      <c r="C65" s="22" t="s">
        <v>341</v>
      </c>
      <c r="D65" s="11" t="s">
        <v>289</v>
      </c>
      <c r="E65" s="11" t="s">
        <v>104</v>
      </c>
      <c r="F65" s="11" t="s">
        <v>31</v>
      </c>
      <c r="G65" s="12" t="s">
        <v>105</v>
      </c>
      <c r="H65" s="12" t="s">
        <v>106</v>
      </c>
      <c r="I65" s="11" t="s">
        <v>328</v>
      </c>
      <c r="J65" s="12" t="s">
        <v>327</v>
      </c>
    </row>
    <row r="66" spans="1:10" x14ac:dyDescent="0.25">
      <c r="A66" s="12" t="s">
        <v>292</v>
      </c>
      <c r="B66" s="11" t="s">
        <v>291</v>
      </c>
      <c r="C66" s="22" t="s">
        <v>341</v>
      </c>
      <c r="D66" s="11" t="s">
        <v>291</v>
      </c>
      <c r="E66" s="11" t="s">
        <v>104</v>
      </c>
      <c r="F66" s="11" t="s">
        <v>31</v>
      </c>
      <c r="G66" s="12" t="s">
        <v>105</v>
      </c>
      <c r="H66" s="12" t="s">
        <v>106</v>
      </c>
      <c r="I66" s="11" t="s">
        <v>328</v>
      </c>
      <c r="J66" s="12" t="s">
        <v>494</v>
      </c>
    </row>
    <row r="67" spans="1:10" x14ac:dyDescent="0.25">
      <c r="A67" s="12" t="s">
        <v>125</v>
      </c>
      <c r="B67" s="11" t="s">
        <v>373</v>
      </c>
      <c r="C67" s="22" t="s">
        <v>341</v>
      </c>
      <c r="D67" s="11" t="s">
        <v>124</v>
      </c>
      <c r="E67" s="11" t="s">
        <v>104</v>
      </c>
      <c r="F67" s="11" t="s">
        <v>31</v>
      </c>
      <c r="G67" s="12" t="s">
        <v>105</v>
      </c>
      <c r="H67" s="12" t="s">
        <v>106</v>
      </c>
      <c r="I67" s="11" t="s">
        <v>328</v>
      </c>
      <c r="J67" s="12" t="s">
        <v>327</v>
      </c>
    </row>
    <row r="68" spans="1:10" x14ac:dyDescent="0.25">
      <c r="A68" s="12" t="s">
        <v>127</v>
      </c>
      <c r="B68" s="11" t="s">
        <v>381</v>
      </c>
      <c r="C68" s="22" t="s">
        <v>341</v>
      </c>
      <c r="D68" s="11" t="s">
        <v>126</v>
      </c>
      <c r="E68" s="11" t="s">
        <v>104</v>
      </c>
      <c r="F68" s="11" t="s">
        <v>31</v>
      </c>
      <c r="G68" s="12" t="s">
        <v>105</v>
      </c>
      <c r="H68" s="12" t="s">
        <v>106</v>
      </c>
      <c r="I68" s="11" t="s">
        <v>328</v>
      </c>
      <c r="J68" s="12" t="s">
        <v>494</v>
      </c>
    </row>
    <row r="69" spans="1:10" x14ac:dyDescent="0.25">
      <c r="A69" s="12" t="s">
        <v>129</v>
      </c>
      <c r="B69" s="11" t="s">
        <v>384</v>
      </c>
      <c r="C69" s="22" t="s">
        <v>341</v>
      </c>
      <c r="D69" s="11" t="s">
        <v>128</v>
      </c>
      <c r="E69" s="11" t="s">
        <v>233</v>
      </c>
      <c r="F69" s="11" t="s">
        <v>31</v>
      </c>
      <c r="G69" s="12" t="s">
        <v>32</v>
      </c>
      <c r="H69" s="12" t="s">
        <v>106</v>
      </c>
      <c r="I69" s="11" t="s">
        <v>328</v>
      </c>
      <c r="J69" s="12" t="s">
        <v>327</v>
      </c>
    </row>
    <row r="70" spans="1:10" x14ac:dyDescent="0.25">
      <c r="A70" s="12" t="s">
        <v>296</v>
      </c>
      <c r="B70" s="11" t="s">
        <v>385</v>
      </c>
      <c r="C70" s="22" t="s">
        <v>341</v>
      </c>
      <c r="D70" s="11" t="s">
        <v>295</v>
      </c>
      <c r="E70" s="11" t="s">
        <v>104</v>
      </c>
      <c r="F70" s="11" t="s">
        <v>31</v>
      </c>
      <c r="G70" s="12" t="s">
        <v>105</v>
      </c>
      <c r="H70" s="12" t="s">
        <v>106</v>
      </c>
      <c r="I70" s="11" t="s">
        <v>328</v>
      </c>
      <c r="J70" s="12" t="s">
        <v>504</v>
      </c>
    </row>
    <row r="71" spans="1:10" x14ac:dyDescent="0.25">
      <c r="A71" s="12" t="s">
        <v>131</v>
      </c>
      <c r="B71" s="11" t="s">
        <v>389</v>
      </c>
      <c r="C71" s="22" t="s">
        <v>341</v>
      </c>
      <c r="D71" s="11" t="s">
        <v>130</v>
      </c>
      <c r="E71" s="11" t="s">
        <v>104</v>
      </c>
      <c r="F71" s="11" t="s">
        <v>31</v>
      </c>
      <c r="G71" s="12" t="s">
        <v>105</v>
      </c>
      <c r="H71" s="12" t="s">
        <v>106</v>
      </c>
      <c r="I71" s="11" t="s">
        <v>328</v>
      </c>
      <c r="J71" s="12" t="s">
        <v>327</v>
      </c>
    </row>
    <row r="72" spans="1:10" x14ac:dyDescent="0.25">
      <c r="A72" s="12" t="s">
        <v>298</v>
      </c>
      <c r="B72" s="11" t="s">
        <v>390</v>
      </c>
      <c r="C72" s="22" t="s">
        <v>341</v>
      </c>
      <c r="D72" s="11" t="s">
        <v>297</v>
      </c>
      <c r="E72" s="11" t="s">
        <v>104</v>
      </c>
      <c r="F72" s="11" t="s">
        <v>31</v>
      </c>
      <c r="G72" s="12" t="s">
        <v>105</v>
      </c>
      <c r="H72" s="12" t="s">
        <v>106</v>
      </c>
      <c r="I72" s="11" t="s">
        <v>328</v>
      </c>
      <c r="J72" s="12" t="s">
        <v>327</v>
      </c>
    </row>
    <row r="73" spans="1:10" x14ac:dyDescent="0.25">
      <c r="A73" s="12" t="s">
        <v>133</v>
      </c>
      <c r="B73" s="11" t="s">
        <v>132</v>
      </c>
      <c r="C73" s="22" t="s">
        <v>341</v>
      </c>
      <c r="D73" s="11" t="s">
        <v>132</v>
      </c>
      <c r="E73" s="11" t="s">
        <v>104</v>
      </c>
      <c r="F73" s="11" t="s">
        <v>31</v>
      </c>
      <c r="G73" s="12" t="s">
        <v>105</v>
      </c>
      <c r="H73" s="12" t="s">
        <v>106</v>
      </c>
      <c r="I73" s="11" t="s">
        <v>328</v>
      </c>
      <c r="J73" s="12" t="s">
        <v>327</v>
      </c>
    </row>
    <row r="74" spans="1:10" x14ac:dyDescent="0.25">
      <c r="A74" s="12" t="s">
        <v>135</v>
      </c>
      <c r="B74" s="11" t="s">
        <v>392</v>
      </c>
      <c r="C74" s="22" t="s">
        <v>341</v>
      </c>
      <c r="D74" s="11" t="s">
        <v>134</v>
      </c>
      <c r="E74" s="11" t="s">
        <v>104</v>
      </c>
      <c r="F74" s="11" t="s">
        <v>31</v>
      </c>
      <c r="G74" s="12" t="s">
        <v>105</v>
      </c>
      <c r="H74" s="12" t="s">
        <v>106</v>
      </c>
      <c r="I74" s="11" t="s">
        <v>328</v>
      </c>
      <c r="J74" s="12" t="s">
        <v>327</v>
      </c>
    </row>
    <row r="75" spans="1:10" x14ac:dyDescent="0.25">
      <c r="A75" s="12" t="s">
        <v>137</v>
      </c>
      <c r="B75" s="11" t="s">
        <v>393</v>
      </c>
      <c r="C75" s="22" t="s">
        <v>341</v>
      </c>
      <c r="D75" s="11" t="s">
        <v>136</v>
      </c>
      <c r="E75" s="11" t="s">
        <v>104</v>
      </c>
      <c r="F75" s="11" t="s">
        <v>31</v>
      </c>
      <c r="G75" s="12" t="s">
        <v>105</v>
      </c>
      <c r="H75" s="12" t="s">
        <v>106</v>
      </c>
      <c r="I75" s="11" t="s">
        <v>328</v>
      </c>
      <c r="J75" s="12" t="s">
        <v>327</v>
      </c>
    </row>
    <row r="76" spans="1:10" x14ac:dyDescent="0.25">
      <c r="A76" s="12" t="s">
        <v>139</v>
      </c>
      <c r="B76" s="11" t="s">
        <v>138</v>
      </c>
      <c r="C76" s="22" t="s">
        <v>341</v>
      </c>
      <c r="D76" s="11" t="s">
        <v>138</v>
      </c>
      <c r="E76" s="11" t="s">
        <v>104</v>
      </c>
      <c r="F76" s="11" t="s">
        <v>31</v>
      </c>
      <c r="G76" s="12" t="s">
        <v>105</v>
      </c>
      <c r="H76" s="12" t="s">
        <v>106</v>
      </c>
      <c r="I76" s="11" t="s">
        <v>328</v>
      </c>
      <c r="J76" s="12" t="s">
        <v>327</v>
      </c>
    </row>
    <row r="77" spans="1:10" x14ac:dyDescent="0.25">
      <c r="A77" s="12" t="s">
        <v>141</v>
      </c>
      <c r="B77" s="11" t="s">
        <v>402</v>
      </c>
      <c r="C77" s="22" t="s">
        <v>341</v>
      </c>
      <c r="D77" s="11" t="s">
        <v>140</v>
      </c>
      <c r="E77" s="11" t="s">
        <v>104</v>
      </c>
      <c r="F77" s="11" t="s">
        <v>31</v>
      </c>
      <c r="G77" s="12" t="s">
        <v>105</v>
      </c>
      <c r="H77" s="12" t="s">
        <v>106</v>
      </c>
      <c r="I77" s="11" t="s">
        <v>328</v>
      </c>
      <c r="J77" s="12" t="s">
        <v>494</v>
      </c>
    </row>
    <row r="78" spans="1:10" x14ac:dyDescent="0.25">
      <c r="A78" s="12"/>
      <c r="B78" s="11" t="s">
        <v>425</v>
      </c>
      <c r="C78" s="22" t="s">
        <v>605</v>
      </c>
      <c r="D78" s="11" t="s">
        <v>425</v>
      </c>
      <c r="E78" s="11" t="s">
        <v>104</v>
      </c>
      <c r="F78" s="11" t="s">
        <v>31</v>
      </c>
      <c r="G78" s="12" t="s">
        <v>105</v>
      </c>
      <c r="H78" s="12" t="s">
        <v>106</v>
      </c>
      <c r="I78" s="11" t="s">
        <v>328</v>
      </c>
      <c r="J78" s="12" t="s">
        <v>329</v>
      </c>
    </row>
    <row r="79" spans="1:10" x14ac:dyDescent="0.25">
      <c r="A79" s="12" t="s">
        <v>300</v>
      </c>
      <c r="B79" s="11" t="s">
        <v>299</v>
      </c>
      <c r="C79" s="22" t="s">
        <v>341</v>
      </c>
      <c r="D79" s="11" t="s">
        <v>299</v>
      </c>
      <c r="E79" s="11" t="s">
        <v>104</v>
      </c>
      <c r="F79" s="11" t="s">
        <v>31</v>
      </c>
      <c r="G79" s="12" t="s">
        <v>105</v>
      </c>
      <c r="H79" s="12" t="s">
        <v>106</v>
      </c>
      <c r="I79" s="11" t="s">
        <v>328</v>
      </c>
      <c r="J79" s="12" t="s">
        <v>327</v>
      </c>
    </row>
    <row r="80" spans="1:10" x14ac:dyDescent="0.25">
      <c r="A80" s="12" t="s">
        <v>302</v>
      </c>
      <c r="B80" s="11" t="s">
        <v>301</v>
      </c>
      <c r="C80" s="22" t="s">
        <v>341</v>
      </c>
      <c r="D80" s="11" t="s">
        <v>301</v>
      </c>
      <c r="E80" s="11" t="s">
        <v>104</v>
      </c>
      <c r="F80" s="11" t="s">
        <v>31</v>
      </c>
      <c r="G80" s="12" t="s">
        <v>105</v>
      </c>
      <c r="H80" s="12" t="s">
        <v>106</v>
      </c>
      <c r="I80" s="11" t="s">
        <v>328</v>
      </c>
      <c r="J80" s="12" t="s">
        <v>327</v>
      </c>
    </row>
    <row r="81" spans="1:10" x14ac:dyDescent="0.25">
      <c r="A81" s="12" t="s">
        <v>143</v>
      </c>
      <c r="B81" s="11" t="s">
        <v>410</v>
      </c>
      <c r="C81" s="22" t="s">
        <v>341</v>
      </c>
      <c r="D81" s="11" t="s">
        <v>142</v>
      </c>
      <c r="E81" s="11" t="s">
        <v>104</v>
      </c>
      <c r="F81" s="11" t="s">
        <v>31</v>
      </c>
      <c r="G81" s="12" t="s">
        <v>105</v>
      </c>
      <c r="H81" s="12" t="s">
        <v>106</v>
      </c>
      <c r="I81" s="11" t="s">
        <v>328</v>
      </c>
      <c r="J81" s="12" t="s">
        <v>504</v>
      </c>
    </row>
    <row r="82" spans="1:10" x14ac:dyDescent="0.25">
      <c r="A82" s="12" t="s">
        <v>187</v>
      </c>
      <c r="B82" s="11" t="s">
        <v>186</v>
      </c>
      <c r="C82" s="22" t="s">
        <v>341</v>
      </c>
      <c r="D82" s="11" t="s">
        <v>186</v>
      </c>
      <c r="E82" s="11" t="s">
        <v>78</v>
      </c>
      <c r="F82" s="11" t="s">
        <v>79</v>
      </c>
      <c r="G82" s="12" t="s">
        <v>80</v>
      </c>
      <c r="H82" s="12" t="s">
        <v>33</v>
      </c>
      <c r="I82" s="11" t="s">
        <v>330</v>
      </c>
      <c r="J82" s="12" t="s">
        <v>327</v>
      </c>
    </row>
    <row r="83" spans="1:10" x14ac:dyDescent="0.25">
      <c r="A83" s="12" t="s">
        <v>192</v>
      </c>
      <c r="B83" s="11" t="s">
        <v>191</v>
      </c>
      <c r="C83" s="22" t="s">
        <v>341</v>
      </c>
      <c r="D83" s="11" t="s">
        <v>191</v>
      </c>
      <c r="E83" s="11" t="s">
        <v>601</v>
      </c>
      <c r="F83" s="11" t="s">
        <v>31</v>
      </c>
      <c r="G83" s="12" t="s">
        <v>105</v>
      </c>
      <c r="H83" s="12" t="s">
        <v>33</v>
      </c>
      <c r="I83" s="11" t="s">
        <v>328</v>
      </c>
      <c r="J83" s="12" t="s">
        <v>504</v>
      </c>
    </row>
    <row r="84" spans="1:10" x14ac:dyDescent="0.25">
      <c r="A84" s="12" t="s">
        <v>196</v>
      </c>
      <c r="B84" s="11" t="s">
        <v>352</v>
      </c>
      <c r="C84" s="22" t="s">
        <v>341</v>
      </c>
      <c r="D84" s="11" t="s">
        <v>195</v>
      </c>
      <c r="E84" s="11" t="s">
        <v>601</v>
      </c>
      <c r="F84" s="11" t="s">
        <v>31</v>
      </c>
      <c r="G84" s="12" t="s">
        <v>105</v>
      </c>
      <c r="H84" s="12" t="s">
        <v>33</v>
      </c>
      <c r="I84" s="11" t="s">
        <v>328</v>
      </c>
      <c r="J84" s="12" t="s">
        <v>494</v>
      </c>
    </row>
    <row r="85" spans="1:10" x14ac:dyDescent="0.25">
      <c r="A85" s="12"/>
      <c r="B85" s="11" t="s">
        <v>608</v>
      </c>
      <c r="C85" s="22" t="s">
        <v>605</v>
      </c>
      <c r="D85" s="11" t="s">
        <v>608</v>
      </c>
      <c r="E85" s="11" t="s">
        <v>601</v>
      </c>
      <c r="F85" s="11" t="s">
        <v>31</v>
      </c>
      <c r="G85" s="12" t="s">
        <v>105</v>
      </c>
      <c r="H85" s="12" t="s">
        <v>33</v>
      </c>
      <c r="I85" s="11" t="s">
        <v>328</v>
      </c>
      <c r="J85" s="12" t="s">
        <v>327</v>
      </c>
    </row>
    <row r="86" spans="1:10" x14ac:dyDescent="0.25">
      <c r="A86" s="12" t="s">
        <v>198</v>
      </c>
      <c r="B86" s="11" t="s">
        <v>356</v>
      </c>
      <c r="C86" s="22" t="s">
        <v>341</v>
      </c>
      <c r="D86" s="11" t="s">
        <v>197</v>
      </c>
      <c r="E86" s="11" t="s">
        <v>601</v>
      </c>
      <c r="F86" s="11" t="s">
        <v>31</v>
      </c>
      <c r="G86" s="12" t="s">
        <v>105</v>
      </c>
      <c r="H86" s="12" t="s">
        <v>33</v>
      </c>
      <c r="I86" s="11" t="s">
        <v>328</v>
      </c>
      <c r="J86" s="12" t="s">
        <v>327</v>
      </c>
    </row>
    <row r="87" spans="1:10" x14ac:dyDescent="0.25">
      <c r="A87" s="12"/>
      <c r="B87" s="11" t="s">
        <v>609</v>
      </c>
      <c r="C87" s="22" t="s">
        <v>605</v>
      </c>
      <c r="D87" s="11" t="s">
        <v>609</v>
      </c>
      <c r="E87" s="11" t="s">
        <v>601</v>
      </c>
      <c r="F87" s="11" t="s">
        <v>31</v>
      </c>
      <c r="G87" s="12" t="s">
        <v>105</v>
      </c>
      <c r="H87" s="12" t="s">
        <v>33</v>
      </c>
      <c r="I87" s="11" t="s">
        <v>328</v>
      </c>
      <c r="J87" s="12" t="s">
        <v>327</v>
      </c>
    </row>
    <row r="88" spans="1:10" x14ac:dyDescent="0.25">
      <c r="A88" s="12"/>
      <c r="B88" s="11" t="s">
        <v>610</v>
      </c>
      <c r="C88" s="22" t="s">
        <v>605</v>
      </c>
      <c r="D88" s="11" t="s">
        <v>610</v>
      </c>
      <c r="E88" s="11" t="s">
        <v>601</v>
      </c>
      <c r="F88" s="11" t="s">
        <v>31</v>
      </c>
      <c r="G88" s="12" t="s">
        <v>105</v>
      </c>
      <c r="H88" s="12" t="s">
        <v>33</v>
      </c>
      <c r="I88" s="11" t="s">
        <v>328</v>
      </c>
      <c r="J88" s="12" t="s">
        <v>607</v>
      </c>
    </row>
    <row r="89" spans="1:10" x14ac:dyDescent="0.25">
      <c r="A89" s="12" t="s">
        <v>200</v>
      </c>
      <c r="B89" s="11" t="s">
        <v>371</v>
      </c>
      <c r="C89" s="22" t="s">
        <v>341</v>
      </c>
      <c r="D89" s="11" t="s">
        <v>199</v>
      </c>
      <c r="E89" s="11" t="s">
        <v>601</v>
      </c>
      <c r="F89" s="11" t="s">
        <v>31</v>
      </c>
      <c r="G89" s="12" t="s">
        <v>105</v>
      </c>
      <c r="H89" s="12" t="s">
        <v>33</v>
      </c>
      <c r="I89" s="11" t="s">
        <v>328</v>
      </c>
      <c r="J89" s="12" t="s">
        <v>494</v>
      </c>
    </row>
    <row r="90" spans="1:10" x14ac:dyDescent="0.25">
      <c r="A90" s="12"/>
      <c r="B90" s="11" t="s">
        <v>611</v>
      </c>
      <c r="C90" s="22" t="s">
        <v>605</v>
      </c>
      <c r="D90" s="11" t="s">
        <v>611</v>
      </c>
      <c r="E90" s="11" t="s">
        <v>601</v>
      </c>
      <c r="F90" s="11" t="s">
        <v>31</v>
      </c>
      <c r="G90" s="12" t="s">
        <v>105</v>
      </c>
      <c r="H90" s="12" t="s">
        <v>33</v>
      </c>
      <c r="I90" s="11" t="s">
        <v>328</v>
      </c>
      <c r="J90" s="12" t="s">
        <v>504</v>
      </c>
    </row>
    <row r="91" spans="1:10" x14ac:dyDescent="0.25">
      <c r="A91" s="12"/>
      <c r="B91" s="11" t="s">
        <v>612</v>
      </c>
      <c r="C91" s="22" t="s">
        <v>605</v>
      </c>
      <c r="D91" s="11" t="s">
        <v>612</v>
      </c>
      <c r="E91" s="11" t="s">
        <v>601</v>
      </c>
      <c r="F91" s="11" t="s">
        <v>31</v>
      </c>
      <c r="G91" s="12" t="s">
        <v>105</v>
      </c>
      <c r="H91" s="12" t="s">
        <v>33</v>
      </c>
      <c r="I91" s="11" t="s">
        <v>328</v>
      </c>
      <c r="J91" s="12" t="s">
        <v>327</v>
      </c>
    </row>
    <row r="92" spans="1:10" x14ac:dyDescent="0.25">
      <c r="A92" s="12" t="s">
        <v>204</v>
      </c>
      <c r="B92" s="11" t="s">
        <v>379</v>
      </c>
      <c r="C92" s="22" t="s">
        <v>341</v>
      </c>
      <c r="D92" s="11" t="s">
        <v>203</v>
      </c>
      <c r="E92" s="11" t="s">
        <v>601</v>
      </c>
      <c r="F92" s="11" t="s">
        <v>31</v>
      </c>
      <c r="G92" s="12" t="s">
        <v>105</v>
      </c>
      <c r="H92" s="12" t="s">
        <v>33</v>
      </c>
      <c r="I92" s="11" t="s">
        <v>328</v>
      </c>
      <c r="J92" s="12" t="s">
        <v>327</v>
      </c>
    </row>
    <row r="93" spans="1:10" x14ac:dyDescent="0.25">
      <c r="A93" s="12"/>
      <c r="B93" s="11" t="s">
        <v>418</v>
      </c>
      <c r="C93" s="22" t="s">
        <v>605</v>
      </c>
      <c r="D93" s="11" t="s">
        <v>418</v>
      </c>
      <c r="E93" s="11" t="s">
        <v>601</v>
      </c>
      <c r="F93" s="11" t="s">
        <v>31</v>
      </c>
      <c r="G93" s="12" t="s">
        <v>105</v>
      </c>
      <c r="H93" s="12" t="s">
        <v>33</v>
      </c>
      <c r="I93" s="11" t="s">
        <v>328</v>
      </c>
      <c r="J93" s="12" t="s">
        <v>504</v>
      </c>
    </row>
    <row r="94" spans="1:10" x14ac:dyDescent="0.25">
      <c r="A94" s="12"/>
      <c r="B94" s="11" t="s">
        <v>613</v>
      </c>
      <c r="C94" s="22" t="s">
        <v>605</v>
      </c>
      <c r="D94" s="11" t="s">
        <v>613</v>
      </c>
      <c r="E94" s="11" t="s">
        <v>601</v>
      </c>
      <c r="F94" s="11" t="s">
        <v>31</v>
      </c>
      <c r="G94" s="12" t="s">
        <v>105</v>
      </c>
      <c r="H94" s="12" t="s">
        <v>33</v>
      </c>
      <c r="I94" s="11" t="s">
        <v>328</v>
      </c>
      <c r="J94" s="12" t="s">
        <v>504</v>
      </c>
    </row>
    <row r="95" spans="1:10" x14ac:dyDescent="0.25">
      <c r="A95" s="12"/>
      <c r="B95" s="11" t="s">
        <v>614</v>
      </c>
      <c r="C95" s="22" t="s">
        <v>605</v>
      </c>
      <c r="D95" s="11" t="s">
        <v>614</v>
      </c>
      <c r="E95" s="11" t="s">
        <v>601</v>
      </c>
      <c r="F95" s="11" t="s">
        <v>31</v>
      </c>
      <c r="G95" s="12" t="s">
        <v>105</v>
      </c>
      <c r="H95" s="12" t="s">
        <v>33</v>
      </c>
      <c r="I95" s="11" t="s">
        <v>328</v>
      </c>
      <c r="J95" s="12" t="s">
        <v>327</v>
      </c>
    </row>
    <row r="96" spans="1:10" x14ac:dyDescent="0.25">
      <c r="A96" s="12"/>
      <c r="B96" s="11" t="s">
        <v>615</v>
      </c>
      <c r="C96" s="22" t="s">
        <v>605</v>
      </c>
      <c r="D96" s="11" t="s">
        <v>615</v>
      </c>
      <c r="E96" s="11" t="s">
        <v>601</v>
      </c>
      <c r="F96" s="11" t="s">
        <v>31</v>
      </c>
      <c r="G96" s="12" t="s">
        <v>105</v>
      </c>
      <c r="H96" s="12" t="s">
        <v>33</v>
      </c>
      <c r="I96" s="11" t="s">
        <v>328</v>
      </c>
      <c r="J96" s="12" t="s">
        <v>327</v>
      </c>
    </row>
    <row r="97" spans="1:10" x14ac:dyDescent="0.25">
      <c r="A97" s="12"/>
      <c r="B97" s="11" t="s">
        <v>616</v>
      </c>
      <c r="C97" s="22" t="s">
        <v>605</v>
      </c>
      <c r="D97" s="11" t="s">
        <v>616</v>
      </c>
      <c r="E97" s="11" t="s">
        <v>601</v>
      </c>
      <c r="F97" s="11" t="s">
        <v>31</v>
      </c>
      <c r="G97" s="12" t="s">
        <v>105</v>
      </c>
      <c r="H97" s="12" t="s">
        <v>33</v>
      </c>
      <c r="I97" s="11" t="s">
        <v>328</v>
      </c>
      <c r="J97" s="12" t="s">
        <v>327</v>
      </c>
    </row>
    <row r="98" spans="1:10" x14ac:dyDescent="0.25">
      <c r="A98" s="12" t="s">
        <v>210</v>
      </c>
      <c r="B98" s="11" t="s">
        <v>209</v>
      </c>
      <c r="C98" s="22" t="s">
        <v>341</v>
      </c>
      <c r="D98" s="11" t="s">
        <v>209</v>
      </c>
      <c r="E98" s="11" t="s">
        <v>601</v>
      </c>
      <c r="F98" s="11" t="s">
        <v>31</v>
      </c>
      <c r="G98" s="12" t="s">
        <v>105</v>
      </c>
      <c r="H98" s="12" t="s">
        <v>33</v>
      </c>
      <c r="I98" s="11" t="s">
        <v>328</v>
      </c>
      <c r="J98" s="12" t="s">
        <v>327</v>
      </c>
    </row>
    <row r="99" spans="1:10" x14ac:dyDescent="0.25">
      <c r="A99" s="12" t="s">
        <v>212</v>
      </c>
      <c r="B99" s="11" t="s">
        <v>211</v>
      </c>
      <c r="C99" s="22" t="s">
        <v>341</v>
      </c>
      <c r="D99" s="11" t="s">
        <v>211</v>
      </c>
      <c r="E99" s="11" t="s">
        <v>104</v>
      </c>
      <c r="F99" s="11" t="s">
        <v>31</v>
      </c>
      <c r="G99" s="12" t="s">
        <v>105</v>
      </c>
      <c r="H99" s="12" t="s">
        <v>106</v>
      </c>
      <c r="I99" s="11" t="s">
        <v>328</v>
      </c>
      <c r="J99" s="12" t="s">
        <v>327</v>
      </c>
    </row>
    <row r="100" spans="1:10" x14ac:dyDescent="0.25">
      <c r="A100" s="12"/>
      <c r="B100" s="11" t="s">
        <v>617</v>
      </c>
      <c r="C100" s="22" t="s">
        <v>605</v>
      </c>
      <c r="D100" s="11" t="s">
        <v>617</v>
      </c>
      <c r="E100" s="11" t="s">
        <v>601</v>
      </c>
      <c r="F100" s="11" t="s">
        <v>31</v>
      </c>
      <c r="G100" s="12" t="s">
        <v>105</v>
      </c>
      <c r="H100" s="12" t="s">
        <v>33</v>
      </c>
      <c r="I100" s="11" t="s">
        <v>328</v>
      </c>
      <c r="J100" s="12" t="s">
        <v>327</v>
      </c>
    </row>
    <row r="101" spans="1:10" x14ac:dyDescent="0.25">
      <c r="A101" s="12"/>
      <c r="B101" s="11" t="s">
        <v>618</v>
      </c>
      <c r="C101" s="22" t="s">
        <v>605</v>
      </c>
      <c r="D101" s="11" t="s">
        <v>618</v>
      </c>
      <c r="E101" s="11" t="s">
        <v>601</v>
      </c>
      <c r="F101" s="11" t="s">
        <v>31</v>
      </c>
      <c r="G101" s="12" t="s">
        <v>105</v>
      </c>
      <c r="H101" s="12" t="s">
        <v>33</v>
      </c>
      <c r="I101" s="11" t="s">
        <v>328</v>
      </c>
      <c r="J101" s="12" t="s">
        <v>327</v>
      </c>
    </row>
    <row r="102" spans="1:10" x14ac:dyDescent="0.25">
      <c r="A102" s="12" t="s">
        <v>214</v>
      </c>
      <c r="B102" s="11" t="s">
        <v>213</v>
      </c>
      <c r="C102" s="22" t="s">
        <v>341</v>
      </c>
      <c r="D102" s="11" t="s">
        <v>213</v>
      </c>
      <c r="E102" s="11" t="s">
        <v>601</v>
      </c>
      <c r="F102" s="11" t="s">
        <v>31</v>
      </c>
      <c r="G102" s="12" t="s">
        <v>105</v>
      </c>
      <c r="H102" s="12" t="s">
        <v>33</v>
      </c>
      <c r="I102" s="11" t="s">
        <v>328</v>
      </c>
      <c r="J102" s="12" t="s">
        <v>327</v>
      </c>
    </row>
    <row r="103" spans="1:10" x14ac:dyDescent="0.25">
      <c r="A103" s="12" t="s">
        <v>216</v>
      </c>
      <c r="B103" s="11" t="s">
        <v>396</v>
      </c>
      <c r="C103" s="22" t="s">
        <v>341</v>
      </c>
      <c r="D103" s="11" t="s">
        <v>215</v>
      </c>
      <c r="E103" s="11" t="s">
        <v>601</v>
      </c>
      <c r="F103" s="11" t="s">
        <v>31</v>
      </c>
      <c r="G103" s="12" t="s">
        <v>105</v>
      </c>
      <c r="H103" s="12" t="s">
        <v>33</v>
      </c>
      <c r="I103" s="11" t="s">
        <v>328</v>
      </c>
      <c r="J103" s="12" t="s">
        <v>327</v>
      </c>
    </row>
    <row r="104" spans="1:10" x14ac:dyDescent="0.25">
      <c r="A104" s="12" t="s">
        <v>218</v>
      </c>
      <c r="B104" s="11" t="s">
        <v>397</v>
      </c>
      <c r="C104" s="22" t="s">
        <v>341</v>
      </c>
      <c r="D104" s="11" t="s">
        <v>217</v>
      </c>
      <c r="E104" s="11" t="s">
        <v>601</v>
      </c>
      <c r="F104" s="11" t="s">
        <v>31</v>
      </c>
      <c r="G104" s="12" t="s">
        <v>105</v>
      </c>
      <c r="H104" s="12" t="s">
        <v>33</v>
      </c>
      <c r="I104" s="11" t="s">
        <v>328</v>
      </c>
      <c r="J104" s="12" t="s">
        <v>504</v>
      </c>
    </row>
    <row r="105" spans="1:10" x14ac:dyDescent="0.25">
      <c r="A105" s="12"/>
      <c r="B105" s="11" t="s">
        <v>619</v>
      </c>
      <c r="C105" s="22" t="s">
        <v>605</v>
      </c>
      <c r="D105" s="11" t="s">
        <v>619</v>
      </c>
      <c r="E105" s="11" t="s">
        <v>601</v>
      </c>
      <c r="F105" s="11" t="s">
        <v>31</v>
      </c>
      <c r="G105" s="12" t="s">
        <v>105</v>
      </c>
      <c r="H105" s="12" t="s">
        <v>33</v>
      </c>
      <c r="I105" s="11" t="s">
        <v>328</v>
      </c>
      <c r="J105" s="12" t="s">
        <v>327</v>
      </c>
    </row>
    <row r="106" spans="1:10" x14ac:dyDescent="0.25">
      <c r="A106" s="12" t="s">
        <v>220</v>
      </c>
      <c r="B106" s="11" t="s">
        <v>398</v>
      </c>
      <c r="C106" s="22" t="s">
        <v>341</v>
      </c>
      <c r="D106" s="11" t="s">
        <v>219</v>
      </c>
      <c r="E106" s="11" t="s">
        <v>104</v>
      </c>
      <c r="F106" s="11" t="s">
        <v>31</v>
      </c>
      <c r="G106" s="12" t="s">
        <v>105</v>
      </c>
      <c r="H106" s="12" t="s">
        <v>106</v>
      </c>
      <c r="I106" s="11" t="s">
        <v>328</v>
      </c>
      <c r="J106" s="12" t="s">
        <v>327</v>
      </c>
    </row>
    <row r="107" spans="1:10" x14ac:dyDescent="0.25">
      <c r="A107" s="12" t="s">
        <v>222</v>
      </c>
      <c r="B107" s="11" t="s">
        <v>221</v>
      </c>
      <c r="C107" s="22" t="s">
        <v>341</v>
      </c>
      <c r="D107" s="11" t="s">
        <v>221</v>
      </c>
      <c r="E107" s="11" t="s">
        <v>601</v>
      </c>
      <c r="F107" s="11" t="s">
        <v>31</v>
      </c>
      <c r="G107" s="12" t="s">
        <v>105</v>
      </c>
      <c r="H107" s="12" t="s">
        <v>33</v>
      </c>
      <c r="I107" s="11" t="s">
        <v>328</v>
      </c>
      <c r="J107" s="12" t="s">
        <v>504</v>
      </c>
    </row>
    <row r="108" spans="1:10" x14ac:dyDescent="0.25">
      <c r="A108" s="12"/>
      <c r="B108" s="11" t="s">
        <v>620</v>
      </c>
      <c r="C108" s="22" t="s">
        <v>605</v>
      </c>
      <c r="D108" s="11" t="s">
        <v>620</v>
      </c>
      <c r="E108" s="11" t="s">
        <v>601</v>
      </c>
      <c r="F108" s="11" t="s">
        <v>31</v>
      </c>
      <c r="G108" s="12" t="s">
        <v>105</v>
      </c>
      <c r="H108" s="12" t="s">
        <v>33</v>
      </c>
      <c r="I108" s="11" t="s">
        <v>328</v>
      </c>
      <c r="J108" s="12" t="s">
        <v>327</v>
      </c>
    </row>
    <row r="109" spans="1:10" x14ac:dyDescent="0.25">
      <c r="A109" s="12" t="s">
        <v>224</v>
      </c>
      <c r="B109" s="11" t="s">
        <v>223</v>
      </c>
      <c r="C109" s="22" t="s">
        <v>341</v>
      </c>
      <c r="D109" s="11" t="s">
        <v>223</v>
      </c>
      <c r="E109" s="11" t="s">
        <v>601</v>
      </c>
      <c r="F109" s="11" t="s">
        <v>31</v>
      </c>
      <c r="G109" s="12" t="s">
        <v>105</v>
      </c>
      <c r="H109" s="12" t="s">
        <v>33</v>
      </c>
      <c r="I109" s="11" t="s">
        <v>328</v>
      </c>
      <c r="J109" s="12" t="s">
        <v>504</v>
      </c>
    </row>
    <row r="110" spans="1:10" x14ac:dyDescent="0.25">
      <c r="A110" s="12" t="s">
        <v>226</v>
      </c>
      <c r="B110" s="11" t="s">
        <v>405</v>
      </c>
      <c r="C110" s="22" t="s">
        <v>341</v>
      </c>
      <c r="D110" s="11" t="s">
        <v>225</v>
      </c>
      <c r="E110" s="11" t="s">
        <v>601</v>
      </c>
      <c r="F110" s="11" t="s">
        <v>31</v>
      </c>
      <c r="G110" s="12" t="s">
        <v>105</v>
      </c>
      <c r="H110" s="12" t="s">
        <v>33</v>
      </c>
      <c r="I110" s="11" t="s">
        <v>328</v>
      </c>
      <c r="J110" s="12" t="s">
        <v>327</v>
      </c>
    </row>
    <row r="111" spans="1:10" x14ac:dyDescent="0.25">
      <c r="A111" s="12" t="s">
        <v>230</v>
      </c>
      <c r="B111" s="11" t="s">
        <v>409</v>
      </c>
      <c r="C111" s="22" t="s">
        <v>341</v>
      </c>
      <c r="D111" s="11" t="s">
        <v>229</v>
      </c>
      <c r="E111" s="11" t="s">
        <v>601</v>
      </c>
      <c r="F111" s="11" t="s">
        <v>31</v>
      </c>
      <c r="G111" s="12" t="s">
        <v>105</v>
      </c>
      <c r="H111" s="12" t="s">
        <v>33</v>
      </c>
      <c r="I111" s="11" t="s">
        <v>328</v>
      </c>
      <c r="J111" s="12" t="s">
        <v>494</v>
      </c>
    </row>
    <row r="112" spans="1:10" x14ac:dyDescent="0.25">
      <c r="A112" s="12" t="s">
        <v>190</v>
      </c>
      <c r="B112" s="11" t="s">
        <v>342</v>
      </c>
      <c r="C112" s="22" t="s">
        <v>341</v>
      </c>
      <c r="D112" s="11" t="s">
        <v>189</v>
      </c>
      <c r="E112" s="11" t="s">
        <v>188</v>
      </c>
      <c r="F112" s="11" t="s">
        <v>31</v>
      </c>
      <c r="G112" s="12" t="s">
        <v>105</v>
      </c>
      <c r="H112" s="12" t="s">
        <v>33</v>
      </c>
      <c r="I112" s="11" t="s">
        <v>328</v>
      </c>
      <c r="J112" s="12" t="s">
        <v>504</v>
      </c>
    </row>
    <row r="113" spans="1:10" x14ac:dyDescent="0.25">
      <c r="A113" s="12"/>
      <c r="B113" s="11" t="s">
        <v>416</v>
      </c>
      <c r="C113" s="22" t="s">
        <v>605</v>
      </c>
      <c r="D113" s="11" t="s">
        <v>416</v>
      </c>
      <c r="E113" s="11" t="s">
        <v>188</v>
      </c>
      <c r="F113" s="11" t="s">
        <v>31</v>
      </c>
      <c r="G113" s="12" t="s">
        <v>105</v>
      </c>
      <c r="H113" s="12" t="s">
        <v>33</v>
      </c>
      <c r="I113" s="11" t="s">
        <v>328</v>
      </c>
      <c r="J113" s="12" t="s">
        <v>329</v>
      </c>
    </row>
    <row r="114" spans="1:10" x14ac:dyDescent="0.25">
      <c r="A114" s="12" t="s">
        <v>206</v>
      </c>
      <c r="B114" s="11" t="s">
        <v>205</v>
      </c>
      <c r="C114" s="22" t="s">
        <v>341</v>
      </c>
      <c r="D114" s="11" t="s">
        <v>205</v>
      </c>
      <c r="E114" s="11" t="s">
        <v>188</v>
      </c>
      <c r="F114" s="11" t="s">
        <v>31</v>
      </c>
      <c r="G114" s="12" t="s">
        <v>105</v>
      </c>
      <c r="H114" s="12" t="s">
        <v>33</v>
      </c>
      <c r="I114" s="11" t="s">
        <v>328</v>
      </c>
      <c r="J114" s="12" t="s">
        <v>504</v>
      </c>
    </row>
    <row r="115" spans="1:10" x14ac:dyDescent="0.25">
      <c r="A115" s="12"/>
      <c r="B115" s="11" t="s">
        <v>427</v>
      </c>
      <c r="C115" s="22" t="s">
        <v>605</v>
      </c>
      <c r="D115" s="11" t="s">
        <v>427</v>
      </c>
      <c r="E115" s="11" t="s">
        <v>188</v>
      </c>
      <c r="F115" s="11" t="s">
        <v>31</v>
      </c>
      <c r="G115" s="12" t="s">
        <v>105</v>
      </c>
      <c r="H115" s="12" t="s">
        <v>33</v>
      </c>
      <c r="I115" s="11" t="s">
        <v>328</v>
      </c>
      <c r="J115" s="12" t="s">
        <v>329</v>
      </c>
    </row>
    <row r="116" spans="1:10" x14ac:dyDescent="0.25">
      <c r="A116" s="12" t="s">
        <v>29</v>
      </c>
      <c r="B116" s="11" t="s">
        <v>346</v>
      </c>
      <c r="C116" s="22" t="s">
        <v>341</v>
      </c>
      <c r="D116" s="11" t="s">
        <v>28</v>
      </c>
      <c r="E116" s="11" t="s">
        <v>100</v>
      </c>
      <c r="F116" s="11" t="s">
        <v>31</v>
      </c>
      <c r="G116" s="12" t="s">
        <v>32</v>
      </c>
      <c r="H116" s="12" t="s">
        <v>33</v>
      </c>
      <c r="I116" s="11" t="s">
        <v>328</v>
      </c>
      <c r="J116" s="12" t="s">
        <v>504</v>
      </c>
    </row>
    <row r="117" spans="1:10" x14ac:dyDescent="0.25">
      <c r="A117" s="12" t="s">
        <v>35</v>
      </c>
      <c r="B117" s="11" t="s">
        <v>349</v>
      </c>
      <c r="C117" s="22" t="s">
        <v>341</v>
      </c>
      <c r="D117" s="11" t="s">
        <v>34</v>
      </c>
      <c r="E117" s="11" t="s">
        <v>233</v>
      </c>
      <c r="F117" s="11" t="s">
        <v>31</v>
      </c>
      <c r="G117" s="12" t="s">
        <v>32</v>
      </c>
      <c r="H117" s="12" t="s">
        <v>106</v>
      </c>
      <c r="I117" s="11" t="s">
        <v>328</v>
      </c>
      <c r="J117" s="12" t="s">
        <v>327</v>
      </c>
    </row>
    <row r="118" spans="1:10" x14ac:dyDescent="0.25">
      <c r="A118" s="12" t="s">
        <v>39</v>
      </c>
      <c r="B118" s="11" t="s">
        <v>358</v>
      </c>
      <c r="C118" s="22" t="s">
        <v>341</v>
      </c>
      <c r="D118" s="11" t="s">
        <v>38</v>
      </c>
      <c r="E118" s="11" t="s">
        <v>100</v>
      </c>
      <c r="F118" s="11" t="s">
        <v>31</v>
      </c>
      <c r="G118" s="12" t="s">
        <v>32</v>
      </c>
      <c r="H118" s="12" t="s">
        <v>33</v>
      </c>
      <c r="I118" s="11" t="s">
        <v>328</v>
      </c>
      <c r="J118" s="12" t="s">
        <v>327</v>
      </c>
    </row>
    <row r="119" spans="1:10" x14ac:dyDescent="0.25">
      <c r="A119" s="12" t="s">
        <v>41</v>
      </c>
      <c r="B119" s="11" t="s">
        <v>40</v>
      </c>
      <c r="C119" s="22" t="s">
        <v>341</v>
      </c>
      <c r="D119" s="11" t="s">
        <v>40</v>
      </c>
      <c r="E119" s="11" t="s">
        <v>100</v>
      </c>
      <c r="F119" s="11" t="s">
        <v>31</v>
      </c>
      <c r="G119" s="12" t="s">
        <v>32</v>
      </c>
      <c r="H119" s="12" t="s">
        <v>33</v>
      </c>
      <c r="I119" s="11" t="s">
        <v>328</v>
      </c>
      <c r="J119" s="12" t="s">
        <v>327</v>
      </c>
    </row>
    <row r="120" spans="1:10" x14ac:dyDescent="0.25">
      <c r="A120" s="12" t="s">
        <v>304</v>
      </c>
      <c r="B120" s="11" t="s">
        <v>303</v>
      </c>
      <c r="C120" s="22" t="s">
        <v>341</v>
      </c>
      <c r="D120" s="11" t="s">
        <v>303</v>
      </c>
      <c r="E120" s="11" t="s">
        <v>100</v>
      </c>
      <c r="F120" s="11" t="s">
        <v>31</v>
      </c>
      <c r="G120" s="12" t="s">
        <v>32</v>
      </c>
      <c r="H120" s="12" t="s">
        <v>33</v>
      </c>
      <c r="I120" s="11" t="s">
        <v>328</v>
      </c>
      <c r="J120" s="12" t="s">
        <v>504</v>
      </c>
    </row>
    <row r="121" spans="1:10" x14ac:dyDescent="0.25">
      <c r="A121" s="12" t="s">
        <v>43</v>
      </c>
      <c r="B121" s="11" t="s">
        <v>42</v>
      </c>
      <c r="C121" s="22" t="s">
        <v>341</v>
      </c>
      <c r="D121" s="11" t="s">
        <v>42</v>
      </c>
      <c r="E121" s="11" t="s">
        <v>104</v>
      </c>
      <c r="F121" s="11" t="s">
        <v>31</v>
      </c>
      <c r="G121" s="12" t="s">
        <v>105</v>
      </c>
      <c r="H121" s="12" t="s">
        <v>106</v>
      </c>
      <c r="I121" s="11" t="s">
        <v>328</v>
      </c>
      <c r="J121" s="12" t="s">
        <v>327</v>
      </c>
    </row>
    <row r="122" spans="1:10" x14ac:dyDescent="0.25">
      <c r="A122" s="12" t="s">
        <v>45</v>
      </c>
      <c r="B122" s="11" t="s">
        <v>44</v>
      </c>
      <c r="C122" s="22" t="s">
        <v>341</v>
      </c>
      <c r="D122" s="11" t="s">
        <v>44</v>
      </c>
      <c r="E122" s="11" t="s">
        <v>100</v>
      </c>
      <c r="F122" s="11" t="s">
        <v>31</v>
      </c>
      <c r="G122" s="12" t="s">
        <v>32</v>
      </c>
      <c r="H122" s="12" t="s">
        <v>33</v>
      </c>
      <c r="I122" s="11" t="s">
        <v>328</v>
      </c>
      <c r="J122" s="12" t="s">
        <v>327</v>
      </c>
    </row>
    <row r="123" spans="1:10" x14ac:dyDescent="0.25">
      <c r="A123" s="12" t="s">
        <v>47</v>
      </c>
      <c r="B123" s="11" t="s">
        <v>46</v>
      </c>
      <c r="C123" s="22" t="s">
        <v>341</v>
      </c>
      <c r="D123" s="11" t="s">
        <v>46</v>
      </c>
      <c r="E123" s="11" t="s">
        <v>100</v>
      </c>
      <c r="F123" s="11" t="s">
        <v>31</v>
      </c>
      <c r="G123" s="12" t="s">
        <v>32</v>
      </c>
      <c r="H123" s="12" t="s">
        <v>33</v>
      </c>
      <c r="I123" s="11" t="s">
        <v>328</v>
      </c>
      <c r="J123" s="12" t="s">
        <v>327</v>
      </c>
    </row>
    <row r="124" spans="1:10" x14ac:dyDescent="0.25">
      <c r="A124" s="12" t="s">
        <v>49</v>
      </c>
      <c r="B124" s="11" t="s">
        <v>48</v>
      </c>
      <c r="C124" s="22" t="s">
        <v>341</v>
      </c>
      <c r="D124" s="11" t="s">
        <v>48</v>
      </c>
      <c r="E124" s="11" t="s">
        <v>100</v>
      </c>
      <c r="F124" s="11" t="s">
        <v>31</v>
      </c>
      <c r="G124" s="12" t="s">
        <v>32</v>
      </c>
      <c r="H124" s="12" t="s">
        <v>33</v>
      </c>
      <c r="I124" s="11" t="s">
        <v>328</v>
      </c>
      <c r="J124" s="12" t="s">
        <v>327</v>
      </c>
    </row>
    <row r="125" spans="1:10" x14ac:dyDescent="0.25">
      <c r="A125" s="12" t="s">
        <v>51</v>
      </c>
      <c r="B125" s="11" t="s">
        <v>50</v>
      </c>
      <c r="C125" s="22" t="s">
        <v>341</v>
      </c>
      <c r="D125" s="11" t="s">
        <v>50</v>
      </c>
      <c r="E125" s="11" t="s">
        <v>100</v>
      </c>
      <c r="F125" s="11" t="s">
        <v>31</v>
      </c>
      <c r="G125" s="12" t="s">
        <v>32</v>
      </c>
      <c r="H125" s="12" t="s">
        <v>33</v>
      </c>
      <c r="I125" s="11" t="s">
        <v>328</v>
      </c>
      <c r="J125" s="12" t="s">
        <v>327</v>
      </c>
    </row>
    <row r="126" spans="1:10" x14ac:dyDescent="0.25">
      <c r="A126" s="12" t="s">
        <v>53</v>
      </c>
      <c r="B126" s="11" t="s">
        <v>52</v>
      </c>
      <c r="C126" s="22" t="s">
        <v>341</v>
      </c>
      <c r="D126" s="11" t="s">
        <v>52</v>
      </c>
      <c r="E126" s="11" t="s">
        <v>100</v>
      </c>
      <c r="F126" s="11" t="s">
        <v>31</v>
      </c>
      <c r="G126" s="12" t="s">
        <v>32</v>
      </c>
      <c r="H126" s="12" t="s">
        <v>33</v>
      </c>
      <c r="I126" s="11" t="s">
        <v>328</v>
      </c>
      <c r="J126" s="12" t="s">
        <v>327</v>
      </c>
    </row>
    <row r="127" spans="1:10" x14ac:dyDescent="0.25">
      <c r="A127" s="12" t="s">
        <v>55</v>
      </c>
      <c r="B127" s="11" t="s">
        <v>54</v>
      </c>
      <c r="C127" s="22" t="s">
        <v>341</v>
      </c>
      <c r="D127" s="11" t="s">
        <v>54</v>
      </c>
      <c r="E127" s="11" t="s">
        <v>100</v>
      </c>
      <c r="F127" s="11" t="s">
        <v>31</v>
      </c>
      <c r="G127" s="12" t="s">
        <v>32</v>
      </c>
      <c r="H127" s="12" t="s">
        <v>33</v>
      </c>
      <c r="I127" s="11" t="s">
        <v>328</v>
      </c>
      <c r="J127" s="12" t="s">
        <v>494</v>
      </c>
    </row>
    <row r="128" spans="1:10" x14ac:dyDescent="0.25">
      <c r="A128" s="12" t="s">
        <v>57</v>
      </c>
      <c r="B128" s="11" t="s">
        <v>376</v>
      </c>
      <c r="C128" s="22" t="s">
        <v>341</v>
      </c>
      <c r="D128" s="11" t="s">
        <v>56</v>
      </c>
      <c r="E128" s="11" t="s">
        <v>100</v>
      </c>
      <c r="F128" s="11" t="s">
        <v>31</v>
      </c>
      <c r="G128" s="12" t="s">
        <v>32</v>
      </c>
      <c r="H128" s="12" t="s">
        <v>33</v>
      </c>
      <c r="I128" s="11" t="s">
        <v>328</v>
      </c>
      <c r="J128" s="12" t="s">
        <v>504</v>
      </c>
    </row>
    <row r="129" spans="1:10" x14ac:dyDescent="0.25">
      <c r="A129" s="12" t="s">
        <v>59</v>
      </c>
      <c r="B129" s="11" t="s">
        <v>378</v>
      </c>
      <c r="C129" s="22" t="s">
        <v>341</v>
      </c>
      <c r="D129" s="11" t="s">
        <v>58</v>
      </c>
      <c r="E129" s="11" t="s">
        <v>100</v>
      </c>
      <c r="F129" s="11" t="s">
        <v>31</v>
      </c>
      <c r="G129" s="12" t="s">
        <v>32</v>
      </c>
      <c r="H129" s="12" t="s">
        <v>33</v>
      </c>
      <c r="I129" s="11" t="s">
        <v>328</v>
      </c>
      <c r="J129" s="12" t="s">
        <v>327</v>
      </c>
    </row>
    <row r="130" spans="1:10" x14ac:dyDescent="0.25">
      <c r="A130" s="12"/>
      <c r="B130" s="11" t="s">
        <v>419</v>
      </c>
      <c r="C130" s="22" t="s">
        <v>605</v>
      </c>
      <c r="D130" s="11" t="s">
        <v>419</v>
      </c>
      <c r="E130" s="11" t="s">
        <v>100</v>
      </c>
      <c r="F130" s="11" t="s">
        <v>31</v>
      </c>
      <c r="G130" s="12" t="s">
        <v>32</v>
      </c>
      <c r="H130" s="12" t="s">
        <v>33</v>
      </c>
      <c r="I130" s="11" t="s">
        <v>328</v>
      </c>
      <c r="J130" s="12" t="s">
        <v>504</v>
      </c>
    </row>
    <row r="131" spans="1:10" x14ac:dyDescent="0.25">
      <c r="A131" s="12" t="s">
        <v>61</v>
      </c>
      <c r="B131" s="11" t="s">
        <v>60</v>
      </c>
      <c r="C131" s="22" t="s">
        <v>341</v>
      </c>
      <c r="D131" s="11" t="s">
        <v>60</v>
      </c>
      <c r="E131" s="11" t="s">
        <v>100</v>
      </c>
      <c r="F131" s="11" t="s">
        <v>31</v>
      </c>
      <c r="G131" s="12" t="s">
        <v>32</v>
      </c>
      <c r="H131" s="12" t="s">
        <v>33</v>
      </c>
      <c r="I131" s="11" t="s">
        <v>328</v>
      </c>
      <c r="J131" s="12" t="s">
        <v>327</v>
      </c>
    </row>
    <row r="132" spans="1:10" x14ac:dyDescent="0.25">
      <c r="A132" s="12" t="s">
        <v>63</v>
      </c>
      <c r="B132" s="11" t="s">
        <v>394</v>
      </c>
      <c r="C132" s="22" t="s">
        <v>341</v>
      </c>
      <c r="D132" s="11" t="s">
        <v>62</v>
      </c>
      <c r="E132" s="11" t="s">
        <v>100</v>
      </c>
      <c r="F132" s="11" t="s">
        <v>31</v>
      </c>
      <c r="G132" s="12" t="s">
        <v>32</v>
      </c>
      <c r="H132" s="12" t="s">
        <v>33</v>
      </c>
      <c r="I132" s="11" t="s">
        <v>328</v>
      </c>
      <c r="J132" s="12" t="s">
        <v>327</v>
      </c>
    </row>
    <row r="133" spans="1:10" x14ac:dyDescent="0.25">
      <c r="A133" s="12"/>
      <c r="B133" s="11" t="s">
        <v>423</v>
      </c>
      <c r="C133" s="22" t="s">
        <v>605</v>
      </c>
      <c r="D133" s="11" t="s">
        <v>423</v>
      </c>
      <c r="E133" s="11" t="s">
        <v>100</v>
      </c>
      <c r="F133" s="11" t="s">
        <v>31</v>
      </c>
      <c r="G133" s="12" t="s">
        <v>32</v>
      </c>
      <c r="H133" s="12" t="s">
        <v>33</v>
      </c>
      <c r="I133" s="11" t="s">
        <v>328</v>
      </c>
      <c r="J133" s="12" t="s">
        <v>504</v>
      </c>
    </row>
    <row r="134" spans="1:10" x14ac:dyDescent="0.25">
      <c r="A134" s="12" t="s">
        <v>65</v>
      </c>
      <c r="B134" s="11" t="s">
        <v>64</v>
      </c>
      <c r="C134" s="22" t="s">
        <v>341</v>
      </c>
      <c r="D134" s="11" t="s">
        <v>64</v>
      </c>
      <c r="E134" s="11" t="s">
        <v>30</v>
      </c>
      <c r="F134" s="11" t="s">
        <v>31</v>
      </c>
      <c r="G134" s="12" t="s">
        <v>32</v>
      </c>
      <c r="H134" s="12" t="s">
        <v>33</v>
      </c>
      <c r="I134" s="11" t="s">
        <v>328</v>
      </c>
      <c r="J134" s="12" t="s">
        <v>329</v>
      </c>
    </row>
    <row r="135" spans="1:10" x14ac:dyDescent="0.25">
      <c r="A135" s="12" t="s">
        <v>306</v>
      </c>
      <c r="B135" s="11" t="s">
        <v>305</v>
      </c>
      <c r="C135" s="22" t="s">
        <v>341</v>
      </c>
      <c r="D135" s="11" t="s">
        <v>305</v>
      </c>
      <c r="E135" s="11" t="s">
        <v>100</v>
      </c>
      <c r="F135" s="11" t="s">
        <v>31</v>
      </c>
      <c r="G135" s="12" t="s">
        <v>32</v>
      </c>
      <c r="H135" s="12" t="s">
        <v>33</v>
      </c>
      <c r="I135" s="11" t="s">
        <v>328</v>
      </c>
      <c r="J135" s="12" t="s">
        <v>327</v>
      </c>
    </row>
    <row r="136" spans="1:10" x14ac:dyDescent="0.25">
      <c r="A136" s="12" t="s">
        <v>67</v>
      </c>
      <c r="B136" s="11" t="s">
        <v>400</v>
      </c>
      <c r="C136" s="22" t="s">
        <v>341</v>
      </c>
      <c r="D136" s="11" t="s">
        <v>66</v>
      </c>
      <c r="E136" s="11" t="s">
        <v>100</v>
      </c>
      <c r="F136" s="11" t="s">
        <v>31</v>
      </c>
      <c r="G136" s="12" t="s">
        <v>32</v>
      </c>
      <c r="H136" s="12" t="s">
        <v>33</v>
      </c>
      <c r="I136" s="11" t="s">
        <v>328</v>
      </c>
      <c r="J136" s="12" t="s">
        <v>504</v>
      </c>
    </row>
    <row r="137" spans="1:10" x14ac:dyDescent="0.25">
      <c r="A137" s="12" t="s">
        <v>69</v>
      </c>
      <c r="B137" s="11" t="s">
        <v>68</v>
      </c>
      <c r="C137" s="22" t="s">
        <v>341</v>
      </c>
      <c r="D137" s="11" t="s">
        <v>68</v>
      </c>
      <c r="E137" s="11" t="s">
        <v>100</v>
      </c>
      <c r="F137" s="11" t="s">
        <v>31</v>
      </c>
      <c r="G137" s="12" t="s">
        <v>32</v>
      </c>
      <c r="H137" s="12" t="s">
        <v>33</v>
      </c>
      <c r="I137" s="11" t="s">
        <v>328</v>
      </c>
      <c r="J137" s="12" t="s">
        <v>327</v>
      </c>
    </row>
    <row r="138" spans="1:10" x14ac:dyDescent="0.25">
      <c r="A138" s="12"/>
      <c r="B138" s="11" t="s">
        <v>426</v>
      </c>
      <c r="C138" s="22" t="s">
        <v>605</v>
      </c>
      <c r="D138" s="11" t="s">
        <v>426</v>
      </c>
      <c r="E138" s="11" t="s">
        <v>30</v>
      </c>
      <c r="F138" s="11" t="s">
        <v>31</v>
      </c>
      <c r="G138" s="12" t="s">
        <v>32</v>
      </c>
      <c r="H138" s="12" t="s">
        <v>33</v>
      </c>
      <c r="I138" s="11" t="s">
        <v>328</v>
      </c>
      <c r="J138" s="12" t="s">
        <v>329</v>
      </c>
    </row>
    <row r="139" spans="1:10" x14ac:dyDescent="0.25">
      <c r="A139" s="12" t="s">
        <v>71</v>
      </c>
      <c r="B139" s="11" t="s">
        <v>406</v>
      </c>
      <c r="C139" s="22" t="s">
        <v>341</v>
      </c>
      <c r="D139" s="11" t="s">
        <v>70</v>
      </c>
      <c r="E139" s="11" t="s">
        <v>78</v>
      </c>
      <c r="F139" s="11" t="s">
        <v>79</v>
      </c>
      <c r="G139" s="12" t="s">
        <v>80</v>
      </c>
      <c r="H139" s="12" t="s">
        <v>33</v>
      </c>
      <c r="I139" s="11" t="s">
        <v>330</v>
      </c>
      <c r="J139" s="12" t="s">
        <v>327</v>
      </c>
    </row>
    <row r="140" spans="1:10" x14ac:dyDescent="0.25">
      <c r="A140" s="12" t="s">
        <v>73</v>
      </c>
      <c r="B140" s="11" t="s">
        <v>407</v>
      </c>
      <c r="C140" s="22" t="s">
        <v>341</v>
      </c>
      <c r="D140" s="11" t="s">
        <v>72</v>
      </c>
      <c r="E140" s="11" t="s">
        <v>100</v>
      </c>
      <c r="F140" s="11" t="s">
        <v>31</v>
      </c>
      <c r="G140" s="12" t="s">
        <v>32</v>
      </c>
      <c r="H140" s="12" t="s">
        <v>33</v>
      </c>
      <c r="I140" s="11" t="s">
        <v>328</v>
      </c>
      <c r="J140" s="12" t="s">
        <v>504</v>
      </c>
    </row>
    <row r="141" spans="1:10" x14ac:dyDescent="0.25">
      <c r="A141" s="12" t="s">
        <v>75</v>
      </c>
      <c r="B141" s="11" t="s">
        <v>74</v>
      </c>
      <c r="C141" s="22" t="s">
        <v>341</v>
      </c>
      <c r="D141" s="11" t="s">
        <v>74</v>
      </c>
      <c r="E141" s="11" t="s">
        <v>100</v>
      </c>
      <c r="F141" s="11" t="s">
        <v>31</v>
      </c>
      <c r="G141" s="12" t="s">
        <v>32</v>
      </c>
      <c r="H141" s="12" t="s">
        <v>33</v>
      </c>
      <c r="I141" s="11" t="s">
        <v>328</v>
      </c>
      <c r="J141" s="12" t="s">
        <v>504</v>
      </c>
    </row>
    <row r="142" spans="1:10" x14ac:dyDescent="0.25">
      <c r="A142" s="12" t="s">
        <v>286</v>
      </c>
      <c r="B142" s="11" t="s">
        <v>411</v>
      </c>
      <c r="C142" s="22" t="s">
        <v>341</v>
      </c>
      <c r="D142" s="11" t="s">
        <v>285</v>
      </c>
      <c r="E142" s="11" t="s">
        <v>100</v>
      </c>
      <c r="F142" s="11" t="s">
        <v>31</v>
      </c>
      <c r="G142" s="12" t="s">
        <v>32</v>
      </c>
      <c r="H142" s="12" t="s">
        <v>33</v>
      </c>
      <c r="I142" s="11" t="s">
        <v>328</v>
      </c>
      <c r="J142" s="12" t="s">
        <v>504</v>
      </c>
    </row>
    <row r="143" spans="1:10" x14ac:dyDescent="0.25">
      <c r="A143" s="12"/>
      <c r="B143" s="11" t="s">
        <v>412</v>
      </c>
      <c r="C143" s="22" t="s">
        <v>605</v>
      </c>
      <c r="D143" s="11" t="s">
        <v>412</v>
      </c>
      <c r="E143" s="11" t="s">
        <v>233</v>
      </c>
      <c r="F143" s="11" t="s">
        <v>31</v>
      </c>
      <c r="G143" s="12" t="s">
        <v>32</v>
      </c>
      <c r="H143" s="12" t="s">
        <v>106</v>
      </c>
      <c r="I143" s="11" t="s">
        <v>328</v>
      </c>
      <c r="J143" s="12" t="s">
        <v>329</v>
      </c>
    </row>
    <row r="144" spans="1:10" x14ac:dyDescent="0.25">
      <c r="A144" s="12" t="s">
        <v>316</v>
      </c>
      <c r="B144" s="11" t="s">
        <v>315</v>
      </c>
      <c r="C144" s="22" t="s">
        <v>341</v>
      </c>
      <c r="D144" s="11" t="s">
        <v>315</v>
      </c>
      <c r="E144" s="11" t="s">
        <v>233</v>
      </c>
      <c r="F144" s="11" t="s">
        <v>31</v>
      </c>
      <c r="G144" s="12" t="s">
        <v>32</v>
      </c>
      <c r="H144" s="12" t="s">
        <v>106</v>
      </c>
      <c r="I144" s="11" t="s">
        <v>328</v>
      </c>
      <c r="J144" s="12" t="s">
        <v>504</v>
      </c>
    </row>
    <row r="145" spans="1:10" x14ac:dyDescent="0.25">
      <c r="A145" s="100" t="s">
        <v>232</v>
      </c>
      <c r="B145" s="101" t="s">
        <v>231</v>
      </c>
      <c r="C145" s="102" t="s">
        <v>341</v>
      </c>
      <c r="D145" s="101" t="s">
        <v>231</v>
      </c>
      <c r="E145" s="101" t="s">
        <v>233</v>
      </c>
      <c r="F145" s="101" t="s">
        <v>31</v>
      </c>
      <c r="G145" s="100" t="s">
        <v>32</v>
      </c>
      <c r="H145" s="100" t="s">
        <v>106</v>
      </c>
      <c r="I145" s="101" t="s">
        <v>328</v>
      </c>
      <c r="J145" s="100" t="s">
        <v>327</v>
      </c>
    </row>
    <row r="146" spans="1:10" x14ac:dyDescent="0.25">
      <c r="A146" s="12" t="s">
        <v>235</v>
      </c>
      <c r="B146" s="11" t="s">
        <v>234</v>
      </c>
      <c r="C146" s="22" t="s">
        <v>341</v>
      </c>
      <c r="D146" s="11" t="s">
        <v>234</v>
      </c>
      <c r="E146" s="11" t="s">
        <v>233</v>
      </c>
      <c r="F146" s="11" t="s">
        <v>31</v>
      </c>
      <c r="G146" s="12" t="s">
        <v>32</v>
      </c>
      <c r="H146" s="12" t="s">
        <v>106</v>
      </c>
      <c r="I146" s="11" t="s">
        <v>328</v>
      </c>
      <c r="J146" s="12" t="s">
        <v>327</v>
      </c>
    </row>
    <row r="147" spans="1:10" x14ac:dyDescent="0.25">
      <c r="A147" s="12" t="s">
        <v>237</v>
      </c>
      <c r="B147" s="11" t="s">
        <v>353</v>
      </c>
      <c r="C147" s="22" t="s">
        <v>341</v>
      </c>
      <c r="D147" s="11" t="s">
        <v>236</v>
      </c>
      <c r="E147" s="11" t="s">
        <v>233</v>
      </c>
      <c r="F147" s="11" t="s">
        <v>31</v>
      </c>
      <c r="G147" s="12" t="s">
        <v>32</v>
      </c>
      <c r="H147" s="12" t="s">
        <v>106</v>
      </c>
      <c r="I147" s="11" t="s">
        <v>328</v>
      </c>
      <c r="J147" s="12" t="s">
        <v>327</v>
      </c>
    </row>
    <row r="148" spans="1:10" x14ac:dyDescent="0.25">
      <c r="A148" s="12" t="s">
        <v>239</v>
      </c>
      <c r="B148" s="11" t="s">
        <v>355</v>
      </c>
      <c r="C148" s="22" t="s">
        <v>341</v>
      </c>
      <c r="D148" s="11" t="s">
        <v>238</v>
      </c>
      <c r="E148" s="11" t="s">
        <v>233</v>
      </c>
      <c r="F148" s="11" t="s">
        <v>31</v>
      </c>
      <c r="G148" s="12" t="s">
        <v>32</v>
      </c>
      <c r="H148" s="12" t="s">
        <v>106</v>
      </c>
      <c r="I148" s="11" t="s">
        <v>328</v>
      </c>
      <c r="J148" s="12" t="s">
        <v>327</v>
      </c>
    </row>
    <row r="149" spans="1:10" x14ac:dyDescent="0.25">
      <c r="A149" s="12"/>
      <c r="B149" s="11" t="s">
        <v>415</v>
      </c>
      <c r="C149" s="22" t="s">
        <v>605</v>
      </c>
      <c r="D149" s="11" t="s">
        <v>415</v>
      </c>
      <c r="E149" s="11" t="s">
        <v>233</v>
      </c>
      <c r="F149" s="11" t="s">
        <v>31</v>
      </c>
      <c r="G149" s="12" t="s">
        <v>32</v>
      </c>
      <c r="H149" s="12" t="s">
        <v>106</v>
      </c>
      <c r="I149" s="11" t="s">
        <v>328</v>
      </c>
      <c r="J149" s="12" t="s">
        <v>329</v>
      </c>
    </row>
    <row r="150" spans="1:10" x14ac:dyDescent="0.25">
      <c r="A150" s="12" t="s">
        <v>241</v>
      </c>
      <c r="B150" s="11" t="s">
        <v>363</v>
      </c>
      <c r="C150" s="22" t="s">
        <v>341</v>
      </c>
      <c r="D150" s="11" t="s">
        <v>240</v>
      </c>
      <c r="E150" s="11" t="s">
        <v>233</v>
      </c>
      <c r="F150" s="11" t="s">
        <v>31</v>
      </c>
      <c r="G150" s="12" t="s">
        <v>32</v>
      </c>
      <c r="H150" s="12" t="s">
        <v>106</v>
      </c>
      <c r="I150" s="11" t="s">
        <v>328</v>
      </c>
      <c r="J150" s="12" t="s">
        <v>327</v>
      </c>
    </row>
    <row r="151" spans="1:10" x14ac:dyDescent="0.25">
      <c r="A151" s="12" t="s">
        <v>243</v>
      </c>
      <c r="B151" s="11" t="s">
        <v>364</v>
      </c>
      <c r="C151" s="22" t="s">
        <v>341</v>
      </c>
      <c r="D151" s="11" t="s">
        <v>242</v>
      </c>
      <c r="E151" s="11" t="s">
        <v>233</v>
      </c>
      <c r="F151" s="11" t="s">
        <v>31</v>
      </c>
      <c r="G151" s="12" t="s">
        <v>32</v>
      </c>
      <c r="H151" s="12" t="s">
        <v>106</v>
      </c>
      <c r="I151" s="11" t="s">
        <v>328</v>
      </c>
      <c r="J151" s="12" t="s">
        <v>327</v>
      </c>
    </row>
    <row r="152" spans="1:10" x14ac:dyDescent="0.25">
      <c r="A152" s="12" t="s">
        <v>245</v>
      </c>
      <c r="B152" s="11" t="s">
        <v>244</v>
      </c>
      <c r="C152" s="22" t="s">
        <v>341</v>
      </c>
      <c r="D152" s="11" t="s">
        <v>244</v>
      </c>
      <c r="E152" s="11" t="s">
        <v>233</v>
      </c>
      <c r="F152" s="11" t="s">
        <v>31</v>
      </c>
      <c r="G152" s="12" t="s">
        <v>32</v>
      </c>
      <c r="H152" s="12" t="s">
        <v>106</v>
      </c>
      <c r="I152" s="11" t="s">
        <v>328</v>
      </c>
      <c r="J152" s="12" t="s">
        <v>494</v>
      </c>
    </row>
    <row r="153" spans="1:10" x14ac:dyDescent="0.25">
      <c r="A153" s="12" t="s">
        <v>247</v>
      </c>
      <c r="B153" s="11" t="s">
        <v>367</v>
      </c>
      <c r="C153" s="22" t="s">
        <v>341</v>
      </c>
      <c r="D153" s="11" t="s">
        <v>246</v>
      </c>
      <c r="E153" s="11" t="s">
        <v>233</v>
      </c>
      <c r="F153" s="11" t="s">
        <v>31</v>
      </c>
      <c r="G153" s="12" t="s">
        <v>32</v>
      </c>
      <c r="H153" s="12" t="s">
        <v>106</v>
      </c>
      <c r="I153" s="11" t="s">
        <v>328</v>
      </c>
      <c r="J153" s="12" t="s">
        <v>327</v>
      </c>
    </row>
    <row r="154" spans="1:10" x14ac:dyDescent="0.25">
      <c r="A154" s="12" t="s">
        <v>621</v>
      </c>
      <c r="B154" s="11" t="s">
        <v>604</v>
      </c>
      <c r="C154" s="22" t="s">
        <v>341</v>
      </c>
      <c r="D154" s="11" t="s">
        <v>604</v>
      </c>
      <c r="E154" s="11" t="s">
        <v>233</v>
      </c>
      <c r="F154" s="11" t="s">
        <v>31</v>
      </c>
      <c r="G154" s="12" t="s">
        <v>32</v>
      </c>
      <c r="H154" s="12" t="s">
        <v>106</v>
      </c>
      <c r="I154" s="11" t="s">
        <v>328</v>
      </c>
      <c r="J154" s="12" t="s">
        <v>327</v>
      </c>
    </row>
    <row r="155" spans="1:10" x14ac:dyDescent="0.25">
      <c r="A155" s="12" t="s">
        <v>249</v>
      </c>
      <c r="B155" s="11" t="s">
        <v>369</v>
      </c>
      <c r="C155" s="22" t="s">
        <v>341</v>
      </c>
      <c r="D155" s="11" t="s">
        <v>248</v>
      </c>
      <c r="E155" s="11" t="s">
        <v>78</v>
      </c>
      <c r="F155" s="11" t="s">
        <v>79</v>
      </c>
      <c r="G155" s="12" t="s">
        <v>80</v>
      </c>
      <c r="H155" s="12" t="s">
        <v>81</v>
      </c>
      <c r="I155" s="11" t="s">
        <v>330</v>
      </c>
      <c r="J155" s="12" t="s">
        <v>327</v>
      </c>
    </row>
    <row r="156" spans="1:10" x14ac:dyDescent="0.25">
      <c r="A156" s="12" t="s">
        <v>251</v>
      </c>
      <c r="B156" s="11" t="s">
        <v>370</v>
      </c>
      <c r="C156" s="22" t="s">
        <v>341</v>
      </c>
      <c r="D156" s="11" t="s">
        <v>250</v>
      </c>
      <c r="E156" s="11" t="s">
        <v>233</v>
      </c>
      <c r="F156" s="11" t="s">
        <v>31</v>
      </c>
      <c r="G156" s="12" t="s">
        <v>32</v>
      </c>
      <c r="H156" s="12" t="s">
        <v>106</v>
      </c>
      <c r="I156" s="11" t="s">
        <v>328</v>
      </c>
      <c r="J156" s="12" t="s">
        <v>329</v>
      </c>
    </row>
    <row r="157" spans="1:10" x14ac:dyDescent="0.25">
      <c r="A157" s="12" t="s">
        <v>253</v>
      </c>
      <c r="B157" s="11" t="s">
        <v>252</v>
      </c>
      <c r="C157" s="22" t="s">
        <v>341</v>
      </c>
      <c r="D157" s="11" t="s">
        <v>252</v>
      </c>
      <c r="E157" s="11" t="s">
        <v>78</v>
      </c>
      <c r="F157" s="11" t="s">
        <v>79</v>
      </c>
      <c r="G157" s="12" t="s">
        <v>80</v>
      </c>
      <c r="H157" s="12" t="s">
        <v>81</v>
      </c>
      <c r="I157" s="11" t="s">
        <v>330</v>
      </c>
      <c r="J157" s="12" t="s">
        <v>327</v>
      </c>
    </row>
    <row r="158" spans="1:10" x14ac:dyDescent="0.25">
      <c r="A158" s="12" t="s">
        <v>255</v>
      </c>
      <c r="B158" s="11" t="s">
        <v>372</v>
      </c>
      <c r="C158" s="22" t="s">
        <v>341</v>
      </c>
      <c r="D158" s="11" t="s">
        <v>254</v>
      </c>
      <c r="E158" s="11" t="s">
        <v>233</v>
      </c>
      <c r="F158" s="11" t="s">
        <v>31</v>
      </c>
      <c r="G158" s="12" t="s">
        <v>32</v>
      </c>
      <c r="H158" s="12" t="s">
        <v>106</v>
      </c>
      <c r="I158" s="11" t="s">
        <v>328</v>
      </c>
      <c r="J158" s="12" t="s">
        <v>327</v>
      </c>
    </row>
    <row r="159" spans="1:10" x14ac:dyDescent="0.25">
      <c r="A159" s="12" t="s">
        <v>257</v>
      </c>
      <c r="B159" s="11" t="s">
        <v>256</v>
      </c>
      <c r="C159" s="22" t="s">
        <v>341</v>
      </c>
      <c r="D159" s="11" t="s">
        <v>256</v>
      </c>
      <c r="E159" s="11" t="s">
        <v>233</v>
      </c>
      <c r="F159" s="11" t="s">
        <v>31</v>
      </c>
      <c r="G159" s="12" t="s">
        <v>32</v>
      </c>
      <c r="H159" s="12" t="s">
        <v>106</v>
      </c>
      <c r="I159" s="11" t="s">
        <v>328</v>
      </c>
      <c r="J159" s="12" t="s">
        <v>327</v>
      </c>
    </row>
    <row r="160" spans="1:10" x14ac:dyDescent="0.25">
      <c r="A160" s="12" t="s">
        <v>259</v>
      </c>
      <c r="B160" s="11" t="s">
        <v>258</v>
      </c>
      <c r="C160" s="22" t="s">
        <v>341</v>
      </c>
      <c r="D160" s="11" t="s">
        <v>258</v>
      </c>
      <c r="E160" s="11" t="s">
        <v>233</v>
      </c>
      <c r="F160" s="11" t="s">
        <v>31</v>
      </c>
      <c r="G160" s="12" t="s">
        <v>32</v>
      </c>
      <c r="H160" s="12" t="s">
        <v>106</v>
      </c>
      <c r="I160" s="11" t="s">
        <v>328</v>
      </c>
      <c r="J160" s="12" t="s">
        <v>327</v>
      </c>
    </row>
    <row r="161" spans="1:10" x14ac:dyDescent="0.25">
      <c r="A161" s="12" t="s">
        <v>261</v>
      </c>
      <c r="B161" s="11" t="s">
        <v>377</v>
      </c>
      <c r="C161" s="22" t="s">
        <v>341</v>
      </c>
      <c r="D161" s="11" t="s">
        <v>260</v>
      </c>
      <c r="E161" s="11" t="s">
        <v>233</v>
      </c>
      <c r="F161" s="11" t="s">
        <v>31</v>
      </c>
      <c r="G161" s="12" t="s">
        <v>32</v>
      </c>
      <c r="H161" s="12" t="s">
        <v>106</v>
      </c>
      <c r="I161" s="11" t="s">
        <v>328</v>
      </c>
      <c r="J161" s="12" t="s">
        <v>494</v>
      </c>
    </row>
    <row r="162" spans="1:10" x14ac:dyDescent="0.25">
      <c r="A162" s="12" t="s">
        <v>263</v>
      </c>
      <c r="B162" s="11" t="s">
        <v>262</v>
      </c>
      <c r="C162" s="22" t="s">
        <v>341</v>
      </c>
      <c r="D162" s="11" t="s">
        <v>262</v>
      </c>
      <c r="E162" s="11" t="s">
        <v>233</v>
      </c>
      <c r="F162" s="11" t="s">
        <v>31</v>
      </c>
      <c r="G162" s="12" t="s">
        <v>32</v>
      </c>
      <c r="H162" s="12" t="s">
        <v>106</v>
      </c>
      <c r="I162" s="11" t="s">
        <v>328</v>
      </c>
      <c r="J162" s="12" t="s">
        <v>494</v>
      </c>
    </row>
    <row r="163" spans="1:10" x14ac:dyDescent="0.25">
      <c r="A163" s="12" t="s">
        <v>265</v>
      </c>
      <c r="B163" s="11" t="s">
        <v>383</v>
      </c>
      <c r="C163" s="22" t="s">
        <v>341</v>
      </c>
      <c r="D163" s="11" t="s">
        <v>264</v>
      </c>
      <c r="E163" s="11" t="s">
        <v>78</v>
      </c>
      <c r="F163" s="11" t="s">
        <v>79</v>
      </c>
      <c r="G163" s="12" t="s">
        <v>80</v>
      </c>
      <c r="H163" s="12" t="s">
        <v>106</v>
      </c>
      <c r="I163" s="11" t="s">
        <v>330</v>
      </c>
      <c r="J163" s="12" t="s">
        <v>327</v>
      </c>
    </row>
    <row r="164" spans="1:10" x14ac:dyDescent="0.25">
      <c r="A164" s="12" t="s">
        <v>267</v>
      </c>
      <c r="B164" s="11" t="s">
        <v>266</v>
      </c>
      <c r="C164" s="22" t="s">
        <v>341</v>
      </c>
      <c r="D164" s="11" t="s">
        <v>266</v>
      </c>
      <c r="E164" s="11" t="s">
        <v>233</v>
      </c>
      <c r="F164" s="11" t="s">
        <v>31</v>
      </c>
      <c r="G164" s="12" t="s">
        <v>32</v>
      </c>
      <c r="H164" s="12" t="s">
        <v>106</v>
      </c>
      <c r="I164" s="11" t="s">
        <v>328</v>
      </c>
      <c r="J164" s="12" t="s">
        <v>327</v>
      </c>
    </row>
    <row r="165" spans="1:10" x14ac:dyDescent="0.25">
      <c r="A165" s="12" t="s">
        <v>269</v>
      </c>
      <c r="B165" s="11" t="s">
        <v>268</v>
      </c>
      <c r="C165" s="22" t="s">
        <v>341</v>
      </c>
      <c r="D165" s="11" t="s">
        <v>268</v>
      </c>
      <c r="E165" s="11" t="s">
        <v>233</v>
      </c>
      <c r="F165" s="11" t="s">
        <v>31</v>
      </c>
      <c r="G165" s="12" t="s">
        <v>32</v>
      </c>
      <c r="H165" s="12" t="s">
        <v>106</v>
      </c>
      <c r="I165" s="11" t="s">
        <v>328</v>
      </c>
      <c r="J165" s="12" t="s">
        <v>494</v>
      </c>
    </row>
    <row r="166" spans="1:10" x14ac:dyDescent="0.25">
      <c r="A166" s="12" t="s">
        <v>271</v>
      </c>
      <c r="B166" s="11" t="s">
        <v>388</v>
      </c>
      <c r="C166" s="22" t="s">
        <v>341</v>
      </c>
      <c r="D166" s="11" t="s">
        <v>270</v>
      </c>
      <c r="E166" s="11" t="s">
        <v>233</v>
      </c>
      <c r="F166" s="11" t="s">
        <v>31</v>
      </c>
      <c r="G166" s="12" t="s">
        <v>32</v>
      </c>
      <c r="H166" s="12" t="s">
        <v>106</v>
      </c>
      <c r="I166" s="11" t="s">
        <v>328</v>
      </c>
      <c r="J166" s="12" t="s">
        <v>327</v>
      </c>
    </row>
    <row r="167" spans="1:10" x14ac:dyDescent="0.25">
      <c r="A167" s="12" t="s">
        <v>273</v>
      </c>
      <c r="B167" s="11" t="s">
        <v>391</v>
      </c>
      <c r="C167" s="22" t="s">
        <v>341</v>
      </c>
      <c r="D167" s="11" t="s">
        <v>272</v>
      </c>
      <c r="E167" s="11" t="s">
        <v>233</v>
      </c>
      <c r="F167" s="11" t="s">
        <v>31</v>
      </c>
      <c r="G167" s="12" t="s">
        <v>32</v>
      </c>
      <c r="H167" s="12" t="s">
        <v>106</v>
      </c>
      <c r="I167" s="11" t="s">
        <v>328</v>
      </c>
      <c r="J167" s="12" t="s">
        <v>504</v>
      </c>
    </row>
    <row r="168" spans="1:10" x14ac:dyDescent="0.25">
      <c r="A168" s="12"/>
      <c r="B168" s="11" t="s">
        <v>420</v>
      </c>
      <c r="C168" s="22" t="s">
        <v>605</v>
      </c>
      <c r="D168" s="11" t="s">
        <v>420</v>
      </c>
      <c r="E168" s="11" t="s">
        <v>233</v>
      </c>
      <c r="F168" s="11" t="s">
        <v>31</v>
      </c>
      <c r="G168" s="12" t="s">
        <v>32</v>
      </c>
      <c r="H168" s="12" t="s">
        <v>106</v>
      </c>
      <c r="I168" s="11" t="s">
        <v>328</v>
      </c>
      <c r="J168" s="12" t="s">
        <v>504</v>
      </c>
    </row>
    <row r="169" spans="1:10" x14ac:dyDescent="0.25">
      <c r="A169" s="12" t="s">
        <v>275</v>
      </c>
      <c r="B169" s="11" t="s">
        <v>274</v>
      </c>
      <c r="C169" s="22" t="s">
        <v>341</v>
      </c>
      <c r="D169" s="11" t="s">
        <v>274</v>
      </c>
      <c r="E169" s="11" t="s">
        <v>233</v>
      </c>
      <c r="F169" s="11" t="s">
        <v>31</v>
      </c>
      <c r="G169" s="12" t="s">
        <v>32</v>
      </c>
      <c r="H169" s="12" t="s">
        <v>106</v>
      </c>
      <c r="I169" s="11" t="s">
        <v>328</v>
      </c>
      <c r="J169" s="12" t="s">
        <v>327</v>
      </c>
    </row>
    <row r="170" spans="1:10" x14ac:dyDescent="0.25">
      <c r="A170" s="12" t="s">
        <v>318</v>
      </c>
      <c r="B170" s="11" t="s">
        <v>317</v>
      </c>
      <c r="C170" s="22" t="s">
        <v>341</v>
      </c>
      <c r="D170" s="11" t="s">
        <v>317</v>
      </c>
      <c r="E170" s="11" t="s">
        <v>233</v>
      </c>
      <c r="F170" s="11" t="s">
        <v>31</v>
      </c>
      <c r="G170" s="12" t="s">
        <v>32</v>
      </c>
      <c r="H170" s="12" t="s">
        <v>106</v>
      </c>
      <c r="I170" s="11" t="s">
        <v>328</v>
      </c>
      <c r="J170" s="12" t="s">
        <v>504</v>
      </c>
    </row>
    <row r="171" spans="1:10" x14ac:dyDescent="0.25">
      <c r="A171" s="12" t="s">
        <v>277</v>
      </c>
      <c r="B171" s="11" t="s">
        <v>401</v>
      </c>
      <c r="C171" s="22" t="s">
        <v>341</v>
      </c>
      <c r="D171" s="11" t="s">
        <v>276</v>
      </c>
      <c r="E171" s="11" t="s">
        <v>233</v>
      </c>
      <c r="F171" s="11" t="s">
        <v>31</v>
      </c>
      <c r="G171" s="12" t="s">
        <v>32</v>
      </c>
      <c r="H171" s="12" t="s">
        <v>106</v>
      </c>
      <c r="I171" s="11" t="s">
        <v>328</v>
      </c>
      <c r="J171" s="12" t="s">
        <v>327</v>
      </c>
    </row>
    <row r="172" spans="1:10" x14ac:dyDescent="0.25">
      <c r="A172" s="12" t="s">
        <v>279</v>
      </c>
      <c r="B172" s="11" t="s">
        <v>403</v>
      </c>
      <c r="C172" s="22" t="s">
        <v>341</v>
      </c>
      <c r="D172" s="11" t="s">
        <v>278</v>
      </c>
      <c r="E172" s="11" t="s">
        <v>233</v>
      </c>
      <c r="F172" s="11" t="s">
        <v>31</v>
      </c>
      <c r="G172" s="12" t="s">
        <v>32</v>
      </c>
      <c r="H172" s="12" t="s">
        <v>106</v>
      </c>
      <c r="I172" s="11" t="s">
        <v>328</v>
      </c>
      <c r="J172" s="12" t="s">
        <v>327</v>
      </c>
    </row>
    <row r="173" spans="1:10" x14ac:dyDescent="0.25">
      <c r="A173" s="12" t="s">
        <v>281</v>
      </c>
      <c r="B173" s="11" t="s">
        <v>280</v>
      </c>
      <c r="C173" s="22" t="s">
        <v>341</v>
      </c>
      <c r="D173" s="11" t="s">
        <v>280</v>
      </c>
      <c r="E173" s="11" t="s">
        <v>233</v>
      </c>
      <c r="F173" s="11" t="s">
        <v>31</v>
      </c>
      <c r="G173" s="12" t="s">
        <v>32</v>
      </c>
      <c r="H173" s="12" t="s">
        <v>106</v>
      </c>
      <c r="I173" s="11" t="s">
        <v>328</v>
      </c>
      <c r="J173" s="12" t="s">
        <v>327</v>
      </c>
    </row>
    <row r="174" spans="1:10" x14ac:dyDescent="0.25">
      <c r="A174" s="12" t="s">
        <v>283</v>
      </c>
      <c r="B174" s="11" t="s">
        <v>408</v>
      </c>
      <c r="C174" s="22" t="s">
        <v>341</v>
      </c>
      <c r="D174" s="11" t="s">
        <v>282</v>
      </c>
      <c r="E174" s="11" t="s">
        <v>233</v>
      </c>
      <c r="F174" s="11" t="s">
        <v>31</v>
      </c>
      <c r="G174" s="12" t="s">
        <v>32</v>
      </c>
      <c r="H174" s="12" t="s">
        <v>106</v>
      </c>
      <c r="I174" s="11" t="s">
        <v>328</v>
      </c>
      <c r="J174" s="12" t="s">
        <v>327</v>
      </c>
    </row>
    <row r="175" spans="1:10" x14ac:dyDescent="0.25">
      <c r="A175" s="12" t="s">
        <v>294</v>
      </c>
      <c r="B175" s="11" t="s">
        <v>293</v>
      </c>
      <c r="C175" s="22" t="s">
        <v>341</v>
      </c>
      <c r="D175" s="11" t="s">
        <v>293</v>
      </c>
      <c r="E175" s="11" t="s">
        <v>104</v>
      </c>
      <c r="F175" s="11" t="s">
        <v>31</v>
      </c>
      <c r="G175" s="12" t="s">
        <v>600</v>
      </c>
      <c r="H175" s="12" t="s">
        <v>106</v>
      </c>
      <c r="I175" s="11" t="s">
        <v>328</v>
      </c>
      <c r="J175" s="12" t="s">
        <v>327</v>
      </c>
    </row>
    <row r="176" spans="1:10" x14ac:dyDescent="0.25">
      <c r="A176" s="12" t="s">
        <v>202</v>
      </c>
      <c r="B176" s="11" t="s">
        <v>201</v>
      </c>
      <c r="C176" s="22" t="s">
        <v>341</v>
      </c>
      <c r="D176" s="11" t="s">
        <v>201</v>
      </c>
      <c r="E176" s="11" t="s">
        <v>601</v>
      </c>
      <c r="F176" s="11" t="s">
        <v>31</v>
      </c>
      <c r="G176" s="12" t="s">
        <v>600</v>
      </c>
      <c r="H176" s="12" t="s">
        <v>33</v>
      </c>
      <c r="I176" s="11" t="s">
        <v>328</v>
      </c>
      <c r="J176" s="12" t="s">
        <v>327</v>
      </c>
    </row>
    <row r="177" spans="1:10" x14ac:dyDescent="0.25">
      <c r="A177" s="12" t="s">
        <v>642</v>
      </c>
      <c r="B177" s="11" t="s">
        <v>297</v>
      </c>
      <c r="C177" s="22" t="s">
        <v>341</v>
      </c>
      <c r="D177" s="11" t="s">
        <v>297</v>
      </c>
      <c r="E177" s="11" t="s">
        <v>104</v>
      </c>
      <c r="F177" s="11" t="s">
        <v>31</v>
      </c>
      <c r="G177" s="12" t="s">
        <v>105</v>
      </c>
      <c r="H177" s="12" t="s">
        <v>106</v>
      </c>
      <c r="I177" s="11" t="s">
        <v>328</v>
      </c>
      <c r="J177" s="12" t="s">
        <v>327</v>
      </c>
    </row>
    <row r="178" spans="1:10" ht="23.25" x14ac:dyDescent="0.25">
      <c r="A178" s="12" t="s">
        <v>599</v>
      </c>
      <c r="B178" s="11" t="s">
        <v>685</v>
      </c>
      <c r="C178" s="22" t="s">
        <v>686</v>
      </c>
      <c r="D178" s="11" t="s">
        <v>649</v>
      </c>
      <c r="E178" s="11" t="s">
        <v>104</v>
      </c>
      <c r="F178" s="54" t="s">
        <v>31</v>
      </c>
      <c r="G178" s="12" t="s">
        <v>105</v>
      </c>
      <c r="H178" s="12" t="s">
        <v>106</v>
      </c>
      <c r="I178" s="11" t="s">
        <v>328</v>
      </c>
      <c r="J178" s="12" t="s">
        <v>327</v>
      </c>
    </row>
    <row r="179" spans="1:10" ht="23.25" x14ac:dyDescent="0.25">
      <c r="A179" s="12" t="s">
        <v>687</v>
      </c>
      <c r="B179" s="11" t="s">
        <v>688</v>
      </c>
      <c r="C179" s="22" t="s">
        <v>689</v>
      </c>
      <c r="D179" s="11" t="s">
        <v>690</v>
      </c>
      <c r="E179" s="11" t="s">
        <v>104</v>
      </c>
      <c r="F179" s="54" t="s">
        <v>31</v>
      </c>
      <c r="G179" s="12" t="s">
        <v>105</v>
      </c>
      <c r="H179" s="12" t="s">
        <v>106</v>
      </c>
      <c r="I179" s="11" t="s">
        <v>328</v>
      </c>
      <c r="J179" s="12" t="s">
        <v>327</v>
      </c>
    </row>
    <row r="180" spans="1:10" ht="23.25" x14ac:dyDescent="0.25">
      <c r="A180" s="12" t="s">
        <v>599</v>
      </c>
      <c r="B180" s="11" t="s">
        <v>691</v>
      </c>
      <c r="C180" s="22" t="s">
        <v>686</v>
      </c>
      <c r="D180" s="11" t="s">
        <v>671</v>
      </c>
      <c r="E180" s="11" t="s">
        <v>601</v>
      </c>
      <c r="F180" s="54" t="s">
        <v>31</v>
      </c>
      <c r="G180" s="12" t="s">
        <v>105</v>
      </c>
      <c r="H180" s="12" t="s">
        <v>33</v>
      </c>
      <c r="I180" s="11" t="s">
        <v>328</v>
      </c>
      <c r="J180" s="12" t="s">
        <v>327</v>
      </c>
    </row>
    <row r="181" spans="1:10" ht="23.25" x14ac:dyDescent="0.25">
      <c r="A181" s="12" t="s">
        <v>599</v>
      </c>
      <c r="B181" s="11" t="s">
        <v>692</v>
      </c>
      <c r="C181" s="22" t="s">
        <v>686</v>
      </c>
      <c r="D181" s="11" t="s">
        <v>673</v>
      </c>
      <c r="E181" s="11" t="s">
        <v>104</v>
      </c>
      <c r="F181" s="54" t="s">
        <v>31</v>
      </c>
      <c r="G181" s="12" t="s">
        <v>105</v>
      </c>
      <c r="H181" s="12" t="s">
        <v>106</v>
      </c>
      <c r="I181" s="11" t="s">
        <v>328</v>
      </c>
      <c r="J181" s="12" t="s">
        <v>327</v>
      </c>
    </row>
    <row r="182" spans="1:10" ht="23.25" x14ac:dyDescent="0.25">
      <c r="A182" s="12" t="s">
        <v>693</v>
      </c>
      <c r="B182" s="11" t="s">
        <v>675</v>
      </c>
      <c r="C182" s="22" t="s">
        <v>689</v>
      </c>
      <c r="D182" s="11" t="s">
        <v>675</v>
      </c>
      <c r="E182" s="11" t="s">
        <v>104</v>
      </c>
      <c r="F182" s="54" t="s">
        <v>31</v>
      </c>
      <c r="G182" s="12" t="s">
        <v>105</v>
      </c>
      <c r="H182" s="12" t="s">
        <v>106</v>
      </c>
      <c r="I182" s="11" t="s">
        <v>328</v>
      </c>
      <c r="J182" s="12" t="s">
        <v>327</v>
      </c>
    </row>
    <row r="183" spans="1:10" ht="23.25" x14ac:dyDescent="0.25">
      <c r="A183" s="12" t="s">
        <v>599</v>
      </c>
      <c r="B183" s="11" t="s">
        <v>694</v>
      </c>
      <c r="C183" s="22" t="s">
        <v>686</v>
      </c>
      <c r="D183" s="11" t="s">
        <v>681</v>
      </c>
      <c r="E183" s="11" t="s">
        <v>601</v>
      </c>
      <c r="F183" s="54" t="s">
        <v>31</v>
      </c>
      <c r="G183" s="12" t="s">
        <v>105</v>
      </c>
      <c r="H183" s="12" t="s">
        <v>33</v>
      </c>
      <c r="I183" s="11" t="s">
        <v>328</v>
      </c>
      <c r="J183" s="12" t="s">
        <v>327</v>
      </c>
    </row>
    <row r="184" spans="1:10" ht="23.25" x14ac:dyDescent="0.25">
      <c r="A184" s="12" t="s">
        <v>599</v>
      </c>
      <c r="B184" s="11" t="s">
        <v>695</v>
      </c>
      <c r="C184" s="22" t="s">
        <v>686</v>
      </c>
      <c r="D184" s="11" t="s">
        <v>696</v>
      </c>
      <c r="E184" s="11" t="s">
        <v>146</v>
      </c>
      <c r="F184" s="54" t="s">
        <v>79</v>
      </c>
      <c r="G184" s="12" t="s">
        <v>147</v>
      </c>
      <c r="H184" s="12" t="s">
        <v>33</v>
      </c>
      <c r="I184" s="11" t="s">
        <v>328</v>
      </c>
      <c r="J184" s="12" t="s">
        <v>607</v>
      </c>
    </row>
    <row r="185" spans="1:10" ht="23.25" x14ac:dyDescent="0.25">
      <c r="A185" s="12" t="s">
        <v>599</v>
      </c>
      <c r="B185" s="11" t="s">
        <v>697</v>
      </c>
      <c r="C185" s="22" t="s">
        <v>686</v>
      </c>
      <c r="D185" s="11" t="s">
        <v>657</v>
      </c>
      <c r="E185" s="11" t="s">
        <v>274</v>
      </c>
      <c r="F185" s="54" t="s">
        <v>79</v>
      </c>
      <c r="G185" s="12" t="s">
        <v>147</v>
      </c>
      <c r="H185" s="12" t="s">
        <v>33</v>
      </c>
      <c r="I185" s="11" t="s">
        <v>328</v>
      </c>
      <c r="J185" s="12" t="s">
        <v>327</v>
      </c>
    </row>
    <row r="186" spans="1:10" ht="23.25" x14ac:dyDescent="0.25">
      <c r="A186" s="12" t="s">
        <v>599</v>
      </c>
      <c r="B186" s="11" t="s">
        <v>698</v>
      </c>
      <c r="C186" s="22" t="s">
        <v>686</v>
      </c>
      <c r="D186" s="11" t="s">
        <v>677</v>
      </c>
      <c r="E186" s="11" t="s">
        <v>274</v>
      </c>
      <c r="F186" s="54" t="s">
        <v>79</v>
      </c>
      <c r="G186" s="12" t="s">
        <v>147</v>
      </c>
      <c r="H186" s="12" t="s">
        <v>33</v>
      </c>
      <c r="I186" s="11" t="s">
        <v>328</v>
      </c>
      <c r="J186" s="12" t="s">
        <v>327</v>
      </c>
    </row>
    <row r="187" spans="1:10" ht="23.25" x14ac:dyDescent="0.25">
      <c r="A187" s="12" t="s">
        <v>599</v>
      </c>
      <c r="B187" s="11" t="s">
        <v>699</v>
      </c>
      <c r="C187" s="22" t="s">
        <v>686</v>
      </c>
      <c r="D187" s="11" t="s">
        <v>679</v>
      </c>
      <c r="E187" s="11" t="s">
        <v>274</v>
      </c>
      <c r="F187" s="54" t="s">
        <v>79</v>
      </c>
      <c r="G187" s="12" t="s">
        <v>147</v>
      </c>
      <c r="H187" s="12" t="s">
        <v>33</v>
      </c>
      <c r="I187" s="11" t="s">
        <v>328</v>
      </c>
      <c r="J187" s="12" t="s">
        <v>327</v>
      </c>
    </row>
    <row r="188" spans="1:10" ht="23.25" x14ac:dyDescent="0.25">
      <c r="A188" s="12" t="s">
        <v>700</v>
      </c>
      <c r="B188" s="11" t="s">
        <v>643</v>
      </c>
      <c r="C188" s="22" t="s">
        <v>689</v>
      </c>
      <c r="D188" s="11" t="s">
        <v>643</v>
      </c>
      <c r="E188" s="11" t="s">
        <v>233</v>
      </c>
      <c r="F188" s="54" t="s">
        <v>31</v>
      </c>
      <c r="G188" s="12" t="s">
        <v>32</v>
      </c>
      <c r="H188" s="12" t="s">
        <v>106</v>
      </c>
      <c r="I188" s="11" t="s">
        <v>328</v>
      </c>
      <c r="J188" s="12" t="s">
        <v>327</v>
      </c>
    </row>
    <row r="189" spans="1:10" ht="23.25" x14ac:dyDescent="0.25">
      <c r="A189" s="12" t="s">
        <v>599</v>
      </c>
      <c r="B189" s="11" t="s">
        <v>701</v>
      </c>
      <c r="C189" s="22" t="s">
        <v>686</v>
      </c>
      <c r="D189" s="11" t="s">
        <v>647</v>
      </c>
      <c r="E189" s="11" t="s">
        <v>233</v>
      </c>
      <c r="F189" s="54" t="s">
        <v>31</v>
      </c>
      <c r="G189" s="12" t="s">
        <v>32</v>
      </c>
      <c r="H189" s="12" t="s">
        <v>106</v>
      </c>
      <c r="I189" s="11" t="s">
        <v>328</v>
      </c>
      <c r="J189" s="12" t="s">
        <v>327</v>
      </c>
    </row>
    <row r="190" spans="1:10" ht="23.25" x14ac:dyDescent="0.25">
      <c r="A190" s="12" t="s">
        <v>599</v>
      </c>
      <c r="B190" s="11" t="s">
        <v>702</v>
      </c>
      <c r="C190" s="22" t="s">
        <v>686</v>
      </c>
      <c r="D190" s="11" t="s">
        <v>683</v>
      </c>
      <c r="E190" s="11" t="s">
        <v>233</v>
      </c>
      <c r="F190" s="54" t="s">
        <v>31</v>
      </c>
      <c r="G190" s="12" t="s">
        <v>32</v>
      </c>
      <c r="H190" s="12" t="s">
        <v>106</v>
      </c>
      <c r="I190" s="11" t="s">
        <v>328</v>
      </c>
      <c r="J190" s="12" t="s">
        <v>327</v>
      </c>
    </row>
    <row r="191" spans="1:10" ht="23.25" x14ac:dyDescent="0.25">
      <c r="A191" s="12" t="s">
        <v>599</v>
      </c>
      <c r="B191" s="11" t="s">
        <v>703</v>
      </c>
      <c r="C191" s="22" t="s">
        <v>686</v>
      </c>
      <c r="D191" s="11" t="s">
        <v>663</v>
      </c>
      <c r="E191" s="11" t="s">
        <v>233</v>
      </c>
      <c r="F191" s="54" t="s">
        <v>31</v>
      </c>
      <c r="G191" s="12" t="s">
        <v>32</v>
      </c>
      <c r="H191" s="12" t="s">
        <v>106</v>
      </c>
      <c r="I191" s="11" t="s">
        <v>328</v>
      </c>
      <c r="J191" s="12" t="s">
        <v>327</v>
      </c>
    </row>
    <row r="192" spans="1:10" ht="23.25" x14ac:dyDescent="0.25">
      <c r="A192" s="12" t="s">
        <v>704</v>
      </c>
      <c r="B192" s="11" t="s">
        <v>668</v>
      </c>
      <c r="C192" s="22" t="s">
        <v>686</v>
      </c>
      <c r="D192" s="11" t="s">
        <v>668</v>
      </c>
      <c r="E192" s="11" t="s">
        <v>233</v>
      </c>
      <c r="F192" s="54" t="s">
        <v>31</v>
      </c>
      <c r="G192" s="12" t="s">
        <v>32</v>
      </c>
      <c r="H192" s="12" t="s">
        <v>106</v>
      </c>
      <c r="I192" s="11" t="s">
        <v>328</v>
      </c>
      <c r="J192" s="12" t="s">
        <v>327</v>
      </c>
    </row>
    <row r="193" spans="1:10" ht="23.25" x14ac:dyDescent="0.25">
      <c r="A193" s="12" t="s">
        <v>599</v>
      </c>
      <c r="B193" s="11" t="s">
        <v>705</v>
      </c>
      <c r="C193" s="22" t="s">
        <v>686</v>
      </c>
      <c r="D193" s="11" t="s">
        <v>706</v>
      </c>
      <c r="E193" s="11" t="s">
        <v>100</v>
      </c>
      <c r="F193" s="54" t="s">
        <v>31</v>
      </c>
      <c r="G193" s="12" t="s">
        <v>32</v>
      </c>
      <c r="H193" s="12" t="s">
        <v>33</v>
      </c>
      <c r="I193" s="11" t="s">
        <v>328</v>
      </c>
      <c r="J193" s="12" t="s">
        <v>504</v>
      </c>
    </row>
    <row r="194" spans="1:10" ht="23.25" x14ac:dyDescent="0.25">
      <c r="A194" s="12" t="s">
        <v>599</v>
      </c>
      <c r="B194" s="11" t="s">
        <v>707</v>
      </c>
      <c r="C194" s="22" t="s">
        <v>686</v>
      </c>
      <c r="D194" s="11" t="s">
        <v>659</v>
      </c>
      <c r="E194" s="11" t="s">
        <v>100</v>
      </c>
      <c r="F194" s="54" t="s">
        <v>31</v>
      </c>
      <c r="G194" s="12" t="s">
        <v>32</v>
      </c>
      <c r="H194" s="12" t="s">
        <v>33</v>
      </c>
      <c r="I194" s="11" t="s">
        <v>328</v>
      </c>
      <c r="J194" s="12" t="s">
        <v>327</v>
      </c>
    </row>
    <row r="195" spans="1:10" ht="23.25" x14ac:dyDescent="0.25">
      <c r="A195" s="12" t="s">
        <v>708</v>
      </c>
      <c r="B195" s="11" t="s">
        <v>709</v>
      </c>
      <c r="C195" s="22" t="s">
        <v>689</v>
      </c>
      <c r="D195" s="11" t="s">
        <v>647</v>
      </c>
      <c r="E195" s="11" t="s">
        <v>233</v>
      </c>
      <c r="F195" s="54" t="s">
        <v>31</v>
      </c>
      <c r="G195" s="12" t="s">
        <v>32</v>
      </c>
      <c r="H195" s="12" t="s">
        <v>106</v>
      </c>
      <c r="I195" s="11" t="s">
        <v>328</v>
      </c>
      <c r="J195" s="12" t="s">
        <v>327</v>
      </c>
    </row>
    <row r="196" spans="1:10" ht="23.25" x14ac:dyDescent="0.25">
      <c r="A196" s="12" t="s">
        <v>599</v>
      </c>
      <c r="B196" s="11" t="s">
        <v>710</v>
      </c>
      <c r="C196" s="22" t="s">
        <v>686</v>
      </c>
      <c r="D196" s="11" t="s">
        <v>645</v>
      </c>
      <c r="E196" s="11" t="s">
        <v>100</v>
      </c>
      <c r="F196" s="54" t="s">
        <v>31</v>
      </c>
      <c r="G196" s="12" t="s">
        <v>32</v>
      </c>
      <c r="H196" s="12" t="s">
        <v>33</v>
      </c>
      <c r="I196" s="11" t="s">
        <v>328</v>
      </c>
      <c r="J196" s="12" t="s">
        <v>607</v>
      </c>
    </row>
    <row r="197" spans="1:10" ht="23.25" x14ac:dyDescent="0.25">
      <c r="A197" s="12" t="s">
        <v>599</v>
      </c>
      <c r="B197" s="11" t="s">
        <v>711</v>
      </c>
      <c r="C197" s="22" t="s">
        <v>686</v>
      </c>
      <c r="D197" s="11" t="s">
        <v>651</v>
      </c>
      <c r="E197" s="11" t="s">
        <v>100</v>
      </c>
      <c r="F197" s="54" t="s">
        <v>31</v>
      </c>
      <c r="G197" s="12" t="s">
        <v>32</v>
      </c>
      <c r="H197" s="12" t="s">
        <v>33</v>
      </c>
      <c r="I197" s="11" t="s">
        <v>328</v>
      </c>
      <c r="J197" s="12" t="s">
        <v>607</v>
      </c>
    </row>
    <row r="198" spans="1:10" ht="23.25" x14ac:dyDescent="0.25">
      <c r="A198" s="12" t="s">
        <v>599</v>
      </c>
      <c r="B198" s="11" t="s">
        <v>712</v>
      </c>
      <c r="C198" s="22" t="s">
        <v>686</v>
      </c>
      <c r="D198" s="11" t="s">
        <v>713</v>
      </c>
      <c r="E198" s="11" t="s">
        <v>100</v>
      </c>
      <c r="F198" s="54" t="s">
        <v>31</v>
      </c>
      <c r="G198" s="12" t="s">
        <v>32</v>
      </c>
      <c r="H198" s="12" t="s">
        <v>33</v>
      </c>
      <c r="I198" s="11" t="s">
        <v>328</v>
      </c>
      <c r="J198" s="12" t="s">
        <v>607</v>
      </c>
    </row>
    <row r="199" spans="1:10" ht="23.25" x14ac:dyDescent="0.25">
      <c r="A199" s="12" t="s">
        <v>714</v>
      </c>
      <c r="B199" s="11" t="s">
        <v>653</v>
      </c>
      <c r="C199" s="22" t="s">
        <v>689</v>
      </c>
      <c r="D199" s="11" t="s">
        <v>653</v>
      </c>
      <c r="E199" s="11" t="s">
        <v>100</v>
      </c>
      <c r="F199" s="54" t="s">
        <v>31</v>
      </c>
      <c r="G199" s="12" t="s">
        <v>32</v>
      </c>
      <c r="H199" s="12" t="s">
        <v>33</v>
      </c>
      <c r="I199" s="11" t="s">
        <v>328</v>
      </c>
      <c r="J199" s="12" t="s">
        <v>607</v>
      </c>
    </row>
    <row r="200" spans="1:10" ht="23.25" x14ac:dyDescent="0.25">
      <c r="A200" s="12" t="s">
        <v>715</v>
      </c>
      <c r="B200" s="11" t="s">
        <v>655</v>
      </c>
      <c r="C200" s="22" t="s">
        <v>689</v>
      </c>
      <c r="D200" s="11" t="s">
        <v>655</v>
      </c>
      <c r="E200" s="11" t="s">
        <v>100</v>
      </c>
      <c r="F200" s="54" t="s">
        <v>31</v>
      </c>
      <c r="G200" s="12" t="s">
        <v>32</v>
      </c>
      <c r="H200" s="12" t="s">
        <v>33</v>
      </c>
      <c r="I200" s="11" t="s">
        <v>328</v>
      </c>
      <c r="J200" s="12" t="s">
        <v>607</v>
      </c>
    </row>
    <row r="201" spans="1:10" ht="23.25" x14ac:dyDescent="0.25">
      <c r="A201" s="12" t="s">
        <v>599</v>
      </c>
      <c r="B201" s="11" t="s">
        <v>716</v>
      </c>
      <c r="C201" s="22" t="s">
        <v>686</v>
      </c>
      <c r="D201" s="11" t="s">
        <v>661</v>
      </c>
      <c r="E201" s="11" t="s">
        <v>100</v>
      </c>
      <c r="F201" s="54" t="s">
        <v>31</v>
      </c>
      <c r="G201" s="12" t="s">
        <v>32</v>
      </c>
      <c r="H201" s="12" t="s">
        <v>33</v>
      </c>
      <c r="I201" s="11" t="s">
        <v>328</v>
      </c>
      <c r="J201" s="12" t="s">
        <v>607</v>
      </c>
    </row>
    <row r="202" spans="1:10" ht="23.25" x14ac:dyDescent="0.25">
      <c r="A202" s="12" t="s">
        <v>717</v>
      </c>
      <c r="B202" s="11" t="s">
        <v>665</v>
      </c>
      <c r="C202" s="22" t="s">
        <v>689</v>
      </c>
      <c r="D202" s="11" t="s">
        <v>665</v>
      </c>
      <c r="E202" s="11" t="s">
        <v>100</v>
      </c>
      <c r="F202" s="54" t="s">
        <v>31</v>
      </c>
      <c r="G202" s="12" t="s">
        <v>32</v>
      </c>
      <c r="H202" s="12" t="s">
        <v>33</v>
      </c>
      <c r="I202" s="11" t="s">
        <v>328</v>
      </c>
      <c r="J202" s="12" t="s">
        <v>607</v>
      </c>
    </row>
  </sheetData>
  <mergeCells count="1">
    <mergeCell ref="A145:J14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3BDB-1091-4D27-AFE0-E7FAE9E54A8F}">
  <dimension ref="A1:F43"/>
  <sheetViews>
    <sheetView zoomScaleNormal="100" workbookViewId="0">
      <selection sqref="A1:F1"/>
    </sheetView>
  </sheetViews>
  <sheetFormatPr defaultColWidth="8.7109375" defaultRowHeight="15" x14ac:dyDescent="0.25"/>
  <cols>
    <col min="1" max="1" width="28" customWidth="1"/>
    <col min="2" max="2" width="95" customWidth="1"/>
  </cols>
  <sheetData>
    <row r="1" spans="1:6" ht="19.5" customHeight="1" x14ac:dyDescent="0.3">
      <c r="A1" s="104" t="s">
        <v>428</v>
      </c>
      <c r="B1" s="104"/>
      <c r="C1" s="104"/>
      <c r="D1" s="104"/>
      <c r="E1" s="104"/>
      <c r="F1" s="104"/>
    </row>
    <row r="2" spans="1:6" ht="15" customHeight="1" x14ac:dyDescent="0.25">
      <c r="A2" s="105" t="s">
        <v>429</v>
      </c>
      <c r="B2" s="105"/>
      <c r="C2" s="105"/>
      <c r="D2" s="105"/>
      <c r="E2" s="105"/>
      <c r="F2" s="105"/>
    </row>
    <row r="4" spans="1:6" ht="30" customHeight="1" x14ac:dyDescent="0.25">
      <c r="A4" s="23"/>
      <c r="B4" s="24"/>
    </row>
    <row r="5" spans="1:6" ht="30" customHeight="1" x14ac:dyDescent="0.25">
      <c r="A5" s="103" t="s">
        <v>430</v>
      </c>
      <c r="B5" s="103"/>
      <c r="C5" s="103"/>
      <c r="D5" s="103"/>
      <c r="E5" s="103"/>
      <c r="F5" s="103"/>
    </row>
    <row r="6" spans="1:6" ht="30" customHeight="1" x14ac:dyDescent="0.25">
      <c r="A6" s="23" t="s">
        <v>431</v>
      </c>
      <c r="B6" s="24" t="s">
        <v>432</v>
      </c>
    </row>
    <row r="7" spans="1:6" ht="30" customHeight="1" x14ac:dyDescent="0.25">
      <c r="A7" s="23" t="s">
        <v>433</v>
      </c>
      <c r="B7" s="24" t="s">
        <v>434</v>
      </c>
    </row>
    <row r="8" spans="1:6" ht="30" customHeight="1" x14ac:dyDescent="0.25">
      <c r="A8" s="23" t="s">
        <v>435</v>
      </c>
      <c r="B8" s="24" t="s">
        <v>436</v>
      </c>
    </row>
    <row r="9" spans="1:6" ht="30" customHeight="1" x14ac:dyDescent="0.25">
      <c r="A9" s="23" t="s">
        <v>437</v>
      </c>
      <c r="B9" s="24" t="s">
        <v>438</v>
      </c>
    </row>
    <row r="10" spans="1:6" ht="30" customHeight="1" x14ac:dyDescent="0.25">
      <c r="A10" s="23" t="s">
        <v>439</v>
      </c>
      <c r="B10" s="24" t="s">
        <v>440</v>
      </c>
    </row>
    <row r="11" spans="1:6" ht="30" customHeight="1" x14ac:dyDescent="0.25">
      <c r="A11" s="23"/>
      <c r="B11" s="24"/>
    </row>
    <row r="12" spans="1:6" ht="30" customHeight="1" x14ac:dyDescent="0.25">
      <c r="A12" s="103" t="s">
        <v>441</v>
      </c>
      <c r="B12" s="103"/>
      <c r="C12" s="103"/>
      <c r="D12" s="103"/>
      <c r="E12" s="103"/>
      <c r="F12" s="103"/>
    </row>
    <row r="13" spans="1:6" ht="30" customHeight="1" x14ac:dyDescent="0.25">
      <c r="A13" s="23" t="s">
        <v>442</v>
      </c>
      <c r="B13" s="24" t="s">
        <v>443</v>
      </c>
    </row>
    <row r="14" spans="1:6" ht="30" customHeight="1" x14ac:dyDescent="0.25">
      <c r="A14" s="23" t="s">
        <v>444</v>
      </c>
      <c r="B14" s="24" t="s">
        <v>445</v>
      </c>
    </row>
    <row r="15" spans="1:6" ht="30" customHeight="1" x14ac:dyDescent="0.25">
      <c r="A15" s="23" t="s">
        <v>446</v>
      </c>
      <c r="B15" s="24" t="s">
        <v>447</v>
      </c>
    </row>
    <row r="16" spans="1:6" ht="30" customHeight="1" x14ac:dyDescent="0.25">
      <c r="A16" s="23" t="s">
        <v>448</v>
      </c>
      <c r="B16" s="24" t="s">
        <v>449</v>
      </c>
    </row>
    <row r="17" spans="1:6" ht="30" customHeight="1" x14ac:dyDescent="0.25">
      <c r="A17" s="23" t="s">
        <v>450</v>
      </c>
      <c r="B17" s="24" t="s">
        <v>451</v>
      </c>
    </row>
    <row r="18" spans="1:6" ht="30" customHeight="1" x14ac:dyDescent="0.25">
      <c r="A18" s="23" t="s">
        <v>452</v>
      </c>
      <c r="B18" s="24" t="s">
        <v>453</v>
      </c>
    </row>
    <row r="19" spans="1:6" ht="30" customHeight="1" x14ac:dyDescent="0.25">
      <c r="A19" s="23"/>
      <c r="B19" s="24"/>
    </row>
    <row r="20" spans="1:6" ht="30" customHeight="1" x14ac:dyDescent="0.25">
      <c r="A20" s="103" t="s">
        <v>454</v>
      </c>
      <c r="B20" s="103"/>
      <c r="C20" s="103"/>
      <c r="D20" s="103"/>
      <c r="E20" s="103"/>
      <c r="F20" s="103"/>
    </row>
    <row r="21" spans="1:6" ht="30" customHeight="1" x14ac:dyDescent="0.25">
      <c r="A21" s="23" t="s">
        <v>17</v>
      </c>
      <c r="B21" s="24" t="s">
        <v>455</v>
      </c>
    </row>
    <row r="22" spans="1:6" ht="30" customHeight="1" x14ac:dyDescent="0.25">
      <c r="A22" s="23" t="s">
        <v>6</v>
      </c>
      <c r="B22" s="24" t="s">
        <v>456</v>
      </c>
    </row>
    <row r="23" spans="1:6" ht="30" customHeight="1" x14ac:dyDescent="0.25">
      <c r="A23" s="23" t="s">
        <v>457</v>
      </c>
      <c r="B23" s="24" t="s">
        <v>458</v>
      </c>
    </row>
    <row r="24" spans="1:6" ht="30" customHeight="1" x14ac:dyDescent="0.25">
      <c r="A24" s="23" t="s">
        <v>459</v>
      </c>
      <c r="B24" s="24" t="s">
        <v>460</v>
      </c>
    </row>
    <row r="25" spans="1:6" ht="30" customHeight="1" x14ac:dyDescent="0.25">
      <c r="A25" s="23"/>
      <c r="B25" s="24"/>
    </row>
    <row r="26" spans="1:6" ht="30" customHeight="1" x14ac:dyDescent="0.25">
      <c r="A26" s="103" t="s">
        <v>461</v>
      </c>
      <c r="B26" s="103"/>
      <c r="C26" s="103"/>
      <c r="D26" s="103"/>
      <c r="E26" s="103"/>
      <c r="F26" s="103"/>
    </row>
    <row r="27" spans="1:6" ht="30" customHeight="1" x14ac:dyDescent="0.25">
      <c r="A27" s="23" t="s">
        <v>462</v>
      </c>
      <c r="B27" s="24" t="s">
        <v>463</v>
      </c>
    </row>
    <row r="28" spans="1:6" ht="30" customHeight="1" x14ac:dyDescent="0.25">
      <c r="A28" s="23" t="s">
        <v>464</v>
      </c>
      <c r="B28" s="24" t="s">
        <v>465</v>
      </c>
    </row>
    <row r="29" spans="1:6" ht="30" customHeight="1" x14ac:dyDescent="0.25">
      <c r="A29" s="23" t="s">
        <v>26</v>
      </c>
      <c r="B29" s="24" t="s">
        <v>466</v>
      </c>
    </row>
    <row r="30" spans="1:6" ht="30" customHeight="1" x14ac:dyDescent="0.25">
      <c r="A30" s="23"/>
      <c r="B30" s="24"/>
    </row>
    <row r="31" spans="1:6" ht="30" customHeight="1" x14ac:dyDescent="0.25">
      <c r="A31" s="103" t="s">
        <v>467</v>
      </c>
      <c r="B31" s="103"/>
      <c r="C31" s="103"/>
      <c r="D31" s="103"/>
      <c r="E31" s="103"/>
      <c r="F31" s="103"/>
    </row>
    <row r="32" spans="1:6" ht="30" customHeight="1" x14ac:dyDescent="0.25">
      <c r="A32" s="23" t="s">
        <v>468</v>
      </c>
      <c r="B32" s="24" t="s">
        <v>469</v>
      </c>
    </row>
    <row r="33" spans="1:6" ht="30" customHeight="1" x14ac:dyDescent="0.25">
      <c r="A33" s="23" t="s">
        <v>470</v>
      </c>
      <c r="B33" s="24" t="s">
        <v>471</v>
      </c>
    </row>
    <row r="34" spans="1:6" ht="30" customHeight="1" x14ac:dyDescent="0.25">
      <c r="A34" s="23" t="s">
        <v>472</v>
      </c>
      <c r="B34" s="24" t="s">
        <v>473</v>
      </c>
    </row>
    <row r="35" spans="1:6" ht="30" customHeight="1" x14ac:dyDescent="0.25">
      <c r="A35" s="23"/>
      <c r="B35" s="24"/>
    </row>
    <row r="36" spans="1:6" ht="30" customHeight="1" x14ac:dyDescent="0.25">
      <c r="A36" s="103" t="s">
        <v>474</v>
      </c>
      <c r="B36" s="103"/>
      <c r="C36" s="103"/>
      <c r="D36" s="103"/>
      <c r="E36" s="103"/>
      <c r="F36" s="103"/>
    </row>
    <row r="37" spans="1:6" ht="30" customHeight="1" x14ac:dyDescent="0.25">
      <c r="A37" s="23" t="s">
        <v>475</v>
      </c>
      <c r="B37" s="24" t="s">
        <v>476</v>
      </c>
    </row>
    <row r="38" spans="1:6" ht="30" customHeight="1" x14ac:dyDescent="0.25">
      <c r="A38" s="23" t="s">
        <v>477</v>
      </c>
      <c r="B38" s="24" t="s">
        <v>478</v>
      </c>
    </row>
    <row r="39" spans="1:6" ht="30" customHeight="1" x14ac:dyDescent="0.25">
      <c r="A39" s="23"/>
      <c r="B39" s="24"/>
    </row>
    <row r="40" spans="1:6" ht="30" customHeight="1" x14ac:dyDescent="0.25">
      <c r="A40" s="103" t="s">
        <v>479</v>
      </c>
      <c r="B40" s="103"/>
      <c r="C40" s="103"/>
      <c r="D40" s="103"/>
      <c r="E40" s="103"/>
      <c r="F40" s="103"/>
    </row>
    <row r="41" spans="1:6" ht="30" customHeight="1" x14ac:dyDescent="0.25">
      <c r="A41" s="23" t="s">
        <v>480</v>
      </c>
      <c r="B41" s="24" t="s">
        <v>481</v>
      </c>
    </row>
    <row r="42" spans="1:6" ht="30" customHeight="1" x14ac:dyDescent="0.25">
      <c r="A42" s="23" t="s">
        <v>482</v>
      </c>
      <c r="B42" s="24" t="s">
        <v>483</v>
      </c>
    </row>
    <row r="43" spans="1:6" ht="30" customHeight="1" x14ac:dyDescent="0.25">
      <c r="A43" s="23" t="s">
        <v>484</v>
      </c>
      <c r="B43" s="24" t="s">
        <v>485</v>
      </c>
    </row>
  </sheetData>
  <mergeCells count="9">
    <mergeCell ref="A26:F26"/>
    <mergeCell ref="A31:F31"/>
    <mergeCell ref="A36:F36"/>
    <mergeCell ref="A40:F40"/>
    <mergeCell ref="A1:F1"/>
    <mergeCell ref="A2:F2"/>
    <mergeCell ref="A5:F5"/>
    <mergeCell ref="A12:F12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0"/>
  <sheetViews>
    <sheetView workbookViewId="0">
      <pane ySplit="19" topLeftCell="A20" activePane="bottomLeft" state="frozen"/>
      <selection pane="bottomLeft" sqref="A1:N1"/>
    </sheetView>
  </sheetViews>
  <sheetFormatPr defaultRowHeight="15" x14ac:dyDescent="0.25"/>
  <cols>
    <col min="1" max="1" width="34" customWidth="1"/>
    <col min="2" max="2" width="16" customWidth="1"/>
    <col min="3" max="3" width="30" customWidth="1"/>
    <col min="4" max="4" width="10" customWidth="1"/>
    <col min="5" max="5" width="9" customWidth="1"/>
    <col min="6" max="6" width="10" customWidth="1"/>
    <col min="7" max="7" width="14" customWidth="1"/>
    <col min="8" max="8" width="11" customWidth="1"/>
    <col min="9" max="10" width="10" customWidth="1"/>
    <col min="11" max="11" width="11" customWidth="1"/>
    <col min="12" max="12" width="9" customWidth="1"/>
    <col min="13" max="13" width="11" customWidth="1"/>
    <col min="14" max="14" width="15" customWidth="1"/>
  </cols>
  <sheetData>
    <row r="1" spans="1:14" ht="24" customHeight="1" x14ac:dyDescent="0.25">
      <c r="A1" s="107" t="s">
        <v>718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30" customHeight="1" x14ac:dyDescent="0.25">
      <c r="A2" s="108" t="s">
        <v>719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</row>
    <row r="4" spans="1:14" x14ac:dyDescent="0.25">
      <c r="A4" s="109" t="s">
        <v>720</v>
      </c>
      <c r="B4" s="109"/>
      <c r="C4" s="109"/>
    </row>
    <row r="5" spans="1:14" x14ac:dyDescent="0.25">
      <c r="A5" s="106" t="s">
        <v>721</v>
      </c>
      <c r="B5" s="106"/>
      <c r="C5" s="106"/>
    </row>
    <row r="6" spans="1:14" x14ac:dyDescent="0.25">
      <c r="A6" s="15" t="s">
        <v>722</v>
      </c>
      <c r="B6" s="66">
        <v>4.8611111111111112E-3</v>
      </c>
      <c r="C6" s="64">
        <v>50</v>
      </c>
    </row>
    <row r="7" spans="1:14" x14ac:dyDescent="0.25">
      <c r="A7" s="15" t="s">
        <v>723</v>
      </c>
      <c r="B7" s="66">
        <v>4.1666666666666666E-3</v>
      </c>
      <c r="C7" s="64">
        <v>75</v>
      </c>
    </row>
    <row r="8" spans="1:14" x14ac:dyDescent="0.25">
      <c r="A8" s="15" t="s">
        <v>724</v>
      </c>
      <c r="B8" s="66">
        <v>3.472222222222222E-3</v>
      </c>
      <c r="C8" s="64">
        <v>100</v>
      </c>
    </row>
    <row r="9" spans="1:14" x14ac:dyDescent="0.25">
      <c r="A9" s="106" t="s">
        <v>15</v>
      </c>
      <c r="B9" s="106"/>
      <c r="C9" s="106"/>
    </row>
    <row r="10" spans="1:14" x14ac:dyDescent="0.25">
      <c r="A10" s="15" t="s">
        <v>725</v>
      </c>
      <c r="B10" s="67">
        <v>150</v>
      </c>
      <c r="C10" s="64">
        <v>100</v>
      </c>
    </row>
    <row r="11" spans="1:14" x14ac:dyDescent="0.25">
      <c r="A11" s="106" t="s">
        <v>726</v>
      </c>
      <c r="B11" s="106"/>
      <c r="C11" s="106"/>
    </row>
    <row r="12" spans="1:14" x14ac:dyDescent="0.25">
      <c r="A12" s="15" t="s">
        <v>722</v>
      </c>
      <c r="B12" s="50">
        <v>0.13</v>
      </c>
      <c r="C12" s="64">
        <v>100</v>
      </c>
    </row>
    <row r="13" spans="1:14" x14ac:dyDescent="0.25">
      <c r="A13" s="15" t="s">
        <v>723</v>
      </c>
      <c r="B13" s="50">
        <v>0.15</v>
      </c>
      <c r="C13" s="64">
        <v>75</v>
      </c>
    </row>
    <row r="14" spans="1:14" x14ac:dyDescent="0.25">
      <c r="A14" s="15" t="s">
        <v>724</v>
      </c>
      <c r="B14" s="50">
        <v>0.17</v>
      </c>
      <c r="C14" s="64">
        <v>50</v>
      </c>
    </row>
    <row r="15" spans="1:14" x14ac:dyDescent="0.25">
      <c r="A15" s="106" t="s">
        <v>727</v>
      </c>
      <c r="B15" s="106"/>
      <c r="C15" s="106"/>
    </row>
    <row r="16" spans="1:14" x14ac:dyDescent="0.25">
      <c r="A16" s="15" t="s">
        <v>728</v>
      </c>
      <c r="B16" s="69">
        <v>-0.5</v>
      </c>
      <c r="C16" s="15"/>
    </row>
    <row r="17" spans="1:14" x14ac:dyDescent="0.25">
      <c r="A17" s="15" t="s">
        <v>729</v>
      </c>
      <c r="B17" s="69">
        <v>-1</v>
      </c>
      <c r="C17" s="15"/>
    </row>
    <row r="19" spans="1:14" ht="30" customHeight="1" x14ac:dyDescent="0.25">
      <c r="A19" s="63" t="s">
        <v>588</v>
      </c>
      <c r="B19" s="63" t="s">
        <v>323</v>
      </c>
      <c r="C19" s="63" t="s">
        <v>11</v>
      </c>
      <c r="D19" s="63" t="s">
        <v>3</v>
      </c>
      <c r="E19" s="63" t="s">
        <v>17</v>
      </c>
      <c r="F19" s="63" t="s">
        <v>730</v>
      </c>
      <c r="G19" s="63" t="s">
        <v>731</v>
      </c>
      <c r="H19" s="63" t="s">
        <v>732</v>
      </c>
      <c r="I19" s="63" t="s">
        <v>489</v>
      </c>
      <c r="J19" s="63" t="s">
        <v>733</v>
      </c>
      <c r="K19" s="63" t="s">
        <v>734</v>
      </c>
      <c r="L19" s="63" t="s">
        <v>735</v>
      </c>
      <c r="M19" s="63" t="s">
        <v>736</v>
      </c>
      <c r="N19" s="63" t="s">
        <v>737</v>
      </c>
    </row>
    <row r="20" spans="1:14" x14ac:dyDescent="0.25">
      <c r="A20" s="15" t="s">
        <v>643</v>
      </c>
      <c r="B20" s="15" t="str">
        <f>IFERROR(INDEX(Consolidado!$B:$B,MATCH($A20,Consolidado!$A:$A,0)),"")</f>
        <v>alaineribeiro</v>
      </c>
      <c r="C20" s="15" t="s">
        <v>233</v>
      </c>
      <c r="D20" s="67">
        <f>IFERROR(INDEX(Consolidado!$J:$J,MATCH($A20,Consolidado!$A:$A,0)),0)</f>
        <v>273</v>
      </c>
      <c r="E20" s="66">
        <f>IFERROR(INDEX(Consolidado!$M:$M,MATCH($A20,Consolidado!$A:$A,0)),0)</f>
        <v>7.766203703703704E-3</v>
      </c>
      <c r="F20" s="64">
        <f t="shared" ref="F20:F59" si="0">IF(D20=0,0,IF(E20&lt;=$B$8,$C$8,IF(E20&lt;=$B$7,$C$7,IF(E20&lt;=$B$6,$C$6,0))))</f>
        <v>0</v>
      </c>
      <c r="G20" s="49">
        <f>IFERROR(INDEX(Consolidado!$K:$K,MATCH($A20,Consolidado!$A:$A,0)),0)</f>
        <v>3.8627662037037038</v>
      </c>
      <c r="H20" s="64">
        <f t="shared" ref="H20:H59" si="1">IF(G20*24&gt;=$B$10,$C$10,0)</f>
        <v>0</v>
      </c>
      <c r="I20" s="50">
        <f>IFERROR(INDEX(Consolidado!$O:$O,MATCH($A20,Consolidado!$A:$A,0)),0)</f>
        <v>0.17047248931063699</v>
      </c>
      <c r="J20" s="64">
        <f t="shared" ref="J20:J59" si="2">IF(G20=0,0,IF(I20&lt;=$B$12,$C$12,IF(I20&lt;=$B$13,$C$13,IF(I20&lt;=$B$14,$C$14,0))))</f>
        <v>0</v>
      </c>
      <c r="K20" s="65">
        <f t="shared" ref="K20:K59" si="3">F20+H20+J20</f>
        <v>0</v>
      </c>
      <c r="L20" s="68" t="s">
        <v>738</v>
      </c>
      <c r="M20" s="69">
        <f t="shared" ref="M20:M59" si="4">IF(L20&gt;=2,$B$17,IF(L20=1,$B$16,0))</f>
        <v>-1</v>
      </c>
      <c r="N20" s="70">
        <f t="shared" ref="N20:N59" si="5">K20*(1+M20)</f>
        <v>0</v>
      </c>
    </row>
    <row r="21" spans="1:14" x14ac:dyDescent="0.25">
      <c r="A21" s="15" t="s">
        <v>231</v>
      </c>
      <c r="B21" s="15" t="str">
        <f>IFERROR(INDEX(Consolidado!$B:$B,MATCH($A21,Consolidado!$A:$A,0)),"")</f>
        <v>amandaalves</v>
      </c>
      <c r="C21" s="15" t="s">
        <v>233</v>
      </c>
      <c r="D21" s="67">
        <f>IFERROR(INDEX(Consolidado!$J:$J,MATCH($A21,Consolidado!$A:$A,0)),0)</f>
        <v>362</v>
      </c>
      <c r="E21" s="66">
        <f>IFERROR(INDEX(Consolidado!$M:$M,MATCH($A21,Consolidado!$A:$A,0)),0)</f>
        <v>3.6805555555555554E-3</v>
      </c>
      <c r="F21" s="64">
        <f t="shared" si="0"/>
        <v>75</v>
      </c>
      <c r="G21" s="49">
        <f>IFERROR(INDEX(Consolidado!$K:$K,MATCH($A21,Consolidado!$A:$A,0)),0)</f>
        <v>2.6003935185185183</v>
      </c>
      <c r="H21" s="64">
        <f t="shared" si="1"/>
        <v>0</v>
      </c>
      <c r="I21" s="50">
        <f>IFERROR(INDEX(Consolidado!$O:$O,MATCH($A21,Consolidado!$A:$A,0)),0)</f>
        <v>0.17213384726314601</v>
      </c>
      <c r="J21" s="64">
        <f t="shared" si="2"/>
        <v>0</v>
      </c>
      <c r="K21" s="65">
        <f t="shared" si="3"/>
        <v>75</v>
      </c>
      <c r="L21" s="68" t="s">
        <v>738</v>
      </c>
      <c r="M21" s="69">
        <f t="shared" si="4"/>
        <v>-1</v>
      </c>
      <c r="N21" s="70">
        <f t="shared" si="5"/>
        <v>0</v>
      </c>
    </row>
    <row r="22" spans="1:14" x14ac:dyDescent="0.25">
      <c r="A22" s="15" t="s">
        <v>234</v>
      </c>
      <c r="B22" s="15" t="str">
        <f>IFERROR(INDEX(Consolidado!$B:$B,MATCH($A22,Consolidado!$A:$A,0)),"")</f>
        <v>anandavieira</v>
      </c>
      <c r="C22" s="15" t="s">
        <v>233</v>
      </c>
      <c r="D22" s="67">
        <f>IFERROR(INDEX(Consolidado!$J:$J,MATCH($A22,Consolidado!$A:$A,0)),0)</f>
        <v>419</v>
      </c>
      <c r="E22" s="66">
        <f>IFERROR(INDEX(Consolidado!$M:$M,MATCH($A22,Consolidado!$A:$A,0)),0)</f>
        <v>3.4027777777777776E-3</v>
      </c>
      <c r="F22" s="64">
        <f t="shared" si="0"/>
        <v>100</v>
      </c>
      <c r="G22" s="49">
        <f>IFERROR(INDEX(Consolidado!$K:$K,MATCH($A22,Consolidado!$A:$A,0)),0)</f>
        <v>2.9790624999999999</v>
      </c>
      <c r="H22" s="64">
        <f t="shared" si="1"/>
        <v>0</v>
      </c>
      <c r="I22" s="50">
        <f>IFERROR(INDEX(Consolidado!$O:$O,MATCH($A22,Consolidado!$A:$A,0)),0)</f>
        <v>0.17361523907207299</v>
      </c>
      <c r="J22" s="64">
        <f t="shared" si="2"/>
        <v>0</v>
      </c>
      <c r="K22" s="65">
        <f t="shared" si="3"/>
        <v>100</v>
      </c>
      <c r="L22" s="68" t="s">
        <v>738</v>
      </c>
      <c r="M22" s="69">
        <f t="shared" si="4"/>
        <v>-1</v>
      </c>
      <c r="N22" s="70">
        <f t="shared" si="5"/>
        <v>0</v>
      </c>
    </row>
    <row r="23" spans="1:14" x14ac:dyDescent="0.25">
      <c r="A23" s="15" t="s">
        <v>34</v>
      </c>
      <c r="B23" s="15" t="str">
        <f>IFERROR(INDEX(Consolidado!$B:$B,MATCH($A23,Consolidado!$A:$A,0)),"")</f>
        <v>andressasantos</v>
      </c>
      <c r="C23" s="15" t="s">
        <v>233</v>
      </c>
      <c r="D23" s="67">
        <f>IFERROR(INDEX(Consolidado!$J:$J,MATCH($A23,Consolidado!$A:$A,0)),0)</f>
        <v>521</v>
      </c>
      <c r="E23" s="66">
        <f>IFERROR(INDEX(Consolidado!$M:$M,MATCH($A23,Consolidado!$A:$A,0)),0)</f>
        <v>3.5416666666666665E-3</v>
      </c>
      <c r="F23" s="64">
        <f t="shared" si="0"/>
        <v>75</v>
      </c>
      <c r="G23" s="49">
        <f>IFERROR(INDEX(Consolidado!$K:$K,MATCH($A23,Consolidado!$A:$A,0)),0)</f>
        <v>3.8572222222222221</v>
      </c>
      <c r="H23" s="64">
        <f t="shared" si="1"/>
        <v>0</v>
      </c>
      <c r="I23" s="50">
        <f>IFERROR(INDEX(Consolidado!$O:$O,MATCH($A23,Consolidado!$A:$A,0)),0)</f>
        <v>0.17559952470113799</v>
      </c>
      <c r="J23" s="64">
        <f t="shared" si="2"/>
        <v>0</v>
      </c>
      <c r="K23" s="65">
        <f t="shared" si="3"/>
        <v>75</v>
      </c>
      <c r="L23" s="68" t="s">
        <v>738</v>
      </c>
      <c r="M23" s="69">
        <f t="shared" si="4"/>
        <v>-1</v>
      </c>
      <c r="N23" s="70">
        <f t="shared" si="5"/>
        <v>0</v>
      </c>
    </row>
    <row r="24" spans="1:14" x14ac:dyDescent="0.25">
      <c r="A24" s="15" t="s">
        <v>236</v>
      </c>
      <c r="B24" s="15" t="str">
        <f>IFERROR(INDEX(Consolidado!$B:$B,MATCH($A24,Consolidado!$A:$A,0)),"")</f>
        <v>arienenascimento</v>
      </c>
      <c r="C24" s="15" t="s">
        <v>233</v>
      </c>
      <c r="D24" s="67">
        <f>IFERROR(INDEX(Consolidado!$J:$J,MATCH($A24,Consolidado!$A:$A,0)),0)</f>
        <v>62</v>
      </c>
      <c r="E24" s="66">
        <f>IFERROR(INDEX(Consolidado!$M:$M,MATCH($A24,Consolidado!$A:$A,0)),0)</f>
        <v>4.0972222222222226E-3</v>
      </c>
      <c r="F24" s="64">
        <f t="shared" si="0"/>
        <v>75</v>
      </c>
      <c r="G24" s="49">
        <f>IFERROR(INDEX(Consolidado!$K:$K,MATCH($A24,Consolidado!$A:$A,0)),0)</f>
        <v>2.8863078703703704</v>
      </c>
      <c r="H24" s="64">
        <f t="shared" si="1"/>
        <v>0</v>
      </c>
      <c r="I24" s="50">
        <f>IFERROR(INDEX(Consolidado!$O:$O,MATCH($A24,Consolidado!$A:$A,0)),0)</f>
        <v>0.86206827413915499</v>
      </c>
      <c r="J24" s="64">
        <f t="shared" si="2"/>
        <v>0</v>
      </c>
      <c r="K24" s="65">
        <f t="shared" si="3"/>
        <v>75</v>
      </c>
      <c r="L24" s="68" t="s">
        <v>738</v>
      </c>
      <c r="M24" s="69">
        <f t="shared" si="4"/>
        <v>-1</v>
      </c>
      <c r="N24" s="70">
        <f t="shared" si="5"/>
        <v>0</v>
      </c>
    </row>
    <row r="25" spans="1:14" x14ac:dyDescent="0.25">
      <c r="A25" s="15" t="s">
        <v>238</v>
      </c>
      <c r="B25" s="15" t="str">
        <f>IFERROR(INDEX(Consolidado!$B:$B,MATCH($A25,Consolidado!$A:$A,0)),"")</f>
        <v>barbaradias</v>
      </c>
      <c r="C25" s="15" t="s">
        <v>233</v>
      </c>
      <c r="D25" s="67">
        <f>IFERROR(INDEX(Consolidado!$J:$J,MATCH($A25,Consolidado!$A:$A,0)),0)</f>
        <v>22</v>
      </c>
      <c r="E25" s="66">
        <f>IFERROR(INDEX(Consolidado!$M:$M,MATCH($A25,Consolidado!$A:$A,0)),0)</f>
        <v>3.6226851851851854E-3</v>
      </c>
      <c r="F25" s="64">
        <f t="shared" si="0"/>
        <v>75</v>
      </c>
      <c r="G25" s="49">
        <f>IFERROR(INDEX(Consolidado!$K:$K,MATCH($A25,Consolidado!$A:$A,0)),0)</f>
        <v>3.4550347222222224</v>
      </c>
      <c r="H25" s="64">
        <f t="shared" si="1"/>
        <v>0</v>
      </c>
      <c r="I25" s="50">
        <f>IFERROR(INDEX(Consolidado!$O:$O,MATCH($A25,Consolidado!$A:$A,0)),0)</f>
        <v>0.95085004103646398</v>
      </c>
      <c r="J25" s="64">
        <f t="shared" si="2"/>
        <v>0</v>
      </c>
      <c r="K25" s="65">
        <f t="shared" si="3"/>
        <v>75</v>
      </c>
      <c r="L25" s="68" t="s">
        <v>738</v>
      </c>
      <c r="M25" s="69">
        <f t="shared" si="4"/>
        <v>-1</v>
      </c>
      <c r="N25" s="70">
        <f t="shared" si="5"/>
        <v>0</v>
      </c>
    </row>
    <row r="26" spans="1:14" x14ac:dyDescent="0.25">
      <c r="A26" s="15" t="s">
        <v>38</v>
      </c>
      <c r="B26" s="15" t="str">
        <f>IFERROR(INDEX(Consolidado!$B:$B,MATCH($A26,Consolidado!$A:$A,0)),"")</f>
        <v>carlosbergues</v>
      </c>
      <c r="C26" s="15" t="s">
        <v>100</v>
      </c>
      <c r="D26" s="67">
        <f>IFERROR(INDEX(Consolidado!$J:$J,MATCH($A26,Consolidado!$A:$A,0)),0)</f>
        <v>35</v>
      </c>
      <c r="E26" s="66">
        <f>IFERROR(INDEX(Consolidado!$M:$M,MATCH($A26,Consolidado!$A:$A,0)),0)</f>
        <v>9.1550925925925931E-3</v>
      </c>
      <c r="F26" s="64">
        <f t="shared" si="0"/>
        <v>0</v>
      </c>
      <c r="G26" s="49">
        <f>IFERROR(INDEX(Consolidado!$K:$K,MATCH($A26,Consolidado!$A:$A,0)),0)</f>
        <v>1.6950694444444445</v>
      </c>
      <c r="H26" s="64">
        <f t="shared" si="1"/>
        <v>0</v>
      </c>
      <c r="I26" s="50">
        <f>IFERROR(INDEX(Consolidado!$O:$O,MATCH($A26,Consolidado!$A:$A,0)),0)</f>
        <v>0.80792603820995001</v>
      </c>
      <c r="J26" s="64">
        <f t="shared" si="2"/>
        <v>0</v>
      </c>
      <c r="K26" s="65">
        <f t="shared" si="3"/>
        <v>0</v>
      </c>
      <c r="L26" s="68" t="s">
        <v>738</v>
      </c>
      <c r="M26" s="69">
        <f t="shared" si="4"/>
        <v>-1</v>
      </c>
      <c r="N26" s="70">
        <f t="shared" si="5"/>
        <v>0</v>
      </c>
    </row>
    <row r="27" spans="1:14" x14ac:dyDescent="0.25">
      <c r="A27" s="15" t="s">
        <v>44</v>
      </c>
      <c r="B27" s="15" t="str">
        <f>IFERROR(INDEX(Consolidado!$B:$B,MATCH($A27,Consolidado!$A:$A,0)),"")</f>
        <v>deboracoelho</v>
      </c>
      <c r="C27" s="15" t="s">
        <v>100</v>
      </c>
      <c r="D27" s="67">
        <f>IFERROR(INDEX(Consolidado!$J:$J,MATCH($A27,Consolidado!$A:$A,0)),0)</f>
        <v>483</v>
      </c>
      <c r="E27" s="66">
        <f>IFERROR(INDEX(Consolidado!$M:$M,MATCH($A27,Consolidado!$A:$A,0)),0)</f>
        <v>5.7523148148148151E-3</v>
      </c>
      <c r="F27" s="64">
        <f t="shared" si="0"/>
        <v>0</v>
      </c>
      <c r="G27" s="49">
        <f>IFERROR(INDEX(Consolidado!$K:$K,MATCH($A27,Consolidado!$A:$A,0)),0)</f>
        <v>3.9040856481481483</v>
      </c>
      <c r="H27" s="64">
        <f t="shared" si="1"/>
        <v>0</v>
      </c>
      <c r="I27" s="50">
        <f>IFERROR(INDEX(Consolidado!$O:$O,MATCH($A27,Consolidado!$A:$A,0)),0)</f>
        <v>0.14498403559898401</v>
      </c>
      <c r="J27" s="64">
        <f t="shared" si="2"/>
        <v>75</v>
      </c>
      <c r="K27" s="65">
        <f t="shared" si="3"/>
        <v>75</v>
      </c>
      <c r="L27" s="68" t="s">
        <v>738</v>
      </c>
      <c r="M27" s="69">
        <f t="shared" si="4"/>
        <v>-1</v>
      </c>
      <c r="N27" s="70">
        <f t="shared" si="5"/>
        <v>0</v>
      </c>
    </row>
    <row r="28" spans="1:14" x14ac:dyDescent="0.25">
      <c r="A28" s="15" t="s">
        <v>240</v>
      </c>
      <c r="B28" s="15" t="str">
        <f>IFERROR(INDEX(Consolidado!$B:$B,MATCH($A28,Consolidado!$A:$A,0)),"")</f>
        <v>diovaniasantos</v>
      </c>
      <c r="C28" s="15" t="s">
        <v>233</v>
      </c>
      <c r="D28" s="67">
        <f>IFERROR(INDEX(Consolidado!$J:$J,MATCH($A28,Consolidado!$A:$A,0)),0)</f>
        <v>24</v>
      </c>
      <c r="E28" s="66">
        <f>IFERROR(INDEX(Consolidado!$M:$M,MATCH($A28,Consolidado!$A:$A,0)),0)</f>
        <v>6.1574074074074074E-3</v>
      </c>
      <c r="F28" s="64">
        <f t="shared" si="0"/>
        <v>0</v>
      </c>
      <c r="G28" s="49">
        <f>IFERROR(INDEX(Consolidado!$K:$K,MATCH($A28,Consolidado!$A:$A,0)),0)</f>
        <v>3.3416666666666668</v>
      </c>
      <c r="H28" s="64">
        <f t="shared" si="1"/>
        <v>0</v>
      </c>
      <c r="I28" s="50">
        <f>IFERROR(INDEX(Consolidado!$O:$O,MATCH($A28,Consolidado!$A:$A,0)),0)</f>
        <v>0.91691604322526998</v>
      </c>
      <c r="J28" s="64">
        <f t="shared" si="2"/>
        <v>0</v>
      </c>
      <c r="K28" s="65">
        <f t="shared" si="3"/>
        <v>0</v>
      </c>
      <c r="L28" s="68" t="s">
        <v>738</v>
      </c>
      <c r="M28" s="69">
        <f t="shared" si="4"/>
        <v>-1</v>
      </c>
      <c r="N28" s="70">
        <f t="shared" si="5"/>
        <v>0</v>
      </c>
    </row>
    <row r="29" spans="1:14" x14ac:dyDescent="0.25">
      <c r="A29" s="15" t="s">
        <v>645</v>
      </c>
      <c r="B29" s="15" t="str">
        <f>IFERROR(INDEX(Consolidado!$B:$B,MATCH($A29,Consolidado!$A:$A,0)),"")</f>
        <v>eduardogoncalves</v>
      </c>
      <c r="C29" s="15" t="s">
        <v>100</v>
      </c>
      <c r="D29" s="67">
        <f>IFERROR(INDEX(Consolidado!$J:$J,MATCH($A29,Consolidado!$A:$A,0)),0)</f>
        <v>531</v>
      </c>
      <c r="E29" s="66">
        <f>IFERROR(INDEX(Consolidado!$M:$M,MATCH($A29,Consolidado!$A:$A,0)),0)</f>
        <v>5.6365740740740742E-3</v>
      </c>
      <c r="F29" s="64">
        <f t="shared" si="0"/>
        <v>0</v>
      </c>
      <c r="G29" s="49">
        <f>IFERROR(INDEX(Consolidado!$K:$K,MATCH($A29,Consolidado!$A:$A,0)),0)</f>
        <v>3.9282870370370371</v>
      </c>
      <c r="H29" s="64">
        <f t="shared" si="1"/>
        <v>0</v>
      </c>
      <c r="I29" s="50">
        <f>IFERROR(INDEX(Consolidado!$O:$O,MATCH($A29,Consolidado!$A:$A,0)),0)</f>
        <v>0.14235836937690799</v>
      </c>
      <c r="J29" s="64">
        <f t="shared" si="2"/>
        <v>75</v>
      </c>
      <c r="K29" s="65">
        <f t="shared" si="3"/>
        <v>75</v>
      </c>
      <c r="L29" s="68" t="s">
        <v>738</v>
      </c>
      <c r="M29" s="69">
        <f t="shared" si="4"/>
        <v>-1</v>
      </c>
      <c r="N29" s="70">
        <f t="shared" si="5"/>
        <v>0</v>
      </c>
    </row>
    <row r="30" spans="1:14" x14ac:dyDescent="0.25">
      <c r="A30" s="15" t="s">
        <v>120</v>
      </c>
      <c r="B30" s="15" t="str">
        <f>IFERROR(INDEX(Consolidado!$B:$B,MATCH($A30,Consolidado!$A:$A,0)),"")</f>
        <v>edynayanefranca</v>
      </c>
      <c r="C30" s="15" t="s">
        <v>233</v>
      </c>
      <c r="D30" s="67">
        <f>IFERROR(INDEX(Consolidado!$J:$J,MATCH($A30,Consolidado!$A:$A,0)),0)</f>
        <v>597</v>
      </c>
      <c r="E30" s="66">
        <f>IFERROR(INDEX(Consolidado!$M:$M,MATCH($A30,Consolidado!$A:$A,0)),0)</f>
        <v>2.9050925925925928E-3</v>
      </c>
      <c r="F30" s="64">
        <f t="shared" si="0"/>
        <v>100</v>
      </c>
      <c r="G30" s="49">
        <f>IFERROR(INDEX(Consolidado!$K:$K,MATCH($A30,Consolidado!$A:$A,0)),0)</f>
        <v>3.8137731481481483</v>
      </c>
      <c r="H30" s="64">
        <f t="shared" si="1"/>
        <v>0</v>
      </c>
      <c r="I30" s="50">
        <f>IFERROR(INDEX(Consolidado!$O:$O,MATCH($A30,Consolidado!$A:$A,0)),0)</f>
        <v>0.21154137962429101</v>
      </c>
      <c r="J30" s="64">
        <f t="shared" si="2"/>
        <v>0</v>
      </c>
      <c r="K30" s="65">
        <f t="shared" si="3"/>
        <v>100</v>
      </c>
      <c r="L30" s="68" t="s">
        <v>738</v>
      </c>
      <c r="M30" s="69">
        <f t="shared" si="4"/>
        <v>-1</v>
      </c>
      <c r="N30" s="70">
        <f t="shared" si="5"/>
        <v>0</v>
      </c>
    </row>
    <row r="31" spans="1:14" x14ac:dyDescent="0.25">
      <c r="A31" s="15" t="s">
        <v>46</v>
      </c>
      <c r="B31" s="15" t="str">
        <f>IFERROR(INDEX(Consolidado!$B:$B,MATCH($A31,Consolidado!$A:$A,0)),"")</f>
        <v>elainesilva</v>
      </c>
      <c r="C31" s="15" t="s">
        <v>100</v>
      </c>
      <c r="D31" s="67">
        <f>IFERROR(INDEX(Consolidado!$J:$J,MATCH($A31,Consolidado!$A:$A,0)),0)</f>
        <v>511</v>
      </c>
      <c r="E31" s="66">
        <f>IFERROR(INDEX(Consolidado!$M:$M,MATCH($A31,Consolidado!$A:$A,0)),0)</f>
        <v>5.115740740740741E-3</v>
      </c>
      <c r="F31" s="64">
        <f t="shared" si="0"/>
        <v>0</v>
      </c>
      <c r="G31" s="49">
        <f>IFERROR(INDEX(Consolidado!$K:$K,MATCH($A31,Consolidado!$A:$A,0)),0)</f>
        <v>3.9381712962962965</v>
      </c>
      <c r="H31" s="64">
        <f t="shared" si="1"/>
        <v>0</v>
      </c>
      <c r="I31" s="50">
        <f>IFERROR(INDEX(Consolidado!$O:$O,MATCH($A31,Consolidado!$A:$A,0)),0)</f>
        <v>0.13599386348006501</v>
      </c>
      <c r="J31" s="64">
        <f t="shared" si="2"/>
        <v>75</v>
      </c>
      <c r="K31" s="65">
        <f t="shared" si="3"/>
        <v>75</v>
      </c>
      <c r="L31" s="68" t="s">
        <v>738</v>
      </c>
      <c r="M31" s="69">
        <f t="shared" si="4"/>
        <v>-1</v>
      </c>
      <c r="N31" s="70">
        <f t="shared" si="5"/>
        <v>0</v>
      </c>
    </row>
    <row r="32" spans="1:14" x14ac:dyDescent="0.25">
      <c r="A32" s="15" t="s">
        <v>647</v>
      </c>
      <c r="B32" s="15" t="str">
        <f>IFERROR(INDEX(Consolidado!$B:$B,MATCH($A32,Consolidado!$A:$A,0)),"")</f>
        <v>geovananeves</v>
      </c>
      <c r="C32" s="15" t="s">
        <v>233</v>
      </c>
      <c r="D32" s="67">
        <f>IFERROR(INDEX(Consolidado!$J:$J,MATCH($A32,Consolidado!$A:$A,0)),0)</f>
        <v>468</v>
      </c>
      <c r="E32" s="66">
        <f>IFERROR(INDEX(Consolidado!$M:$M,MATCH($A32,Consolidado!$A:$A,0)),0)</f>
        <v>3.6574074074074074E-3</v>
      </c>
      <c r="F32" s="64">
        <f t="shared" si="0"/>
        <v>75</v>
      </c>
      <c r="G32" s="49">
        <f>IFERROR(INDEX(Consolidado!$K:$K,MATCH($A32,Consolidado!$A:$A,0)),0)</f>
        <v>3.7658217592592593</v>
      </c>
      <c r="H32" s="64">
        <f t="shared" si="1"/>
        <v>0</v>
      </c>
      <c r="I32" s="50">
        <f>IFERROR(INDEX(Consolidado!$O:$O,MATCH($A32,Consolidado!$A:$A,0)),0)</f>
        <v>0.18824588848899901</v>
      </c>
      <c r="J32" s="64">
        <f t="shared" si="2"/>
        <v>0</v>
      </c>
      <c r="K32" s="65">
        <f t="shared" si="3"/>
        <v>75</v>
      </c>
      <c r="L32" s="68" t="s">
        <v>738</v>
      </c>
      <c r="M32" s="69">
        <f t="shared" si="4"/>
        <v>-1</v>
      </c>
      <c r="N32" s="70">
        <f t="shared" si="5"/>
        <v>0</v>
      </c>
    </row>
    <row r="33" spans="1:14" x14ac:dyDescent="0.25">
      <c r="A33" s="15" t="s">
        <v>651</v>
      </c>
      <c r="B33" s="15" t="str">
        <f>IFERROR(INDEX(Consolidado!$B:$B,MATCH($A33,Consolidado!$A:$A,0)),"")</f>
        <v>gerlainysantos</v>
      </c>
      <c r="C33" s="15" t="s">
        <v>100</v>
      </c>
      <c r="D33" s="67">
        <f>IFERROR(INDEX(Consolidado!$J:$J,MATCH($A33,Consolidado!$A:$A,0)),0)</f>
        <v>260</v>
      </c>
      <c r="E33" s="66">
        <f>IFERROR(INDEX(Consolidado!$M:$M,MATCH($A33,Consolidado!$A:$A,0)),0)</f>
        <v>7.1296296296296299E-3</v>
      </c>
      <c r="F33" s="64">
        <f t="shared" si="0"/>
        <v>0</v>
      </c>
      <c r="G33" s="49">
        <f>IFERROR(INDEX(Consolidado!$K:$K,MATCH($A33,Consolidado!$A:$A,0)),0)</f>
        <v>2.608622685185185</v>
      </c>
      <c r="H33" s="64">
        <f t="shared" si="1"/>
        <v>0</v>
      </c>
      <c r="I33" s="50">
        <f>IFERROR(INDEX(Consolidado!$O:$O,MATCH($A33,Consolidado!$A:$A,0)),0)</f>
        <v>0.19370854315948299</v>
      </c>
      <c r="J33" s="64">
        <f t="shared" si="2"/>
        <v>0</v>
      </c>
      <c r="K33" s="65">
        <f t="shared" si="3"/>
        <v>0</v>
      </c>
      <c r="L33" s="68" t="s">
        <v>738</v>
      </c>
      <c r="M33" s="69">
        <f t="shared" si="4"/>
        <v>-1</v>
      </c>
      <c r="N33" s="70">
        <f t="shared" si="5"/>
        <v>0</v>
      </c>
    </row>
    <row r="34" spans="1:14" x14ac:dyDescent="0.25">
      <c r="A34" s="15" t="s">
        <v>246</v>
      </c>
      <c r="B34" s="15" t="str">
        <f>IFERROR(INDEX(Consolidado!$B:$B,MATCH($A34,Consolidado!$A:$A,0)),"")</f>
        <v>giliellesilva</v>
      </c>
      <c r="C34" s="15" t="s">
        <v>233</v>
      </c>
      <c r="D34" s="67">
        <f>IFERROR(INDEX(Consolidado!$J:$J,MATCH($A34,Consolidado!$A:$A,0)),0)</f>
        <v>451</v>
      </c>
      <c r="E34" s="66">
        <f>IFERROR(INDEX(Consolidado!$M:$M,MATCH($A34,Consolidado!$A:$A,0)),0)</f>
        <v>3.460648148148148E-3</v>
      </c>
      <c r="F34" s="64">
        <f t="shared" si="0"/>
        <v>100</v>
      </c>
      <c r="G34" s="49">
        <f>IFERROR(INDEX(Consolidado!$K:$K,MATCH($A34,Consolidado!$A:$A,0)),0)</f>
        <v>3.3754976851851852</v>
      </c>
      <c r="H34" s="64">
        <f t="shared" si="1"/>
        <v>0</v>
      </c>
      <c r="I34" s="50">
        <f>IFERROR(INDEX(Consolidado!$O:$O,MATCH($A34,Consolidado!$A:$A,0)),0)</f>
        <v>0.17775156612708001</v>
      </c>
      <c r="J34" s="64">
        <f t="shared" si="2"/>
        <v>0</v>
      </c>
      <c r="K34" s="65">
        <f t="shared" si="3"/>
        <v>100</v>
      </c>
      <c r="L34" s="68" t="s">
        <v>738</v>
      </c>
      <c r="M34" s="69">
        <f t="shared" si="4"/>
        <v>-1</v>
      </c>
      <c r="N34" s="70">
        <f t="shared" si="5"/>
        <v>0</v>
      </c>
    </row>
    <row r="35" spans="1:14" x14ac:dyDescent="0.25">
      <c r="A35" s="15" t="s">
        <v>48</v>
      </c>
      <c r="B35" s="15" t="str">
        <f>IFERROR(INDEX(Consolidado!$B:$B,MATCH($A35,Consolidado!$A:$A,0)),"")</f>
        <v>gustavoabreu</v>
      </c>
      <c r="C35" s="15" t="s">
        <v>100</v>
      </c>
      <c r="D35" s="67">
        <f>IFERROR(INDEX(Consolidado!$J:$J,MATCH($A35,Consolidado!$A:$A,0)),0)</f>
        <v>468</v>
      </c>
      <c r="E35" s="66">
        <f>IFERROR(INDEX(Consolidado!$M:$M,MATCH($A35,Consolidado!$A:$A,0)),0)</f>
        <v>4.3981481481481484E-3</v>
      </c>
      <c r="F35" s="64">
        <f t="shared" si="0"/>
        <v>50</v>
      </c>
      <c r="G35" s="49">
        <f>IFERROR(INDEX(Consolidado!$K:$K,MATCH($A35,Consolidado!$A:$A,0)),0)</f>
        <v>3.430277777777778</v>
      </c>
      <c r="H35" s="64">
        <f t="shared" si="1"/>
        <v>0</v>
      </c>
      <c r="I35" s="50">
        <f>IFERROR(INDEX(Consolidado!$O:$O,MATCH($A35,Consolidado!$A:$A,0)),0)</f>
        <v>0.242209220719626</v>
      </c>
      <c r="J35" s="64">
        <f t="shared" si="2"/>
        <v>0</v>
      </c>
      <c r="K35" s="65">
        <f t="shared" si="3"/>
        <v>50</v>
      </c>
      <c r="L35" s="68" t="s">
        <v>738</v>
      </c>
      <c r="M35" s="69">
        <f t="shared" si="4"/>
        <v>-1</v>
      </c>
      <c r="N35" s="70">
        <f t="shared" si="5"/>
        <v>0</v>
      </c>
    </row>
    <row r="36" spans="1:14" x14ac:dyDescent="0.25">
      <c r="A36" s="15" t="s">
        <v>50</v>
      </c>
      <c r="B36" s="15" t="str">
        <f>IFERROR(INDEX(Consolidado!$B:$B,MATCH($A36,Consolidado!$A:$A,0)),"")</f>
        <v>gustavoteixeira</v>
      </c>
      <c r="C36" s="15" t="s">
        <v>100</v>
      </c>
      <c r="D36" s="67">
        <f>IFERROR(INDEX(Consolidado!$J:$J,MATCH($A36,Consolidado!$A:$A,0)),0)</f>
        <v>78</v>
      </c>
      <c r="E36" s="66">
        <f>IFERROR(INDEX(Consolidado!$M:$M,MATCH($A36,Consolidado!$A:$A,0)),0)</f>
        <v>5.8796296296296296E-3</v>
      </c>
      <c r="F36" s="64">
        <f t="shared" si="0"/>
        <v>0</v>
      </c>
      <c r="G36" s="49">
        <f>IFERROR(INDEX(Consolidado!$K:$K,MATCH($A36,Consolidado!$A:$A,0)),0)</f>
        <v>3.2276736111111113</v>
      </c>
      <c r="H36" s="64">
        <f t="shared" si="1"/>
        <v>0</v>
      </c>
      <c r="I36" s="50">
        <f>IFERROR(INDEX(Consolidado!$O:$O,MATCH($A36,Consolidado!$A:$A,0)),0)</f>
        <v>0.87717977129210301</v>
      </c>
      <c r="J36" s="64">
        <f t="shared" si="2"/>
        <v>0</v>
      </c>
      <c r="K36" s="65">
        <f t="shared" si="3"/>
        <v>0</v>
      </c>
      <c r="L36" s="68" t="s">
        <v>738</v>
      </c>
      <c r="M36" s="69">
        <f t="shared" si="4"/>
        <v>-1</v>
      </c>
      <c r="N36" s="70">
        <f t="shared" si="5"/>
        <v>0</v>
      </c>
    </row>
    <row r="37" spans="1:14" x14ac:dyDescent="0.25">
      <c r="A37" s="15" t="s">
        <v>242</v>
      </c>
      <c r="B37" s="15" t="str">
        <f>IFERROR(INDEX(Consolidado!$B:$B,MATCH($A37,Consolidado!$A:$A,0)),"")</f>
        <v>helenadutra</v>
      </c>
      <c r="C37" s="15" t="s">
        <v>233</v>
      </c>
      <c r="D37" s="67">
        <f>IFERROR(INDEX(Consolidado!$J:$J,MATCH($A37,Consolidado!$A:$A,0)),0)</f>
        <v>412</v>
      </c>
      <c r="E37" s="66">
        <f>IFERROR(INDEX(Consolidado!$M:$M,MATCH($A37,Consolidado!$A:$A,0)),0)</f>
        <v>5.9490740740740745E-3</v>
      </c>
      <c r="F37" s="64">
        <f t="shared" si="0"/>
        <v>0</v>
      </c>
      <c r="G37" s="49">
        <f>IFERROR(INDEX(Consolidado!$K:$K,MATCH($A37,Consolidado!$A:$A,0)),0)</f>
        <v>3.8716550925925928</v>
      </c>
      <c r="H37" s="64">
        <f t="shared" si="1"/>
        <v>0</v>
      </c>
      <c r="I37" s="50">
        <f>IFERROR(INDEX(Consolidado!$O:$O,MATCH($A37,Consolidado!$A:$A,0)),0)</f>
        <v>6.4715360630891103E-2</v>
      </c>
      <c r="J37" s="64">
        <f t="shared" si="2"/>
        <v>100</v>
      </c>
      <c r="K37" s="65">
        <f t="shared" si="3"/>
        <v>100</v>
      </c>
      <c r="L37" s="68" t="s">
        <v>738</v>
      </c>
      <c r="M37" s="69">
        <f t="shared" si="4"/>
        <v>-1</v>
      </c>
      <c r="N37" s="70">
        <f t="shared" si="5"/>
        <v>0</v>
      </c>
    </row>
    <row r="38" spans="1:14" x14ac:dyDescent="0.25">
      <c r="A38" s="15" t="s">
        <v>744</v>
      </c>
      <c r="B38" s="15" t="str">
        <f>IFERROR(INDEX(Consolidado!$B:$B,MATCH($A38,Consolidado!$A:$A,0)),"")</f>
        <v>rafaellasantos</v>
      </c>
      <c r="C38" s="15" t="s">
        <v>100</v>
      </c>
      <c r="D38" s="67">
        <f>IFERROR(INDEX(Consolidado!$J:$J,MATCH($A38,Consolidado!$A:$A,0)),0)</f>
        <v>354</v>
      </c>
      <c r="E38" s="66">
        <f>IFERROR(INDEX(Consolidado!$M:$M,MATCH($A38,Consolidado!$A:$A,0)),0)</f>
        <v>5.1504629629629626E-3</v>
      </c>
      <c r="F38" s="64">
        <f t="shared" si="0"/>
        <v>0</v>
      </c>
      <c r="G38" s="49">
        <f>IFERROR(INDEX(Consolidado!$K:$K,MATCH($A38,Consolidado!$A:$A,0)),0)</f>
        <v>3.0904050925925928</v>
      </c>
      <c r="H38" s="64">
        <f t="shared" si="1"/>
        <v>0</v>
      </c>
      <c r="I38" s="50">
        <f>IFERROR(INDEX(Consolidado!$O:$O,MATCH($A38,Consolidado!$A:$A,0)),0)</f>
        <v>0.233593372557685</v>
      </c>
      <c r="J38" s="64">
        <f t="shared" si="2"/>
        <v>0</v>
      </c>
      <c r="K38" s="65">
        <f t="shared" si="3"/>
        <v>0</v>
      </c>
      <c r="L38" s="68" t="s">
        <v>738</v>
      </c>
      <c r="M38" s="69">
        <f t="shared" si="4"/>
        <v>-1</v>
      </c>
      <c r="N38" s="70">
        <f t="shared" si="5"/>
        <v>0</v>
      </c>
    </row>
    <row r="39" spans="1:14" x14ac:dyDescent="0.25">
      <c r="A39" s="15" t="s">
        <v>683</v>
      </c>
      <c r="B39" s="15" t="str">
        <f>IFERROR(INDEX(Consolidado!$B:$B,MATCH($A39,Consolidado!$A:$A,0)),"")</f>
        <v>jadnagomes</v>
      </c>
      <c r="C39" s="15" t="s">
        <v>233</v>
      </c>
      <c r="D39" s="67">
        <f>IFERROR(INDEX(Consolidado!$J:$J,MATCH($A39,Consolidado!$A:$A,0)),0)</f>
        <v>316</v>
      </c>
      <c r="E39" s="66">
        <f>IFERROR(INDEX(Consolidado!$M:$M,MATCH($A39,Consolidado!$A:$A,0)),0)</f>
        <v>4.6874999999999998E-3</v>
      </c>
      <c r="F39" s="64">
        <f t="shared" si="0"/>
        <v>50</v>
      </c>
      <c r="G39" s="49">
        <f>IFERROR(INDEX(Consolidado!$K:$K,MATCH($A39,Consolidado!$A:$A,0)),0)</f>
        <v>2.8676620370370371</v>
      </c>
      <c r="H39" s="64">
        <f t="shared" si="1"/>
        <v>0</v>
      </c>
      <c r="I39" s="50">
        <f>IFERROR(INDEX(Consolidado!$O:$O,MATCH($A39,Consolidado!$A:$A,0)),0)</f>
        <v>0.19620932654197901</v>
      </c>
      <c r="J39" s="64">
        <f t="shared" si="2"/>
        <v>0</v>
      </c>
      <c r="K39" s="65">
        <f t="shared" si="3"/>
        <v>50</v>
      </c>
      <c r="L39" s="68" t="s">
        <v>738</v>
      </c>
      <c r="M39" s="69">
        <f t="shared" si="4"/>
        <v>-1</v>
      </c>
      <c r="N39" s="70">
        <f t="shared" si="5"/>
        <v>0</v>
      </c>
    </row>
    <row r="40" spans="1:14" x14ac:dyDescent="0.25">
      <c r="A40" s="15" t="s">
        <v>653</v>
      </c>
      <c r="B40" s="15" t="str">
        <f>IFERROR(INDEX(Consolidado!$B:$B,MATCH($A40,Consolidado!$A:$A,0)),"")</f>
        <v>jamillymota</v>
      </c>
      <c r="C40" s="15" t="s">
        <v>100</v>
      </c>
      <c r="D40" s="67">
        <f>IFERROR(INDEX(Consolidado!$J:$J,MATCH($A40,Consolidado!$A:$A,0)),0)</f>
        <v>430</v>
      </c>
      <c r="E40" s="66">
        <f>IFERROR(INDEX(Consolidado!$M:$M,MATCH($A40,Consolidado!$A:$A,0)),0)</f>
        <v>6.3078703703703708E-3</v>
      </c>
      <c r="F40" s="64">
        <f t="shared" si="0"/>
        <v>0</v>
      </c>
      <c r="G40" s="49">
        <f>IFERROR(INDEX(Consolidado!$K:$K,MATCH($A40,Consolidado!$A:$A,0)),0)</f>
        <v>3.8220254629629631</v>
      </c>
      <c r="H40" s="64">
        <f t="shared" si="1"/>
        <v>0</v>
      </c>
      <c r="I40" s="50">
        <f>IFERROR(INDEX(Consolidado!$O:$O,MATCH($A40,Consolidado!$A:$A,0)),0)</f>
        <v>0.17438821644767299</v>
      </c>
      <c r="J40" s="64">
        <f t="shared" si="2"/>
        <v>0</v>
      </c>
      <c r="K40" s="65">
        <f t="shared" si="3"/>
        <v>0</v>
      </c>
      <c r="L40" s="68" t="s">
        <v>738</v>
      </c>
      <c r="M40" s="69">
        <f t="shared" si="4"/>
        <v>-1</v>
      </c>
      <c r="N40" s="70">
        <f t="shared" si="5"/>
        <v>0</v>
      </c>
    </row>
    <row r="41" spans="1:14" x14ac:dyDescent="0.25">
      <c r="A41" s="15" t="s">
        <v>52</v>
      </c>
      <c r="B41" s="15" t="str">
        <f>IFERROR(INDEX(Consolidado!$B:$B,MATCH($A41,Consolidado!$A:$A,0)),"")</f>
        <v>jennyferlima</v>
      </c>
      <c r="C41" s="15" t="s">
        <v>100</v>
      </c>
      <c r="D41" s="67">
        <f>IFERROR(INDEX(Consolidado!$J:$J,MATCH($A41,Consolidado!$A:$A,0)),0)</f>
        <v>66</v>
      </c>
      <c r="E41" s="66">
        <f>IFERROR(INDEX(Consolidado!$M:$M,MATCH($A41,Consolidado!$A:$A,0)),0)</f>
        <v>6.2384259259259259E-3</v>
      </c>
      <c r="F41" s="64">
        <f t="shared" si="0"/>
        <v>0</v>
      </c>
      <c r="G41" s="49">
        <f>IFERROR(INDEX(Consolidado!$K:$K,MATCH($A41,Consolidado!$A:$A,0)),0)</f>
        <v>3.426574074074074</v>
      </c>
      <c r="H41" s="64">
        <f t="shared" si="1"/>
        <v>0</v>
      </c>
      <c r="I41" s="50">
        <f>IFERROR(INDEX(Consolidado!$O:$O,MATCH($A41,Consolidado!$A:$A,0)),0)</f>
        <v>0.89724241359742696</v>
      </c>
      <c r="J41" s="64">
        <f t="shared" si="2"/>
        <v>0</v>
      </c>
      <c r="K41" s="65">
        <f t="shared" si="3"/>
        <v>0</v>
      </c>
      <c r="L41" s="68" t="s">
        <v>738</v>
      </c>
      <c r="M41" s="69">
        <f t="shared" si="4"/>
        <v>-1</v>
      </c>
      <c r="N41" s="70">
        <f t="shared" si="5"/>
        <v>0</v>
      </c>
    </row>
    <row r="42" spans="1:14" x14ac:dyDescent="0.25">
      <c r="A42" s="15" t="s">
        <v>655</v>
      </c>
      <c r="B42" s="15" t="str">
        <f>IFERROR(INDEX(Consolidado!$B:$B,MATCH($A42,Consolidado!$A:$A,0)),"")</f>
        <v>jessicacosta</v>
      </c>
      <c r="C42" s="15" t="s">
        <v>100</v>
      </c>
      <c r="D42" s="67">
        <f>IFERROR(INDEX(Consolidado!$J:$J,MATCH($A42,Consolidado!$A:$A,0)),0)</f>
        <v>431</v>
      </c>
      <c r="E42" s="66">
        <f>IFERROR(INDEX(Consolidado!$M:$M,MATCH($A42,Consolidado!$A:$A,0)),0)</f>
        <v>5.6597222222222222E-3</v>
      </c>
      <c r="F42" s="64">
        <f t="shared" si="0"/>
        <v>0</v>
      </c>
      <c r="G42" s="49">
        <f>IFERROR(INDEX(Consolidado!$K:$K,MATCH($A42,Consolidado!$A:$A,0)),0)</f>
        <v>3.8917476851851851</v>
      </c>
      <c r="H42" s="64">
        <f t="shared" si="1"/>
        <v>0</v>
      </c>
      <c r="I42" s="50">
        <f>IFERROR(INDEX(Consolidado!$O:$O,MATCH($A42,Consolidado!$A:$A,0)),0)</f>
        <v>0.155359006920508</v>
      </c>
      <c r="J42" s="64">
        <f t="shared" si="2"/>
        <v>50</v>
      </c>
      <c r="K42" s="65">
        <f t="shared" si="3"/>
        <v>50</v>
      </c>
      <c r="L42" s="68" t="s">
        <v>738</v>
      </c>
      <c r="M42" s="69">
        <f t="shared" si="4"/>
        <v>-1</v>
      </c>
      <c r="N42" s="70">
        <f t="shared" si="5"/>
        <v>0</v>
      </c>
    </row>
    <row r="43" spans="1:14" x14ac:dyDescent="0.25">
      <c r="A43" s="15" t="s">
        <v>659</v>
      </c>
      <c r="B43" s="15" t="str">
        <f>IFERROR(INDEX(Consolidado!$B:$B,MATCH($A43,Consolidado!$A:$A,0)),"")</f>
        <v>jordannarequel</v>
      </c>
      <c r="C43" s="15" t="s">
        <v>100</v>
      </c>
      <c r="D43" s="67">
        <f>IFERROR(INDEX(Consolidado!$J:$J,MATCH($A43,Consolidado!$A:$A,0)),0)</f>
        <v>96</v>
      </c>
      <c r="E43" s="66">
        <f>IFERROR(INDEX(Consolidado!$M:$M,MATCH($A43,Consolidado!$A:$A,0)),0)</f>
        <v>5.4050925925925924E-3</v>
      </c>
      <c r="F43" s="64">
        <f t="shared" si="0"/>
        <v>0</v>
      </c>
      <c r="G43" s="49">
        <f>IFERROR(INDEX(Consolidado!$K:$K,MATCH($A43,Consolidado!$A:$A,0)),0)</f>
        <v>3.3259837962962964</v>
      </c>
      <c r="H43" s="64">
        <f t="shared" si="1"/>
        <v>0</v>
      </c>
      <c r="I43" s="50">
        <f>IFERROR(INDEX(Consolidado!$O:$O,MATCH($A43,Consolidado!$A:$A,0)),0)</f>
        <v>0.82735893376020098</v>
      </c>
      <c r="J43" s="64">
        <f t="shared" si="2"/>
        <v>0</v>
      </c>
      <c r="K43" s="65">
        <f t="shared" si="3"/>
        <v>0</v>
      </c>
      <c r="L43" s="68" t="s">
        <v>738</v>
      </c>
      <c r="M43" s="69">
        <f t="shared" si="4"/>
        <v>-1</v>
      </c>
      <c r="N43" s="70">
        <f t="shared" si="5"/>
        <v>0</v>
      </c>
    </row>
    <row r="44" spans="1:14" x14ac:dyDescent="0.25">
      <c r="A44" s="15" t="s">
        <v>254</v>
      </c>
      <c r="B44" s="15" t="str">
        <f>IFERROR(INDEX(Consolidado!$B:$B,MATCH($A44,Consolidado!$A:$A,0)),"")</f>
        <v>jullianabarreto</v>
      </c>
      <c r="C44" s="15" t="s">
        <v>233</v>
      </c>
      <c r="D44" s="67">
        <f>IFERROR(INDEX(Consolidado!$J:$J,MATCH($A44,Consolidado!$A:$A,0)),0)</f>
        <v>347</v>
      </c>
      <c r="E44" s="66">
        <f>IFERROR(INDEX(Consolidado!$M:$M,MATCH($A44,Consolidado!$A:$A,0)),0)</f>
        <v>4.8032407407407407E-3</v>
      </c>
      <c r="F44" s="64">
        <f t="shared" si="0"/>
        <v>50</v>
      </c>
      <c r="G44" s="49">
        <f>IFERROR(INDEX(Consolidado!$K:$K,MATCH($A44,Consolidado!$A:$A,0)),0)</f>
        <v>3.935162037037037</v>
      </c>
      <c r="H44" s="64">
        <f t="shared" si="1"/>
        <v>0</v>
      </c>
      <c r="I44" s="50">
        <f>IFERROR(INDEX(Consolidado!$O:$O,MATCH($A44,Consolidado!$A:$A,0)),0)</f>
        <v>0.23461020358943299</v>
      </c>
      <c r="J44" s="64">
        <f t="shared" si="2"/>
        <v>0</v>
      </c>
      <c r="K44" s="65">
        <f t="shared" si="3"/>
        <v>50</v>
      </c>
      <c r="L44" s="68" t="s">
        <v>738</v>
      </c>
      <c r="M44" s="69">
        <f t="shared" si="4"/>
        <v>-1</v>
      </c>
      <c r="N44" s="70">
        <f t="shared" si="5"/>
        <v>0</v>
      </c>
    </row>
    <row r="45" spans="1:14" x14ac:dyDescent="0.25">
      <c r="A45" s="15" t="s">
        <v>256</v>
      </c>
      <c r="B45" s="15" t="str">
        <f>IFERROR(INDEX(Consolidado!$B:$B,MATCH($A45,Consolidado!$A:$A,0)),"")</f>
        <v>larasouza</v>
      </c>
      <c r="C45" s="15" t="s">
        <v>233</v>
      </c>
      <c r="D45" s="67">
        <f>IFERROR(INDEX(Consolidado!$J:$J,MATCH($A45,Consolidado!$A:$A,0)),0)</f>
        <v>302</v>
      </c>
      <c r="E45" s="66">
        <f>IFERROR(INDEX(Consolidado!$M:$M,MATCH($A45,Consolidado!$A:$A,0)),0)</f>
        <v>5.6134259259259262E-3</v>
      </c>
      <c r="F45" s="64">
        <f t="shared" si="0"/>
        <v>0</v>
      </c>
      <c r="G45" s="49">
        <f>IFERROR(INDEX(Consolidado!$K:$K,MATCH($A45,Consolidado!$A:$A,0)),0)</f>
        <v>3.492835648148148</v>
      </c>
      <c r="H45" s="64">
        <f t="shared" si="1"/>
        <v>0</v>
      </c>
      <c r="I45" s="50">
        <f>IFERROR(INDEX(Consolidado!$O:$O,MATCH($A45,Consolidado!$A:$A,0)),0)</f>
        <v>0.20985085210798601</v>
      </c>
      <c r="J45" s="64">
        <f t="shared" si="2"/>
        <v>0</v>
      </c>
      <c r="K45" s="65">
        <f t="shared" si="3"/>
        <v>0</v>
      </c>
      <c r="L45" s="68" t="s">
        <v>738</v>
      </c>
      <c r="M45" s="69">
        <f t="shared" si="4"/>
        <v>-1</v>
      </c>
      <c r="N45" s="70">
        <f t="shared" si="5"/>
        <v>0</v>
      </c>
    </row>
    <row r="46" spans="1:14" x14ac:dyDescent="0.25">
      <c r="A46" s="15" t="s">
        <v>258</v>
      </c>
      <c r="B46" s="15" t="str">
        <f>IFERROR(INDEX(Consolidado!$B:$B,MATCH($A46,Consolidado!$A:$A,0)),"")</f>
        <v>larissaxavier</v>
      </c>
      <c r="C46" s="15" t="s">
        <v>233</v>
      </c>
      <c r="D46" s="67">
        <f>IFERROR(INDEX(Consolidado!$J:$J,MATCH($A46,Consolidado!$A:$A,0)),0)</f>
        <v>24</v>
      </c>
      <c r="E46" s="66">
        <f>IFERROR(INDEX(Consolidado!$M:$M,MATCH($A46,Consolidado!$A:$A,0)),0)</f>
        <v>7.3379629629629628E-3</v>
      </c>
      <c r="F46" s="64">
        <f t="shared" si="0"/>
        <v>0</v>
      </c>
      <c r="G46" s="49">
        <f>IFERROR(INDEX(Consolidado!$K:$K,MATCH($A46,Consolidado!$A:$A,0)),0)</f>
        <v>2.8373842592592591</v>
      </c>
      <c r="H46" s="64">
        <f t="shared" si="1"/>
        <v>0</v>
      </c>
      <c r="I46" s="50">
        <f>IFERROR(INDEX(Consolidado!$O:$O,MATCH($A46,Consolidado!$A:$A,0)),0)</f>
        <v>0.92201917193555005</v>
      </c>
      <c r="J46" s="64">
        <f t="shared" si="2"/>
        <v>0</v>
      </c>
      <c r="K46" s="65">
        <f t="shared" si="3"/>
        <v>0</v>
      </c>
      <c r="L46" s="68" t="s">
        <v>738</v>
      </c>
      <c r="M46" s="69">
        <f t="shared" si="4"/>
        <v>-1</v>
      </c>
      <c r="N46" s="70">
        <f t="shared" si="5"/>
        <v>0</v>
      </c>
    </row>
    <row r="47" spans="1:14" x14ac:dyDescent="0.25">
      <c r="A47" s="15" t="s">
        <v>661</v>
      </c>
      <c r="B47" s="15" t="str">
        <f>IFERROR(INDEX(Consolidado!$B:$B,MATCH($A47,Consolidado!$A:$A,0)),"")</f>
        <v>lauracirqueira</v>
      </c>
      <c r="C47" s="15" t="s">
        <v>100</v>
      </c>
      <c r="D47" s="67">
        <f>IFERROR(INDEX(Consolidado!$J:$J,MATCH($A47,Consolidado!$A:$A,0)),0)</f>
        <v>432</v>
      </c>
      <c r="E47" s="66">
        <f>IFERROR(INDEX(Consolidado!$M:$M,MATCH($A47,Consolidado!$A:$A,0)),0)</f>
        <v>5.9259259259259256E-3</v>
      </c>
      <c r="F47" s="64">
        <f t="shared" si="0"/>
        <v>0</v>
      </c>
      <c r="G47" s="49">
        <f>IFERROR(INDEX(Consolidado!$K:$K,MATCH($A47,Consolidado!$A:$A,0)),0)</f>
        <v>3.8638425925925928</v>
      </c>
      <c r="H47" s="64">
        <f t="shared" si="1"/>
        <v>0</v>
      </c>
      <c r="I47" s="50">
        <f>IFERROR(INDEX(Consolidado!$O:$O,MATCH($A47,Consolidado!$A:$A,0)),0)</f>
        <v>0.19319366395475601</v>
      </c>
      <c r="J47" s="64">
        <f t="shared" si="2"/>
        <v>0</v>
      </c>
      <c r="K47" s="65">
        <f t="shared" si="3"/>
        <v>0</v>
      </c>
      <c r="L47" s="68" t="s">
        <v>738</v>
      </c>
      <c r="M47" s="69">
        <f t="shared" si="4"/>
        <v>-1</v>
      </c>
      <c r="N47" s="70">
        <f t="shared" si="5"/>
        <v>0</v>
      </c>
    </row>
    <row r="48" spans="1:14" x14ac:dyDescent="0.25">
      <c r="A48" s="15" t="s">
        <v>663</v>
      </c>
      <c r="B48" s="15" t="str">
        <f>IFERROR(INDEX(Consolidado!$B:$B,MATCH($A48,Consolidado!$A:$A,0)),"")</f>
        <v>leidianeoliva</v>
      </c>
      <c r="C48" s="15" t="s">
        <v>233</v>
      </c>
      <c r="D48" s="67">
        <f>IFERROR(INDEX(Consolidado!$J:$J,MATCH($A48,Consolidado!$A:$A,0)),0)</f>
        <v>281</v>
      </c>
      <c r="E48" s="66">
        <f>IFERROR(INDEX(Consolidado!$M:$M,MATCH($A48,Consolidado!$A:$A,0)),0)</f>
        <v>7.3148148148148148E-3</v>
      </c>
      <c r="F48" s="64">
        <f t="shared" si="0"/>
        <v>0</v>
      </c>
      <c r="G48" s="49">
        <f>IFERROR(INDEX(Consolidado!$K:$K,MATCH($A48,Consolidado!$A:$A,0)),0)</f>
        <v>3.3482754629629627</v>
      </c>
      <c r="H48" s="64">
        <f t="shared" si="1"/>
        <v>0</v>
      </c>
      <c r="I48" s="50">
        <f>IFERROR(INDEX(Consolidado!$O:$O,MATCH($A48,Consolidado!$A:$A,0)),0)</f>
        <v>0.14004583619953601</v>
      </c>
      <c r="J48" s="64">
        <f t="shared" si="2"/>
        <v>75</v>
      </c>
      <c r="K48" s="65">
        <f t="shared" si="3"/>
        <v>75</v>
      </c>
      <c r="L48" s="68" t="s">
        <v>738</v>
      </c>
      <c r="M48" s="69">
        <f t="shared" si="4"/>
        <v>-1</v>
      </c>
      <c r="N48" s="70">
        <f t="shared" si="5"/>
        <v>0</v>
      </c>
    </row>
    <row r="49" spans="1:14" x14ac:dyDescent="0.25">
      <c r="A49" s="15" t="s">
        <v>665</v>
      </c>
      <c r="B49" s="15" t="str">
        <f>IFERROR(INDEX(Consolidado!$B:$B,MATCH($A49,Consolidado!$A:$A,0)),"")</f>
        <v>lorraneoliveira</v>
      </c>
      <c r="C49" s="15" t="s">
        <v>100</v>
      </c>
      <c r="D49" s="67">
        <f>IFERROR(INDEX(Consolidado!$J:$J,MATCH($A49,Consolidado!$A:$A,0)),0)</f>
        <v>567</v>
      </c>
      <c r="E49" s="66">
        <f>IFERROR(INDEX(Consolidado!$M:$M,MATCH($A49,Consolidado!$A:$A,0)),0)</f>
        <v>5.0578703703703706E-3</v>
      </c>
      <c r="F49" s="64">
        <f t="shared" si="0"/>
        <v>0</v>
      </c>
      <c r="G49" s="49">
        <f>IFERROR(INDEX(Consolidado!$K:$K,MATCH($A49,Consolidado!$A:$A,0)),0)</f>
        <v>3.9339583333333334</v>
      </c>
      <c r="H49" s="64">
        <f t="shared" si="1"/>
        <v>0</v>
      </c>
      <c r="I49" s="50">
        <f>IFERROR(INDEX(Consolidado!$O:$O,MATCH($A49,Consolidado!$A:$A,0)),0)</f>
        <v>0.12525081348891101</v>
      </c>
      <c r="J49" s="64">
        <f t="shared" si="2"/>
        <v>100</v>
      </c>
      <c r="K49" s="65">
        <f t="shared" si="3"/>
        <v>100</v>
      </c>
      <c r="L49" s="68" t="s">
        <v>738</v>
      </c>
      <c r="M49" s="69">
        <f t="shared" si="4"/>
        <v>-1</v>
      </c>
      <c r="N49" s="70">
        <f t="shared" si="5"/>
        <v>0</v>
      </c>
    </row>
    <row r="50" spans="1:14" x14ac:dyDescent="0.25">
      <c r="A50" s="15" t="s">
        <v>128</v>
      </c>
      <c r="B50" s="15" t="str">
        <f>IFERROR(INDEX(Consolidado!$B:$B,MATCH($A50,Consolidado!$A:$A,0)),"")</f>
        <v>luizalima</v>
      </c>
      <c r="C50" s="15" t="s">
        <v>233</v>
      </c>
      <c r="D50" s="67">
        <f>IFERROR(INDEX(Consolidado!$J:$J,MATCH($A50,Consolidado!$A:$A,0)),0)</f>
        <v>483</v>
      </c>
      <c r="E50" s="66">
        <f>IFERROR(INDEX(Consolidado!$M:$M,MATCH($A50,Consolidado!$A:$A,0)),0)</f>
        <v>3.8657407407407408E-3</v>
      </c>
      <c r="F50" s="64">
        <f t="shared" si="0"/>
        <v>75</v>
      </c>
      <c r="G50" s="49">
        <f>IFERROR(INDEX(Consolidado!$K:$K,MATCH($A50,Consolidado!$A:$A,0)),0)</f>
        <v>3.6845023148148148</v>
      </c>
      <c r="H50" s="64">
        <f t="shared" si="1"/>
        <v>0</v>
      </c>
      <c r="I50" s="50">
        <f>IFERROR(INDEX(Consolidado!$O:$O,MATCH($A50,Consolidado!$A:$A,0)),0)</f>
        <v>0.226775690218979</v>
      </c>
      <c r="J50" s="64">
        <f t="shared" si="2"/>
        <v>0</v>
      </c>
      <c r="K50" s="65">
        <f t="shared" si="3"/>
        <v>75</v>
      </c>
      <c r="L50" s="68" t="s">
        <v>738</v>
      </c>
      <c r="M50" s="69">
        <f t="shared" si="4"/>
        <v>-1</v>
      </c>
      <c r="N50" s="70">
        <f t="shared" si="5"/>
        <v>0</v>
      </c>
    </row>
    <row r="51" spans="1:14" x14ac:dyDescent="0.25">
      <c r="A51" s="15" t="s">
        <v>266</v>
      </c>
      <c r="B51" s="15" t="str">
        <f>IFERROR(INDEX(Consolidado!$B:$B,MATCH($A51,Consolidado!$A:$A,0)),"")</f>
        <v>magnasouza</v>
      </c>
      <c r="C51" s="15" t="s">
        <v>233</v>
      </c>
      <c r="D51" s="67">
        <f>IFERROR(INDEX(Consolidado!$J:$J,MATCH($A51,Consolidado!$A:$A,0)),0)</f>
        <v>18</v>
      </c>
      <c r="E51" s="66">
        <f>IFERROR(INDEX(Consolidado!$M:$M,MATCH($A51,Consolidado!$A:$A,0)),0)</f>
        <v>6.7129629629629631E-3</v>
      </c>
      <c r="F51" s="64">
        <f t="shared" si="0"/>
        <v>0</v>
      </c>
      <c r="G51" s="49">
        <f>IFERROR(INDEX(Consolidado!$K:$K,MATCH($A51,Consolidado!$A:$A,0)),0)</f>
        <v>3.4432060185185187</v>
      </c>
      <c r="H51" s="64">
        <f t="shared" si="1"/>
        <v>0</v>
      </c>
      <c r="I51" s="50">
        <f>IFERROR(INDEX(Consolidado!$O:$O,MATCH($A51,Consolidado!$A:$A,0)),0)</f>
        <v>0.95414009741405703</v>
      </c>
      <c r="J51" s="64">
        <f t="shared" si="2"/>
        <v>0</v>
      </c>
      <c r="K51" s="65">
        <f t="shared" si="3"/>
        <v>0</v>
      </c>
      <c r="L51" s="68" t="s">
        <v>738</v>
      </c>
      <c r="M51" s="69">
        <f t="shared" si="4"/>
        <v>-1</v>
      </c>
      <c r="N51" s="70">
        <f t="shared" si="5"/>
        <v>0</v>
      </c>
    </row>
    <row r="52" spans="1:14" x14ac:dyDescent="0.25">
      <c r="A52" s="15" t="s">
        <v>60</v>
      </c>
      <c r="B52" s="15" t="str">
        <f>IFERROR(INDEX(Consolidado!$B:$B,MATCH($A52,Consolidado!$A:$A,0)),"")</f>
        <v>mikaellealves</v>
      </c>
      <c r="C52" s="15" t="s">
        <v>100</v>
      </c>
      <c r="D52" s="67">
        <f>IFERROR(INDEX(Consolidado!$J:$J,MATCH($A52,Consolidado!$A:$A,0)),0)</f>
        <v>576</v>
      </c>
      <c r="E52" s="66">
        <f>IFERROR(INDEX(Consolidado!$M:$M,MATCH($A52,Consolidado!$A:$A,0)),0)</f>
        <v>5.185185185185185E-3</v>
      </c>
      <c r="F52" s="64">
        <f t="shared" si="0"/>
        <v>0</v>
      </c>
      <c r="G52" s="49">
        <f>IFERROR(INDEX(Consolidado!$K:$K,MATCH($A52,Consolidado!$A:$A,0)),0)</f>
        <v>4.111493055555556</v>
      </c>
      <c r="H52" s="64">
        <f t="shared" si="1"/>
        <v>0</v>
      </c>
      <c r="I52" s="50">
        <f>IFERROR(INDEX(Consolidado!$O:$O,MATCH($A52,Consolidado!$A:$A,0)),0)</f>
        <v>0.13530274495894201</v>
      </c>
      <c r="J52" s="64">
        <f t="shared" si="2"/>
        <v>75</v>
      </c>
      <c r="K52" s="65">
        <f t="shared" si="3"/>
        <v>75</v>
      </c>
      <c r="L52" s="68" t="s">
        <v>738</v>
      </c>
      <c r="M52" s="69">
        <f t="shared" si="4"/>
        <v>-1</v>
      </c>
      <c r="N52" s="70">
        <f t="shared" si="5"/>
        <v>0</v>
      </c>
    </row>
    <row r="53" spans="1:14" x14ac:dyDescent="0.25">
      <c r="A53" s="15" t="s">
        <v>668</v>
      </c>
      <c r="B53" s="15" t="str">
        <f>IFERROR(INDEX(Consolidado!$B:$B,MATCH($A53,Consolidado!$A:$A,0)),"")</f>
        <v>polianacorreia</v>
      </c>
      <c r="C53" s="15" t="s">
        <v>233</v>
      </c>
      <c r="D53" s="67">
        <f>IFERROR(INDEX(Consolidado!$J:$J,MATCH($A53,Consolidado!$A:$A,0)),0)</f>
        <v>448</v>
      </c>
      <c r="E53" s="66">
        <f>IFERROR(INDEX(Consolidado!$M:$M,MATCH($A53,Consolidado!$A:$A,0)),0)</f>
        <v>3.8888888888888888E-3</v>
      </c>
      <c r="F53" s="64">
        <f t="shared" si="0"/>
        <v>75</v>
      </c>
      <c r="G53" s="49">
        <f>IFERROR(INDEX(Consolidado!$K:$K,MATCH($A53,Consolidado!$A:$A,0)),0)</f>
        <v>3.5532523148148147</v>
      </c>
      <c r="H53" s="64">
        <f t="shared" si="1"/>
        <v>0</v>
      </c>
      <c r="I53" s="50">
        <f>IFERROR(INDEX(Consolidado!$O:$O,MATCH($A53,Consolidado!$A:$A,0)),0)</f>
        <v>0.20002866440174499</v>
      </c>
      <c r="J53" s="64">
        <f t="shared" si="2"/>
        <v>0</v>
      </c>
      <c r="K53" s="65">
        <f t="shared" si="3"/>
        <v>75</v>
      </c>
      <c r="L53" s="68" t="s">
        <v>738</v>
      </c>
      <c r="M53" s="69">
        <f t="shared" si="4"/>
        <v>-1</v>
      </c>
      <c r="N53" s="70">
        <f t="shared" si="5"/>
        <v>0</v>
      </c>
    </row>
    <row r="54" spans="1:14" x14ac:dyDescent="0.25">
      <c r="A54" s="15" t="s">
        <v>274</v>
      </c>
      <c r="B54" s="15" t="str">
        <f>IFERROR(INDEX(Consolidado!$B:$B,MATCH($A54,Consolidado!$A:$A,0)),"")</f>
        <v/>
      </c>
      <c r="C54" s="15" t="s">
        <v>233</v>
      </c>
      <c r="D54" s="67">
        <f>IFERROR(INDEX(Consolidado!$J:$J,MATCH($A54,Consolidado!$A:$A,0)),0)</f>
        <v>0</v>
      </c>
      <c r="E54" s="66">
        <f>IFERROR(INDEX(Consolidado!$M:$M,MATCH($A54,Consolidado!$A:$A,0)),0)</f>
        <v>0</v>
      </c>
      <c r="F54" s="64">
        <f t="shared" si="0"/>
        <v>0</v>
      </c>
      <c r="G54" s="49">
        <f>IFERROR(INDEX(Consolidado!$K:$K,MATCH($A54,Consolidado!$A:$A,0)),0)</f>
        <v>0</v>
      </c>
      <c r="H54" s="64">
        <f t="shared" si="1"/>
        <v>0</v>
      </c>
      <c r="I54" s="50">
        <f>IFERROR(INDEX(Consolidado!$O:$O,MATCH($A54,Consolidado!$A:$A,0)),0)</f>
        <v>0</v>
      </c>
      <c r="J54" s="64">
        <f t="shared" si="2"/>
        <v>0</v>
      </c>
      <c r="K54" s="65">
        <f t="shared" si="3"/>
        <v>0</v>
      </c>
      <c r="L54" s="68" t="s">
        <v>738</v>
      </c>
      <c r="M54" s="69">
        <f t="shared" si="4"/>
        <v>-1</v>
      </c>
      <c r="N54" s="70">
        <f t="shared" si="5"/>
        <v>0</v>
      </c>
    </row>
    <row r="55" spans="1:14" x14ac:dyDescent="0.25">
      <c r="A55" s="15" t="s">
        <v>305</v>
      </c>
      <c r="B55" s="15" t="str">
        <f>IFERROR(INDEX(Consolidado!$B:$B,MATCH($A55,Consolidado!$A:$A,0)),"")</f>
        <v>ryanrego</v>
      </c>
      <c r="C55" s="15" t="s">
        <v>100</v>
      </c>
      <c r="D55" s="67">
        <f>IFERROR(INDEX(Consolidado!$J:$J,MATCH($A55,Consolidado!$A:$A,0)),0)</f>
        <v>609</v>
      </c>
      <c r="E55" s="66">
        <f>IFERROR(INDEX(Consolidado!$M:$M,MATCH($A55,Consolidado!$A:$A,0)),0)</f>
        <v>4.1550925925925922E-3</v>
      </c>
      <c r="F55" s="64">
        <f t="shared" si="0"/>
        <v>75</v>
      </c>
      <c r="G55" s="49">
        <f>IFERROR(INDEX(Consolidado!$K:$K,MATCH($A55,Consolidado!$A:$A,0)),0)</f>
        <v>3.9041666666666668</v>
      </c>
      <c r="H55" s="64">
        <f t="shared" si="1"/>
        <v>0</v>
      </c>
      <c r="I55" s="50">
        <f>IFERROR(INDEX(Consolidado!$O:$O,MATCH($A55,Consolidado!$A:$A,0)),0)</f>
        <v>0.21221688604292699</v>
      </c>
      <c r="J55" s="64">
        <f t="shared" si="2"/>
        <v>0</v>
      </c>
      <c r="K55" s="65">
        <f t="shared" si="3"/>
        <v>75</v>
      </c>
      <c r="L55" s="68" t="s">
        <v>738</v>
      </c>
      <c r="M55" s="69">
        <f t="shared" si="4"/>
        <v>-1</v>
      </c>
      <c r="N55" s="70">
        <f t="shared" si="5"/>
        <v>0</v>
      </c>
    </row>
    <row r="56" spans="1:14" x14ac:dyDescent="0.25">
      <c r="A56" s="15" t="s">
        <v>276</v>
      </c>
      <c r="B56" s="15" t="str">
        <f>IFERROR(INDEX(Consolidado!$B:$B,MATCH($A56,Consolidado!$A:$A,0)),"")</f>
        <v>saraescolastico</v>
      </c>
      <c r="C56" s="15" t="s">
        <v>233</v>
      </c>
      <c r="D56" s="67">
        <f>IFERROR(INDEX(Consolidado!$J:$J,MATCH($A56,Consolidado!$A:$A,0)),0)</f>
        <v>530</v>
      </c>
      <c r="E56" s="66">
        <f>IFERROR(INDEX(Consolidado!$M:$M,MATCH($A56,Consolidado!$A:$A,0)),0)</f>
        <v>3.0092592592592593E-3</v>
      </c>
      <c r="F56" s="64">
        <f t="shared" si="0"/>
        <v>100</v>
      </c>
      <c r="G56" s="49">
        <f>IFERROR(INDEX(Consolidado!$K:$K,MATCH($A56,Consolidado!$A:$A,0)),0)</f>
        <v>3.6312037037037035</v>
      </c>
      <c r="H56" s="64">
        <f t="shared" si="1"/>
        <v>0</v>
      </c>
      <c r="I56" s="50">
        <f>IFERROR(INDEX(Consolidado!$O:$O,MATCH($A56,Consolidado!$A:$A,0)),0)</f>
        <v>0.222967718081444</v>
      </c>
      <c r="J56" s="64">
        <f t="shared" si="2"/>
        <v>0</v>
      </c>
      <c r="K56" s="65">
        <f t="shared" si="3"/>
        <v>100</v>
      </c>
      <c r="L56" s="68" t="s">
        <v>738</v>
      </c>
      <c r="M56" s="69">
        <f t="shared" si="4"/>
        <v>-1</v>
      </c>
      <c r="N56" s="70">
        <f t="shared" si="5"/>
        <v>0</v>
      </c>
    </row>
    <row r="57" spans="1:14" x14ac:dyDescent="0.25">
      <c r="A57" s="15" t="s">
        <v>278</v>
      </c>
      <c r="B57" s="15" t="str">
        <f>IFERROR(INDEX(Consolidado!$B:$B,MATCH($A57,Consolidado!$A:$A,0)),"")</f>
        <v>shirleyandrade</v>
      </c>
      <c r="C57" s="15" t="s">
        <v>233</v>
      </c>
      <c r="D57" s="67">
        <f>IFERROR(INDEX(Consolidado!$J:$J,MATCH($A57,Consolidado!$A:$A,0)),0)</f>
        <v>347</v>
      </c>
      <c r="E57" s="66">
        <f>IFERROR(INDEX(Consolidado!$M:$M,MATCH($A57,Consolidado!$A:$A,0)),0)</f>
        <v>6.0879629629629626E-3</v>
      </c>
      <c r="F57" s="64">
        <f t="shared" si="0"/>
        <v>0</v>
      </c>
      <c r="G57" s="49">
        <f>IFERROR(INDEX(Consolidado!$K:$K,MATCH($A57,Consolidado!$A:$A,0)),0)</f>
        <v>4.0018865740740743</v>
      </c>
      <c r="H57" s="64">
        <f t="shared" si="1"/>
        <v>0</v>
      </c>
      <c r="I57" s="50">
        <f>IFERROR(INDEX(Consolidado!$O:$O,MATCH($A57,Consolidado!$A:$A,0)),0)</f>
        <v>0.14723379887379501</v>
      </c>
      <c r="J57" s="64">
        <f t="shared" si="2"/>
        <v>75</v>
      </c>
      <c r="K57" s="65">
        <f t="shared" si="3"/>
        <v>75</v>
      </c>
      <c r="L57" s="68" t="s">
        <v>738</v>
      </c>
      <c r="M57" s="69">
        <f t="shared" si="4"/>
        <v>-1</v>
      </c>
      <c r="N57" s="70">
        <f t="shared" si="5"/>
        <v>0</v>
      </c>
    </row>
    <row r="58" spans="1:14" x14ac:dyDescent="0.25">
      <c r="A58" s="15" t="s">
        <v>280</v>
      </c>
      <c r="B58" s="15" t="str">
        <f>IFERROR(INDEX(Consolidado!$B:$B,MATCH($A58,Consolidado!$A:$A,0)),"")</f>
        <v>trissyaraujo</v>
      </c>
      <c r="C58" s="15" t="s">
        <v>233</v>
      </c>
      <c r="D58" s="67">
        <f>IFERROR(INDEX(Consolidado!$J:$J,MATCH($A58,Consolidado!$A:$A,0)),0)</f>
        <v>394</v>
      </c>
      <c r="E58" s="66">
        <f>IFERROR(INDEX(Consolidado!$M:$M,MATCH($A58,Consolidado!$A:$A,0)),0)</f>
        <v>3.4837962962962965E-3</v>
      </c>
      <c r="F58" s="64">
        <f t="shared" si="0"/>
        <v>75</v>
      </c>
      <c r="G58" s="49">
        <f>IFERROR(INDEX(Consolidado!$K:$K,MATCH($A58,Consolidado!$A:$A,0)),0)</f>
        <v>3.0174074074074073</v>
      </c>
      <c r="H58" s="64">
        <f t="shared" si="1"/>
        <v>0</v>
      </c>
      <c r="I58" s="50">
        <f>IFERROR(INDEX(Consolidado!$O:$O,MATCH($A58,Consolidado!$A:$A,0)),0)</f>
        <v>0.17252899840432101</v>
      </c>
      <c r="J58" s="64">
        <f t="shared" si="2"/>
        <v>0</v>
      </c>
      <c r="K58" s="65">
        <f t="shared" si="3"/>
        <v>75</v>
      </c>
      <c r="L58" s="68" t="s">
        <v>738</v>
      </c>
      <c r="M58" s="69">
        <f t="shared" si="4"/>
        <v>-1</v>
      </c>
      <c r="N58" s="70">
        <f t="shared" si="5"/>
        <v>0</v>
      </c>
    </row>
    <row r="59" spans="1:14" x14ac:dyDescent="0.25">
      <c r="A59" s="15" t="s">
        <v>282</v>
      </c>
      <c r="B59" s="15" t="str">
        <f>IFERROR(INDEX(Consolidado!$B:$B,MATCH($A59,Consolidado!$A:$A,0)),"")</f>
        <v>wanessachaves</v>
      </c>
      <c r="C59" s="15" t="s">
        <v>233</v>
      </c>
      <c r="D59" s="67">
        <f>IFERROR(INDEX(Consolidado!$J:$J,MATCH($A59,Consolidado!$A:$A,0)),0)</f>
        <v>622</v>
      </c>
      <c r="E59" s="66">
        <f>IFERROR(INDEX(Consolidado!$M:$M,MATCH($A59,Consolidado!$A:$A,0)),0)</f>
        <v>2.3148148148148147E-3</v>
      </c>
      <c r="F59" s="64">
        <f t="shared" si="0"/>
        <v>100</v>
      </c>
      <c r="G59" s="49">
        <f>IFERROR(INDEX(Consolidado!$K:$K,MATCH($A59,Consolidado!$A:$A,0)),0)</f>
        <v>3.374837962962963</v>
      </c>
      <c r="H59" s="64">
        <f t="shared" si="1"/>
        <v>0</v>
      </c>
      <c r="I59" s="50">
        <f>IFERROR(INDEX(Consolidado!$O:$O,MATCH($A59,Consolidado!$A:$A,0)),0)</f>
        <v>0.17583148710843499</v>
      </c>
      <c r="J59" s="64">
        <f t="shared" si="2"/>
        <v>0</v>
      </c>
      <c r="K59" s="65">
        <f t="shared" si="3"/>
        <v>100</v>
      </c>
      <c r="L59" s="68" t="s">
        <v>738</v>
      </c>
      <c r="M59" s="69">
        <f t="shared" si="4"/>
        <v>-1</v>
      </c>
      <c r="N59" s="70">
        <f t="shared" si="5"/>
        <v>0</v>
      </c>
    </row>
    <row r="60" spans="1:14" x14ac:dyDescent="0.25">
      <c r="A60" s="63" t="s">
        <v>739</v>
      </c>
      <c r="K60" s="63">
        <f>SUM(K20:K59)</f>
        <v>2025</v>
      </c>
      <c r="N60" s="63">
        <f>SUM(N20:N59)</f>
        <v>0</v>
      </c>
    </row>
  </sheetData>
  <mergeCells count="7">
    <mergeCell ref="A11:C11"/>
    <mergeCell ref="A15:C15"/>
    <mergeCell ref="A1:N1"/>
    <mergeCell ref="A2:N2"/>
    <mergeCell ref="A4:C4"/>
    <mergeCell ref="A5:C5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Painel</vt:lpstr>
      <vt:lpstr>Análise por Fila</vt:lpstr>
      <vt:lpstr>Atendimento Fila</vt:lpstr>
      <vt:lpstr>Visão Diária</vt:lpstr>
      <vt:lpstr>Faltas do Dia</vt:lpstr>
      <vt:lpstr>Comparativo Sup.</vt:lpstr>
      <vt:lpstr>Consolidado</vt:lpstr>
      <vt:lpstr>Diário</vt:lpstr>
      <vt:lpstr>Resumo Supervisor</vt:lpstr>
      <vt:lpstr>Mapeamento</vt:lpstr>
      <vt:lpstr>Notas Técnicas</vt:lpstr>
      <vt:lpstr>Variável 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Willdean Alves Almeida</cp:lastModifiedBy>
  <cp:revision>0</cp:revision>
  <dcterms:created xsi:type="dcterms:W3CDTF">2026-05-08T17:23:01Z</dcterms:created>
  <dcterms:modified xsi:type="dcterms:W3CDTF">2026-08-20T12:26:12Z</dcterms:modified>
  <dc:language>en-US</dc:language>
</cp:coreProperties>
</file>